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MikusKampuss\2025-2026\"/>
    </mc:Choice>
  </mc:AlternateContent>
  <xr:revisionPtr revIDLastSave="0" documentId="13_ncr:1_{81B5943B-05A6-4DAF-9BCE-06832C3AEE6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komposts" sheetId="1" r:id="rId1"/>
    <sheet name="nesadalītā_masa" sheetId="2" r:id="rId2"/>
    <sheet name="Vizuālais_novērtējums" sheetId="3" r:id="rId3"/>
    <sheet name="Vizuālais_statistikai" sheetId="4" r:id="rId4"/>
  </sheets>
  <calcPr calcId="181029"/>
  <extLst>
    <ext uri="GoogleSheetsCustomDataVersion2">
      <go:sheetsCustomData xmlns:go="http://customooxmlschemas.google.com/" r:id="rId8" roundtripDataChecksum="Dfo6s5TgNCc0Wcey9UJQpNGe1jR+HsK2D4PIH57VZNE="/>
    </ext>
  </extLst>
</workbook>
</file>

<file path=xl/calcChain.xml><?xml version="1.0" encoding="utf-8"?>
<calcChain xmlns="http://schemas.openxmlformats.org/spreadsheetml/2006/main">
  <c r="D31" i="1" l="1"/>
  <c r="D30" i="1"/>
</calcChain>
</file>

<file path=xl/sharedStrings.xml><?xml version="1.0" encoding="utf-8"?>
<sst xmlns="http://schemas.openxmlformats.org/spreadsheetml/2006/main" count="277" uniqueCount="80">
  <si>
    <t>DATUMS</t>
  </si>
  <si>
    <t>temp. telpā, oC</t>
  </si>
  <si>
    <t>gaisa relat. mitrums, RH</t>
  </si>
  <si>
    <t>temp. kastē, oC</t>
  </si>
  <si>
    <t>paraugu kārtība kastē</t>
  </si>
  <si>
    <t>komentāri</t>
  </si>
  <si>
    <t>MK paraugi (slīpputekļi)</t>
  </si>
  <si>
    <t>parauga masa gaisa sausa, g</t>
  </si>
  <si>
    <t>MK paraugi (makulat)</t>
  </si>
  <si>
    <t>29.03 (uzlikšana)</t>
  </si>
  <si>
    <t>-----</t>
  </si>
  <si>
    <t>M, S, P</t>
  </si>
  <si>
    <t>S1</t>
  </si>
  <si>
    <t>M1</t>
  </si>
  <si>
    <t>S, P, M</t>
  </si>
  <si>
    <t>Visi paraugi saglabā formu</t>
  </si>
  <si>
    <t>25, 26, 28</t>
  </si>
  <si>
    <t>P, M, S</t>
  </si>
  <si>
    <t xml:space="preserve">Visi paraugi saglabā formu. </t>
  </si>
  <si>
    <t>S2</t>
  </si>
  <si>
    <t>30, 33, 37</t>
  </si>
  <si>
    <t xml:space="preserve">Visi paraugi viegli drūp, sāk zaudēt formu. </t>
  </si>
  <si>
    <t>M2</t>
  </si>
  <si>
    <t>S3</t>
  </si>
  <si>
    <t>68, 69, 70</t>
  </si>
  <si>
    <t>S1 un S2 paraugi ļoti viegli drūp, pilnībā zaudējuši formu, palicis tikai kodols. S3 un visiem M paraugiem nodrupušas malas, bet saglabā formu.</t>
  </si>
  <si>
    <t xml:space="preserve">Visi paraugi  zaudējuši formu, saglabājas tikai kodols, izņemot 17. un visus S3 paraugus. 28. paraugs pilnībā sadalījies. </t>
  </si>
  <si>
    <t xml:space="preserve">Paraugi, kuriem vēl saglabājušies kodoli - 69., 70., 76., 78., 17., 127. Pārējie sadalījušies. </t>
  </si>
  <si>
    <t>M3</t>
  </si>
  <si>
    <t>95, 97, 99</t>
  </si>
  <si>
    <t>Paraugi, kuriem vēl saglabājušies kodoli - 69., 70., 76., 17. Pārējie sadalījušies.</t>
  </si>
  <si>
    <t>76, 77, 78</t>
  </si>
  <si>
    <t>21.06 (noņemšana)</t>
  </si>
  <si>
    <t xml:space="preserve">Visi paraugi sadalījušies, izņemot 69 un 17. </t>
  </si>
  <si>
    <t>127, 129, 17</t>
  </si>
  <si>
    <t>Komposts-MK slīpputekļi S- 3 varianti; makulatūra M- 3 varianti, kopā 6 varianti x 3 atkārtojumi=18 paraugi-katrā kastītē pa vienam paraugam.</t>
  </si>
  <si>
    <t>Kastītes 3 kārtās komposta kastē- 1 kārta papīra paraugi, 2. un 3. kārta-MK paraugi. Pie katras pārbaudes un apmaisīšanas kārtu secība mainās- augša, vidus, apakša.</t>
  </si>
  <si>
    <t>5 cm komposta starp kastīšu kārtām</t>
  </si>
  <si>
    <t>(1) Paraugu izņemšana no kastes un komposta apmaisīšana, un (2) mitruma paraugu noņemšana notiek- pirmās 4 nedēļas- 1x nedēļā, pārējās 8 nedēļas – 1x divās nedēļās.</t>
  </si>
  <si>
    <t>Mitrumu mēra 3 slāņos, kur kastītes:</t>
  </si>
  <si>
    <t>1. - augšējais slānis:... ; 2. -vidējais:.... ;  3. - apakšējais: ....</t>
  </si>
  <si>
    <t>pēc testa:</t>
  </si>
  <si>
    <t>* ŽĀVĒŠANA: MK kastes tika žāvēti 2-3 dienas žāvskapī ar ieslēgtu ventilatrou pie 40 oC; papīra paraugi žuva telpas apstākļos 4-5 dienas, līdz bija gaissausi</t>
  </si>
  <si>
    <t>* SIJĀŠANA: papīra paraugu kastes tika sijātas 10 minūtes, MK kastes 8 minūtes; izmantotie sieti 6,7 mm un 2,0 mm, visiem paraugiem iekārtas svārst. ampl. 60</t>
  </si>
  <si>
    <t>* iekārta - Vibrējošais sietu kratītājs Reisch AS200 (Vācija)</t>
  </si>
  <si>
    <t>Sijāšanas rezultāti:</t>
  </si>
  <si>
    <t>Nepilnīgi sadalītais MK paraugs</t>
  </si>
  <si>
    <t>Sākotnējā masa gaisa sauss, g</t>
  </si>
  <si>
    <t>Nesadalīto gabalu masa g. sausa, g</t>
  </si>
  <si>
    <t>Nesadalītā daļa, %</t>
  </si>
  <si>
    <t xml:space="preserve">Komposts iekārtots  130 l plastmasas kastē ar vāku, izejas mitrums 75%. </t>
  </si>
  <si>
    <t>Kastes apakšā izurbti caurumi, liekā mitruma notecināsanai, ja tāds rastos kompostu laistot. Papildus mitrināšana nebija nepieciešama.</t>
  </si>
  <si>
    <t>katrs papīra vai MK  paraugs ielikts 0,5 l plastmasas kastītē, kuras apakšā izdurti caurumi.</t>
  </si>
  <si>
    <t>w% kopostam pa slāņiem</t>
  </si>
  <si>
    <t>datums/slānis</t>
  </si>
  <si>
    <t>augša</t>
  </si>
  <si>
    <t xml:space="preserve">vidus </t>
  </si>
  <si>
    <t>apakša</t>
  </si>
  <si>
    <t xml:space="preserve">Kompostēšana notiek pēc LVS EN 14045: 2003 standarta metodes </t>
  </si>
  <si>
    <t xml:space="preserve">laboratorijas apstākļos kontrolētā temperatūras un gaisa mitruma vidē. Tiek izmantots ekoloģiski tīrs, </t>
  </si>
  <si>
    <t xml:space="preserve">trihodermīnu saturošs komposts, kas iegādāts no SIA ‘’Zeltābele,’’ Jaunauce, Latvija. Pārbaudes ilgums </t>
  </si>
  <si>
    <t xml:space="preserve">ir 12 nedēļas, kuru laikā kompostējamie paraugi tiek regulāri pārbaudīti un veikti komposta mitruma </t>
  </si>
  <si>
    <t xml:space="preserve">mērījumi. </t>
  </si>
  <si>
    <t>id</t>
  </si>
  <si>
    <t>substrate</t>
  </si>
  <si>
    <t>rel_end_m</t>
  </si>
  <si>
    <t>BSD1</t>
  </si>
  <si>
    <t>BSD2</t>
  </si>
  <si>
    <t>BSD3</t>
  </si>
  <si>
    <t>date</t>
  </si>
  <si>
    <t>Vērtējums</t>
  </si>
  <si>
    <t>25c</t>
  </si>
  <si>
    <t>26c</t>
  </si>
  <si>
    <t>28c</t>
  </si>
  <si>
    <t>30c</t>
  </si>
  <si>
    <t>33c</t>
  </si>
  <si>
    <t>37c</t>
  </si>
  <si>
    <t>68c</t>
  </si>
  <si>
    <t>69c</t>
  </si>
  <si>
    <t>70c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</si>
</sst>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dd\.mm"/>
    <numFmt numFmtId="167" formatCode="dd\.mm\.yyyy"/>
  </numFmts>
  <fonts count="5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name val="Calibri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14" fontId="1" fillId="0" borderId="1" xfId="0" applyNumberFormat="1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/>
    <xf numFmtId="0" fontId="2" fillId="0" borderId="5" xfId="0" applyFont="1" applyBorder="1" applyAlignment="1">
      <alignment wrapText="1"/>
    </xf>
    <xf numFmtId="0" fontId="2" fillId="2" borderId="6" xfId="0" applyFont="1" applyFill="1" applyBorder="1"/>
    <xf numFmtId="0" fontId="2" fillId="2" borderId="6" xfId="0" quotePrefix="1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2" borderId="1" xfId="0" applyFont="1" applyFill="1" applyBorder="1" applyAlignment="1">
      <alignment horizontal="left"/>
    </xf>
    <xf numFmtId="10" fontId="2" fillId="2" borderId="1" xfId="0" applyNumberFormat="1" applyFont="1" applyFill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4" fillId="0" borderId="0" xfId="0" applyFont="1"/>
    <xf numFmtId="0" fontId="2" fillId="0" borderId="13" xfId="0" applyFont="1" applyBorder="1"/>
    <xf numFmtId="164" fontId="2" fillId="0" borderId="12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64" fontId="2" fillId="0" borderId="16" xfId="0" applyNumberFormat="1" applyFont="1" applyBorder="1"/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1" xfId="0" applyFont="1" applyBorder="1"/>
    <xf numFmtId="0" fontId="2" fillId="0" borderId="22" xfId="0" applyFont="1" applyBorder="1"/>
    <xf numFmtId="165" fontId="2" fillId="0" borderId="23" xfId="0" applyNumberFormat="1" applyFont="1" applyBorder="1"/>
    <xf numFmtId="0" fontId="2" fillId="0" borderId="24" xfId="0" applyFont="1" applyBorder="1"/>
    <xf numFmtId="0" fontId="1" fillId="0" borderId="0" xfId="0" applyFont="1"/>
    <xf numFmtId="0" fontId="1" fillId="0" borderId="5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5" xfId="0" applyFont="1" applyBorder="1"/>
    <xf numFmtId="2" fontId="2" fillId="0" borderId="26" xfId="0" applyNumberFormat="1" applyFont="1" applyBorder="1"/>
    <xf numFmtId="2" fontId="2" fillId="0" borderId="22" xfId="0" applyNumberFormat="1" applyFont="1" applyBorder="1"/>
    <xf numFmtId="2" fontId="2" fillId="0" borderId="23" xfId="0" applyNumberFormat="1" applyFont="1" applyBorder="1"/>
    <xf numFmtId="0" fontId="1" fillId="0" borderId="27" xfId="0" applyFont="1" applyBorder="1"/>
    <xf numFmtId="2" fontId="2" fillId="0" borderId="28" xfId="0" applyNumberFormat="1" applyFont="1" applyBorder="1"/>
    <xf numFmtId="2" fontId="2" fillId="0" borderId="1" xfId="0" applyNumberFormat="1" applyFont="1" applyBorder="1"/>
    <xf numFmtId="2" fontId="2" fillId="0" borderId="12" xfId="0" applyNumberFormat="1" applyFont="1" applyBorder="1"/>
    <xf numFmtId="0" fontId="1" fillId="0" borderId="29" xfId="0" applyFont="1" applyBorder="1"/>
    <xf numFmtId="2" fontId="2" fillId="0" borderId="30" xfId="0" applyNumberFormat="1" applyFont="1" applyBorder="1"/>
    <xf numFmtId="2" fontId="2" fillId="0" borderId="24" xfId="0" applyNumberFormat="1" applyFont="1" applyBorder="1"/>
    <xf numFmtId="2" fontId="2" fillId="0" borderId="16" xfId="0" applyNumberFormat="1" applyFont="1" applyBorder="1"/>
    <xf numFmtId="165" fontId="4" fillId="0" borderId="0" xfId="0" applyNumberFormat="1" applyFont="1"/>
    <xf numFmtId="0" fontId="4" fillId="0" borderId="1" xfId="0" applyFont="1" applyBorder="1"/>
    <xf numFmtId="0" fontId="4" fillId="0" borderId="31" xfId="0" applyFont="1" applyBorder="1"/>
    <xf numFmtId="166" fontId="4" fillId="0" borderId="1" xfId="0" applyNumberFormat="1" applyFont="1" applyBorder="1"/>
    <xf numFmtId="0" fontId="4" fillId="0" borderId="13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167" fontId="4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defaultColWidth="11.25" defaultRowHeight="15" customHeight="1" x14ac:dyDescent="0.25"/>
  <cols>
    <col min="1" max="1" width="19.375" customWidth="1"/>
    <col min="2" max="2" width="21.125" customWidth="1"/>
    <col min="3" max="3" width="14.125" customWidth="1"/>
    <col min="4" max="4" width="11.5" customWidth="1"/>
    <col min="5" max="5" width="16.375" customWidth="1"/>
    <col min="6" max="6" width="65.5" customWidth="1"/>
    <col min="7" max="7" width="78" customWidth="1"/>
    <col min="8" max="8" width="9.625" customWidth="1"/>
    <col min="9" max="9" width="9.25" customWidth="1"/>
    <col min="10" max="10" width="18.625" customWidth="1"/>
    <col min="11" max="11" width="5" customWidth="1"/>
    <col min="12" max="12" width="7" customWidth="1"/>
    <col min="13" max="13" width="19.5" customWidth="1"/>
    <col min="14" max="26" width="11" customWidth="1"/>
  </cols>
  <sheetData>
    <row r="1" spans="1:16" ht="15.75" customHeight="1" x14ac:dyDescent="0.25"/>
    <row r="2" spans="1:16" ht="15.75" customHeight="1" x14ac:dyDescent="0.25"/>
    <row r="3" spans="1:16" ht="15.75" customHeight="1" x14ac:dyDescent="0.25">
      <c r="A3" s="1">
        <v>45014</v>
      </c>
    </row>
    <row r="4" spans="1:16" ht="15.75" customHeight="1" x14ac:dyDescent="0.25">
      <c r="A4" s="2" t="s">
        <v>0</v>
      </c>
      <c r="B4" s="2" t="s">
        <v>1</v>
      </c>
      <c r="C4" s="3" t="s">
        <v>2</v>
      </c>
      <c r="D4" s="3" t="s">
        <v>3</v>
      </c>
      <c r="E4" s="3" t="s">
        <v>4</v>
      </c>
      <c r="F4" s="2" t="s">
        <v>5</v>
      </c>
      <c r="G4" s="4"/>
      <c r="H4" s="57" t="s">
        <v>6</v>
      </c>
      <c r="I4" s="58"/>
      <c r="J4" s="5" t="s">
        <v>7</v>
      </c>
      <c r="K4" s="57" t="s">
        <v>8</v>
      </c>
      <c r="L4" s="58"/>
      <c r="M4" s="5" t="s">
        <v>7</v>
      </c>
    </row>
    <row r="5" spans="1:16" ht="15.75" customHeight="1" x14ac:dyDescent="0.25">
      <c r="A5" s="2" t="s">
        <v>9</v>
      </c>
      <c r="B5" s="2"/>
      <c r="C5" s="6"/>
      <c r="D5" s="7" t="s">
        <v>10</v>
      </c>
      <c r="E5" s="2" t="s">
        <v>11</v>
      </c>
      <c r="F5" s="2"/>
      <c r="G5" s="4"/>
      <c r="H5" s="8">
        <v>25</v>
      </c>
      <c r="I5" s="9" t="s">
        <v>12</v>
      </c>
      <c r="J5" s="10">
        <v>5.4</v>
      </c>
      <c r="K5" s="8">
        <v>95</v>
      </c>
      <c r="L5" s="9" t="s">
        <v>13</v>
      </c>
      <c r="M5" s="10">
        <v>8.1999999999999993</v>
      </c>
    </row>
    <row r="6" spans="1:16" ht="15.75" customHeight="1" x14ac:dyDescent="0.25">
      <c r="A6" s="11">
        <v>5.04</v>
      </c>
      <c r="B6" s="2">
        <v>23.9</v>
      </c>
      <c r="C6" s="12">
        <v>0.43</v>
      </c>
      <c r="D6" s="2">
        <v>25</v>
      </c>
      <c r="E6" s="2" t="s">
        <v>14</v>
      </c>
      <c r="F6" s="2" t="s">
        <v>15</v>
      </c>
      <c r="G6" s="4"/>
      <c r="H6" s="13">
        <v>26</v>
      </c>
      <c r="I6" s="14" t="s">
        <v>12</v>
      </c>
      <c r="J6" s="15">
        <v>4.9000000000000004</v>
      </c>
      <c r="K6" s="13">
        <v>97</v>
      </c>
      <c r="L6" s="14" t="s">
        <v>13</v>
      </c>
      <c r="M6" s="15">
        <v>8.1999999999999993</v>
      </c>
      <c r="O6" s="16" t="s">
        <v>12</v>
      </c>
      <c r="P6" s="16" t="s">
        <v>16</v>
      </c>
    </row>
    <row r="7" spans="1:16" ht="15.75" customHeight="1" x14ac:dyDescent="0.25">
      <c r="A7" s="11">
        <v>12.04</v>
      </c>
      <c r="B7" s="2">
        <v>23.8</v>
      </c>
      <c r="C7" s="12">
        <v>0.44</v>
      </c>
      <c r="D7" s="2">
        <v>29</v>
      </c>
      <c r="E7" s="2" t="s">
        <v>17</v>
      </c>
      <c r="F7" s="2" t="s">
        <v>18</v>
      </c>
      <c r="G7" s="4"/>
      <c r="H7" s="13">
        <v>28</v>
      </c>
      <c r="I7" s="14" t="s">
        <v>12</v>
      </c>
      <c r="J7" s="15">
        <v>5.0999999999999996</v>
      </c>
      <c r="K7" s="13">
        <v>99</v>
      </c>
      <c r="L7" s="14" t="s">
        <v>13</v>
      </c>
      <c r="M7" s="15">
        <v>8.3000000000000007</v>
      </c>
      <c r="O7" s="16" t="s">
        <v>19</v>
      </c>
      <c r="P7" s="16" t="s">
        <v>20</v>
      </c>
    </row>
    <row r="8" spans="1:16" ht="15.75" customHeight="1" x14ac:dyDescent="0.25">
      <c r="A8" s="11">
        <v>19.04</v>
      </c>
      <c r="B8" s="2">
        <v>23.7</v>
      </c>
      <c r="C8" s="12">
        <v>0.42</v>
      </c>
      <c r="D8" s="2">
        <v>24</v>
      </c>
      <c r="E8" s="2" t="s">
        <v>11</v>
      </c>
      <c r="F8" s="2" t="s">
        <v>21</v>
      </c>
      <c r="G8" s="4"/>
      <c r="H8" s="13">
        <v>30</v>
      </c>
      <c r="I8" s="14" t="s">
        <v>19</v>
      </c>
      <c r="J8" s="15">
        <v>3.6</v>
      </c>
      <c r="K8" s="13">
        <v>76</v>
      </c>
      <c r="L8" s="17" t="s">
        <v>22</v>
      </c>
      <c r="M8" s="18">
        <v>4</v>
      </c>
      <c r="O8" s="16" t="s">
        <v>23</v>
      </c>
      <c r="P8" s="16" t="s">
        <v>24</v>
      </c>
    </row>
    <row r="9" spans="1:16" ht="15.75" customHeight="1" x14ac:dyDescent="0.25">
      <c r="A9" s="11">
        <v>26.04</v>
      </c>
      <c r="B9" s="2">
        <v>24.6</v>
      </c>
      <c r="C9" s="12">
        <v>0.43</v>
      </c>
      <c r="D9" s="2">
        <v>25</v>
      </c>
      <c r="E9" s="2" t="s">
        <v>14</v>
      </c>
      <c r="F9" s="2" t="s">
        <v>25</v>
      </c>
      <c r="G9" s="4"/>
      <c r="H9" s="13">
        <v>33</v>
      </c>
      <c r="I9" s="14" t="s">
        <v>19</v>
      </c>
      <c r="J9" s="15">
        <v>3.4</v>
      </c>
      <c r="K9" s="13">
        <v>77</v>
      </c>
      <c r="L9" s="17" t="s">
        <v>22</v>
      </c>
      <c r="M9" s="18">
        <v>3.8</v>
      </c>
    </row>
    <row r="10" spans="1:16" ht="15.75" customHeight="1" x14ac:dyDescent="0.25">
      <c r="A10" s="11">
        <v>10.050000000000001</v>
      </c>
      <c r="B10" s="2">
        <v>23.4</v>
      </c>
      <c r="C10" s="12">
        <v>0.37</v>
      </c>
      <c r="D10" s="2">
        <v>23</v>
      </c>
      <c r="E10" s="2" t="s">
        <v>17</v>
      </c>
      <c r="F10" s="2" t="s">
        <v>26</v>
      </c>
      <c r="G10" s="4"/>
      <c r="H10" s="13">
        <v>37</v>
      </c>
      <c r="I10" s="14" t="s">
        <v>19</v>
      </c>
      <c r="J10" s="15">
        <v>3.4</v>
      </c>
      <c r="K10" s="13">
        <v>78</v>
      </c>
      <c r="L10" s="17" t="s">
        <v>22</v>
      </c>
      <c r="M10" s="18">
        <v>4.0999999999999996</v>
      </c>
    </row>
    <row r="11" spans="1:16" ht="15.75" customHeight="1" x14ac:dyDescent="0.25">
      <c r="A11" s="11">
        <v>24.05</v>
      </c>
      <c r="B11" s="2">
        <v>25.1</v>
      </c>
      <c r="C11" s="12">
        <v>0.39</v>
      </c>
      <c r="D11" s="2">
        <v>24</v>
      </c>
      <c r="E11" s="2" t="s">
        <v>11</v>
      </c>
      <c r="F11" s="2" t="s">
        <v>27</v>
      </c>
      <c r="G11" s="4"/>
      <c r="H11" s="13">
        <v>68</v>
      </c>
      <c r="I11" s="14" t="s">
        <v>23</v>
      </c>
      <c r="J11" s="15">
        <v>5.2</v>
      </c>
      <c r="K11" s="13">
        <v>127</v>
      </c>
      <c r="L11" s="17" t="s">
        <v>28</v>
      </c>
      <c r="M11" s="18">
        <v>5.5</v>
      </c>
      <c r="O11" s="16" t="s">
        <v>13</v>
      </c>
      <c r="P11" s="16" t="s">
        <v>29</v>
      </c>
    </row>
    <row r="12" spans="1:16" ht="15.75" customHeight="1" x14ac:dyDescent="0.25">
      <c r="A12" s="11">
        <v>7.06</v>
      </c>
      <c r="B12" s="2">
        <v>23.3</v>
      </c>
      <c r="C12" s="12">
        <v>0.46</v>
      </c>
      <c r="D12" s="2">
        <v>23</v>
      </c>
      <c r="E12" s="2" t="s">
        <v>14</v>
      </c>
      <c r="F12" s="2" t="s">
        <v>30</v>
      </c>
      <c r="G12" s="4"/>
      <c r="H12" s="13">
        <v>69</v>
      </c>
      <c r="I12" s="14" t="s">
        <v>23</v>
      </c>
      <c r="J12" s="15">
        <v>4.7</v>
      </c>
      <c r="K12" s="13">
        <v>129</v>
      </c>
      <c r="L12" s="17" t="s">
        <v>28</v>
      </c>
      <c r="M12" s="18">
        <v>5.3</v>
      </c>
      <c r="O12" s="16" t="s">
        <v>22</v>
      </c>
      <c r="P12" s="16" t="s">
        <v>31</v>
      </c>
    </row>
    <row r="13" spans="1:16" ht="15.75" customHeight="1" x14ac:dyDescent="0.25">
      <c r="A13" s="2" t="s">
        <v>32</v>
      </c>
      <c r="B13" s="2">
        <v>23.5</v>
      </c>
      <c r="C13" s="12">
        <v>0.45</v>
      </c>
      <c r="D13" s="2">
        <v>25</v>
      </c>
      <c r="E13" s="2" t="s">
        <v>17</v>
      </c>
      <c r="F13" s="2" t="s">
        <v>33</v>
      </c>
      <c r="G13" s="4"/>
      <c r="H13" s="19">
        <v>70</v>
      </c>
      <c r="I13" s="20" t="s">
        <v>23</v>
      </c>
      <c r="J13" s="21">
        <v>5.0999999999999996</v>
      </c>
      <c r="K13" s="19">
        <v>17</v>
      </c>
      <c r="L13" s="22" t="s">
        <v>28</v>
      </c>
      <c r="M13" s="23">
        <v>5</v>
      </c>
      <c r="O13" s="16" t="s">
        <v>28</v>
      </c>
      <c r="P13" s="16" t="s">
        <v>34</v>
      </c>
    </row>
    <row r="14" spans="1:16" ht="15.75" customHeight="1" x14ac:dyDescent="0.25"/>
    <row r="15" spans="1:16" ht="15.75" customHeight="1" x14ac:dyDescent="0.25"/>
    <row r="16" spans="1:16" ht="15.75" customHeight="1" x14ac:dyDescent="0.25">
      <c r="A16" s="16" t="s">
        <v>35</v>
      </c>
    </row>
    <row r="17" spans="1:4" ht="15.75" customHeight="1" x14ac:dyDescent="0.25">
      <c r="A17" s="16" t="s">
        <v>36</v>
      </c>
    </row>
    <row r="18" spans="1:4" ht="15.75" customHeight="1" x14ac:dyDescent="0.25">
      <c r="A18" s="16" t="s">
        <v>37</v>
      </c>
    </row>
    <row r="19" spans="1:4" ht="15.75" customHeight="1" x14ac:dyDescent="0.25">
      <c r="A19" s="16" t="s">
        <v>38</v>
      </c>
    </row>
    <row r="20" spans="1:4" ht="15.75" customHeight="1" x14ac:dyDescent="0.25">
      <c r="A20" s="16" t="s">
        <v>39</v>
      </c>
      <c r="C20" s="16" t="s">
        <v>40</v>
      </c>
    </row>
    <row r="21" spans="1:4" ht="15.75" customHeight="1" x14ac:dyDescent="0.25"/>
    <row r="22" spans="1:4" ht="15.75" customHeight="1" x14ac:dyDescent="0.25">
      <c r="A22" s="16" t="s">
        <v>41</v>
      </c>
    </row>
    <row r="23" spans="1:4" ht="15.75" customHeight="1" x14ac:dyDescent="0.25">
      <c r="A23" s="16" t="s">
        <v>42</v>
      </c>
    </row>
    <row r="24" spans="1:4" ht="15.75" customHeight="1" x14ac:dyDescent="0.25">
      <c r="A24" s="16" t="s">
        <v>43</v>
      </c>
    </row>
    <row r="25" spans="1:4" ht="15.75" customHeight="1" x14ac:dyDescent="0.25">
      <c r="A25" s="16" t="s">
        <v>44</v>
      </c>
    </row>
    <row r="26" spans="1:4" ht="15.75" customHeight="1" x14ac:dyDescent="0.25"/>
    <row r="27" spans="1:4" ht="15.75" customHeight="1" x14ac:dyDescent="0.25">
      <c r="A27" s="16" t="s">
        <v>45</v>
      </c>
    </row>
    <row r="28" spans="1:4" ht="15.75" customHeight="1" x14ac:dyDescent="0.25"/>
    <row r="29" spans="1:4" ht="15.75" customHeight="1" x14ac:dyDescent="0.25">
      <c r="A29" s="24" t="s">
        <v>46</v>
      </c>
      <c r="B29" s="25" t="s">
        <v>47</v>
      </c>
      <c r="C29" s="25" t="s">
        <v>48</v>
      </c>
      <c r="D29" s="26" t="s">
        <v>49</v>
      </c>
    </row>
    <row r="30" spans="1:4" ht="15.75" customHeight="1" x14ac:dyDescent="0.25">
      <c r="A30" s="27">
        <v>69</v>
      </c>
      <c r="B30" s="28">
        <v>4.7</v>
      </c>
      <c r="C30" s="28">
        <v>0.14729999999999999</v>
      </c>
      <c r="D30" s="29">
        <f t="shared" ref="D30:D31" si="0">C30/B30*100</f>
        <v>3.1340425531914891</v>
      </c>
    </row>
    <row r="31" spans="1:4" ht="15.75" customHeight="1" x14ac:dyDescent="0.25">
      <c r="A31" s="19">
        <v>17</v>
      </c>
      <c r="B31" s="30">
        <v>5</v>
      </c>
      <c r="C31" s="30">
        <v>9.9699999999999997E-2</v>
      </c>
      <c r="D31" s="29">
        <f t="shared" si="0"/>
        <v>1.994</v>
      </c>
    </row>
    <row r="32" spans="1:4" ht="15.75" customHeight="1" x14ac:dyDescent="0.25"/>
    <row r="33" spans="1:9" ht="15.75" customHeight="1" x14ac:dyDescent="0.25"/>
    <row r="34" spans="1:9" ht="15.75" customHeight="1" x14ac:dyDescent="0.25">
      <c r="A34" s="16" t="s">
        <v>50</v>
      </c>
    </row>
    <row r="35" spans="1:9" ht="15.75" customHeight="1" x14ac:dyDescent="0.25">
      <c r="A35" s="16" t="s">
        <v>51</v>
      </c>
    </row>
    <row r="36" spans="1:9" ht="15.75" customHeight="1" x14ac:dyDescent="0.25">
      <c r="A36" s="16" t="s">
        <v>52</v>
      </c>
    </row>
    <row r="37" spans="1:9" ht="15.75" customHeight="1" x14ac:dyDescent="0.25"/>
    <row r="38" spans="1:9" ht="15.75" customHeight="1" x14ac:dyDescent="0.25"/>
    <row r="39" spans="1:9" ht="15.75" customHeight="1" x14ac:dyDescent="0.25">
      <c r="A39" s="31" t="s">
        <v>53</v>
      </c>
    </row>
    <row r="40" spans="1:9" ht="15.75" customHeight="1" x14ac:dyDescent="0.25">
      <c r="A40" s="32" t="s">
        <v>54</v>
      </c>
      <c r="B40" s="33">
        <v>29.03</v>
      </c>
      <c r="C40" s="34">
        <v>5.04</v>
      </c>
      <c r="D40" s="34">
        <v>12.04</v>
      </c>
      <c r="E40" s="34">
        <v>19.04</v>
      </c>
      <c r="F40" s="34">
        <v>26.04</v>
      </c>
      <c r="G40" s="34">
        <v>10.050000000000001</v>
      </c>
      <c r="H40" s="34">
        <v>24.05</v>
      </c>
      <c r="I40" s="35">
        <v>7.06</v>
      </c>
    </row>
    <row r="41" spans="1:9" ht="15.75" customHeight="1" x14ac:dyDescent="0.25">
      <c r="A41" s="36" t="s">
        <v>55</v>
      </c>
      <c r="B41" s="37">
        <v>74.099999999999994</v>
      </c>
      <c r="C41" s="38">
        <v>75.33</v>
      </c>
      <c r="D41" s="38">
        <v>74.45</v>
      </c>
      <c r="E41" s="38">
        <v>70.540000000000006</v>
      </c>
      <c r="F41" s="38">
        <v>71.099999999999994</v>
      </c>
      <c r="G41" s="38">
        <v>71.010000000000005</v>
      </c>
      <c r="H41" s="38">
        <v>74.06</v>
      </c>
      <c r="I41" s="39">
        <v>71.849999999999994</v>
      </c>
    </row>
    <row r="42" spans="1:9" ht="15.75" customHeight="1" x14ac:dyDescent="0.25">
      <c r="A42" s="40" t="s">
        <v>56</v>
      </c>
      <c r="B42" s="41">
        <v>75.540000000000006</v>
      </c>
      <c r="C42" s="42">
        <v>74.83</v>
      </c>
      <c r="D42" s="42">
        <v>71.55</v>
      </c>
      <c r="E42" s="42">
        <v>73.599999999999994</v>
      </c>
      <c r="F42" s="42">
        <v>75.53</v>
      </c>
      <c r="G42" s="42">
        <v>73.400000000000006</v>
      </c>
      <c r="H42" s="42">
        <v>73.569999999999993</v>
      </c>
      <c r="I42" s="43">
        <v>72.22</v>
      </c>
    </row>
    <row r="43" spans="1:9" ht="15.75" customHeight="1" x14ac:dyDescent="0.25">
      <c r="A43" s="44" t="s">
        <v>57</v>
      </c>
      <c r="B43" s="45">
        <v>76.47</v>
      </c>
      <c r="C43" s="46">
        <v>72.25</v>
      </c>
      <c r="D43" s="46">
        <v>69.61</v>
      </c>
      <c r="E43" s="46">
        <v>75.53</v>
      </c>
      <c r="F43" s="46">
        <v>71.37</v>
      </c>
      <c r="G43" s="46">
        <v>73.010000000000005</v>
      </c>
      <c r="H43" s="46">
        <v>72.38</v>
      </c>
      <c r="I43" s="47">
        <v>72.44</v>
      </c>
    </row>
    <row r="44" spans="1:9" ht="15.75" customHeight="1" x14ac:dyDescent="0.25"/>
    <row r="45" spans="1:9" ht="15.75" customHeight="1" x14ac:dyDescent="0.25"/>
    <row r="46" spans="1:9" ht="15.75" customHeight="1" x14ac:dyDescent="0.25">
      <c r="A46" s="16" t="s">
        <v>58</v>
      </c>
    </row>
    <row r="47" spans="1:9" ht="15.75" customHeight="1" x14ac:dyDescent="0.25">
      <c r="A47" s="16" t="s">
        <v>59</v>
      </c>
    </row>
    <row r="48" spans="1:9" ht="15.75" customHeight="1" x14ac:dyDescent="0.25">
      <c r="A48" s="16" t="s">
        <v>60</v>
      </c>
    </row>
    <row r="49" spans="1:1" ht="15.75" customHeight="1" x14ac:dyDescent="0.25">
      <c r="A49" s="16" t="s">
        <v>61</v>
      </c>
    </row>
    <row r="50" spans="1:1" ht="15.75" customHeight="1" x14ac:dyDescent="0.25">
      <c r="A50" s="16" t="s">
        <v>62</v>
      </c>
    </row>
    <row r="51" spans="1:1" ht="15.75" customHeight="1" x14ac:dyDescent="0.25"/>
    <row r="52" spans="1:1" ht="15.75" customHeight="1" x14ac:dyDescent="0.25"/>
    <row r="53" spans="1:1" ht="15.75" customHeight="1" x14ac:dyDescent="0.25"/>
    <row r="54" spans="1:1" ht="15.75" customHeight="1" x14ac:dyDescent="0.25"/>
    <row r="55" spans="1:1" ht="15.75" customHeight="1" x14ac:dyDescent="0.25"/>
    <row r="56" spans="1:1" ht="15.75" customHeight="1" x14ac:dyDescent="0.25"/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H4:I4"/>
    <mergeCell ref="K4:L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"/>
  <sheetViews>
    <sheetView workbookViewId="0"/>
  </sheetViews>
  <sheetFormatPr defaultColWidth="11.25" defaultRowHeight="15" customHeight="1" x14ac:dyDescent="0.25"/>
  <sheetData>
    <row r="1" spans="1:3" x14ac:dyDescent="0.25">
      <c r="A1" s="16" t="s">
        <v>63</v>
      </c>
      <c r="B1" s="16" t="s">
        <v>64</v>
      </c>
      <c r="C1" s="4" t="s">
        <v>65</v>
      </c>
    </row>
    <row r="2" spans="1:3" x14ac:dyDescent="0.25">
      <c r="A2" s="16">
        <v>25</v>
      </c>
      <c r="B2" s="16" t="s">
        <v>66</v>
      </c>
      <c r="C2" s="16">
        <v>0</v>
      </c>
    </row>
    <row r="3" spans="1:3" x14ac:dyDescent="0.25">
      <c r="A3" s="16">
        <v>26</v>
      </c>
      <c r="B3" s="16" t="s">
        <v>66</v>
      </c>
      <c r="C3" s="16">
        <v>0</v>
      </c>
    </row>
    <row r="4" spans="1:3" x14ac:dyDescent="0.25">
      <c r="A4" s="16">
        <v>28</v>
      </c>
      <c r="B4" s="16" t="s">
        <v>66</v>
      </c>
      <c r="C4" s="16">
        <v>0</v>
      </c>
    </row>
    <row r="5" spans="1:3" x14ac:dyDescent="0.25">
      <c r="A5" s="16">
        <v>30</v>
      </c>
      <c r="B5" s="16" t="s">
        <v>67</v>
      </c>
      <c r="C5" s="16">
        <v>0</v>
      </c>
    </row>
    <row r="6" spans="1:3" x14ac:dyDescent="0.25">
      <c r="A6" s="16">
        <v>33</v>
      </c>
      <c r="B6" s="16" t="s">
        <v>67</v>
      </c>
      <c r="C6" s="16">
        <v>0</v>
      </c>
    </row>
    <row r="7" spans="1:3" x14ac:dyDescent="0.25">
      <c r="A7" s="16">
        <v>37</v>
      </c>
      <c r="B7" s="16" t="s">
        <v>67</v>
      </c>
      <c r="C7" s="16">
        <v>0</v>
      </c>
    </row>
    <row r="8" spans="1:3" x14ac:dyDescent="0.25">
      <c r="A8" s="16">
        <v>68</v>
      </c>
      <c r="B8" s="16" t="s">
        <v>68</v>
      </c>
      <c r="C8" s="16">
        <v>0</v>
      </c>
    </row>
    <row r="9" spans="1:3" x14ac:dyDescent="0.25">
      <c r="A9" s="16">
        <v>69</v>
      </c>
      <c r="B9" s="16" t="s">
        <v>68</v>
      </c>
      <c r="C9" s="48">
        <v>3.1340425531914891</v>
      </c>
    </row>
    <row r="10" spans="1:3" x14ac:dyDescent="0.25">
      <c r="A10" s="16">
        <v>70</v>
      </c>
      <c r="B10" s="16" t="s">
        <v>68</v>
      </c>
      <c r="C10" s="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"/>
  <sheetViews>
    <sheetView workbookViewId="0"/>
  </sheetViews>
  <sheetFormatPr defaultColWidth="11.25" defaultRowHeight="15" customHeight="1" x14ac:dyDescent="0.25"/>
  <sheetData>
    <row r="1" spans="1:11" x14ac:dyDescent="0.25">
      <c r="A1" s="49" t="s">
        <v>63</v>
      </c>
      <c r="B1" s="49" t="s">
        <v>64</v>
      </c>
      <c r="C1" s="50">
        <v>29.03</v>
      </c>
      <c r="D1" s="50">
        <v>5.04</v>
      </c>
      <c r="E1" s="50">
        <v>12.04</v>
      </c>
      <c r="F1" s="50">
        <v>19.04</v>
      </c>
      <c r="G1" s="50">
        <v>26.04</v>
      </c>
      <c r="H1" s="50">
        <v>10.050000000000001</v>
      </c>
      <c r="I1" s="50">
        <v>24.05</v>
      </c>
      <c r="J1" s="50">
        <v>7.06</v>
      </c>
      <c r="K1" s="51">
        <v>46194</v>
      </c>
    </row>
    <row r="2" spans="1:11" x14ac:dyDescent="0.25">
      <c r="A2" s="49">
        <v>25</v>
      </c>
      <c r="B2" s="52" t="s">
        <v>66</v>
      </c>
      <c r="C2" s="53">
        <v>5</v>
      </c>
      <c r="D2" s="54">
        <v>4</v>
      </c>
      <c r="E2" s="54">
        <v>4</v>
      </c>
      <c r="F2" s="54">
        <v>3</v>
      </c>
      <c r="G2" s="54">
        <v>2</v>
      </c>
      <c r="H2" s="54">
        <v>2</v>
      </c>
      <c r="I2" s="54">
        <v>0</v>
      </c>
      <c r="J2" s="54">
        <v>0</v>
      </c>
      <c r="K2" s="54">
        <v>0</v>
      </c>
    </row>
    <row r="3" spans="1:11" x14ac:dyDescent="0.25">
      <c r="A3" s="49">
        <v>26</v>
      </c>
      <c r="B3" s="52" t="s">
        <v>66</v>
      </c>
      <c r="C3" s="55">
        <v>5</v>
      </c>
      <c r="D3" s="16">
        <v>4</v>
      </c>
      <c r="E3" s="16">
        <v>4</v>
      </c>
      <c r="F3" s="16">
        <v>3</v>
      </c>
      <c r="G3" s="16">
        <v>2</v>
      </c>
      <c r="H3" s="16">
        <v>2</v>
      </c>
      <c r="I3" s="16">
        <v>0</v>
      </c>
      <c r="J3" s="16">
        <v>0</v>
      </c>
      <c r="K3" s="16">
        <v>0</v>
      </c>
    </row>
    <row r="4" spans="1:11" x14ac:dyDescent="0.25">
      <c r="A4" s="49">
        <v>28</v>
      </c>
      <c r="B4" s="52" t="s">
        <v>66</v>
      </c>
      <c r="C4" s="55">
        <v>5</v>
      </c>
      <c r="D4" s="16">
        <v>4</v>
      </c>
      <c r="E4" s="16">
        <v>4</v>
      </c>
      <c r="F4" s="16">
        <v>3</v>
      </c>
      <c r="G4" s="16">
        <v>2</v>
      </c>
      <c r="H4" s="16">
        <v>0</v>
      </c>
      <c r="I4" s="16">
        <v>0</v>
      </c>
      <c r="J4" s="16">
        <v>0</v>
      </c>
      <c r="K4" s="16">
        <v>0</v>
      </c>
    </row>
    <row r="5" spans="1:11" x14ac:dyDescent="0.25">
      <c r="A5" s="49">
        <v>30</v>
      </c>
      <c r="B5" s="52" t="s">
        <v>67</v>
      </c>
      <c r="C5" s="55">
        <v>5</v>
      </c>
      <c r="D5" s="16">
        <v>4</v>
      </c>
      <c r="E5" s="16">
        <v>4</v>
      </c>
      <c r="F5" s="16">
        <v>3</v>
      </c>
      <c r="G5" s="16">
        <v>2</v>
      </c>
      <c r="H5" s="16">
        <v>2</v>
      </c>
      <c r="I5" s="16">
        <v>0</v>
      </c>
      <c r="J5" s="16">
        <v>0</v>
      </c>
      <c r="K5" s="16">
        <v>0</v>
      </c>
    </row>
    <row r="6" spans="1:11" x14ac:dyDescent="0.25">
      <c r="A6" s="49">
        <v>33</v>
      </c>
      <c r="B6" s="52" t="s">
        <v>67</v>
      </c>
      <c r="C6" s="55">
        <v>5</v>
      </c>
      <c r="D6" s="16">
        <v>4</v>
      </c>
      <c r="E6" s="16">
        <v>4</v>
      </c>
      <c r="F6" s="16">
        <v>3</v>
      </c>
      <c r="G6" s="16">
        <v>2</v>
      </c>
      <c r="H6" s="16">
        <v>2</v>
      </c>
      <c r="I6" s="16">
        <v>0</v>
      </c>
      <c r="J6" s="16">
        <v>0</v>
      </c>
      <c r="K6" s="16">
        <v>0</v>
      </c>
    </row>
    <row r="7" spans="1:11" x14ac:dyDescent="0.25">
      <c r="A7" s="49">
        <v>37</v>
      </c>
      <c r="B7" s="52" t="s">
        <v>67</v>
      </c>
      <c r="C7" s="55">
        <v>5</v>
      </c>
      <c r="D7" s="16">
        <v>4</v>
      </c>
      <c r="E7" s="16">
        <v>4</v>
      </c>
      <c r="F7" s="16">
        <v>3</v>
      </c>
      <c r="G7" s="16">
        <v>2</v>
      </c>
      <c r="H7" s="16">
        <v>2</v>
      </c>
      <c r="I7" s="16">
        <v>0</v>
      </c>
      <c r="J7" s="16">
        <v>0</v>
      </c>
      <c r="K7" s="16">
        <v>0</v>
      </c>
    </row>
    <row r="8" spans="1:11" x14ac:dyDescent="0.25">
      <c r="A8" s="49">
        <v>68</v>
      </c>
      <c r="B8" s="52" t="s">
        <v>68</v>
      </c>
      <c r="C8" s="55">
        <v>5</v>
      </c>
      <c r="D8" s="16">
        <v>4</v>
      </c>
      <c r="E8" s="16">
        <v>4</v>
      </c>
      <c r="F8" s="16">
        <v>3</v>
      </c>
      <c r="G8" s="16">
        <v>3</v>
      </c>
      <c r="H8" s="16">
        <v>3</v>
      </c>
      <c r="I8" s="16">
        <v>0</v>
      </c>
      <c r="J8" s="16">
        <v>0</v>
      </c>
      <c r="K8" s="16">
        <v>0</v>
      </c>
    </row>
    <row r="9" spans="1:11" x14ac:dyDescent="0.25">
      <c r="A9" s="49">
        <v>69</v>
      </c>
      <c r="B9" s="52" t="s">
        <v>68</v>
      </c>
      <c r="C9" s="55">
        <v>5</v>
      </c>
      <c r="D9" s="16">
        <v>4</v>
      </c>
      <c r="E9" s="16">
        <v>4</v>
      </c>
      <c r="F9" s="16">
        <v>3</v>
      </c>
      <c r="G9" s="16">
        <v>3</v>
      </c>
      <c r="H9" s="16">
        <v>3</v>
      </c>
      <c r="I9" s="16">
        <v>2</v>
      </c>
      <c r="J9" s="16">
        <v>2</v>
      </c>
      <c r="K9" s="16">
        <v>1</v>
      </c>
    </row>
    <row r="10" spans="1:11" x14ac:dyDescent="0.25">
      <c r="A10" s="49">
        <v>70</v>
      </c>
      <c r="B10" s="52" t="s">
        <v>68</v>
      </c>
      <c r="C10" s="55">
        <v>5</v>
      </c>
      <c r="D10" s="16">
        <v>4</v>
      </c>
      <c r="E10" s="16">
        <v>4</v>
      </c>
      <c r="F10" s="16">
        <v>3</v>
      </c>
      <c r="G10" s="16">
        <v>3</v>
      </c>
      <c r="H10" s="16">
        <v>3</v>
      </c>
      <c r="I10" s="16">
        <v>2</v>
      </c>
      <c r="J10" s="16">
        <v>2</v>
      </c>
      <c r="K10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82"/>
  <sheetViews>
    <sheetView tabSelected="1" workbookViewId="0">
      <selection activeCell="H16" sqref="H16"/>
    </sheetView>
  </sheetViews>
  <sheetFormatPr defaultColWidth="11.25" defaultRowHeight="15" customHeight="1" x14ac:dyDescent="0.25"/>
  <sheetData>
    <row r="1" spans="1:4" x14ac:dyDescent="0.25">
      <c r="A1" s="16" t="s">
        <v>63</v>
      </c>
      <c r="B1" s="16" t="s">
        <v>64</v>
      </c>
      <c r="C1" s="16" t="s">
        <v>69</v>
      </c>
      <c r="D1" s="16" t="s">
        <v>70</v>
      </c>
    </row>
    <row r="2" spans="1:4" x14ac:dyDescent="0.25">
      <c r="A2" s="16" t="s">
        <v>71</v>
      </c>
      <c r="B2" s="16" t="s">
        <v>66</v>
      </c>
      <c r="C2" s="56">
        <v>45014</v>
      </c>
      <c r="D2" s="16">
        <v>5</v>
      </c>
    </row>
    <row r="3" spans="1:4" x14ac:dyDescent="0.25">
      <c r="A3" s="16" t="s">
        <v>72</v>
      </c>
      <c r="B3" s="16" t="s">
        <v>66</v>
      </c>
      <c r="C3" s="56">
        <v>45014</v>
      </c>
      <c r="D3" s="16">
        <v>5</v>
      </c>
    </row>
    <row r="4" spans="1:4" x14ac:dyDescent="0.25">
      <c r="A4" s="16" t="s">
        <v>73</v>
      </c>
      <c r="B4" s="16" t="s">
        <v>66</v>
      </c>
      <c r="C4" s="56">
        <v>45014</v>
      </c>
      <c r="D4" s="16">
        <v>5</v>
      </c>
    </row>
    <row r="5" spans="1:4" x14ac:dyDescent="0.25">
      <c r="A5" s="16" t="s">
        <v>74</v>
      </c>
      <c r="B5" s="16" t="s">
        <v>67</v>
      </c>
      <c r="C5" s="56">
        <v>45014</v>
      </c>
      <c r="D5" s="16">
        <v>5</v>
      </c>
    </row>
    <row r="6" spans="1:4" x14ac:dyDescent="0.25">
      <c r="A6" s="16" t="s">
        <v>75</v>
      </c>
      <c r="B6" s="16" t="s">
        <v>67</v>
      </c>
      <c r="C6" s="56">
        <v>45014</v>
      </c>
      <c r="D6" s="16">
        <v>5</v>
      </c>
    </row>
    <row r="7" spans="1:4" x14ac:dyDescent="0.25">
      <c r="A7" s="16" t="s">
        <v>76</v>
      </c>
      <c r="B7" s="16" t="s">
        <v>67</v>
      </c>
      <c r="C7" s="56">
        <v>45014</v>
      </c>
      <c r="D7" s="16">
        <v>5</v>
      </c>
    </row>
    <row r="8" spans="1:4" x14ac:dyDescent="0.25">
      <c r="A8" s="16" t="s">
        <v>77</v>
      </c>
      <c r="B8" s="16" t="s">
        <v>68</v>
      </c>
      <c r="C8" s="56">
        <v>45014</v>
      </c>
      <c r="D8" s="16">
        <v>5</v>
      </c>
    </row>
    <row r="9" spans="1:4" x14ac:dyDescent="0.25">
      <c r="A9" s="16" t="s">
        <v>78</v>
      </c>
      <c r="B9" s="16" t="s">
        <v>68</v>
      </c>
      <c r="C9" s="56">
        <v>45014</v>
      </c>
      <c r="D9" s="16">
        <v>5</v>
      </c>
    </row>
    <row r="10" spans="1:4" x14ac:dyDescent="0.25">
      <c r="A10" s="16" t="s">
        <v>79</v>
      </c>
      <c r="B10" s="16" t="s">
        <v>68</v>
      </c>
      <c r="C10" s="56">
        <v>45014</v>
      </c>
      <c r="D10" s="16">
        <v>5</v>
      </c>
    </row>
    <row r="11" spans="1:4" x14ac:dyDescent="0.25">
      <c r="A11" s="16" t="s">
        <v>71</v>
      </c>
      <c r="B11" s="16" t="s">
        <v>66</v>
      </c>
      <c r="C11" s="56">
        <v>45021</v>
      </c>
      <c r="D11" s="16">
        <v>4</v>
      </c>
    </row>
    <row r="12" spans="1:4" x14ac:dyDescent="0.25">
      <c r="A12" s="16" t="s">
        <v>72</v>
      </c>
      <c r="B12" s="16" t="s">
        <v>66</v>
      </c>
      <c r="C12" s="56">
        <v>45021</v>
      </c>
      <c r="D12" s="16">
        <v>4</v>
      </c>
    </row>
    <row r="13" spans="1:4" x14ac:dyDescent="0.25">
      <c r="A13" s="16" t="s">
        <v>73</v>
      </c>
      <c r="B13" s="16" t="s">
        <v>66</v>
      </c>
      <c r="C13" s="56">
        <v>45021</v>
      </c>
      <c r="D13" s="16">
        <v>4</v>
      </c>
    </row>
    <row r="14" spans="1:4" x14ac:dyDescent="0.25">
      <c r="A14" s="16" t="s">
        <v>74</v>
      </c>
      <c r="B14" s="16" t="s">
        <v>67</v>
      </c>
      <c r="C14" s="56">
        <v>45021</v>
      </c>
      <c r="D14" s="16">
        <v>4</v>
      </c>
    </row>
    <row r="15" spans="1:4" x14ac:dyDescent="0.25">
      <c r="A15" s="16" t="s">
        <v>75</v>
      </c>
      <c r="B15" s="16" t="s">
        <v>67</v>
      </c>
      <c r="C15" s="56">
        <v>45021</v>
      </c>
      <c r="D15" s="16">
        <v>4</v>
      </c>
    </row>
    <row r="16" spans="1:4" x14ac:dyDescent="0.25">
      <c r="A16" s="16" t="s">
        <v>76</v>
      </c>
      <c r="B16" s="16" t="s">
        <v>67</v>
      </c>
      <c r="C16" s="56">
        <v>45021</v>
      </c>
      <c r="D16" s="16">
        <v>4</v>
      </c>
    </row>
    <row r="17" spans="1:4" x14ac:dyDescent="0.25">
      <c r="A17" s="16" t="s">
        <v>77</v>
      </c>
      <c r="B17" s="16" t="s">
        <v>68</v>
      </c>
      <c r="C17" s="56">
        <v>45021</v>
      </c>
      <c r="D17" s="16">
        <v>4</v>
      </c>
    </row>
    <row r="18" spans="1:4" x14ac:dyDescent="0.25">
      <c r="A18" s="16" t="s">
        <v>78</v>
      </c>
      <c r="B18" s="16" t="s">
        <v>68</v>
      </c>
      <c r="C18" s="56">
        <v>45021</v>
      </c>
      <c r="D18" s="16">
        <v>4</v>
      </c>
    </row>
    <row r="19" spans="1:4" x14ac:dyDescent="0.25">
      <c r="A19" s="16" t="s">
        <v>79</v>
      </c>
      <c r="B19" s="16" t="s">
        <v>68</v>
      </c>
      <c r="C19" s="56">
        <v>45021</v>
      </c>
      <c r="D19" s="16">
        <v>4</v>
      </c>
    </row>
    <row r="20" spans="1:4" x14ac:dyDescent="0.25">
      <c r="A20" s="16" t="s">
        <v>71</v>
      </c>
      <c r="B20" s="16" t="s">
        <v>66</v>
      </c>
      <c r="C20" s="56">
        <v>45028</v>
      </c>
      <c r="D20" s="16">
        <v>4</v>
      </c>
    </row>
    <row r="21" spans="1:4" x14ac:dyDescent="0.25">
      <c r="A21" s="16" t="s">
        <v>72</v>
      </c>
      <c r="B21" s="16" t="s">
        <v>66</v>
      </c>
      <c r="C21" s="56">
        <v>45028</v>
      </c>
      <c r="D21" s="16">
        <v>4</v>
      </c>
    </row>
    <row r="22" spans="1:4" x14ac:dyDescent="0.25">
      <c r="A22" s="16" t="s">
        <v>73</v>
      </c>
      <c r="B22" s="16" t="s">
        <v>66</v>
      </c>
      <c r="C22" s="56">
        <v>45028</v>
      </c>
      <c r="D22" s="16">
        <v>4</v>
      </c>
    </row>
    <row r="23" spans="1:4" x14ac:dyDescent="0.25">
      <c r="A23" s="16" t="s">
        <v>74</v>
      </c>
      <c r="B23" s="16" t="s">
        <v>67</v>
      </c>
      <c r="C23" s="56">
        <v>45028</v>
      </c>
      <c r="D23" s="16">
        <v>4</v>
      </c>
    </row>
    <row r="24" spans="1:4" x14ac:dyDescent="0.25">
      <c r="A24" s="16" t="s">
        <v>75</v>
      </c>
      <c r="B24" s="16" t="s">
        <v>67</v>
      </c>
      <c r="C24" s="56">
        <v>45028</v>
      </c>
      <c r="D24" s="16">
        <v>4</v>
      </c>
    </row>
    <row r="25" spans="1:4" x14ac:dyDescent="0.25">
      <c r="A25" s="16" t="s">
        <v>76</v>
      </c>
      <c r="B25" s="16" t="s">
        <v>67</v>
      </c>
      <c r="C25" s="56">
        <v>45028</v>
      </c>
      <c r="D25" s="16">
        <v>4</v>
      </c>
    </row>
    <row r="26" spans="1:4" x14ac:dyDescent="0.25">
      <c r="A26" s="16" t="s">
        <v>77</v>
      </c>
      <c r="B26" s="16" t="s">
        <v>68</v>
      </c>
      <c r="C26" s="56">
        <v>45028</v>
      </c>
      <c r="D26" s="16">
        <v>4</v>
      </c>
    </row>
    <row r="27" spans="1:4" x14ac:dyDescent="0.25">
      <c r="A27" s="16" t="s">
        <v>78</v>
      </c>
      <c r="B27" s="16" t="s">
        <v>68</v>
      </c>
      <c r="C27" s="56">
        <v>45028</v>
      </c>
      <c r="D27" s="16">
        <v>4</v>
      </c>
    </row>
    <row r="28" spans="1:4" x14ac:dyDescent="0.25">
      <c r="A28" s="16" t="s">
        <v>79</v>
      </c>
      <c r="B28" s="16" t="s">
        <v>68</v>
      </c>
      <c r="C28" s="56">
        <v>45028</v>
      </c>
      <c r="D28" s="16">
        <v>4</v>
      </c>
    </row>
    <row r="29" spans="1:4" x14ac:dyDescent="0.25">
      <c r="A29" s="16" t="s">
        <v>71</v>
      </c>
      <c r="B29" s="16" t="s">
        <v>66</v>
      </c>
      <c r="C29" s="56">
        <v>45035</v>
      </c>
      <c r="D29" s="16">
        <v>3</v>
      </c>
    </row>
    <row r="30" spans="1:4" x14ac:dyDescent="0.25">
      <c r="A30" s="16" t="s">
        <v>72</v>
      </c>
      <c r="B30" s="16" t="s">
        <v>66</v>
      </c>
      <c r="C30" s="56">
        <v>45035</v>
      </c>
      <c r="D30" s="16">
        <v>3</v>
      </c>
    </row>
    <row r="31" spans="1:4" x14ac:dyDescent="0.25">
      <c r="A31" s="16" t="s">
        <v>73</v>
      </c>
      <c r="B31" s="16" t="s">
        <v>66</v>
      </c>
      <c r="C31" s="56">
        <v>45035</v>
      </c>
      <c r="D31" s="16">
        <v>3</v>
      </c>
    </row>
    <row r="32" spans="1:4" x14ac:dyDescent="0.25">
      <c r="A32" s="16" t="s">
        <v>74</v>
      </c>
      <c r="B32" s="16" t="s">
        <v>67</v>
      </c>
      <c r="C32" s="56">
        <v>45035</v>
      </c>
      <c r="D32" s="16">
        <v>3</v>
      </c>
    </row>
    <row r="33" spans="1:4" x14ac:dyDescent="0.25">
      <c r="A33" s="16" t="s">
        <v>75</v>
      </c>
      <c r="B33" s="16" t="s">
        <v>67</v>
      </c>
      <c r="C33" s="56">
        <v>45035</v>
      </c>
      <c r="D33" s="16">
        <v>3</v>
      </c>
    </row>
    <row r="34" spans="1:4" x14ac:dyDescent="0.25">
      <c r="A34" s="16" t="s">
        <v>76</v>
      </c>
      <c r="B34" s="16" t="s">
        <v>67</v>
      </c>
      <c r="C34" s="56">
        <v>45035</v>
      </c>
      <c r="D34" s="16">
        <v>3</v>
      </c>
    </row>
    <row r="35" spans="1:4" x14ac:dyDescent="0.25">
      <c r="A35" s="16" t="s">
        <v>77</v>
      </c>
      <c r="B35" s="16" t="s">
        <v>68</v>
      </c>
      <c r="C35" s="56">
        <v>45035</v>
      </c>
      <c r="D35" s="16">
        <v>3</v>
      </c>
    </row>
    <row r="36" spans="1:4" x14ac:dyDescent="0.25">
      <c r="A36" s="16" t="s">
        <v>78</v>
      </c>
      <c r="B36" s="16" t="s">
        <v>68</v>
      </c>
      <c r="C36" s="56">
        <v>45035</v>
      </c>
      <c r="D36" s="16">
        <v>3</v>
      </c>
    </row>
    <row r="37" spans="1:4" x14ac:dyDescent="0.25">
      <c r="A37" s="16" t="s">
        <v>79</v>
      </c>
      <c r="B37" s="16" t="s">
        <v>68</v>
      </c>
      <c r="C37" s="56">
        <v>45035</v>
      </c>
      <c r="D37" s="16">
        <v>3</v>
      </c>
    </row>
    <row r="38" spans="1:4" x14ac:dyDescent="0.25">
      <c r="A38" s="16" t="s">
        <v>71</v>
      </c>
      <c r="B38" s="16" t="s">
        <v>66</v>
      </c>
      <c r="C38" s="56">
        <v>45042</v>
      </c>
      <c r="D38" s="16">
        <v>2</v>
      </c>
    </row>
    <row r="39" spans="1:4" x14ac:dyDescent="0.25">
      <c r="A39" s="16" t="s">
        <v>72</v>
      </c>
      <c r="B39" s="16" t="s">
        <v>66</v>
      </c>
      <c r="C39" s="56">
        <v>45042</v>
      </c>
      <c r="D39" s="16">
        <v>2</v>
      </c>
    </row>
    <row r="40" spans="1:4" x14ac:dyDescent="0.25">
      <c r="A40" s="16" t="s">
        <v>73</v>
      </c>
      <c r="B40" s="16" t="s">
        <v>66</v>
      </c>
      <c r="C40" s="56">
        <v>45042</v>
      </c>
      <c r="D40" s="16">
        <v>2</v>
      </c>
    </row>
    <row r="41" spans="1:4" x14ac:dyDescent="0.25">
      <c r="A41" s="16" t="s">
        <v>74</v>
      </c>
      <c r="B41" s="16" t="s">
        <v>67</v>
      </c>
      <c r="C41" s="56">
        <v>45042</v>
      </c>
      <c r="D41" s="16">
        <v>2</v>
      </c>
    </row>
    <row r="42" spans="1:4" x14ac:dyDescent="0.25">
      <c r="A42" s="16" t="s">
        <v>75</v>
      </c>
      <c r="B42" s="16" t="s">
        <v>67</v>
      </c>
      <c r="C42" s="56">
        <v>45042</v>
      </c>
      <c r="D42" s="16">
        <v>2</v>
      </c>
    </row>
    <row r="43" spans="1:4" x14ac:dyDescent="0.25">
      <c r="A43" s="16" t="s">
        <v>76</v>
      </c>
      <c r="B43" s="16" t="s">
        <v>67</v>
      </c>
      <c r="C43" s="56">
        <v>45042</v>
      </c>
      <c r="D43" s="16">
        <v>2</v>
      </c>
    </row>
    <row r="44" spans="1:4" x14ac:dyDescent="0.25">
      <c r="A44" s="16" t="s">
        <v>77</v>
      </c>
      <c r="B44" s="16" t="s">
        <v>68</v>
      </c>
      <c r="C44" s="56">
        <v>45042</v>
      </c>
      <c r="D44" s="16">
        <v>3</v>
      </c>
    </row>
    <row r="45" spans="1:4" x14ac:dyDescent="0.25">
      <c r="A45" s="16" t="s">
        <v>78</v>
      </c>
      <c r="B45" s="16" t="s">
        <v>68</v>
      </c>
      <c r="C45" s="56">
        <v>45042</v>
      </c>
      <c r="D45" s="16">
        <v>3</v>
      </c>
    </row>
    <row r="46" spans="1:4" x14ac:dyDescent="0.25">
      <c r="A46" s="16" t="s">
        <v>79</v>
      </c>
      <c r="B46" s="16" t="s">
        <v>68</v>
      </c>
      <c r="C46" s="56">
        <v>45042</v>
      </c>
      <c r="D46" s="16">
        <v>3</v>
      </c>
    </row>
    <row r="47" spans="1:4" x14ac:dyDescent="0.25">
      <c r="A47" s="16" t="s">
        <v>71</v>
      </c>
      <c r="B47" s="16" t="s">
        <v>66</v>
      </c>
      <c r="C47" s="56">
        <v>45056</v>
      </c>
      <c r="D47" s="16">
        <v>2</v>
      </c>
    </row>
    <row r="48" spans="1:4" x14ac:dyDescent="0.25">
      <c r="A48" s="16" t="s">
        <v>72</v>
      </c>
      <c r="B48" s="16" t="s">
        <v>66</v>
      </c>
      <c r="C48" s="56">
        <v>45056</v>
      </c>
      <c r="D48" s="16">
        <v>2</v>
      </c>
    </row>
    <row r="49" spans="1:4" x14ac:dyDescent="0.25">
      <c r="A49" s="16" t="s">
        <v>73</v>
      </c>
      <c r="B49" s="16" t="s">
        <v>66</v>
      </c>
      <c r="C49" s="56">
        <v>45056</v>
      </c>
      <c r="D49" s="16">
        <v>0</v>
      </c>
    </row>
    <row r="50" spans="1:4" x14ac:dyDescent="0.25">
      <c r="A50" s="16" t="s">
        <v>74</v>
      </c>
      <c r="B50" s="16" t="s">
        <v>67</v>
      </c>
      <c r="C50" s="56">
        <v>45056</v>
      </c>
      <c r="D50" s="16">
        <v>2</v>
      </c>
    </row>
    <row r="51" spans="1:4" x14ac:dyDescent="0.25">
      <c r="A51" s="16" t="s">
        <v>75</v>
      </c>
      <c r="B51" s="16" t="s">
        <v>67</v>
      </c>
      <c r="C51" s="56">
        <v>45056</v>
      </c>
      <c r="D51" s="16">
        <v>2</v>
      </c>
    </row>
    <row r="52" spans="1:4" x14ac:dyDescent="0.25">
      <c r="A52" s="16" t="s">
        <v>76</v>
      </c>
      <c r="B52" s="16" t="s">
        <v>67</v>
      </c>
      <c r="C52" s="56">
        <v>45056</v>
      </c>
      <c r="D52" s="16">
        <v>2</v>
      </c>
    </row>
    <row r="53" spans="1:4" x14ac:dyDescent="0.25">
      <c r="A53" s="16" t="s">
        <v>77</v>
      </c>
      <c r="B53" s="16" t="s">
        <v>68</v>
      </c>
      <c r="C53" s="56">
        <v>45056</v>
      </c>
      <c r="D53" s="16">
        <v>3</v>
      </c>
    </row>
    <row r="54" spans="1:4" x14ac:dyDescent="0.25">
      <c r="A54" s="16" t="s">
        <v>78</v>
      </c>
      <c r="B54" s="16" t="s">
        <v>68</v>
      </c>
      <c r="C54" s="56">
        <v>45056</v>
      </c>
      <c r="D54" s="16">
        <v>3</v>
      </c>
    </row>
    <row r="55" spans="1:4" x14ac:dyDescent="0.25">
      <c r="A55" s="16" t="s">
        <v>79</v>
      </c>
      <c r="B55" s="16" t="s">
        <v>68</v>
      </c>
      <c r="C55" s="56">
        <v>45056</v>
      </c>
      <c r="D55" s="16">
        <v>3</v>
      </c>
    </row>
    <row r="56" spans="1:4" x14ac:dyDescent="0.25">
      <c r="A56" s="16" t="s">
        <v>71</v>
      </c>
      <c r="B56" s="16" t="s">
        <v>66</v>
      </c>
      <c r="C56" s="56">
        <v>45070</v>
      </c>
      <c r="D56" s="16">
        <v>0</v>
      </c>
    </row>
    <row r="57" spans="1:4" x14ac:dyDescent="0.25">
      <c r="A57" s="16" t="s">
        <v>72</v>
      </c>
      <c r="B57" s="16" t="s">
        <v>66</v>
      </c>
      <c r="C57" s="56">
        <v>45070</v>
      </c>
      <c r="D57" s="16">
        <v>0</v>
      </c>
    </row>
    <row r="58" spans="1:4" x14ac:dyDescent="0.25">
      <c r="A58" s="16" t="s">
        <v>73</v>
      </c>
      <c r="B58" s="16" t="s">
        <v>66</v>
      </c>
      <c r="C58" s="56">
        <v>45070</v>
      </c>
      <c r="D58" s="16">
        <v>0</v>
      </c>
    </row>
    <row r="59" spans="1:4" x14ac:dyDescent="0.25">
      <c r="A59" s="16" t="s">
        <v>74</v>
      </c>
      <c r="B59" s="16" t="s">
        <v>67</v>
      </c>
      <c r="C59" s="56">
        <v>45070</v>
      </c>
      <c r="D59" s="16">
        <v>0</v>
      </c>
    </row>
    <row r="60" spans="1:4" x14ac:dyDescent="0.25">
      <c r="A60" s="16" t="s">
        <v>75</v>
      </c>
      <c r="B60" s="16" t="s">
        <v>67</v>
      </c>
      <c r="C60" s="56">
        <v>45070</v>
      </c>
      <c r="D60" s="16">
        <v>0</v>
      </c>
    </row>
    <row r="61" spans="1:4" x14ac:dyDescent="0.25">
      <c r="A61" s="16" t="s">
        <v>76</v>
      </c>
      <c r="B61" s="16" t="s">
        <v>67</v>
      </c>
      <c r="C61" s="56">
        <v>45070</v>
      </c>
      <c r="D61" s="16">
        <v>0</v>
      </c>
    </row>
    <row r="62" spans="1:4" x14ac:dyDescent="0.25">
      <c r="A62" s="16" t="s">
        <v>77</v>
      </c>
      <c r="B62" s="16" t="s">
        <v>68</v>
      </c>
      <c r="C62" s="56">
        <v>45070</v>
      </c>
      <c r="D62" s="16">
        <v>0</v>
      </c>
    </row>
    <row r="63" spans="1:4" x14ac:dyDescent="0.25">
      <c r="A63" s="16" t="s">
        <v>78</v>
      </c>
      <c r="B63" s="16" t="s">
        <v>68</v>
      </c>
      <c r="C63" s="56">
        <v>45070</v>
      </c>
      <c r="D63" s="16">
        <v>2</v>
      </c>
    </row>
    <row r="64" spans="1:4" x14ac:dyDescent="0.25">
      <c r="A64" s="16" t="s">
        <v>79</v>
      </c>
      <c r="B64" s="16" t="s">
        <v>68</v>
      </c>
      <c r="C64" s="56">
        <v>45070</v>
      </c>
      <c r="D64" s="16">
        <v>2</v>
      </c>
    </row>
    <row r="65" spans="1:4" x14ac:dyDescent="0.25">
      <c r="A65" s="16" t="s">
        <v>71</v>
      </c>
      <c r="B65" s="16" t="s">
        <v>66</v>
      </c>
      <c r="C65" s="56">
        <v>45084</v>
      </c>
      <c r="D65" s="16">
        <v>0</v>
      </c>
    </row>
    <row r="66" spans="1:4" x14ac:dyDescent="0.25">
      <c r="A66" s="16" t="s">
        <v>72</v>
      </c>
      <c r="B66" s="16" t="s">
        <v>66</v>
      </c>
      <c r="C66" s="56">
        <v>45084</v>
      </c>
      <c r="D66" s="16">
        <v>0</v>
      </c>
    </row>
    <row r="67" spans="1:4" x14ac:dyDescent="0.25">
      <c r="A67" s="16" t="s">
        <v>73</v>
      </c>
      <c r="B67" s="16" t="s">
        <v>66</v>
      </c>
      <c r="C67" s="56">
        <v>45084</v>
      </c>
      <c r="D67" s="16">
        <v>0</v>
      </c>
    </row>
    <row r="68" spans="1:4" x14ac:dyDescent="0.25">
      <c r="A68" s="16" t="s">
        <v>74</v>
      </c>
      <c r="B68" s="16" t="s">
        <v>67</v>
      </c>
      <c r="C68" s="56">
        <v>45084</v>
      </c>
      <c r="D68" s="16">
        <v>0</v>
      </c>
    </row>
    <row r="69" spans="1:4" x14ac:dyDescent="0.25">
      <c r="A69" s="16" t="s">
        <v>75</v>
      </c>
      <c r="B69" s="16" t="s">
        <v>67</v>
      </c>
      <c r="C69" s="56">
        <v>45084</v>
      </c>
      <c r="D69" s="16">
        <v>0</v>
      </c>
    </row>
    <row r="70" spans="1:4" x14ac:dyDescent="0.25">
      <c r="A70" s="16" t="s">
        <v>76</v>
      </c>
      <c r="B70" s="16" t="s">
        <v>67</v>
      </c>
      <c r="C70" s="56">
        <v>45084</v>
      </c>
      <c r="D70" s="16">
        <v>0</v>
      </c>
    </row>
    <row r="71" spans="1:4" x14ac:dyDescent="0.25">
      <c r="A71" s="16" t="s">
        <v>77</v>
      </c>
      <c r="B71" s="16" t="s">
        <v>68</v>
      </c>
      <c r="C71" s="56">
        <v>45084</v>
      </c>
      <c r="D71" s="16">
        <v>0</v>
      </c>
    </row>
    <row r="72" spans="1:4" x14ac:dyDescent="0.25">
      <c r="A72" s="16" t="s">
        <v>78</v>
      </c>
      <c r="B72" s="16" t="s">
        <v>68</v>
      </c>
      <c r="C72" s="56">
        <v>45084</v>
      </c>
      <c r="D72" s="16">
        <v>2</v>
      </c>
    </row>
    <row r="73" spans="1:4" x14ac:dyDescent="0.25">
      <c r="A73" s="16" t="s">
        <v>79</v>
      </c>
      <c r="B73" s="16" t="s">
        <v>68</v>
      </c>
      <c r="C73" s="56">
        <v>45084</v>
      </c>
      <c r="D73" s="16">
        <v>2</v>
      </c>
    </row>
    <row r="74" spans="1:4" x14ac:dyDescent="0.25">
      <c r="A74" s="16" t="s">
        <v>71</v>
      </c>
      <c r="B74" s="16" t="s">
        <v>66</v>
      </c>
      <c r="C74" s="56">
        <v>45098</v>
      </c>
      <c r="D74" s="16">
        <v>0</v>
      </c>
    </row>
    <row r="75" spans="1:4" x14ac:dyDescent="0.25">
      <c r="A75" s="16" t="s">
        <v>72</v>
      </c>
      <c r="B75" s="16" t="s">
        <v>66</v>
      </c>
      <c r="C75" s="56">
        <v>45098</v>
      </c>
      <c r="D75" s="16">
        <v>0</v>
      </c>
    </row>
    <row r="76" spans="1:4" x14ac:dyDescent="0.25">
      <c r="A76" s="16" t="s">
        <v>73</v>
      </c>
      <c r="B76" s="16" t="s">
        <v>66</v>
      </c>
      <c r="C76" s="56">
        <v>45098</v>
      </c>
      <c r="D76" s="16">
        <v>0</v>
      </c>
    </row>
    <row r="77" spans="1:4" x14ac:dyDescent="0.25">
      <c r="A77" s="16" t="s">
        <v>74</v>
      </c>
      <c r="B77" s="16" t="s">
        <v>67</v>
      </c>
      <c r="C77" s="56">
        <v>45098</v>
      </c>
      <c r="D77" s="16">
        <v>0</v>
      </c>
    </row>
    <row r="78" spans="1:4" x14ac:dyDescent="0.25">
      <c r="A78" s="16" t="s">
        <v>75</v>
      </c>
      <c r="B78" s="16" t="s">
        <v>67</v>
      </c>
      <c r="C78" s="56">
        <v>45098</v>
      </c>
      <c r="D78" s="16">
        <v>0</v>
      </c>
    </row>
    <row r="79" spans="1:4" x14ac:dyDescent="0.25">
      <c r="A79" s="16" t="s">
        <v>76</v>
      </c>
      <c r="B79" s="16" t="s">
        <v>67</v>
      </c>
      <c r="C79" s="56">
        <v>45098</v>
      </c>
      <c r="D79" s="16">
        <v>0</v>
      </c>
    </row>
    <row r="80" spans="1:4" x14ac:dyDescent="0.25">
      <c r="A80" s="16" t="s">
        <v>77</v>
      </c>
      <c r="B80" s="16" t="s">
        <v>68</v>
      </c>
      <c r="C80" s="56">
        <v>45098</v>
      </c>
      <c r="D80" s="16">
        <v>0</v>
      </c>
    </row>
    <row r="81" spans="1:4" x14ac:dyDescent="0.25">
      <c r="A81" s="16" t="s">
        <v>78</v>
      </c>
      <c r="B81" s="16" t="s">
        <v>68</v>
      </c>
      <c r="C81" s="56">
        <v>45098</v>
      </c>
      <c r="D81" s="16">
        <v>1</v>
      </c>
    </row>
    <row r="82" spans="1:4" x14ac:dyDescent="0.25">
      <c r="A82" s="16" t="s">
        <v>79</v>
      </c>
      <c r="B82" s="16" t="s">
        <v>68</v>
      </c>
      <c r="C82" s="56">
        <v>45098</v>
      </c>
      <c r="D82" s="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komposts</vt:lpstr>
      <vt:lpstr>nesadalītā_masa</vt:lpstr>
      <vt:lpstr>Vizuālais_novērtējums</vt:lpstr>
      <vt:lpstr>Vizuālais_statistikai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Gustavs Loris</dc:creator>
  <cp:lastModifiedBy>Mikus Kampuss</cp:lastModifiedBy>
  <dcterms:created xsi:type="dcterms:W3CDTF">2021-11-03T15:56:34Z</dcterms:created>
  <dcterms:modified xsi:type="dcterms:W3CDTF">2026-01-22T11:48:04Z</dcterms:modified>
</cp:coreProperties>
</file>