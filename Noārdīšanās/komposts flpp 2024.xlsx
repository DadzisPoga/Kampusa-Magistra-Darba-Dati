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mposts" sheetId="1" r:id="rId4"/>
    <sheet state="visible" name="pH" sheetId="2" r:id="rId5"/>
    <sheet state="visible" name="Statistikai" sheetId="3" r:id="rId6"/>
    <sheet state="visible" name="Vizuālais_novērtējums" sheetId="4" r:id="rId7"/>
    <sheet state="visible" name="Vizuālais_statistikai" sheetId="5" r:id="rId8"/>
    <sheet state="visible" name="CHNS pirms 12.16.2024" sheetId="6" r:id="rId9"/>
    <sheet state="visible" name="CHNS pēc 03.03.2025" sheetId="7" r:id="rId10"/>
    <sheet state="visible" name="mean_sd" sheetId="8" r:id="rId11"/>
    <sheet state="visible" name="Ieteikumi" sheetId="9" r:id="rId12"/>
  </sheets>
  <definedNames/>
  <calcPr/>
  <extLst>
    <ext uri="GoogleSheetsCustomDataVersion2">
      <go:sheetsCustomData xmlns:go="http://customooxmlschemas.google.com/" r:id="rId13" roundtripDataChecksum="tn+tpHIgYP2tkOzGAE1irIZr5o9RMJhfz/+pELG10k8="/>
    </ext>
  </extLst>
</workbook>
</file>

<file path=xl/sharedStrings.xml><?xml version="1.0" encoding="utf-8"?>
<sst xmlns="http://schemas.openxmlformats.org/spreadsheetml/2006/main" count="805" uniqueCount="159">
  <si>
    <t xml:space="preserve"> S1 0% un S2, S3 ir rez.</t>
  </si>
  <si>
    <t>DATUMS</t>
  </si>
  <si>
    <t>temp. telpā, oC</t>
  </si>
  <si>
    <t>gaisa relat. mitrums, RH %</t>
  </si>
  <si>
    <t>temp. kastē, oC</t>
  </si>
  <si>
    <t>paraugu kārtība kastē</t>
  </si>
  <si>
    <t>komentāri</t>
  </si>
  <si>
    <t>Nr</t>
  </si>
  <si>
    <t>MK paraugi (slīpputekļi/ hito)</t>
  </si>
  <si>
    <t>parauga masa gaisa sausa, g</t>
  </si>
  <si>
    <t>Nr.</t>
  </si>
  <si>
    <t>MK paraugi (salmi/hito)</t>
  </si>
  <si>
    <t>5.11(uzlikšana)</t>
  </si>
  <si>
    <t>K, M, L</t>
  </si>
  <si>
    <t>Visi paraugi veseli</t>
  </si>
  <si>
    <t>Sl1 2%</t>
  </si>
  <si>
    <t>Sa1 0%</t>
  </si>
  <si>
    <t>L, M, K</t>
  </si>
  <si>
    <t>Nelielas sadalīšanās pazīmes - pelējums, bezmugurkaulnieku aktivitāte</t>
  </si>
  <si>
    <t>M. konc. Sl paraugi zaudē formu, pārējie saglabā formu</t>
  </si>
  <si>
    <t>M. konc. Sl paraugiem palikuši kodoi, M. konc. Sa un kontroles zaudē formu, L. konc saglabā formu</t>
  </si>
  <si>
    <t>Sl1 4%</t>
  </si>
  <si>
    <t>Sa 2%</t>
  </si>
  <si>
    <t>M, L, K</t>
  </si>
  <si>
    <t>M. konc. Sl paraugi pilnīgi sadalījušies, M. konc. Sa un kontroles zaudē formu, L. konc saglabā formu</t>
  </si>
  <si>
    <t>L, K, M</t>
  </si>
  <si>
    <t>M. konc. Sa paraugiem palikuši kodoi, kontroles zaudē formu/palikuši kodoli, L. konc saglabā formu</t>
  </si>
  <si>
    <t>M. konc. visi paraugi pilnīgi sadalījušies, kontroles vairums sadalījušis/palikuši kodoli, L. konc zaudē formu</t>
  </si>
  <si>
    <t>Sl1 10%</t>
  </si>
  <si>
    <t>Sa 4%</t>
  </si>
  <si>
    <t>kontroles - visi izņemot 1 sadalījušies, L. konc zaudē formu</t>
  </si>
  <si>
    <t>28.01 (noņemšana)</t>
  </si>
  <si>
    <t>kontroles - visi sadalījušies, L. Konc. - zaudē formu/palikuši kodoli</t>
  </si>
  <si>
    <t>augsnes pH sāk</t>
  </si>
  <si>
    <t>Sl1 15%</t>
  </si>
  <si>
    <t>Sa2</t>
  </si>
  <si>
    <t>pH pēc 18 ned.</t>
  </si>
  <si>
    <t xml:space="preserve">27 paraugi, katrā kastītē pa vienam paraugam </t>
  </si>
  <si>
    <t>Kastītes 3 kārtās komposta kastē. Pie katras pārbaudes un apmaisīšanas kārtu secība mainās- augša, vidus, apakša.</t>
  </si>
  <si>
    <t>Sa3</t>
  </si>
  <si>
    <t>5 cm komposta starp kastīšu kārtām</t>
  </si>
  <si>
    <t>(1) Paraugu izņemšana no kastes un komposta apmaisīšana, un (2) mitruma paraugu noņemšana notiek- pirmās 4 nedēļas- 1x nedēļā, pārējās 8 nedēļas – 1x divās nedēļās.</t>
  </si>
  <si>
    <t>Mitrumu mēra 3 slāņos, kur kastītes:</t>
  </si>
  <si>
    <t>1. - augšējais slānis:... ; 2. -vidējais:.... ;  3. - apakšējais: ....</t>
  </si>
  <si>
    <t>numurus raksta uz kastītēm arī</t>
  </si>
  <si>
    <t>Sa 10 %</t>
  </si>
  <si>
    <t>Kontroles</t>
  </si>
  <si>
    <t>Mazās konc.</t>
  </si>
  <si>
    <t>Lielās konc.</t>
  </si>
  <si>
    <t>K</t>
  </si>
  <si>
    <t>M</t>
  </si>
  <si>
    <t>L</t>
  </si>
  <si>
    <t>Sa 15%</t>
  </si>
  <si>
    <t>pēc testa:</t>
  </si>
  <si>
    <t>* ŽĀVĒŠANA: MK kastes tika žāvēti 2-3 dienas žāvskapī ar ieslēgtu ventilatrou pie 40 oC</t>
  </si>
  <si>
    <t>* SIJĀŠANA: papīra paraugu kastes tika sijātas 10 minūtes, MK kastes 8 minūtes; izmantotie sieti 6,7 mm un 2,0 mm, visiem paraugiem iekārtas svārst. ampl. 60</t>
  </si>
  <si>
    <t>* iekārta - Vibrējošais sietu kratītājs Reisch AS200 (Vācija)</t>
  </si>
  <si>
    <t>Sijāšanas rezultāti:</t>
  </si>
  <si>
    <t>Nepilnīgi sadalītais MK paraugs</t>
  </si>
  <si>
    <t>Sākotnējā masa gaisa sauss, g</t>
  </si>
  <si>
    <t>Nesadalīto gabalu masa g. sausa, g</t>
  </si>
  <si>
    <t>Nesadalītā daļa, %</t>
  </si>
  <si>
    <t xml:space="preserve">Komposts iekārtots  130 l plastmasas kastē ar vāku, izejas mitrums 75%. </t>
  </si>
  <si>
    <t>Kastes apakšā izurbti caurumi, liekā mitruma notecināsanai, ja tāds rastos kompostu laistot. Papildus mitrināšana nebija nepieciešama.</t>
  </si>
  <si>
    <t>katrs MK  paraugs ielikts 0,5 l plastmasas kastītē, kuras apakšā izdurti caurumi.</t>
  </si>
  <si>
    <t>w% kopostam pa slāņiem</t>
  </si>
  <si>
    <t>datums/slānis</t>
  </si>
  <si>
    <t>augša</t>
  </si>
  <si>
    <t xml:space="preserve">vidus </t>
  </si>
  <si>
    <t>apakša</t>
  </si>
  <si>
    <t xml:space="preserve">Kompostēšana notiek pēc LVS EN 14045: 2003 standarta metodes </t>
  </si>
  <si>
    <t xml:space="preserve">laboratorijas apstākļos kontrolētā temperatūras un gaisa mitruma vidē. Tiek izmantots ekoloģiski tīrs, </t>
  </si>
  <si>
    <t xml:space="preserve">trihodermīnu saturošs komposts, kas iegādāts no SIA ‘’Zeltābele,’’ Jaunauce, Latvija. Pārbaudes ilgums </t>
  </si>
  <si>
    <t xml:space="preserve">ir 12 nedēļas, kuru laikā kompostējamie paraugi tiek regulāri pārbaudīti un veikti komposta mitruma </t>
  </si>
  <si>
    <t xml:space="preserve">mērījumi. </t>
  </si>
  <si>
    <t>Ir foto.</t>
  </si>
  <si>
    <t>Sa1, Sa2, Sa3 -kontroles</t>
  </si>
  <si>
    <t>sākas sadalīšanās pēc 3 nedēļām, kad zaudē formu, kodols vēl ir pēc 6-8 n, visi sadalījušies pēc 10 ned,</t>
  </si>
  <si>
    <t>Sl1, Sl2, Sl3-kontroles</t>
  </si>
  <si>
    <t>sākas sadalīšanās pēc 3 nedēļām, kad zaudē formu, pēc 6 ned S1 un S2 ir kodols, S3 sadalās lēnāk, ir forma;  kodols vēl ir S3 pēc 10 n, pēc 12 ned pilnīgi sadalījušies</t>
  </si>
  <si>
    <t>Sa2%</t>
  </si>
  <si>
    <t>sākas sadalīšanās pēc 3 nedēļām, kad zaudē formu, kodols vēl ir pēc 6 n, visi sadalījušies pēc 8 ned, </t>
  </si>
  <si>
    <t>Sa4%</t>
  </si>
  <si>
    <t>zaudē formu pēc 8 ned.; pēc 12 ned nav sadalījušies, palicis vid 74% masas</t>
  </si>
  <si>
    <t>Sl2% un 4%</t>
  </si>
  <si>
    <t>pēc 2 ned zaudē formu; pēc 4 ned pilnībā sadalījušies</t>
  </si>
  <si>
    <t>Sl 10% un 15%</t>
  </si>
  <si>
    <t>pēc 8 ned zaudē formu; pēc 12 ned palicis vid 46% un 50% masas, attiecigi</t>
  </si>
  <si>
    <t>id</t>
  </si>
  <si>
    <t>pH</t>
  </si>
  <si>
    <t>nesadalītā_m%</t>
  </si>
  <si>
    <t>Substrate</t>
  </si>
  <si>
    <t>concentration</t>
  </si>
  <si>
    <t>rel_end_m</t>
  </si>
  <si>
    <t>BSD1</t>
  </si>
  <si>
    <t>WS1</t>
  </si>
  <si>
    <t>WS2</t>
  </si>
  <si>
    <t>WS3</t>
  </si>
  <si>
    <t>substrate</t>
  </si>
  <si>
    <t>date</t>
  </si>
  <si>
    <t>vērtējums</t>
  </si>
  <si>
    <t>Weight</t>
  </si>
  <si>
    <t>N, %</t>
  </si>
  <si>
    <t>C, %</t>
  </si>
  <si>
    <t>H, %</t>
  </si>
  <si>
    <t>O, %</t>
  </si>
  <si>
    <t>S, %</t>
  </si>
  <si>
    <t>C/N</t>
  </si>
  <si>
    <t>N</t>
  </si>
  <si>
    <t>C</t>
  </si>
  <si>
    <t>H</t>
  </si>
  <si>
    <t>O</t>
  </si>
  <si>
    <t>H/C</t>
  </si>
  <si>
    <t>O/C</t>
  </si>
  <si>
    <t>Blank</t>
  </si>
  <si>
    <t>A</t>
  </si>
  <si>
    <t>B</t>
  </si>
  <si>
    <t>eksperiments pirms/pēc</t>
  </si>
  <si>
    <t>avg_n_percent</t>
  </si>
  <si>
    <t>sd_n_percent</t>
  </si>
  <si>
    <t>avg_c_percent</t>
  </si>
  <si>
    <t>sd_c_percent</t>
  </si>
  <si>
    <t>avg_h_percent</t>
  </si>
  <si>
    <t>sd_h_percent</t>
  </si>
  <si>
    <t>avg_o_percent</t>
  </si>
  <si>
    <t>sd_o_percent</t>
  </si>
  <si>
    <t>avg_s_percent</t>
  </si>
  <si>
    <t>sd_s_percent</t>
  </si>
  <si>
    <t>avg_c_n</t>
  </si>
  <si>
    <t>sd_c_n</t>
  </si>
  <si>
    <t>avg_h_c</t>
  </si>
  <si>
    <t>sd_h_c</t>
  </si>
  <si>
    <t>avg_o_c</t>
  </si>
  <si>
    <t>sd_o_c</t>
  </si>
  <si>
    <t>2</t>
  </si>
  <si>
    <t>After experiment</t>
  </si>
  <si>
    <t>Before experiment</t>
  </si>
  <si>
    <t>4</t>
  </si>
  <si>
    <t>10</t>
  </si>
  <si>
    <t>15</t>
  </si>
  <si>
    <t>0</t>
  </si>
  <si>
    <t>avg_ph</t>
  </si>
  <si>
    <t>sd_ph</t>
  </si>
  <si>
    <t>avg_rel_end_m</t>
  </si>
  <si>
    <t>sd_rel_end_m</t>
  </si>
  <si>
    <t>Sa1</t>
  </si>
  <si>
    <t>Sl1</t>
  </si>
  <si>
    <t>Koriģētās vērtības</t>
  </si>
  <si>
    <t xml:space="preserve"> mean n %</t>
  </si>
  <si>
    <t>sd n %</t>
  </si>
  <si>
    <t xml:space="preserve"> mean c %</t>
  </si>
  <si>
    <t>sd c %</t>
  </si>
  <si>
    <t xml:space="preserve"> mean h %</t>
  </si>
  <si>
    <t>sd h %</t>
  </si>
  <si>
    <t xml:space="preserve"> mean c/n</t>
  </si>
  <si>
    <t>sd c/n</t>
  </si>
  <si>
    <t>1) Beigās noteikt arī mitruma saturu katrā kastītē</t>
  </si>
  <si>
    <t>2) Kompostēšanas laikā: Tā vietā, lai ar vārdiem aprakstītu sadalīšanās pakāpi, izveidot vērtējumu skalu ballēs, piemēram, 5 - pilnīgi vesels; 4 - nelielas sadalīšanās pazīmes; 3 - zaudē formu; 2 - palicis tikai kodols; 1 - palikušas tikai drupačas; 0 - pilnīgi sadalījies.</t>
  </si>
  <si>
    <t>3) Ja nosaka elementus, paņemt arī "blank" paraugus no augsnes ārpus kastītēm, vai jāierīko kastes ar tikai augsni (bez MK).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</si>
</sst>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.yyyy"/>
    <numFmt numFmtId="165" formatCode="dd.mm.yyyy"/>
  </numFmts>
  <fonts count="12">
    <font>
      <sz val="12.0"/>
      <color theme="1"/>
      <name val="Calibri"/>
      <scheme val="minor"/>
    </font>
    <font>
      <b/>
      <sz val="12.0"/>
      <color theme="1"/>
      <name val="Calibri"/>
    </font>
    <font>
      <sz val="12.0"/>
      <color theme="1"/>
      <name val="Calibri"/>
    </font>
    <font>
      <color theme="1"/>
      <name val="Calibri"/>
      <scheme val="minor"/>
    </font>
    <font>
      <sz val="12.0"/>
      <color rgb="FFFF0000"/>
      <name val="Calibri"/>
    </font>
    <font>
      <strike/>
      <sz val="12.0"/>
      <color theme="1"/>
      <name val="Calibri"/>
    </font>
    <font>
      <sz val="10.0"/>
      <color theme="1"/>
      <name val="Arial"/>
    </font>
    <font>
      <sz val="12.0"/>
      <color rgb="FF000000"/>
      <name val="Aptos"/>
    </font>
    <font>
      <sz val="12.0"/>
      <color rgb="FF222222"/>
      <name val="Arial"/>
    </font>
    <font/>
    <font>
      <b/>
      <sz val="11.0"/>
      <color theme="1"/>
      <name val="Calibri"/>
    </font>
    <font>
      <sz val="20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7CAAC"/>
        <bgColor rgb="FFF7CAAC"/>
      </patternFill>
    </fill>
    <fill>
      <patternFill patternType="solid">
        <fgColor rgb="FFC5E0B3"/>
        <bgColor rgb="FFC5E0B3"/>
      </patternFill>
    </fill>
    <fill>
      <patternFill patternType="solid">
        <fgColor rgb="FFB4C6E7"/>
        <bgColor rgb="FFB4C6E7"/>
      </patternFill>
    </fill>
    <fill>
      <patternFill patternType="solid">
        <fgColor rgb="FFA8D08D"/>
        <bgColor rgb="FFA8D08D"/>
      </patternFill>
    </fill>
    <fill>
      <patternFill patternType="solid">
        <fgColor rgb="FF9CC2E5"/>
        <bgColor rgb="FF9CC2E5"/>
      </patternFill>
    </fill>
    <fill>
      <patternFill patternType="solid">
        <fgColor rgb="FFFFFFFF"/>
        <bgColor rgb="FFFFFFFF"/>
      </patternFill>
    </fill>
  </fills>
  <borders count="3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/>
      <right/>
      <top/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1" fillId="0" fontId="1" numFmtId="14" xfId="0" applyBorder="1" applyFont="1" applyNumberFormat="1"/>
    <xf borderId="0" fillId="0" fontId="2" numFmtId="0" xfId="0" applyFont="1"/>
    <xf borderId="1" fillId="2" fontId="2" numFmtId="0" xfId="0" applyBorder="1" applyFill="1" applyFont="1"/>
    <xf borderId="1" fillId="3" fontId="2" numFmtId="0" xfId="0" applyBorder="1" applyFill="1" applyFont="1"/>
    <xf borderId="1" fillId="3" fontId="2" numFmtId="0" xfId="0" applyAlignment="1" applyBorder="1" applyFont="1">
      <alignment shrinkToFit="0" wrapText="1"/>
    </xf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Border="1" applyFont="1"/>
    <xf borderId="0" fillId="0" fontId="2" numFmtId="2" xfId="0" applyAlignment="1" applyFont="1" applyNumberFormat="1">
      <alignment horizontal="left"/>
    </xf>
    <xf borderId="2" fillId="3" fontId="2" numFmtId="9" xfId="0" applyBorder="1" applyFont="1" applyNumberFormat="1"/>
    <xf borderId="2" fillId="3" fontId="2" numFmtId="0" xfId="0" applyBorder="1" applyFont="1"/>
    <xf borderId="1" fillId="4" fontId="2" numFmtId="0" xfId="0" applyBorder="1" applyFill="1" applyFont="1"/>
    <xf borderId="1" fillId="5" fontId="2" numFmtId="0" xfId="0" applyBorder="1" applyFill="1" applyFont="1"/>
    <xf borderId="1" fillId="3" fontId="2" numFmtId="9" xfId="0" applyBorder="1" applyFont="1" applyNumberFormat="1"/>
    <xf borderId="0" fillId="0" fontId="2" numFmtId="0" xfId="0" applyAlignment="1" applyFont="1">
      <alignment horizontal="left"/>
    </xf>
    <xf borderId="1" fillId="6" fontId="2" numFmtId="0" xfId="0" applyBorder="1" applyFill="1" applyFont="1"/>
    <xf borderId="0" fillId="0" fontId="3" numFmtId="0" xfId="0" applyFont="1"/>
    <xf borderId="1" fillId="0" fontId="2" numFmtId="2" xfId="0" applyBorder="1" applyFont="1" applyNumberFormat="1"/>
    <xf borderId="0" fillId="0" fontId="4" numFmtId="2" xfId="0" applyFont="1" applyNumberFormat="1"/>
    <xf borderId="0" fillId="0" fontId="4" numFmtId="0" xfId="0" applyFont="1"/>
    <xf borderId="3" fillId="0" fontId="2" numFmtId="0" xfId="0" applyBorder="1" applyFont="1"/>
    <xf borderId="4" fillId="0" fontId="5" numFmtId="0" xfId="0" applyBorder="1" applyFont="1"/>
    <xf borderId="5" fillId="0" fontId="2" numFmtId="0" xfId="0" applyBorder="1" applyFont="1"/>
    <xf borderId="6" fillId="0" fontId="2" numFmtId="0" xfId="0" applyBorder="1" applyFont="1"/>
    <xf borderId="0" fillId="0" fontId="5" numFmtId="0" xfId="0" applyFont="1"/>
    <xf borderId="7" fillId="0" fontId="2" numFmtId="0" xfId="0" applyBorder="1" applyFont="1"/>
    <xf borderId="8" fillId="7" fontId="2" numFmtId="0" xfId="0" applyBorder="1" applyFill="1" applyFont="1"/>
    <xf borderId="8" fillId="4" fontId="2" numFmtId="0" xfId="0" applyBorder="1" applyFont="1"/>
    <xf borderId="8" fillId="8" fontId="2" numFmtId="0" xfId="0" applyBorder="1" applyFill="1" applyFont="1"/>
    <xf borderId="9" fillId="0" fontId="2" numFmtId="0" xfId="0" applyBorder="1" applyFont="1"/>
    <xf borderId="10" fillId="0" fontId="5" numFmtId="0" xfId="0" applyBorder="1" applyFont="1"/>
    <xf borderId="11" fillId="0" fontId="2" numFmtId="0" xfId="0" applyBorder="1" applyFont="1"/>
    <xf borderId="12" fillId="3" fontId="2" numFmtId="0" xfId="0" applyAlignment="1" applyBorder="1" applyFont="1">
      <alignment shrinkToFit="0" wrapText="1"/>
    </xf>
    <xf borderId="13" fillId="3" fontId="2" numFmtId="0" xfId="0" applyAlignment="1" applyBorder="1" applyFont="1">
      <alignment shrinkToFit="0" wrapText="1"/>
    </xf>
    <xf borderId="14" fillId="3" fontId="2" numFmtId="0" xfId="0" applyAlignment="1" applyBorder="1" applyFont="1">
      <alignment shrinkToFit="0" wrapText="1"/>
    </xf>
    <xf borderId="15" fillId="3" fontId="2" numFmtId="0" xfId="0" applyBorder="1" applyFont="1"/>
    <xf borderId="16" fillId="3" fontId="2" numFmtId="2" xfId="0" applyBorder="1" applyFont="1" applyNumberFormat="1"/>
    <xf borderId="17" fillId="3" fontId="2" numFmtId="0" xfId="0" applyBorder="1" applyFont="1"/>
    <xf borderId="18" fillId="3" fontId="2" numFmtId="0" xfId="0" applyBorder="1" applyFont="1"/>
    <xf borderId="0" fillId="0" fontId="1" numFmtId="0" xfId="0" applyFont="1"/>
    <xf borderId="19" fillId="3" fontId="1" numFmtId="0" xfId="0" applyBorder="1" applyFont="1"/>
    <xf borderId="12" fillId="3" fontId="1" numFmtId="0" xfId="0" applyBorder="1" applyFont="1"/>
    <xf borderId="20" fillId="3" fontId="1" numFmtId="0" xfId="0" applyBorder="1" applyFont="1"/>
    <xf borderId="21" fillId="3" fontId="1" numFmtId="0" xfId="0" applyBorder="1" applyFont="1"/>
    <xf borderId="22" fillId="3" fontId="1" numFmtId="0" xfId="0" applyBorder="1" applyFont="1"/>
    <xf borderId="1" fillId="3" fontId="6" numFmtId="2" xfId="0" applyAlignment="1" applyBorder="1" applyFont="1" applyNumberFormat="1">
      <alignment horizontal="right" shrinkToFit="0" wrapText="1"/>
    </xf>
    <xf borderId="23" fillId="3" fontId="2" numFmtId="2" xfId="0" applyBorder="1" applyFont="1" applyNumberFormat="1"/>
    <xf borderId="2" fillId="3" fontId="2" numFmtId="2" xfId="0" applyBorder="1" applyFont="1" applyNumberFormat="1"/>
    <xf borderId="24" fillId="3" fontId="2" numFmtId="2" xfId="0" applyBorder="1" applyFont="1" applyNumberFormat="1"/>
    <xf borderId="25" fillId="3" fontId="1" numFmtId="0" xfId="0" applyBorder="1" applyFont="1"/>
    <xf borderId="26" fillId="3" fontId="2" numFmtId="2" xfId="0" applyBorder="1" applyFont="1" applyNumberFormat="1"/>
    <xf borderId="1" fillId="3" fontId="2" numFmtId="2" xfId="0" applyBorder="1" applyFont="1" applyNumberFormat="1"/>
    <xf borderId="27" fillId="3" fontId="2" numFmtId="2" xfId="0" applyBorder="1" applyFont="1" applyNumberFormat="1"/>
    <xf borderId="28" fillId="3" fontId="1" numFmtId="0" xfId="0" applyBorder="1" applyFont="1"/>
    <xf borderId="29" fillId="3" fontId="2" numFmtId="2" xfId="0" applyBorder="1" applyFont="1" applyNumberFormat="1"/>
    <xf borderId="18" fillId="3" fontId="2" numFmtId="2" xfId="0" applyBorder="1" applyFont="1" applyNumberFormat="1"/>
    <xf borderId="30" fillId="3" fontId="2" numFmtId="2" xfId="0" applyBorder="1" applyFont="1" applyNumberFormat="1"/>
    <xf borderId="8" fillId="3" fontId="2" numFmtId="0" xfId="0" applyBorder="1" applyFont="1"/>
    <xf borderId="8" fillId="9" fontId="2" numFmtId="0" xfId="0" applyBorder="1" applyFill="1" applyFont="1"/>
    <xf borderId="8" fillId="9" fontId="7" numFmtId="0" xfId="0" applyAlignment="1" applyBorder="1" applyFont="1">
      <alignment vertical="center"/>
    </xf>
    <xf borderId="8" fillId="9" fontId="8" numFmtId="0" xfId="0" applyBorder="1" applyFont="1"/>
    <xf borderId="8" fillId="9" fontId="7" numFmtId="0" xfId="0" applyAlignment="1" applyBorder="1" applyFont="1">
      <alignment shrinkToFit="0" wrapText="1"/>
    </xf>
    <xf borderId="31" fillId="9" fontId="7" numFmtId="0" xfId="0" applyAlignment="1" applyBorder="1" applyFont="1">
      <alignment vertical="center"/>
    </xf>
    <xf borderId="32" fillId="0" fontId="9" numFmtId="0" xfId="0" applyBorder="1" applyFont="1"/>
    <xf borderId="33" fillId="0" fontId="9" numFmtId="0" xfId="0" applyBorder="1" applyFont="1"/>
    <xf borderId="1" fillId="2" fontId="2" numFmtId="2" xfId="0" applyBorder="1" applyFont="1" applyNumberFormat="1"/>
    <xf borderId="8" fillId="2" fontId="2" numFmtId="0" xfId="0" applyBorder="1" applyFont="1"/>
    <xf borderId="8" fillId="2" fontId="2" numFmtId="2" xfId="0" applyBorder="1" applyFont="1" applyNumberFormat="1"/>
    <xf borderId="0" fillId="0" fontId="2" numFmtId="2" xfId="0" applyFont="1" applyNumberFormat="1"/>
    <xf borderId="1" fillId="0" fontId="3" numFmtId="0" xfId="0" applyBorder="1" applyFont="1"/>
    <xf borderId="1" fillId="0" fontId="3" numFmtId="0" xfId="0" applyBorder="1" applyFont="1"/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164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quotePrefix="1" borderId="0" fillId="0" fontId="2" numFmtId="0" xfId="0" applyFont="1"/>
    <xf quotePrefix="1" borderId="0" fillId="0" fontId="2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10" numFmtId="0" xfId="0" applyAlignment="1" applyFont="1">
      <alignment horizontal="center"/>
    </xf>
    <xf borderId="0" fillId="0" fontId="2" numFmtId="2" xfId="0" applyAlignment="1" applyFont="1" applyNumberFormat="1">
      <alignment horizontal="center"/>
    </xf>
    <xf borderId="0" fillId="0" fontId="11" numFmtId="0" xfId="0" applyFont="1"/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9.33"/>
    <col customWidth="1" min="2" max="2" width="21.11"/>
    <col customWidth="1" min="3" max="3" width="14.11"/>
    <col customWidth="1" min="4" max="4" width="11.44"/>
    <col customWidth="1" min="5" max="5" width="16.33"/>
    <col customWidth="1" min="6" max="6" width="90.11"/>
    <col customWidth="1" min="7" max="7" width="16.44"/>
    <col customWidth="1" min="8" max="8" width="9.67"/>
    <col customWidth="1" min="9" max="9" width="9.22"/>
    <col customWidth="1" min="10" max="10" width="18.67"/>
    <col customWidth="1" min="11" max="11" width="5.0"/>
    <col customWidth="1" min="12" max="12" width="16.33"/>
    <col customWidth="1" min="13" max="13" width="19.44"/>
    <col customWidth="1" min="14" max="26" width="11.0"/>
  </cols>
  <sheetData>
    <row r="1" ht="15.75" customHeight="1"/>
    <row r="2" ht="15.75" customHeight="1"/>
    <row r="3" ht="15.75" customHeight="1"/>
    <row r="4" ht="15.75" customHeight="1"/>
    <row r="5" ht="15.75" customHeight="1">
      <c r="A5" s="1">
        <v>45601.0</v>
      </c>
      <c r="I5" s="2" t="s">
        <v>0</v>
      </c>
    </row>
    <row r="6" ht="15.75" customHeight="1">
      <c r="A6" s="3" t="s">
        <v>1</v>
      </c>
      <c r="B6" s="4" t="s">
        <v>2</v>
      </c>
      <c r="C6" s="5" t="s">
        <v>3</v>
      </c>
      <c r="D6" s="5" t="s">
        <v>4</v>
      </c>
      <c r="E6" s="5" t="s">
        <v>5</v>
      </c>
      <c r="F6" s="4" t="s">
        <v>6</v>
      </c>
      <c r="G6" s="2"/>
      <c r="H6" s="6" t="s">
        <v>7</v>
      </c>
      <c r="I6" s="7" t="s">
        <v>8</v>
      </c>
      <c r="J6" s="6" t="s">
        <v>9</v>
      </c>
      <c r="K6" s="8" t="s">
        <v>10</v>
      </c>
      <c r="L6" s="7" t="s">
        <v>11</v>
      </c>
      <c r="M6" s="6" t="s">
        <v>9</v>
      </c>
    </row>
    <row r="7" ht="15.75" customHeight="1">
      <c r="A7" s="9" t="s">
        <v>12</v>
      </c>
      <c r="B7" s="4">
        <v>19.8</v>
      </c>
      <c r="C7" s="10">
        <v>0.77</v>
      </c>
      <c r="D7" s="11">
        <v>18.0</v>
      </c>
      <c r="E7" s="4" t="s">
        <v>13</v>
      </c>
      <c r="F7" s="4" t="s">
        <v>14</v>
      </c>
      <c r="G7" s="2"/>
      <c r="H7" s="8">
        <v>5.0</v>
      </c>
      <c r="I7" s="12" t="s">
        <v>15</v>
      </c>
      <c r="J7" s="8">
        <v>5.3</v>
      </c>
      <c r="K7" s="8">
        <v>385.0</v>
      </c>
      <c r="L7" s="13" t="s">
        <v>16</v>
      </c>
      <c r="M7" s="8">
        <v>3.1</v>
      </c>
    </row>
    <row r="8" ht="15.75" customHeight="1">
      <c r="A8" s="9">
        <v>12.11</v>
      </c>
      <c r="B8" s="4">
        <v>21.9</v>
      </c>
      <c r="C8" s="14">
        <v>0.68</v>
      </c>
      <c r="D8" s="4"/>
      <c r="E8" s="4" t="s">
        <v>17</v>
      </c>
      <c r="F8" s="4" t="s">
        <v>18</v>
      </c>
      <c r="G8" s="2"/>
      <c r="H8" s="8">
        <v>6.0</v>
      </c>
      <c r="I8" s="12" t="s">
        <v>15</v>
      </c>
      <c r="J8" s="8">
        <v>5.3</v>
      </c>
      <c r="K8" s="8">
        <v>390.0</v>
      </c>
      <c r="L8" s="13" t="s">
        <v>16</v>
      </c>
      <c r="M8" s="8">
        <v>3.3</v>
      </c>
    </row>
    <row r="9" ht="15.75" customHeight="1">
      <c r="A9" s="9">
        <v>19.11</v>
      </c>
      <c r="B9" s="4">
        <v>21.9</v>
      </c>
      <c r="C9" s="14">
        <v>0.53</v>
      </c>
      <c r="D9" s="4">
        <v>21.0</v>
      </c>
      <c r="E9" s="4" t="s">
        <v>13</v>
      </c>
      <c r="F9" s="4" t="s">
        <v>19</v>
      </c>
      <c r="G9" s="2"/>
      <c r="H9" s="8">
        <v>7.0</v>
      </c>
      <c r="I9" s="12" t="s">
        <v>15</v>
      </c>
      <c r="J9" s="8">
        <v>5.2</v>
      </c>
      <c r="K9" s="8">
        <v>394.0</v>
      </c>
      <c r="L9" s="13" t="s">
        <v>16</v>
      </c>
      <c r="M9" s="8">
        <v>3.4</v>
      </c>
    </row>
    <row r="10" ht="15.75" customHeight="1">
      <c r="A10" s="15">
        <v>26.11</v>
      </c>
      <c r="B10" s="4">
        <v>21.8</v>
      </c>
      <c r="C10" s="14">
        <v>0.63</v>
      </c>
      <c r="D10" s="4">
        <v>22.0</v>
      </c>
      <c r="E10" s="4" t="s">
        <v>17</v>
      </c>
      <c r="F10" s="4" t="s">
        <v>20</v>
      </c>
      <c r="G10" s="2"/>
      <c r="H10" s="8">
        <v>9.0</v>
      </c>
      <c r="I10" s="12" t="s">
        <v>21</v>
      </c>
      <c r="J10" s="8">
        <v>5.5</v>
      </c>
      <c r="K10" s="8">
        <v>29.0</v>
      </c>
      <c r="L10" s="12" t="s">
        <v>22</v>
      </c>
      <c r="M10" s="8">
        <v>2.3</v>
      </c>
    </row>
    <row r="11" ht="15.75" customHeight="1">
      <c r="A11" s="15">
        <v>3.12</v>
      </c>
      <c r="B11" s="4">
        <v>21.9</v>
      </c>
      <c r="C11" s="14">
        <v>0.5</v>
      </c>
      <c r="D11" s="4">
        <v>21.0</v>
      </c>
      <c r="E11" s="4" t="s">
        <v>23</v>
      </c>
      <c r="F11" s="4" t="s">
        <v>24</v>
      </c>
      <c r="G11" s="2"/>
      <c r="H11" s="8">
        <v>10.0</v>
      </c>
      <c r="I11" s="12" t="s">
        <v>21</v>
      </c>
      <c r="J11" s="8">
        <v>5.6</v>
      </c>
      <c r="K11" s="8">
        <v>31.0</v>
      </c>
      <c r="L11" s="12" t="s">
        <v>22</v>
      </c>
      <c r="M11" s="8">
        <v>2.4</v>
      </c>
    </row>
    <row r="12" ht="15.75" customHeight="1">
      <c r="A12" s="15">
        <v>17.12</v>
      </c>
      <c r="B12" s="4">
        <v>21.3</v>
      </c>
      <c r="C12" s="14">
        <v>0.51</v>
      </c>
      <c r="D12" s="4">
        <v>22.0</v>
      </c>
      <c r="E12" s="4" t="s">
        <v>25</v>
      </c>
      <c r="F12" s="4" t="s">
        <v>26</v>
      </c>
      <c r="G12" s="2"/>
      <c r="H12" s="8">
        <v>11.0</v>
      </c>
      <c r="I12" s="12" t="s">
        <v>21</v>
      </c>
      <c r="J12" s="8">
        <v>5.5</v>
      </c>
      <c r="K12" s="8">
        <v>34.0</v>
      </c>
      <c r="L12" s="12" t="s">
        <v>22</v>
      </c>
      <c r="M12" s="8">
        <v>2.5</v>
      </c>
    </row>
    <row r="13" ht="15.75" customHeight="1">
      <c r="A13" s="15">
        <v>2.01</v>
      </c>
      <c r="B13" s="4">
        <v>21.3</v>
      </c>
      <c r="C13" s="14">
        <v>0.51</v>
      </c>
      <c r="D13" s="4">
        <v>20.0</v>
      </c>
      <c r="E13" s="4" t="s">
        <v>13</v>
      </c>
      <c r="F13" s="4" t="s">
        <v>27</v>
      </c>
      <c r="G13" s="2"/>
      <c r="H13" s="8">
        <v>13.0</v>
      </c>
      <c r="I13" s="16" t="s">
        <v>28</v>
      </c>
      <c r="J13" s="8">
        <v>5.0</v>
      </c>
      <c r="K13" s="8">
        <v>37.0</v>
      </c>
      <c r="L13" s="16" t="s">
        <v>29</v>
      </c>
      <c r="M13" s="8">
        <v>2.6</v>
      </c>
    </row>
    <row r="14" ht="15.75" customHeight="1">
      <c r="A14" s="15">
        <v>14.01</v>
      </c>
      <c r="B14" s="4">
        <v>21.3</v>
      </c>
      <c r="C14" s="14">
        <v>0.49</v>
      </c>
      <c r="D14" s="4">
        <v>22.0</v>
      </c>
      <c r="E14" s="4" t="s">
        <v>23</v>
      </c>
      <c r="F14" s="4" t="s">
        <v>30</v>
      </c>
      <c r="G14" s="2"/>
      <c r="H14" s="8">
        <v>14.0</v>
      </c>
      <c r="I14" s="16" t="s">
        <v>28</v>
      </c>
      <c r="J14" s="8">
        <v>5.0</v>
      </c>
      <c r="K14" s="8">
        <v>39.0</v>
      </c>
      <c r="L14" s="16" t="s">
        <v>29</v>
      </c>
      <c r="M14" s="8">
        <v>2.8</v>
      </c>
    </row>
    <row r="15" ht="15.75" customHeight="1">
      <c r="A15" s="15" t="s">
        <v>31</v>
      </c>
      <c r="B15" s="4">
        <v>23.2</v>
      </c>
      <c r="C15" s="14">
        <v>0.48</v>
      </c>
      <c r="D15" s="4">
        <v>22.0</v>
      </c>
      <c r="E15" s="4" t="s">
        <v>25</v>
      </c>
      <c r="F15" s="4" t="s">
        <v>32</v>
      </c>
      <c r="G15" s="2"/>
      <c r="H15" s="8">
        <v>15.0</v>
      </c>
      <c r="I15" s="16" t="s">
        <v>28</v>
      </c>
      <c r="J15" s="8">
        <v>5.4</v>
      </c>
      <c r="K15" s="8">
        <v>42.0</v>
      </c>
      <c r="L15" s="16" t="s">
        <v>29</v>
      </c>
      <c r="M15" s="8">
        <v>2.6</v>
      </c>
    </row>
    <row r="16" ht="15.75" customHeight="1">
      <c r="A16" s="2" t="s">
        <v>33</v>
      </c>
      <c r="B16" s="2">
        <v>7.62</v>
      </c>
      <c r="H16" s="8">
        <v>21.0</v>
      </c>
      <c r="I16" s="16" t="s">
        <v>34</v>
      </c>
      <c r="J16" s="8">
        <v>5.9</v>
      </c>
      <c r="K16" s="8">
        <v>400.0</v>
      </c>
      <c r="L16" s="13" t="s">
        <v>35</v>
      </c>
      <c r="M16" s="8">
        <v>3.3</v>
      </c>
    </row>
    <row r="17" ht="15.75" customHeight="1">
      <c r="A17" s="17" t="s">
        <v>36</v>
      </c>
      <c r="B17" s="2">
        <v>6.39</v>
      </c>
      <c r="H17" s="8">
        <v>22.0</v>
      </c>
      <c r="I17" s="16" t="s">
        <v>34</v>
      </c>
      <c r="J17" s="8">
        <v>5.8</v>
      </c>
      <c r="K17" s="8">
        <v>406.0</v>
      </c>
      <c r="L17" s="13" t="s">
        <v>35</v>
      </c>
      <c r="M17" s="8">
        <v>3.4</v>
      </c>
    </row>
    <row r="18" ht="15.75" customHeight="1">
      <c r="A18" s="2" t="s">
        <v>37</v>
      </c>
      <c r="H18" s="8">
        <v>23.0</v>
      </c>
      <c r="I18" s="16" t="s">
        <v>34</v>
      </c>
      <c r="J18" s="8">
        <v>6.1</v>
      </c>
      <c r="K18" s="8">
        <v>411.0</v>
      </c>
      <c r="L18" s="13" t="s">
        <v>35</v>
      </c>
      <c r="M18" s="8">
        <v>3.6</v>
      </c>
    </row>
    <row r="19" ht="15.75" customHeight="1">
      <c r="A19" s="2" t="s">
        <v>38</v>
      </c>
      <c r="H19" s="8"/>
      <c r="I19" s="8"/>
      <c r="J19" s="8"/>
      <c r="K19" s="8">
        <v>420.0</v>
      </c>
      <c r="L19" s="13" t="s">
        <v>39</v>
      </c>
      <c r="M19" s="8">
        <v>4.2</v>
      </c>
    </row>
    <row r="20" ht="15.75" customHeight="1">
      <c r="A20" s="2" t="s">
        <v>40</v>
      </c>
      <c r="H20" s="8"/>
      <c r="I20" s="8"/>
      <c r="J20" s="8"/>
      <c r="K20" s="8">
        <v>426.0</v>
      </c>
      <c r="L20" s="13" t="s">
        <v>39</v>
      </c>
      <c r="M20" s="8">
        <v>4.2</v>
      </c>
    </row>
    <row r="21" ht="15.75" customHeight="1">
      <c r="A21" s="2" t="s">
        <v>41</v>
      </c>
      <c r="H21" s="18"/>
      <c r="I21" s="8"/>
      <c r="J21" s="8"/>
      <c r="K21" s="8">
        <v>431.0</v>
      </c>
      <c r="L21" s="13" t="s">
        <v>39</v>
      </c>
      <c r="M21" s="8">
        <v>4.2</v>
      </c>
    </row>
    <row r="22" ht="15.75" customHeight="1">
      <c r="A22" s="2" t="s">
        <v>42</v>
      </c>
      <c r="C22" s="2" t="s">
        <v>43</v>
      </c>
      <c r="H22" s="19" t="s">
        <v>44</v>
      </c>
      <c r="I22" s="20"/>
      <c r="J22" s="20"/>
      <c r="K22" s="21"/>
      <c r="L22" s="22" t="s">
        <v>45</v>
      </c>
      <c r="M22" s="23"/>
    </row>
    <row r="23" ht="15.75" customHeight="1">
      <c r="K23" s="24"/>
      <c r="L23" s="25" t="s">
        <v>45</v>
      </c>
      <c r="M23" s="26"/>
    </row>
    <row r="24" ht="15.75" customHeight="1">
      <c r="H24" s="27" t="s">
        <v>46</v>
      </c>
      <c r="I24" s="28" t="s">
        <v>47</v>
      </c>
      <c r="J24" s="29" t="s">
        <v>48</v>
      </c>
      <c r="K24" s="24"/>
      <c r="L24" s="25" t="s">
        <v>45</v>
      </c>
      <c r="M24" s="26"/>
      <c r="P24" s="2">
        <v>3.0</v>
      </c>
    </row>
    <row r="25" ht="15.75" customHeight="1">
      <c r="H25" s="27" t="s">
        <v>49</v>
      </c>
      <c r="I25" s="28" t="s">
        <v>50</v>
      </c>
      <c r="J25" s="29" t="s">
        <v>51</v>
      </c>
      <c r="K25" s="24"/>
      <c r="L25" s="25" t="s">
        <v>52</v>
      </c>
      <c r="M25" s="26"/>
      <c r="P25" s="2">
        <v>3.0</v>
      </c>
    </row>
    <row r="26" ht="15.75" customHeight="1">
      <c r="K26" s="24"/>
      <c r="L26" s="25" t="s">
        <v>52</v>
      </c>
      <c r="M26" s="26"/>
      <c r="P26" s="2">
        <v>3.0</v>
      </c>
    </row>
    <row r="27" ht="15.75" customHeight="1">
      <c r="A27" s="2" t="s">
        <v>53</v>
      </c>
      <c r="K27" s="30"/>
      <c r="L27" s="31" t="s">
        <v>52</v>
      </c>
      <c r="M27" s="32"/>
      <c r="P27" s="2">
        <v>3.0</v>
      </c>
    </row>
    <row r="28" ht="15.75" customHeight="1">
      <c r="A28" s="2" t="s">
        <v>54</v>
      </c>
      <c r="P28" s="2">
        <v>3.0</v>
      </c>
    </row>
    <row r="29" ht="15.75" customHeight="1">
      <c r="A29" s="2" t="s">
        <v>55</v>
      </c>
    </row>
    <row r="30" ht="15.75" customHeight="1">
      <c r="A30" s="2" t="s">
        <v>56</v>
      </c>
    </row>
    <row r="31" ht="15.75" customHeight="1"/>
    <row r="32" ht="15.75" customHeight="1">
      <c r="A32" s="2" t="s">
        <v>57</v>
      </c>
    </row>
    <row r="33" ht="15.75" customHeight="1"/>
    <row r="34" ht="15.75" customHeight="1"/>
    <row r="35" ht="15.75" customHeight="1"/>
    <row r="36" ht="15.75" customHeight="1">
      <c r="A36" s="33" t="s">
        <v>58</v>
      </c>
      <c r="B36" s="34" t="s">
        <v>59</v>
      </c>
      <c r="C36" s="34" t="s">
        <v>60</v>
      </c>
      <c r="D36" s="35" t="s">
        <v>61</v>
      </c>
    </row>
    <row r="37" ht="15.75" customHeight="1">
      <c r="A37" s="36">
        <v>13.0</v>
      </c>
      <c r="B37" s="4">
        <v>5.0</v>
      </c>
      <c r="C37" s="4">
        <v>1.22</v>
      </c>
      <c r="D37" s="37">
        <f t="shared" ref="D37:D45" si="1">C37/B37*100</f>
        <v>24.4</v>
      </c>
    </row>
    <row r="38" ht="15.75" customHeight="1">
      <c r="A38" s="36">
        <v>14.0</v>
      </c>
      <c r="B38" s="4">
        <v>5.0</v>
      </c>
      <c r="C38" s="4">
        <v>2.64</v>
      </c>
      <c r="D38" s="37">
        <f t="shared" si="1"/>
        <v>52.8</v>
      </c>
    </row>
    <row r="39" ht="15.75" customHeight="1">
      <c r="A39" s="36">
        <v>15.0</v>
      </c>
      <c r="B39" s="4">
        <v>5.4</v>
      </c>
      <c r="C39" s="4">
        <v>3.34</v>
      </c>
      <c r="D39" s="37">
        <f t="shared" si="1"/>
        <v>61.85185185</v>
      </c>
    </row>
    <row r="40" ht="15.75" customHeight="1">
      <c r="A40" s="36">
        <v>21.0</v>
      </c>
      <c r="B40" s="4">
        <v>5.9</v>
      </c>
      <c r="C40" s="4">
        <v>2.73</v>
      </c>
      <c r="D40" s="37">
        <f t="shared" si="1"/>
        <v>46.27118644</v>
      </c>
    </row>
    <row r="41" ht="15.75" customHeight="1">
      <c r="A41" s="36">
        <v>22.0</v>
      </c>
      <c r="B41" s="4">
        <v>5.8</v>
      </c>
      <c r="C41" s="4">
        <v>2.01</v>
      </c>
      <c r="D41" s="37">
        <f t="shared" si="1"/>
        <v>34.65517241</v>
      </c>
    </row>
    <row r="42" ht="15.75" customHeight="1">
      <c r="A42" s="36">
        <v>23.0</v>
      </c>
      <c r="B42" s="4">
        <v>6.1</v>
      </c>
      <c r="C42" s="4">
        <v>4.25</v>
      </c>
      <c r="D42" s="37">
        <f t="shared" si="1"/>
        <v>69.67213115</v>
      </c>
    </row>
    <row r="43" ht="15.75" customHeight="1">
      <c r="A43" s="36">
        <v>37.0</v>
      </c>
      <c r="B43" s="4">
        <v>2.6</v>
      </c>
      <c r="C43" s="4">
        <v>2.14</v>
      </c>
      <c r="D43" s="37">
        <f t="shared" si="1"/>
        <v>82.30769231</v>
      </c>
    </row>
    <row r="44" ht="15.75" customHeight="1">
      <c r="A44" s="36">
        <v>39.0</v>
      </c>
      <c r="B44" s="4">
        <v>2.8</v>
      </c>
      <c r="C44" s="4">
        <v>1.92</v>
      </c>
      <c r="D44" s="37">
        <f t="shared" si="1"/>
        <v>68.57142857</v>
      </c>
    </row>
    <row r="45" ht="15.75" customHeight="1">
      <c r="A45" s="38">
        <v>42.0</v>
      </c>
      <c r="B45" s="4">
        <v>2.6</v>
      </c>
      <c r="C45" s="39">
        <v>1.81</v>
      </c>
      <c r="D45" s="37">
        <f t="shared" si="1"/>
        <v>69.61538462</v>
      </c>
    </row>
    <row r="46" ht="15.75" customHeight="1"/>
    <row r="47" ht="15.75" customHeight="1">
      <c r="A47" s="2" t="s">
        <v>62</v>
      </c>
    </row>
    <row r="48" ht="15.75" customHeight="1">
      <c r="A48" s="2" t="s">
        <v>63</v>
      </c>
    </row>
    <row r="49" ht="15.75" customHeight="1">
      <c r="A49" s="2" t="s">
        <v>64</v>
      </c>
    </row>
    <row r="50" ht="15.75" customHeight="1"/>
    <row r="51" ht="15.75" customHeight="1"/>
    <row r="52" ht="15.75" customHeight="1">
      <c r="A52" s="40" t="s">
        <v>65</v>
      </c>
    </row>
    <row r="53" ht="15.75" customHeight="1">
      <c r="A53" s="41" t="s">
        <v>66</v>
      </c>
      <c r="B53" s="42">
        <v>5.11</v>
      </c>
      <c r="C53" s="43">
        <v>12.11</v>
      </c>
      <c r="D53" s="43">
        <v>19.11</v>
      </c>
      <c r="E53" s="43">
        <v>26.11</v>
      </c>
      <c r="F53" s="43">
        <v>3.12</v>
      </c>
      <c r="G53" s="43">
        <v>17.12</v>
      </c>
      <c r="H53" s="43">
        <v>2.01</v>
      </c>
      <c r="I53" s="44">
        <v>14.01</v>
      </c>
      <c r="J53" s="41">
        <v>28.01</v>
      </c>
    </row>
    <row r="54" ht="15.75" customHeight="1">
      <c r="A54" s="45" t="s">
        <v>67</v>
      </c>
      <c r="B54" s="46">
        <v>56.88778393</v>
      </c>
      <c r="C54" s="47">
        <v>61.50732904</v>
      </c>
      <c r="D54" s="48">
        <v>61.26935604</v>
      </c>
      <c r="E54" s="48">
        <v>59.94975809</v>
      </c>
      <c r="F54" s="48">
        <v>67.18937781</v>
      </c>
      <c r="G54" s="48">
        <v>62.04368295</v>
      </c>
      <c r="H54" s="48">
        <v>66.47403239</v>
      </c>
      <c r="I54" s="49">
        <v>64.12076336</v>
      </c>
      <c r="J54" s="48">
        <v>64.26921057</v>
      </c>
    </row>
    <row r="55" ht="15.75" customHeight="1">
      <c r="A55" s="50" t="s">
        <v>68</v>
      </c>
      <c r="B55" s="46">
        <v>64.02780893</v>
      </c>
      <c r="C55" s="51">
        <v>61.34752687</v>
      </c>
      <c r="D55" s="52">
        <v>70.11497976</v>
      </c>
      <c r="E55" s="52">
        <v>66.86910611</v>
      </c>
      <c r="F55" s="52">
        <v>64.80455645</v>
      </c>
      <c r="G55" s="52">
        <v>64.95269505</v>
      </c>
      <c r="H55" s="52">
        <v>66.38426556</v>
      </c>
      <c r="I55" s="53">
        <v>63.7911511</v>
      </c>
      <c r="J55" s="52">
        <v>58.70742767</v>
      </c>
    </row>
    <row r="56" ht="15.75" customHeight="1">
      <c r="A56" s="54" t="s">
        <v>69</v>
      </c>
      <c r="B56" s="46">
        <v>71.04463893</v>
      </c>
      <c r="C56" s="55">
        <v>69.44636734</v>
      </c>
      <c r="D56" s="56">
        <v>59.99221563</v>
      </c>
      <c r="E56" s="56">
        <v>61.61283852</v>
      </c>
      <c r="F56" s="56">
        <v>62.76326994</v>
      </c>
      <c r="G56" s="56">
        <v>65.00850897</v>
      </c>
      <c r="H56" s="56">
        <v>64.83000907</v>
      </c>
      <c r="I56" s="57">
        <v>64.56185802</v>
      </c>
      <c r="J56" s="52">
        <v>59.68251909</v>
      </c>
    </row>
    <row r="57" ht="15.75" customHeight="1"/>
    <row r="58" ht="15.75" customHeight="1"/>
    <row r="59" ht="15.75" customHeight="1">
      <c r="A59" s="2" t="s">
        <v>70</v>
      </c>
    </row>
    <row r="60" ht="15.75" customHeight="1">
      <c r="A60" s="2" t="s">
        <v>71</v>
      </c>
    </row>
    <row r="61" ht="15.75" customHeight="1">
      <c r="A61" s="2" t="s">
        <v>72</v>
      </c>
    </row>
    <row r="62" ht="15.75" customHeight="1">
      <c r="A62" s="2" t="s">
        <v>73</v>
      </c>
    </row>
    <row r="63" ht="15.75" customHeight="1">
      <c r="A63" s="2" t="s">
        <v>74</v>
      </c>
    </row>
    <row r="64" ht="15.75" customHeight="1"/>
    <row r="65" ht="15.75" customHeight="1">
      <c r="A65" s="58" t="s">
        <v>75</v>
      </c>
    </row>
    <row r="66" ht="15.75" customHeight="1"/>
    <row r="67" ht="15.75" customHeight="1">
      <c r="A67" s="59"/>
      <c r="B67" s="59"/>
      <c r="C67" s="59"/>
      <c r="D67" s="59"/>
      <c r="E67" s="59"/>
    </row>
    <row r="68" ht="15.75" customHeight="1">
      <c r="A68" s="60" t="s">
        <v>76</v>
      </c>
      <c r="B68" s="60" t="s">
        <v>77</v>
      </c>
      <c r="C68" s="61"/>
      <c r="D68" s="61"/>
      <c r="E68" s="61"/>
    </row>
    <row r="69" ht="15.75" customHeight="1">
      <c r="A69" s="62" t="s">
        <v>78</v>
      </c>
      <c r="B69" s="63" t="s">
        <v>79</v>
      </c>
      <c r="C69" s="64"/>
      <c r="D69" s="64"/>
      <c r="E69" s="65"/>
    </row>
    <row r="70" ht="15.75" customHeight="1">
      <c r="A70" s="60" t="s">
        <v>80</v>
      </c>
      <c r="B70" s="60" t="s">
        <v>81</v>
      </c>
      <c r="C70" s="61"/>
      <c r="D70" s="61"/>
      <c r="E70" s="61"/>
    </row>
    <row r="71" ht="15.75" customHeight="1">
      <c r="A71" s="60" t="s">
        <v>82</v>
      </c>
      <c r="B71" s="60" t="s">
        <v>83</v>
      </c>
      <c r="C71" s="61"/>
      <c r="D71" s="61"/>
      <c r="E71" s="61"/>
    </row>
    <row r="72" ht="15.75" customHeight="1">
      <c r="A72" s="60" t="s">
        <v>84</v>
      </c>
      <c r="B72" s="60" t="s">
        <v>85</v>
      </c>
      <c r="C72" s="61"/>
      <c r="D72" s="61"/>
      <c r="E72" s="61"/>
    </row>
    <row r="73" ht="15.75" customHeight="1">
      <c r="A73" s="60" t="s">
        <v>86</v>
      </c>
      <c r="B73" s="60" t="s">
        <v>87</v>
      </c>
      <c r="C73" s="61"/>
      <c r="D73" s="61"/>
      <c r="E73" s="61"/>
    </row>
    <row r="74" ht="15.75" customHeight="1">
      <c r="A74" s="61"/>
      <c r="B74" s="59"/>
      <c r="C74" s="59"/>
      <c r="D74" s="59"/>
      <c r="E74" s="59"/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1">
    <mergeCell ref="B69:E69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8.56"/>
    <col customWidth="1" min="3" max="3" width="13.33"/>
    <col customWidth="1" min="4" max="26" width="8.56"/>
  </cols>
  <sheetData>
    <row r="1" ht="15.75" customHeight="1">
      <c r="A1" s="3" t="s">
        <v>88</v>
      </c>
      <c r="B1" s="3" t="s">
        <v>89</v>
      </c>
      <c r="C1" s="3" t="s">
        <v>90</v>
      </c>
    </row>
    <row r="2" ht="15.75" customHeight="1">
      <c r="A2" s="3">
        <v>5.0</v>
      </c>
      <c r="B2" s="3">
        <v>7.29</v>
      </c>
      <c r="C2" s="66">
        <v>0.0</v>
      </c>
    </row>
    <row r="3" ht="15.75" customHeight="1">
      <c r="A3" s="3">
        <v>6.0</v>
      </c>
      <c r="B3" s="3">
        <v>7.03</v>
      </c>
      <c r="C3" s="66">
        <v>0.0</v>
      </c>
    </row>
    <row r="4" ht="15.75" customHeight="1">
      <c r="A4" s="3">
        <v>7.0</v>
      </c>
      <c r="B4" s="3">
        <v>7.16</v>
      </c>
      <c r="C4" s="66">
        <v>0.0</v>
      </c>
    </row>
    <row r="5" ht="15.75" customHeight="1">
      <c r="A5" s="3">
        <v>9.0</v>
      </c>
      <c r="B5" s="3">
        <v>7.12</v>
      </c>
      <c r="C5" s="66">
        <v>0.0</v>
      </c>
    </row>
    <row r="6" ht="15.75" customHeight="1">
      <c r="A6" s="3">
        <v>10.0</v>
      </c>
      <c r="B6" s="3">
        <v>7.24</v>
      </c>
      <c r="C6" s="66">
        <v>0.0</v>
      </c>
    </row>
    <row r="7" ht="15.75" customHeight="1">
      <c r="A7" s="3">
        <v>11.0</v>
      </c>
      <c r="B7" s="3">
        <v>7.96</v>
      </c>
      <c r="C7" s="66">
        <v>0.0</v>
      </c>
    </row>
    <row r="8" ht="15.75" customHeight="1">
      <c r="A8" s="3">
        <v>13.0</v>
      </c>
      <c r="B8" s="3">
        <v>7.37</v>
      </c>
      <c r="C8" s="18">
        <v>24.4</v>
      </c>
    </row>
    <row r="9" ht="15.75" customHeight="1">
      <c r="A9" s="3">
        <v>14.0</v>
      </c>
      <c r="B9" s="3">
        <v>7.22</v>
      </c>
      <c r="C9" s="18">
        <v>52.800000000000004</v>
      </c>
    </row>
    <row r="10" ht="15.75" customHeight="1">
      <c r="A10" s="3">
        <v>15.0</v>
      </c>
      <c r="B10" s="3">
        <v>7.31</v>
      </c>
      <c r="C10" s="18">
        <v>61.85185185185185</v>
      </c>
    </row>
    <row r="11" ht="15.75" customHeight="1">
      <c r="A11" s="3">
        <v>21.0</v>
      </c>
      <c r="B11" s="3">
        <v>7.22</v>
      </c>
      <c r="C11" s="18">
        <v>46.271186440677965</v>
      </c>
    </row>
    <row r="12" ht="15.75" customHeight="1">
      <c r="A12" s="3">
        <v>22.0</v>
      </c>
      <c r="B12" s="3">
        <v>7.22</v>
      </c>
      <c r="C12" s="18">
        <v>34.6551724137931</v>
      </c>
    </row>
    <row r="13" ht="15.75" customHeight="1">
      <c r="A13" s="3">
        <v>23.0</v>
      </c>
      <c r="B13" s="3">
        <v>7.32</v>
      </c>
      <c r="C13" s="18">
        <v>69.67213114754098</v>
      </c>
    </row>
    <row r="14" ht="15.75" customHeight="1">
      <c r="A14" s="3">
        <v>29.0</v>
      </c>
      <c r="B14" s="3">
        <v>7.19</v>
      </c>
      <c r="C14" s="66">
        <v>0.0</v>
      </c>
    </row>
    <row r="15" ht="15.75" customHeight="1">
      <c r="A15" s="3">
        <v>31.0</v>
      </c>
      <c r="B15" s="3">
        <v>7.13</v>
      </c>
      <c r="C15" s="66">
        <v>0.0</v>
      </c>
    </row>
    <row r="16" ht="15.75" customHeight="1">
      <c r="A16" s="3">
        <v>34.0</v>
      </c>
      <c r="B16" s="3">
        <v>7.16</v>
      </c>
      <c r="C16" s="66">
        <v>0.0</v>
      </c>
    </row>
    <row r="17" ht="15.75" customHeight="1">
      <c r="A17" s="3">
        <v>37.0</v>
      </c>
      <c r="B17" s="3">
        <v>7.44</v>
      </c>
      <c r="C17" s="18">
        <v>82.30769230769232</v>
      </c>
    </row>
    <row r="18" ht="15.75" customHeight="1">
      <c r="A18" s="3">
        <v>39.0</v>
      </c>
      <c r="B18" s="3">
        <v>7.29</v>
      </c>
      <c r="C18" s="18">
        <v>68.57142857142857</v>
      </c>
    </row>
    <row r="19" ht="15.75" customHeight="1">
      <c r="A19" s="3">
        <v>42.0</v>
      </c>
      <c r="B19" s="3">
        <v>7.13</v>
      </c>
      <c r="C19" s="18">
        <v>69.61538461538461</v>
      </c>
    </row>
    <row r="20" ht="15.75" customHeight="1">
      <c r="A20" s="3">
        <v>385.0</v>
      </c>
      <c r="B20" s="3">
        <v>6.93</v>
      </c>
      <c r="C20" s="66">
        <v>0.0</v>
      </c>
    </row>
    <row r="21" ht="15.75" customHeight="1">
      <c r="A21" s="3">
        <v>390.0</v>
      </c>
      <c r="B21" s="3">
        <v>6.96</v>
      </c>
      <c r="C21" s="66">
        <v>0.0</v>
      </c>
    </row>
    <row r="22" ht="15.75" customHeight="1">
      <c r="A22" s="3">
        <v>394.0</v>
      </c>
      <c r="B22" s="3">
        <v>6.88</v>
      </c>
      <c r="C22" s="66">
        <v>0.0</v>
      </c>
    </row>
    <row r="23" ht="15.75" customHeight="1">
      <c r="A23" s="3">
        <v>400.0</v>
      </c>
      <c r="B23" s="3">
        <v>7.01</v>
      </c>
      <c r="C23" s="66">
        <v>0.0</v>
      </c>
    </row>
    <row r="24" ht="15.75" customHeight="1">
      <c r="A24" s="3">
        <v>406.0</v>
      </c>
      <c r="B24" s="3">
        <v>7.0</v>
      </c>
      <c r="C24" s="66">
        <v>0.0</v>
      </c>
    </row>
    <row r="25" ht="15.75" customHeight="1">
      <c r="A25" s="3">
        <v>411.0</v>
      </c>
      <c r="B25" s="3">
        <v>7.07</v>
      </c>
      <c r="C25" s="66">
        <v>0.0</v>
      </c>
    </row>
    <row r="26" ht="15.75" customHeight="1">
      <c r="A26" s="3">
        <v>420.0</v>
      </c>
      <c r="B26" s="3">
        <v>7.18</v>
      </c>
      <c r="C26" s="66">
        <v>0.0</v>
      </c>
    </row>
    <row r="27" ht="15.75" customHeight="1">
      <c r="A27" s="3">
        <v>426.0</v>
      </c>
      <c r="B27" s="3">
        <v>6.95</v>
      </c>
      <c r="C27" s="66">
        <v>0.0</v>
      </c>
    </row>
    <row r="28" ht="15.75" customHeight="1">
      <c r="A28" s="3">
        <v>431.0</v>
      </c>
      <c r="B28" s="3">
        <v>7.05</v>
      </c>
      <c r="C28" s="66">
        <v>0.0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3" width="8.56"/>
    <col customWidth="1" min="4" max="4" width="9.78"/>
    <col customWidth="1" min="5" max="5" width="9.0"/>
    <col customWidth="1" min="6" max="26" width="8.56"/>
  </cols>
  <sheetData>
    <row r="1" ht="15.75" customHeight="1">
      <c r="A1" s="17" t="s">
        <v>91</v>
      </c>
      <c r="B1" s="17" t="s">
        <v>92</v>
      </c>
      <c r="C1" s="67" t="s">
        <v>88</v>
      </c>
      <c r="D1" s="67" t="s">
        <v>89</v>
      </c>
      <c r="E1" s="67" t="s">
        <v>93</v>
      </c>
    </row>
    <row r="2" ht="15.75" customHeight="1">
      <c r="A2" s="17" t="s">
        <v>94</v>
      </c>
      <c r="B2" s="17">
        <v>2.0</v>
      </c>
      <c r="C2" s="67">
        <v>5.0</v>
      </c>
      <c r="D2" s="67">
        <v>7.29</v>
      </c>
      <c r="E2" s="68">
        <v>0.0</v>
      </c>
    </row>
    <row r="3" ht="15.75" customHeight="1">
      <c r="A3" s="17" t="s">
        <v>94</v>
      </c>
      <c r="B3" s="17">
        <v>2.0</v>
      </c>
      <c r="C3" s="67">
        <v>6.0</v>
      </c>
      <c r="D3" s="67">
        <v>7.03</v>
      </c>
      <c r="E3" s="68">
        <v>0.0</v>
      </c>
    </row>
    <row r="4" ht="15.75" customHeight="1">
      <c r="A4" s="17" t="s">
        <v>94</v>
      </c>
      <c r="B4" s="17">
        <v>2.0</v>
      </c>
      <c r="C4" s="67">
        <v>7.0</v>
      </c>
      <c r="D4" s="67">
        <v>7.16</v>
      </c>
      <c r="E4" s="68">
        <v>0.0</v>
      </c>
    </row>
    <row r="5" ht="15.75" customHeight="1">
      <c r="A5" s="17" t="s">
        <v>94</v>
      </c>
      <c r="B5" s="17">
        <v>4.0</v>
      </c>
      <c r="C5" s="67">
        <v>9.0</v>
      </c>
      <c r="D5" s="67">
        <v>7.12</v>
      </c>
      <c r="E5" s="68">
        <v>0.0</v>
      </c>
    </row>
    <row r="6" ht="15.75" customHeight="1">
      <c r="A6" s="17" t="s">
        <v>94</v>
      </c>
      <c r="B6" s="17">
        <v>4.0</v>
      </c>
      <c r="C6" s="67">
        <v>10.0</v>
      </c>
      <c r="D6" s="67">
        <v>7.24</v>
      </c>
      <c r="E6" s="68">
        <v>0.0</v>
      </c>
    </row>
    <row r="7" ht="15.75" customHeight="1">
      <c r="A7" s="17" t="s">
        <v>94</v>
      </c>
      <c r="B7" s="17">
        <v>4.0</v>
      </c>
      <c r="C7" s="67">
        <v>11.0</v>
      </c>
      <c r="D7" s="67">
        <v>7.96</v>
      </c>
      <c r="E7" s="68">
        <v>0.0</v>
      </c>
    </row>
    <row r="8" ht="15.75" customHeight="1">
      <c r="A8" s="17" t="s">
        <v>94</v>
      </c>
      <c r="B8" s="17">
        <v>10.0</v>
      </c>
      <c r="C8" s="67">
        <v>13.0</v>
      </c>
      <c r="D8" s="67">
        <v>7.37</v>
      </c>
      <c r="E8" s="69">
        <v>24.4</v>
      </c>
    </row>
    <row r="9" ht="15.75" customHeight="1">
      <c r="A9" s="17" t="s">
        <v>94</v>
      </c>
      <c r="B9" s="17">
        <v>10.0</v>
      </c>
      <c r="C9" s="67">
        <v>14.0</v>
      </c>
      <c r="D9" s="67">
        <v>7.22</v>
      </c>
      <c r="E9" s="69">
        <v>52.800000000000004</v>
      </c>
    </row>
    <row r="10" ht="15.75" customHeight="1">
      <c r="A10" s="17" t="s">
        <v>94</v>
      </c>
      <c r="B10" s="17">
        <v>10.0</v>
      </c>
      <c r="C10" s="67">
        <v>15.0</v>
      </c>
      <c r="D10" s="67">
        <v>7.31</v>
      </c>
      <c r="E10" s="69">
        <v>61.85185185185185</v>
      </c>
    </row>
    <row r="11" ht="15.75" customHeight="1">
      <c r="A11" s="17" t="s">
        <v>94</v>
      </c>
      <c r="B11" s="17">
        <v>15.0</v>
      </c>
      <c r="C11" s="67">
        <v>21.0</v>
      </c>
      <c r="D11" s="67">
        <v>7.22</v>
      </c>
      <c r="E11" s="69">
        <v>46.271186440677965</v>
      </c>
    </row>
    <row r="12" ht="15.75" customHeight="1">
      <c r="A12" s="17" t="s">
        <v>94</v>
      </c>
      <c r="B12" s="17">
        <v>15.0</v>
      </c>
      <c r="C12" s="67">
        <v>22.0</v>
      </c>
      <c r="D12" s="67">
        <v>7.22</v>
      </c>
      <c r="E12" s="69">
        <v>34.6551724137931</v>
      </c>
    </row>
    <row r="13" ht="15.75" customHeight="1">
      <c r="A13" s="17" t="s">
        <v>94</v>
      </c>
      <c r="B13" s="17">
        <v>15.0</v>
      </c>
      <c r="C13" s="67">
        <v>23.0</v>
      </c>
      <c r="D13" s="67">
        <v>7.32</v>
      </c>
      <c r="E13" s="69">
        <v>69.67213114754098</v>
      </c>
    </row>
    <row r="14" ht="15.75" customHeight="1">
      <c r="A14" s="17" t="s">
        <v>95</v>
      </c>
      <c r="B14" s="17">
        <v>2.0</v>
      </c>
      <c r="C14" s="67">
        <v>29.0</v>
      </c>
      <c r="D14" s="67">
        <v>7.19</v>
      </c>
      <c r="E14" s="68">
        <v>0.0</v>
      </c>
    </row>
    <row r="15" ht="15.75" customHeight="1">
      <c r="A15" s="17" t="s">
        <v>95</v>
      </c>
      <c r="B15" s="17">
        <v>2.0</v>
      </c>
      <c r="C15" s="67">
        <v>31.0</v>
      </c>
      <c r="D15" s="67">
        <v>7.13</v>
      </c>
      <c r="E15" s="68">
        <v>0.0</v>
      </c>
    </row>
    <row r="16" ht="15.75" customHeight="1">
      <c r="A16" s="17" t="s">
        <v>95</v>
      </c>
      <c r="B16" s="17">
        <v>2.0</v>
      </c>
      <c r="C16" s="67">
        <v>34.0</v>
      </c>
      <c r="D16" s="67">
        <v>7.16</v>
      </c>
      <c r="E16" s="68">
        <v>0.0</v>
      </c>
    </row>
    <row r="17" ht="15.75" customHeight="1">
      <c r="A17" s="17" t="s">
        <v>95</v>
      </c>
      <c r="B17" s="17">
        <v>4.0</v>
      </c>
      <c r="C17" s="67">
        <v>37.0</v>
      </c>
      <c r="D17" s="67">
        <v>7.44</v>
      </c>
      <c r="E17" s="69">
        <v>82.30769230769232</v>
      </c>
    </row>
    <row r="18" ht="15.75" customHeight="1">
      <c r="A18" s="17" t="s">
        <v>95</v>
      </c>
      <c r="B18" s="17">
        <v>4.0</v>
      </c>
      <c r="C18" s="67">
        <v>39.0</v>
      </c>
      <c r="D18" s="67">
        <v>7.29</v>
      </c>
      <c r="E18" s="69">
        <v>68.57142857142857</v>
      </c>
    </row>
    <row r="19" ht="15.75" customHeight="1">
      <c r="A19" s="17" t="s">
        <v>95</v>
      </c>
      <c r="B19" s="17">
        <v>4.0</v>
      </c>
      <c r="C19" s="67">
        <v>42.0</v>
      </c>
      <c r="D19" s="67">
        <v>7.13</v>
      </c>
      <c r="E19" s="69">
        <v>69.61538461538461</v>
      </c>
    </row>
    <row r="20" ht="15.75" customHeight="1">
      <c r="A20" s="17" t="s">
        <v>95</v>
      </c>
      <c r="B20" s="17">
        <v>0.0</v>
      </c>
      <c r="C20" s="67">
        <v>385.0</v>
      </c>
      <c r="D20" s="67">
        <v>6.93</v>
      </c>
      <c r="E20" s="68">
        <v>0.0</v>
      </c>
    </row>
    <row r="21" ht="15.75" customHeight="1">
      <c r="A21" s="17" t="s">
        <v>95</v>
      </c>
      <c r="B21" s="17">
        <v>0.0</v>
      </c>
      <c r="C21" s="67">
        <v>390.0</v>
      </c>
      <c r="D21" s="67">
        <v>6.96</v>
      </c>
      <c r="E21" s="68">
        <v>0.0</v>
      </c>
    </row>
    <row r="22" ht="15.75" customHeight="1">
      <c r="A22" s="17" t="s">
        <v>95</v>
      </c>
      <c r="B22" s="17">
        <v>0.0</v>
      </c>
      <c r="C22" s="67">
        <v>394.0</v>
      </c>
      <c r="D22" s="67">
        <v>6.88</v>
      </c>
      <c r="E22" s="68">
        <v>0.0</v>
      </c>
    </row>
    <row r="23" ht="15.75" customHeight="1">
      <c r="A23" s="17" t="s">
        <v>96</v>
      </c>
      <c r="B23" s="17">
        <v>0.0</v>
      </c>
      <c r="C23" s="67">
        <v>400.0</v>
      </c>
      <c r="D23" s="67">
        <v>7.01</v>
      </c>
      <c r="E23" s="68">
        <v>0.0</v>
      </c>
    </row>
    <row r="24" ht="15.75" customHeight="1">
      <c r="A24" s="17" t="s">
        <v>96</v>
      </c>
      <c r="B24" s="17">
        <v>0.0</v>
      </c>
      <c r="C24" s="67">
        <v>406.0</v>
      </c>
      <c r="D24" s="67">
        <v>7.0</v>
      </c>
      <c r="E24" s="68">
        <v>0.0</v>
      </c>
    </row>
    <row r="25" ht="15.75" customHeight="1">
      <c r="A25" s="17" t="s">
        <v>96</v>
      </c>
      <c r="B25" s="17">
        <v>0.0</v>
      </c>
      <c r="C25" s="67">
        <v>411.0</v>
      </c>
      <c r="D25" s="67">
        <v>7.07</v>
      </c>
      <c r="E25" s="68">
        <v>0.0</v>
      </c>
    </row>
    <row r="26" ht="15.75" customHeight="1">
      <c r="A26" s="17" t="s">
        <v>97</v>
      </c>
      <c r="B26" s="17">
        <v>0.0</v>
      </c>
      <c r="C26" s="67">
        <v>420.0</v>
      </c>
      <c r="D26" s="67">
        <v>7.18</v>
      </c>
      <c r="E26" s="68">
        <v>0.0</v>
      </c>
    </row>
    <row r="27" ht="15.75" customHeight="1">
      <c r="A27" s="17" t="s">
        <v>97</v>
      </c>
      <c r="B27" s="17">
        <v>0.0</v>
      </c>
      <c r="C27" s="67">
        <v>426.0</v>
      </c>
      <c r="D27" s="67">
        <v>6.95</v>
      </c>
      <c r="E27" s="68">
        <v>0.0</v>
      </c>
    </row>
    <row r="28" ht="15.75" customHeight="1">
      <c r="A28" s="17" t="s">
        <v>97</v>
      </c>
      <c r="B28" s="17">
        <v>0.0</v>
      </c>
      <c r="C28" s="67">
        <v>431.0</v>
      </c>
      <c r="D28" s="67">
        <v>7.05</v>
      </c>
      <c r="E28" s="68">
        <v>0.0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70" t="s">
        <v>91</v>
      </c>
      <c r="B1" s="70" t="s">
        <v>92</v>
      </c>
      <c r="C1" s="3" t="s">
        <v>88</v>
      </c>
      <c r="D1" s="71">
        <v>5.11</v>
      </c>
      <c r="E1" s="71">
        <v>12.11</v>
      </c>
      <c r="F1" s="71">
        <v>19.11</v>
      </c>
      <c r="G1" s="71">
        <v>26.11</v>
      </c>
      <c r="H1" s="71">
        <v>3.12</v>
      </c>
      <c r="I1" s="71">
        <v>17.12</v>
      </c>
      <c r="J1" s="71">
        <v>2.01</v>
      </c>
      <c r="K1" s="71">
        <v>14.01</v>
      </c>
      <c r="L1" s="71">
        <v>28.01</v>
      </c>
    </row>
    <row r="2">
      <c r="A2" s="70" t="s">
        <v>94</v>
      </c>
      <c r="B2" s="70">
        <v>2.0</v>
      </c>
      <c r="C2" s="3">
        <v>5.0</v>
      </c>
      <c r="D2" s="72">
        <v>5.0</v>
      </c>
      <c r="E2" s="72">
        <v>4.0</v>
      </c>
      <c r="F2" s="72">
        <v>3.0</v>
      </c>
      <c r="G2" s="72">
        <v>2.0</v>
      </c>
      <c r="H2" s="72">
        <v>0.0</v>
      </c>
      <c r="I2" s="72">
        <v>0.0</v>
      </c>
      <c r="J2" s="72">
        <v>0.0</v>
      </c>
      <c r="K2" s="72">
        <v>0.0</v>
      </c>
      <c r="L2" s="72">
        <v>0.0</v>
      </c>
    </row>
    <row r="3">
      <c r="A3" s="70" t="s">
        <v>94</v>
      </c>
      <c r="B3" s="70">
        <v>2.0</v>
      </c>
      <c r="C3" s="3">
        <v>6.0</v>
      </c>
      <c r="D3" s="72">
        <v>5.0</v>
      </c>
      <c r="E3" s="72">
        <v>4.0</v>
      </c>
      <c r="F3" s="72">
        <v>3.0</v>
      </c>
      <c r="G3" s="72">
        <v>2.0</v>
      </c>
      <c r="H3" s="72">
        <v>0.0</v>
      </c>
      <c r="I3" s="72">
        <v>0.0</v>
      </c>
      <c r="J3" s="72">
        <v>0.0</v>
      </c>
      <c r="K3" s="72">
        <v>0.0</v>
      </c>
      <c r="L3" s="72">
        <v>0.0</v>
      </c>
    </row>
    <row r="4">
      <c r="A4" s="70" t="s">
        <v>94</v>
      </c>
      <c r="B4" s="70">
        <v>2.0</v>
      </c>
      <c r="C4" s="3">
        <v>7.0</v>
      </c>
      <c r="D4" s="72">
        <v>5.0</v>
      </c>
      <c r="E4" s="72">
        <v>4.0</v>
      </c>
      <c r="F4" s="72">
        <v>3.0</v>
      </c>
      <c r="G4" s="72">
        <v>2.0</v>
      </c>
      <c r="H4" s="72">
        <v>0.0</v>
      </c>
      <c r="I4" s="72">
        <v>0.0</v>
      </c>
      <c r="J4" s="72">
        <v>0.0</v>
      </c>
      <c r="K4" s="72">
        <v>0.0</v>
      </c>
      <c r="L4" s="72">
        <v>0.0</v>
      </c>
    </row>
    <row r="5">
      <c r="A5" s="70" t="s">
        <v>94</v>
      </c>
      <c r="B5" s="70">
        <v>4.0</v>
      </c>
      <c r="C5" s="3">
        <v>9.0</v>
      </c>
      <c r="D5" s="72">
        <v>5.0</v>
      </c>
      <c r="E5" s="72">
        <v>4.0</v>
      </c>
      <c r="F5" s="72">
        <v>3.0</v>
      </c>
      <c r="G5" s="72">
        <v>2.0</v>
      </c>
      <c r="H5" s="72">
        <v>0.0</v>
      </c>
      <c r="I5" s="72">
        <v>0.0</v>
      </c>
      <c r="J5" s="72">
        <v>0.0</v>
      </c>
      <c r="K5" s="72">
        <v>0.0</v>
      </c>
      <c r="L5" s="72">
        <v>0.0</v>
      </c>
    </row>
    <row r="6">
      <c r="A6" s="70" t="s">
        <v>94</v>
      </c>
      <c r="B6" s="70">
        <v>4.0</v>
      </c>
      <c r="C6" s="3">
        <v>10.0</v>
      </c>
      <c r="D6" s="72">
        <v>5.0</v>
      </c>
      <c r="E6" s="72">
        <v>4.0</v>
      </c>
      <c r="F6" s="72">
        <v>3.0</v>
      </c>
      <c r="G6" s="72">
        <v>2.0</v>
      </c>
      <c r="H6" s="72">
        <v>0.0</v>
      </c>
      <c r="I6" s="72">
        <v>0.0</v>
      </c>
      <c r="J6" s="72">
        <v>0.0</v>
      </c>
      <c r="K6" s="72">
        <v>0.0</v>
      </c>
      <c r="L6" s="72">
        <v>0.0</v>
      </c>
    </row>
    <row r="7">
      <c r="A7" s="70" t="s">
        <v>94</v>
      </c>
      <c r="B7" s="70">
        <v>4.0</v>
      </c>
      <c r="C7" s="3">
        <v>11.0</v>
      </c>
      <c r="D7" s="72">
        <v>5.0</v>
      </c>
      <c r="E7" s="72">
        <v>4.0</v>
      </c>
      <c r="F7" s="72">
        <v>3.0</v>
      </c>
      <c r="G7" s="72">
        <v>2.0</v>
      </c>
      <c r="H7" s="72">
        <v>0.0</v>
      </c>
      <c r="I7" s="72">
        <v>0.0</v>
      </c>
      <c r="J7" s="72">
        <v>0.0</v>
      </c>
      <c r="K7" s="72">
        <v>0.0</v>
      </c>
      <c r="L7" s="72">
        <v>0.0</v>
      </c>
    </row>
    <row r="8">
      <c r="A8" s="70" t="s">
        <v>94</v>
      </c>
      <c r="B8" s="70">
        <v>10.0</v>
      </c>
      <c r="C8" s="3">
        <v>13.0</v>
      </c>
      <c r="D8" s="72">
        <v>5.0</v>
      </c>
      <c r="E8" s="72">
        <v>4.0</v>
      </c>
      <c r="F8" s="72">
        <v>4.0</v>
      </c>
      <c r="G8" s="72">
        <v>4.0</v>
      </c>
      <c r="H8" s="72">
        <v>4.0</v>
      </c>
      <c r="I8" s="72">
        <v>4.0</v>
      </c>
      <c r="J8" s="72">
        <v>3.0</v>
      </c>
      <c r="K8" s="72">
        <v>3.0</v>
      </c>
      <c r="L8" s="72">
        <v>2.0</v>
      </c>
    </row>
    <row r="9">
      <c r="A9" s="70" t="s">
        <v>94</v>
      </c>
      <c r="B9" s="70">
        <v>10.0</v>
      </c>
      <c r="C9" s="3">
        <v>14.0</v>
      </c>
      <c r="D9" s="72">
        <v>5.0</v>
      </c>
      <c r="E9" s="72">
        <v>4.0</v>
      </c>
      <c r="F9" s="72">
        <v>4.0</v>
      </c>
      <c r="G9" s="72">
        <v>4.0</v>
      </c>
      <c r="H9" s="72">
        <v>4.0</v>
      </c>
      <c r="I9" s="72">
        <v>4.0</v>
      </c>
      <c r="J9" s="72">
        <v>3.0</v>
      </c>
      <c r="K9" s="72">
        <v>3.0</v>
      </c>
      <c r="L9" s="72">
        <v>3.0</v>
      </c>
    </row>
    <row r="10">
      <c r="A10" s="70" t="s">
        <v>94</v>
      </c>
      <c r="B10" s="70">
        <v>10.0</v>
      </c>
      <c r="C10" s="3">
        <v>15.0</v>
      </c>
      <c r="D10" s="72">
        <v>5.0</v>
      </c>
      <c r="E10" s="72">
        <v>4.0</v>
      </c>
      <c r="F10" s="72">
        <v>4.0</v>
      </c>
      <c r="G10" s="72">
        <v>4.0</v>
      </c>
      <c r="H10" s="72">
        <v>4.0</v>
      </c>
      <c r="I10" s="72">
        <v>4.0</v>
      </c>
      <c r="J10" s="72">
        <v>3.0</v>
      </c>
      <c r="K10" s="72">
        <v>3.0</v>
      </c>
      <c r="L10" s="72">
        <v>3.0</v>
      </c>
    </row>
    <row r="11">
      <c r="A11" s="70" t="s">
        <v>94</v>
      </c>
      <c r="B11" s="70">
        <v>15.0</v>
      </c>
      <c r="C11" s="3">
        <v>21.0</v>
      </c>
      <c r="D11" s="72">
        <v>5.0</v>
      </c>
      <c r="E11" s="72">
        <v>4.0</v>
      </c>
      <c r="F11" s="72">
        <v>4.0</v>
      </c>
      <c r="G11" s="72">
        <v>4.0</v>
      </c>
      <c r="H11" s="72">
        <v>4.0</v>
      </c>
      <c r="I11" s="72">
        <v>4.0</v>
      </c>
      <c r="J11" s="72">
        <v>3.0</v>
      </c>
      <c r="K11" s="72">
        <v>3.0</v>
      </c>
      <c r="L11" s="72">
        <v>2.0</v>
      </c>
    </row>
    <row r="12">
      <c r="A12" s="70" t="s">
        <v>94</v>
      </c>
      <c r="B12" s="70">
        <v>15.0</v>
      </c>
      <c r="C12" s="3">
        <v>22.0</v>
      </c>
      <c r="D12" s="72">
        <v>5.0</v>
      </c>
      <c r="E12" s="72">
        <v>4.0</v>
      </c>
      <c r="F12" s="72">
        <v>4.0</v>
      </c>
      <c r="G12" s="72">
        <v>4.0</v>
      </c>
      <c r="H12" s="72">
        <v>4.0</v>
      </c>
      <c r="I12" s="72">
        <v>4.0</v>
      </c>
      <c r="J12" s="72">
        <v>3.0</v>
      </c>
      <c r="K12" s="72">
        <v>3.0</v>
      </c>
      <c r="L12" s="72">
        <v>2.0</v>
      </c>
    </row>
    <row r="13">
      <c r="A13" s="70" t="s">
        <v>94</v>
      </c>
      <c r="B13" s="70">
        <v>15.0</v>
      </c>
      <c r="C13" s="3">
        <v>23.0</v>
      </c>
      <c r="D13" s="72">
        <v>5.0</v>
      </c>
      <c r="E13" s="72">
        <v>4.0</v>
      </c>
      <c r="F13" s="72">
        <v>4.0</v>
      </c>
      <c r="G13" s="72">
        <v>4.0</v>
      </c>
      <c r="H13" s="72">
        <v>4.0</v>
      </c>
      <c r="I13" s="72">
        <v>4.0</v>
      </c>
      <c r="J13" s="72">
        <v>3.0</v>
      </c>
      <c r="K13" s="72">
        <v>3.0</v>
      </c>
      <c r="L13" s="72">
        <v>3.0</v>
      </c>
    </row>
    <row r="14">
      <c r="A14" s="70" t="s">
        <v>95</v>
      </c>
      <c r="B14" s="70">
        <v>2.0</v>
      </c>
      <c r="C14" s="3">
        <v>29.0</v>
      </c>
      <c r="D14" s="72">
        <v>5.0</v>
      </c>
      <c r="E14" s="72">
        <v>4.0</v>
      </c>
      <c r="F14" s="72">
        <v>4.0</v>
      </c>
      <c r="G14" s="72">
        <v>3.0</v>
      </c>
      <c r="H14" s="72">
        <v>3.0</v>
      </c>
      <c r="I14" s="72">
        <v>2.0</v>
      </c>
      <c r="J14" s="72">
        <v>0.0</v>
      </c>
      <c r="K14" s="72">
        <v>0.0</v>
      </c>
      <c r="L14" s="72">
        <v>0.0</v>
      </c>
    </row>
    <row r="15">
      <c r="A15" s="70" t="s">
        <v>95</v>
      </c>
      <c r="B15" s="70">
        <v>2.0</v>
      </c>
      <c r="C15" s="3">
        <v>31.0</v>
      </c>
      <c r="D15" s="72">
        <v>5.0</v>
      </c>
      <c r="E15" s="72">
        <v>4.0</v>
      </c>
      <c r="F15" s="72">
        <v>4.0</v>
      </c>
      <c r="G15" s="72">
        <v>3.0</v>
      </c>
      <c r="H15" s="72">
        <v>3.0</v>
      </c>
      <c r="I15" s="72">
        <v>2.0</v>
      </c>
      <c r="J15" s="72">
        <v>0.0</v>
      </c>
      <c r="K15" s="72">
        <v>0.0</v>
      </c>
      <c r="L15" s="72">
        <v>0.0</v>
      </c>
    </row>
    <row r="16">
      <c r="A16" s="70" t="s">
        <v>95</v>
      </c>
      <c r="B16" s="70">
        <v>2.0</v>
      </c>
      <c r="C16" s="3">
        <v>34.0</v>
      </c>
      <c r="D16" s="72">
        <v>5.0</v>
      </c>
      <c r="E16" s="72">
        <v>4.0</v>
      </c>
      <c r="F16" s="72">
        <v>4.0</v>
      </c>
      <c r="G16" s="72">
        <v>3.0</v>
      </c>
      <c r="H16" s="72">
        <v>3.0</v>
      </c>
      <c r="I16" s="72">
        <v>2.0</v>
      </c>
      <c r="J16" s="72">
        <v>0.0</v>
      </c>
      <c r="K16" s="72">
        <v>0.0</v>
      </c>
      <c r="L16" s="72">
        <v>0.0</v>
      </c>
    </row>
    <row r="17">
      <c r="A17" s="70" t="s">
        <v>95</v>
      </c>
      <c r="B17" s="70">
        <v>4.0</v>
      </c>
      <c r="C17" s="3">
        <v>37.0</v>
      </c>
      <c r="D17" s="72">
        <v>5.0</v>
      </c>
      <c r="E17" s="72">
        <v>4.0</v>
      </c>
      <c r="F17" s="72">
        <v>4.0</v>
      </c>
      <c r="G17" s="72">
        <v>4.0</v>
      </c>
      <c r="H17" s="72">
        <v>4.0</v>
      </c>
      <c r="I17" s="72">
        <v>4.0</v>
      </c>
      <c r="J17" s="72">
        <v>3.0</v>
      </c>
      <c r="K17" s="72">
        <v>3.0</v>
      </c>
      <c r="L17" s="72">
        <v>3.0</v>
      </c>
    </row>
    <row r="18">
      <c r="A18" s="70" t="s">
        <v>95</v>
      </c>
      <c r="B18" s="70">
        <v>4.0</v>
      </c>
      <c r="C18" s="3">
        <v>39.0</v>
      </c>
      <c r="D18" s="72">
        <v>5.0</v>
      </c>
      <c r="E18" s="72">
        <v>4.0</v>
      </c>
      <c r="F18" s="72">
        <v>4.0</v>
      </c>
      <c r="G18" s="72">
        <v>4.0</v>
      </c>
      <c r="H18" s="72">
        <v>4.0</v>
      </c>
      <c r="I18" s="72">
        <v>4.0</v>
      </c>
      <c r="J18" s="72">
        <v>3.0</v>
      </c>
      <c r="K18" s="72">
        <v>3.0</v>
      </c>
      <c r="L18" s="72">
        <v>3.0</v>
      </c>
    </row>
    <row r="19">
      <c r="A19" s="70" t="s">
        <v>95</v>
      </c>
      <c r="B19" s="70">
        <v>4.0</v>
      </c>
      <c r="C19" s="3">
        <v>42.0</v>
      </c>
      <c r="D19" s="72">
        <v>5.0</v>
      </c>
      <c r="E19" s="72">
        <v>4.0</v>
      </c>
      <c r="F19" s="72">
        <v>4.0</v>
      </c>
      <c r="G19" s="72">
        <v>4.0</v>
      </c>
      <c r="H19" s="72">
        <v>4.0</v>
      </c>
      <c r="I19" s="72">
        <v>4.0</v>
      </c>
      <c r="J19" s="72">
        <v>3.0</v>
      </c>
      <c r="K19" s="72">
        <v>3.0</v>
      </c>
      <c r="L19" s="72">
        <v>3.0</v>
      </c>
    </row>
    <row r="20">
      <c r="A20" s="70" t="s">
        <v>95</v>
      </c>
      <c r="B20" s="70">
        <v>0.0</v>
      </c>
      <c r="C20" s="3">
        <v>385.0</v>
      </c>
      <c r="D20" s="72">
        <v>5.0</v>
      </c>
      <c r="E20" s="72">
        <v>4.0</v>
      </c>
      <c r="F20" s="72">
        <v>4.0</v>
      </c>
      <c r="G20" s="72">
        <v>3.0</v>
      </c>
      <c r="H20" s="72">
        <v>3.0</v>
      </c>
      <c r="I20" s="72">
        <v>3.0</v>
      </c>
      <c r="J20" s="72">
        <v>2.0</v>
      </c>
      <c r="K20" s="72">
        <v>0.0</v>
      </c>
      <c r="L20" s="72">
        <v>0.0</v>
      </c>
    </row>
    <row r="21">
      <c r="A21" s="70" t="s">
        <v>95</v>
      </c>
      <c r="B21" s="70">
        <v>0.0</v>
      </c>
      <c r="C21" s="3">
        <v>390.0</v>
      </c>
      <c r="D21" s="72">
        <v>5.0</v>
      </c>
      <c r="E21" s="72">
        <v>4.0</v>
      </c>
      <c r="F21" s="72">
        <v>4.0</v>
      </c>
      <c r="G21" s="72">
        <v>3.0</v>
      </c>
      <c r="H21" s="72">
        <v>3.0</v>
      </c>
      <c r="I21" s="72">
        <v>2.0</v>
      </c>
      <c r="J21" s="72">
        <v>0.0</v>
      </c>
      <c r="K21" s="72">
        <v>0.0</v>
      </c>
      <c r="L21" s="72">
        <v>0.0</v>
      </c>
    </row>
    <row r="22">
      <c r="A22" s="70" t="s">
        <v>95</v>
      </c>
      <c r="B22" s="70">
        <v>0.0</v>
      </c>
      <c r="C22" s="3">
        <v>394.0</v>
      </c>
      <c r="D22" s="72">
        <v>5.0</v>
      </c>
      <c r="E22" s="72">
        <v>4.0</v>
      </c>
      <c r="F22" s="72">
        <v>4.0</v>
      </c>
      <c r="G22" s="72">
        <v>3.0</v>
      </c>
      <c r="H22" s="72">
        <v>3.0</v>
      </c>
      <c r="I22" s="72">
        <v>2.0</v>
      </c>
      <c r="J22" s="72">
        <v>0.0</v>
      </c>
      <c r="K22" s="72">
        <v>0.0</v>
      </c>
      <c r="L22" s="72">
        <v>0.0</v>
      </c>
    </row>
    <row r="23">
      <c r="A23" s="70" t="s">
        <v>96</v>
      </c>
      <c r="B23" s="70">
        <v>0.0</v>
      </c>
      <c r="C23" s="3">
        <v>400.0</v>
      </c>
      <c r="D23" s="72">
        <v>5.0</v>
      </c>
      <c r="E23" s="72">
        <v>4.0</v>
      </c>
      <c r="F23" s="72">
        <v>4.0</v>
      </c>
      <c r="G23" s="72">
        <v>3.0</v>
      </c>
      <c r="H23" s="72">
        <v>3.0</v>
      </c>
      <c r="I23" s="72">
        <v>3.0</v>
      </c>
      <c r="J23" s="72">
        <v>2.0</v>
      </c>
      <c r="K23" s="72">
        <v>0.0</v>
      </c>
      <c r="L23" s="72">
        <v>0.0</v>
      </c>
    </row>
    <row r="24">
      <c r="A24" s="70" t="s">
        <v>96</v>
      </c>
      <c r="B24" s="70">
        <v>0.0</v>
      </c>
      <c r="C24" s="3">
        <v>406.0</v>
      </c>
      <c r="D24" s="72">
        <v>5.0</v>
      </c>
      <c r="E24" s="72">
        <v>4.0</v>
      </c>
      <c r="F24" s="72">
        <v>4.0</v>
      </c>
      <c r="G24" s="72">
        <v>3.0</v>
      </c>
      <c r="H24" s="72">
        <v>3.0</v>
      </c>
      <c r="I24" s="72">
        <v>2.0</v>
      </c>
      <c r="J24" s="72">
        <v>0.0</v>
      </c>
      <c r="K24" s="72">
        <v>0.0</v>
      </c>
      <c r="L24" s="72">
        <v>0.0</v>
      </c>
    </row>
    <row r="25">
      <c r="A25" s="70" t="s">
        <v>96</v>
      </c>
      <c r="B25" s="70">
        <v>0.0</v>
      </c>
      <c r="C25" s="3">
        <v>411.0</v>
      </c>
      <c r="D25" s="72">
        <v>5.0</v>
      </c>
      <c r="E25" s="72">
        <v>4.0</v>
      </c>
      <c r="F25" s="72">
        <v>4.0</v>
      </c>
      <c r="G25" s="72">
        <v>3.0</v>
      </c>
      <c r="H25" s="72">
        <v>3.0</v>
      </c>
      <c r="I25" s="72">
        <v>2.0</v>
      </c>
      <c r="J25" s="72">
        <v>0.0</v>
      </c>
      <c r="K25" s="72">
        <v>0.0</v>
      </c>
      <c r="L25" s="72">
        <v>0.0</v>
      </c>
    </row>
    <row r="26">
      <c r="A26" s="70" t="s">
        <v>97</v>
      </c>
      <c r="B26" s="70">
        <v>0.0</v>
      </c>
      <c r="C26" s="3">
        <v>420.0</v>
      </c>
      <c r="D26" s="72">
        <v>5.0</v>
      </c>
      <c r="E26" s="72">
        <v>4.0</v>
      </c>
      <c r="F26" s="72">
        <v>4.0</v>
      </c>
      <c r="G26" s="72">
        <v>3.0</v>
      </c>
      <c r="H26" s="72">
        <v>3.0</v>
      </c>
      <c r="I26" s="72">
        <v>3.0</v>
      </c>
      <c r="J26" s="72">
        <v>2.0</v>
      </c>
      <c r="K26" s="72">
        <v>1.0</v>
      </c>
      <c r="L26" s="72">
        <v>0.0</v>
      </c>
    </row>
    <row r="27">
      <c r="A27" s="70" t="s">
        <v>97</v>
      </c>
      <c r="B27" s="70">
        <v>0.0</v>
      </c>
      <c r="C27" s="3">
        <v>426.0</v>
      </c>
      <c r="D27" s="72">
        <v>5.0</v>
      </c>
      <c r="E27" s="72">
        <v>4.0</v>
      </c>
      <c r="F27" s="72">
        <v>4.0</v>
      </c>
      <c r="G27" s="72">
        <v>3.0</v>
      </c>
      <c r="H27" s="72">
        <v>3.0</v>
      </c>
      <c r="I27" s="72">
        <v>2.0</v>
      </c>
      <c r="J27" s="72">
        <v>0.0</v>
      </c>
      <c r="K27" s="72">
        <v>0.0</v>
      </c>
      <c r="L27" s="72">
        <v>0.0</v>
      </c>
    </row>
    <row r="28">
      <c r="A28" s="70" t="s">
        <v>97</v>
      </c>
      <c r="B28" s="70">
        <v>0.0</v>
      </c>
      <c r="C28" s="3">
        <v>431.0</v>
      </c>
      <c r="D28" s="72">
        <v>5.0</v>
      </c>
      <c r="E28" s="72">
        <v>4.0</v>
      </c>
      <c r="F28" s="72">
        <v>4.0</v>
      </c>
      <c r="G28" s="72">
        <v>3.0</v>
      </c>
      <c r="H28" s="72">
        <v>3.0</v>
      </c>
      <c r="I28" s="72">
        <v>2.0</v>
      </c>
      <c r="J28" s="72">
        <v>0.0</v>
      </c>
      <c r="K28" s="72">
        <v>0.0</v>
      </c>
      <c r="L28" s="72">
        <v>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3" max="3" width="4.67"/>
  </cols>
  <sheetData>
    <row r="1">
      <c r="A1" s="72" t="s">
        <v>98</v>
      </c>
      <c r="B1" s="17" t="s">
        <v>92</v>
      </c>
      <c r="C1" s="73" t="s">
        <v>88</v>
      </c>
      <c r="D1" s="72" t="s">
        <v>99</v>
      </c>
      <c r="E1" s="72" t="s">
        <v>100</v>
      </c>
    </row>
    <row r="2">
      <c r="A2" s="17" t="s">
        <v>94</v>
      </c>
      <c r="B2" s="17">
        <v>2.0</v>
      </c>
      <c r="C2" s="73">
        <v>5.0</v>
      </c>
      <c r="D2" s="74">
        <v>45601.0</v>
      </c>
      <c r="E2" s="72">
        <v>5.0</v>
      </c>
    </row>
    <row r="3">
      <c r="A3" s="17" t="s">
        <v>94</v>
      </c>
      <c r="B3" s="17">
        <v>2.0</v>
      </c>
      <c r="C3" s="73">
        <v>6.0</v>
      </c>
      <c r="D3" s="74">
        <v>45601.0</v>
      </c>
      <c r="E3" s="72">
        <v>5.0</v>
      </c>
    </row>
    <row r="4">
      <c r="A4" s="17" t="s">
        <v>94</v>
      </c>
      <c r="B4" s="17">
        <v>2.0</v>
      </c>
      <c r="C4" s="73">
        <v>7.0</v>
      </c>
      <c r="D4" s="74">
        <v>45601.0</v>
      </c>
      <c r="E4" s="72">
        <v>5.0</v>
      </c>
    </row>
    <row r="5">
      <c r="A5" s="17" t="s">
        <v>94</v>
      </c>
      <c r="B5" s="17">
        <v>4.0</v>
      </c>
      <c r="C5" s="73">
        <v>9.0</v>
      </c>
      <c r="D5" s="74">
        <v>45601.0</v>
      </c>
      <c r="E5" s="72">
        <v>5.0</v>
      </c>
    </row>
    <row r="6">
      <c r="A6" s="17" t="s">
        <v>94</v>
      </c>
      <c r="B6" s="17">
        <v>4.0</v>
      </c>
      <c r="C6" s="73">
        <v>10.0</v>
      </c>
      <c r="D6" s="74">
        <v>45601.0</v>
      </c>
      <c r="E6" s="72">
        <v>5.0</v>
      </c>
    </row>
    <row r="7">
      <c r="A7" s="17" t="s">
        <v>94</v>
      </c>
      <c r="B7" s="17">
        <v>4.0</v>
      </c>
      <c r="C7" s="73">
        <v>11.0</v>
      </c>
      <c r="D7" s="74">
        <v>45601.0</v>
      </c>
      <c r="E7" s="72">
        <v>5.0</v>
      </c>
    </row>
    <row r="8">
      <c r="A8" s="17" t="s">
        <v>94</v>
      </c>
      <c r="B8" s="17">
        <v>10.0</v>
      </c>
      <c r="C8" s="73">
        <v>13.0</v>
      </c>
      <c r="D8" s="74">
        <v>45601.0</v>
      </c>
      <c r="E8" s="72">
        <v>5.0</v>
      </c>
    </row>
    <row r="9">
      <c r="A9" s="17" t="s">
        <v>94</v>
      </c>
      <c r="B9" s="17">
        <v>10.0</v>
      </c>
      <c r="C9" s="73">
        <v>14.0</v>
      </c>
      <c r="D9" s="74">
        <v>45601.0</v>
      </c>
      <c r="E9" s="72">
        <v>5.0</v>
      </c>
    </row>
    <row r="10">
      <c r="A10" s="17" t="s">
        <v>94</v>
      </c>
      <c r="B10" s="17">
        <v>10.0</v>
      </c>
      <c r="C10" s="73">
        <v>15.0</v>
      </c>
      <c r="D10" s="74">
        <v>45601.0</v>
      </c>
      <c r="E10" s="72">
        <v>5.0</v>
      </c>
    </row>
    <row r="11">
      <c r="A11" s="17" t="s">
        <v>94</v>
      </c>
      <c r="B11" s="17">
        <v>15.0</v>
      </c>
      <c r="C11" s="73">
        <v>21.0</v>
      </c>
      <c r="D11" s="74">
        <v>45601.0</v>
      </c>
      <c r="E11" s="72">
        <v>5.0</v>
      </c>
    </row>
    <row r="12">
      <c r="A12" s="17" t="s">
        <v>94</v>
      </c>
      <c r="B12" s="17">
        <v>15.0</v>
      </c>
      <c r="C12" s="73">
        <v>22.0</v>
      </c>
      <c r="D12" s="74">
        <v>45601.0</v>
      </c>
      <c r="E12" s="72">
        <v>5.0</v>
      </c>
    </row>
    <row r="13">
      <c r="A13" s="17" t="s">
        <v>94</v>
      </c>
      <c r="B13" s="17">
        <v>15.0</v>
      </c>
      <c r="C13" s="73">
        <v>23.0</v>
      </c>
      <c r="D13" s="74">
        <v>45601.0</v>
      </c>
      <c r="E13" s="72">
        <v>5.0</v>
      </c>
    </row>
    <row r="14">
      <c r="A14" s="17" t="s">
        <v>95</v>
      </c>
      <c r="B14" s="17">
        <v>2.0</v>
      </c>
      <c r="C14" s="73">
        <v>29.0</v>
      </c>
      <c r="D14" s="74">
        <v>45601.0</v>
      </c>
      <c r="E14" s="72">
        <v>5.0</v>
      </c>
    </row>
    <row r="15">
      <c r="A15" s="17" t="s">
        <v>95</v>
      </c>
      <c r="B15" s="17">
        <v>2.0</v>
      </c>
      <c r="C15" s="73">
        <v>31.0</v>
      </c>
      <c r="D15" s="74">
        <v>45601.0</v>
      </c>
      <c r="E15" s="72">
        <v>5.0</v>
      </c>
    </row>
    <row r="16">
      <c r="A16" s="17" t="s">
        <v>95</v>
      </c>
      <c r="B16" s="17">
        <v>2.0</v>
      </c>
      <c r="C16" s="73">
        <v>34.0</v>
      </c>
      <c r="D16" s="74">
        <v>45601.0</v>
      </c>
      <c r="E16" s="72">
        <v>5.0</v>
      </c>
    </row>
    <row r="17">
      <c r="A17" s="17" t="s">
        <v>95</v>
      </c>
      <c r="B17" s="17">
        <v>4.0</v>
      </c>
      <c r="C17" s="73">
        <v>37.0</v>
      </c>
      <c r="D17" s="74">
        <v>45601.0</v>
      </c>
      <c r="E17" s="72">
        <v>5.0</v>
      </c>
    </row>
    <row r="18">
      <c r="A18" s="17" t="s">
        <v>95</v>
      </c>
      <c r="B18" s="17">
        <v>4.0</v>
      </c>
      <c r="C18" s="73">
        <v>39.0</v>
      </c>
      <c r="D18" s="74">
        <v>45601.0</v>
      </c>
      <c r="E18" s="72">
        <v>5.0</v>
      </c>
    </row>
    <row r="19">
      <c r="A19" s="17" t="s">
        <v>95</v>
      </c>
      <c r="B19" s="17">
        <v>4.0</v>
      </c>
      <c r="C19" s="73">
        <v>42.0</v>
      </c>
      <c r="D19" s="74">
        <v>45601.0</v>
      </c>
      <c r="E19" s="72">
        <v>5.0</v>
      </c>
    </row>
    <row r="20">
      <c r="A20" s="17" t="s">
        <v>95</v>
      </c>
      <c r="B20" s="17">
        <v>0.0</v>
      </c>
      <c r="C20" s="73">
        <v>385.0</v>
      </c>
      <c r="D20" s="74">
        <v>45601.0</v>
      </c>
      <c r="E20" s="72">
        <v>5.0</v>
      </c>
    </row>
    <row r="21">
      <c r="A21" s="17" t="s">
        <v>95</v>
      </c>
      <c r="B21" s="17">
        <v>0.0</v>
      </c>
      <c r="C21" s="73">
        <v>390.0</v>
      </c>
      <c r="D21" s="74">
        <v>45601.0</v>
      </c>
      <c r="E21" s="72">
        <v>5.0</v>
      </c>
    </row>
    <row r="22">
      <c r="A22" s="17" t="s">
        <v>95</v>
      </c>
      <c r="B22" s="17">
        <v>0.0</v>
      </c>
      <c r="C22" s="73">
        <v>394.0</v>
      </c>
      <c r="D22" s="74">
        <v>45601.0</v>
      </c>
      <c r="E22" s="72">
        <v>5.0</v>
      </c>
    </row>
    <row r="23">
      <c r="A23" s="17" t="s">
        <v>96</v>
      </c>
      <c r="B23" s="17">
        <v>0.0</v>
      </c>
      <c r="C23" s="73">
        <v>400.0</v>
      </c>
      <c r="D23" s="74">
        <v>45601.0</v>
      </c>
      <c r="E23" s="72">
        <v>5.0</v>
      </c>
    </row>
    <row r="24">
      <c r="A24" s="17" t="s">
        <v>96</v>
      </c>
      <c r="B24" s="17">
        <v>0.0</v>
      </c>
      <c r="C24" s="73">
        <v>406.0</v>
      </c>
      <c r="D24" s="74">
        <v>45601.0</v>
      </c>
      <c r="E24" s="72">
        <v>5.0</v>
      </c>
    </row>
    <row r="25">
      <c r="A25" s="17" t="s">
        <v>96</v>
      </c>
      <c r="B25" s="17">
        <v>0.0</v>
      </c>
      <c r="C25" s="73">
        <v>411.0</v>
      </c>
      <c r="D25" s="74">
        <v>45601.0</v>
      </c>
      <c r="E25" s="72">
        <v>5.0</v>
      </c>
    </row>
    <row r="26">
      <c r="A26" s="17" t="s">
        <v>97</v>
      </c>
      <c r="B26" s="17">
        <v>0.0</v>
      </c>
      <c r="C26" s="73">
        <v>420.0</v>
      </c>
      <c r="D26" s="74">
        <v>45601.0</v>
      </c>
      <c r="E26" s="72">
        <v>5.0</v>
      </c>
    </row>
    <row r="27">
      <c r="A27" s="17" t="s">
        <v>97</v>
      </c>
      <c r="B27" s="17">
        <v>0.0</v>
      </c>
      <c r="C27" s="73">
        <v>426.0</v>
      </c>
      <c r="D27" s="74">
        <v>45601.0</v>
      </c>
      <c r="E27" s="72">
        <v>5.0</v>
      </c>
    </row>
    <row r="28">
      <c r="A28" s="17" t="s">
        <v>97</v>
      </c>
      <c r="B28" s="17">
        <v>0.0</v>
      </c>
      <c r="C28" s="73">
        <v>431.0</v>
      </c>
      <c r="D28" s="74">
        <v>45601.0</v>
      </c>
      <c r="E28" s="72">
        <v>5.0</v>
      </c>
    </row>
    <row r="29">
      <c r="A29" s="17" t="s">
        <v>94</v>
      </c>
      <c r="B29" s="17">
        <v>2.0</v>
      </c>
      <c r="C29" s="73">
        <v>5.0</v>
      </c>
      <c r="D29" s="74">
        <v>45608.0</v>
      </c>
      <c r="E29" s="72">
        <v>4.0</v>
      </c>
    </row>
    <row r="30">
      <c r="A30" s="17" t="s">
        <v>94</v>
      </c>
      <c r="B30" s="17">
        <v>2.0</v>
      </c>
      <c r="C30" s="73">
        <v>6.0</v>
      </c>
      <c r="D30" s="74">
        <v>45608.0</v>
      </c>
      <c r="E30" s="72">
        <v>4.0</v>
      </c>
    </row>
    <row r="31">
      <c r="A31" s="17" t="s">
        <v>94</v>
      </c>
      <c r="B31" s="17">
        <v>2.0</v>
      </c>
      <c r="C31" s="73">
        <v>7.0</v>
      </c>
      <c r="D31" s="74">
        <v>45608.0</v>
      </c>
      <c r="E31" s="72">
        <v>4.0</v>
      </c>
    </row>
    <row r="32">
      <c r="A32" s="17" t="s">
        <v>94</v>
      </c>
      <c r="B32" s="17">
        <v>4.0</v>
      </c>
      <c r="C32" s="73">
        <v>9.0</v>
      </c>
      <c r="D32" s="74">
        <v>45608.0</v>
      </c>
      <c r="E32" s="72">
        <v>4.0</v>
      </c>
    </row>
    <row r="33">
      <c r="A33" s="17" t="s">
        <v>94</v>
      </c>
      <c r="B33" s="17">
        <v>4.0</v>
      </c>
      <c r="C33" s="73">
        <v>10.0</v>
      </c>
      <c r="D33" s="74">
        <v>45608.0</v>
      </c>
      <c r="E33" s="72">
        <v>4.0</v>
      </c>
    </row>
    <row r="34">
      <c r="A34" s="17" t="s">
        <v>94</v>
      </c>
      <c r="B34" s="17">
        <v>4.0</v>
      </c>
      <c r="C34" s="73">
        <v>11.0</v>
      </c>
      <c r="D34" s="74">
        <v>45608.0</v>
      </c>
      <c r="E34" s="72">
        <v>4.0</v>
      </c>
    </row>
    <row r="35">
      <c r="A35" s="17" t="s">
        <v>94</v>
      </c>
      <c r="B35" s="17">
        <v>10.0</v>
      </c>
      <c r="C35" s="73">
        <v>13.0</v>
      </c>
      <c r="D35" s="74">
        <v>45608.0</v>
      </c>
      <c r="E35" s="72">
        <v>4.0</v>
      </c>
    </row>
    <row r="36">
      <c r="A36" s="17" t="s">
        <v>94</v>
      </c>
      <c r="B36" s="17">
        <v>10.0</v>
      </c>
      <c r="C36" s="73">
        <v>14.0</v>
      </c>
      <c r="D36" s="74">
        <v>45608.0</v>
      </c>
      <c r="E36" s="72">
        <v>4.0</v>
      </c>
    </row>
    <row r="37">
      <c r="A37" s="17" t="s">
        <v>94</v>
      </c>
      <c r="B37" s="17">
        <v>10.0</v>
      </c>
      <c r="C37" s="73">
        <v>15.0</v>
      </c>
      <c r="D37" s="74">
        <v>45608.0</v>
      </c>
      <c r="E37" s="72">
        <v>4.0</v>
      </c>
    </row>
    <row r="38">
      <c r="A38" s="17" t="s">
        <v>94</v>
      </c>
      <c r="B38" s="17">
        <v>15.0</v>
      </c>
      <c r="C38" s="73">
        <v>21.0</v>
      </c>
      <c r="D38" s="74">
        <v>45608.0</v>
      </c>
      <c r="E38" s="72">
        <v>4.0</v>
      </c>
    </row>
    <row r="39">
      <c r="A39" s="17" t="s">
        <v>94</v>
      </c>
      <c r="B39" s="17">
        <v>15.0</v>
      </c>
      <c r="C39" s="73">
        <v>22.0</v>
      </c>
      <c r="D39" s="74">
        <v>45608.0</v>
      </c>
      <c r="E39" s="72">
        <v>4.0</v>
      </c>
    </row>
    <row r="40">
      <c r="A40" s="17" t="s">
        <v>94</v>
      </c>
      <c r="B40" s="17">
        <v>15.0</v>
      </c>
      <c r="C40" s="73">
        <v>23.0</v>
      </c>
      <c r="D40" s="74">
        <v>45608.0</v>
      </c>
      <c r="E40" s="72">
        <v>4.0</v>
      </c>
    </row>
    <row r="41">
      <c r="A41" s="17" t="s">
        <v>95</v>
      </c>
      <c r="B41" s="17">
        <v>2.0</v>
      </c>
      <c r="C41" s="73">
        <v>29.0</v>
      </c>
      <c r="D41" s="74">
        <v>45608.0</v>
      </c>
      <c r="E41" s="72">
        <v>4.0</v>
      </c>
    </row>
    <row r="42">
      <c r="A42" s="17" t="s">
        <v>95</v>
      </c>
      <c r="B42" s="17">
        <v>2.0</v>
      </c>
      <c r="C42" s="73">
        <v>31.0</v>
      </c>
      <c r="D42" s="74">
        <v>45608.0</v>
      </c>
      <c r="E42" s="72">
        <v>4.0</v>
      </c>
    </row>
    <row r="43">
      <c r="A43" s="17" t="s">
        <v>95</v>
      </c>
      <c r="B43" s="17">
        <v>2.0</v>
      </c>
      <c r="C43" s="73">
        <v>34.0</v>
      </c>
      <c r="D43" s="74">
        <v>45608.0</v>
      </c>
      <c r="E43" s="72">
        <v>4.0</v>
      </c>
    </row>
    <row r="44">
      <c r="A44" s="17" t="s">
        <v>95</v>
      </c>
      <c r="B44" s="17">
        <v>4.0</v>
      </c>
      <c r="C44" s="73">
        <v>37.0</v>
      </c>
      <c r="D44" s="74">
        <v>45608.0</v>
      </c>
      <c r="E44" s="72">
        <v>4.0</v>
      </c>
    </row>
    <row r="45">
      <c r="A45" s="17" t="s">
        <v>95</v>
      </c>
      <c r="B45" s="17">
        <v>4.0</v>
      </c>
      <c r="C45" s="73">
        <v>39.0</v>
      </c>
      <c r="D45" s="74">
        <v>45608.0</v>
      </c>
      <c r="E45" s="72">
        <v>4.0</v>
      </c>
    </row>
    <row r="46">
      <c r="A46" s="17" t="s">
        <v>95</v>
      </c>
      <c r="B46" s="17">
        <v>4.0</v>
      </c>
      <c r="C46" s="73">
        <v>42.0</v>
      </c>
      <c r="D46" s="74">
        <v>45608.0</v>
      </c>
      <c r="E46" s="72">
        <v>4.0</v>
      </c>
    </row>
    <row r="47">
      <c r="A47" s="17" t="s">
        <v>95</v>
      </c>
      <c r="B47" s="17">
        <v>0.0</v>
      </c>
      <c r="C47" s="73">
        <v>385.0</v>
      </c>
      <c r="D47" s="74">
        <v>45608.0</v>
      </c>
      <c r="E47" s="72">
        <v>4.0</v>
      </c>
    </row>
    <row r="48">
      <c r="A48" s="17" t="s">
        <v>95</v>
      </c>
      <c r="B48" s="17">
        <v>0.0</v>
      </c>
      <c r="C48" s="73">
        <v>390.0</v>
      </c>
      <c r="D48" s="74">
        <v>45608.0</v>
      </c>
      <c r="E48" s="72">
        <v>4.0</v>
      </c>
    </row>
    <row r="49">
      <c r="A49" s="17" t="s">
        <v>95</v>
      </c>
      <c r="B49" s="17">
        <v>0.0</v>
      </c>
      <c r="C49" s="73">
        <v>394.0</v>
      </c>
      <c r="D49" s="74">
        <v>45608.0</v>
      </c>
      <c r="E49" s="72">
        <v>4.0</v>
      </c>
    </row>
    <row r="50">
      <c r="A50" s="17" t="s">
        <v>96</v>
      </c>
      <c r="B50" s="17">
        <v>0.0</v>
      </c>
      <c r="C50" s="73">
        <v>400.0</v>
      </c>
      <c r="D50" s="74">
        <v>45608.0</v>
      </c>
      <c r="E50" s="72">
        <v>4.0</v>
      </c>
    </row>
    <row r="51">
      <c r="A51" s="17" t="s">
        <v>96</v>
      </c>
      <c r="B51" s="17">
        <v>0.0</v>
      </c>
      <c r="C51" s="73">
        <v>406.0</v>
      </c>
      <c r="D51" s="74">
        <v>45608.0</v>
      </c>
      <c r="E51" s="72">
        <v>4.0</v>
      </c>
    </row>
    <row r="52">
      <c r="A52" s="17" t="s">
        <v>96</v>
      </c>
      <c r="B52" s="17">
        <v>0.0</v>
      </c>
      <c r="C52" s="73">
        <v>411.0</v>
      </c>
      <c r="D52" s="74">
        <v>45608.0</v>
      </c>
      <c r="E52" s="72">
        <v>4.0</v>
      </c>
    </row>
    <row r="53">
      <c r="A53" s="17" t="s">
        <v>97</v>
      </c>
      <c r="B53" s="17">
        <v>0.0</v>
      </c>
      <c r="C53" s="73">
        <v>420.0</v>
      </c>
      <c r="D53" s="74">
        <v>45608.0</v>
      </c>
      <c r="E53" s="72">
        <v>4.0</v>
      </c>
    </row>
    <row r="54">
      <c r="A54" s="17" t="s">
        <v>97</v>
      </c>
      <c r="B54" s="17">
        <v>0.0</v>
      </c>
      <c r="C54" s="73">
        <v>426.0</v>
      </c>
      <c r="D54" s="74">
        <v>45608.0</v>
      </c>
      <c r="E54" s="72">
        <v>4.0</v>
      </c>
    </row>
    <row r="55">
      <c r="A55" s="17" t="s">
        <v>97</v>
      </c>
      <c r="B55" s="17">
        <v>0.0</v>
      </c>
      <c r="C55" s="73">
        <v>431.0</v>
      </c>
      <c r="D55" s="74">
        <v>45608.0</v>
      </c>
      <c r="E55" s="72">
        <v>4.0</v>
      </c>
    </row>
    <row r="56">
      <c r="A56" s="17" t="s">
        <v>94</v>
      </c>
      <c r="B56" s="17">
        <v>2.0</v>
      </c>
      <c r="C56" s="73">
        <v>5.0</v>
      </c>
      <c r="D56" s="74">
        <v>45615.0</v>
      </c>
      <c r="E56" s="72">
        <v>3.0</v>
      </c>
    </row>
    <row r="57">
      <c r="A57" s="17" t="s">
        <v>94</v>
      </c>
      <c r="B57" s="17">
        <v>2.0</v>
      </c>
      <c r="C57" s="73">
        <v>6.0</v>
      </c>
      <c r="D57" s="74">
        <v>45615.0</v>
      </c>
      <c r="E57" s="72">
        <v>3.0</v>
      </c>
    </row>
    <row r="58">
      <c r="A58" s="17" t="s">
        <v>94</v>
      </c>
      <c r="B58" s="17">
        <v>2.0</v>
      </c>
      <c r="C58" s="73">
        <v>7.0</v>
      </c>
      <c r="D58" s="74">
        <v>45615.0</v>
      </c>
      <c r="E58" s="72">
        <v>3.0</v>
      </c>
    </row>
    <row r="59">
      <c r="A59" s="17" t="s">
        <v>94</v>
      </c>
      <c r="B59" s="17">
        <v>4.0</v>
      </c>
      <c r="C59" s="73">
        <v>9.0</v>
      </c>
      <c r="D59" s="74">
        <v>45615.0</v>
      </c>
      <c r="E59" s="72">
        <v>3.0</v>
      </c>
    </row>
    <row r="60">
      <c r="A60" s="17" t="s">
        <v>94</v>
      </c>
      <c r="B60" s="17">
        <v>4.0</v>
      </c>
      <c r="C60" s="73">
        <v>10.0</v>
      </c>
      <c r="D60" s="74">
        <v>45615.0</v>
      </c>
      <c r="E60" s="72">
        <v>3.0</v>
      </c>
    </row>
    <row r="61">
      <c r="A61" s="17" t="s">
        <v>94</v>
      </c>
      <c r="B61" s="17">
        <v>4.0</v>
      </c>
      <c r="C61" s="73">
        <v>11.0</v>
      </c>
      <c r="D61" s="74">
        <v>45615.0</v>
      </c>
      <c r="E61" s="72">
        <v>3.0</v>
      </c>
    </row>
    <row r="62">
      <c r="A62" s="17" t="s">
        <v>94</v>
      </c>
      <c r="B62" s="17">
        <v>10.0</v>
      </c>
      <c r="C62" s="73">
        <v>13.0</v>
      </c>
      <c r="D62" s="74">
        <v>45615.0</v>
      </c>
      <c r="E62" s="72">
        <v>4.0</v>
      </c>
    </row>
    <row r="63">
      <c r="A63" s="17" t="s">
        <v>94</v>
      </c>
      <c r="B63" s="17">
        <v>10.0</v>
      </c>
      <c r="C63" s="73">
        <v>14.0</v>
      </c>
      <c r="D63" s="74">
        <v>45615.0</v>
      </c>
      <c r="E63" s="72">
        <v>4.0</v>
      </c>
    </row>
    <row r="64">
      <c r="A64" s="17" t="s">
        <v>94</v>
      </c>
      <c r="B64" s="17">
        <v>10.0</v>
      </c>
      <c r="C64" s="73">
        <v>15.0</v>
      </c>
      <c r="D64" s="74">
        <v>45615.0</v>
      </c>
      <c r="E64" s="72">
        <v>4.0</v>
      </c>
    </row>
    <row r="65">
      <c r="A65" s="17" t="s">
        <v>94</v>
      </c>
      <c r="B65" s="17">
        <v>15.0</v>
      </c>
      <c r="C65" s="73">
        <v>21.0</v>
      </c>
      <c r="D65" s="74">
        <v>45615.0</v>
      </c>
      <c r="E65" s="72">
        <v>4.0</v>
      </c>
    </row>
    <row r="66">
      <c r="A66" s="17" t="s">
        <v>94</v>
      </c>
      <c r="B66" s="17">
        <v>15.0</v>
      </c>
      <c r="C66" s="73">
        <v>22.0</v>
      </c>
      <c r="D66" s="74">
        <v>45615.0</v>
      </c>
      <c r="E66" s="72">
        <v>4.0</v>
      </c>
    </row>
    <row r="67">
      <c r="A67" s="17" t="s">
        <v>94</v>
      </c>
      <c r="B67" s="17">
        <v>15.0</v>
      </c>
      <c r="C67" s="73">
        <v>23.0</v>
      </c>
      <c r="D67" s="74">
        <v>45615.0</v>
      </c>
      <c r="E67" s="72">
        <v>4.0</v>
      </c>
    </row>
    <row r="68">
      <c r="A68" s="17" t="s">
        <v>95</v>
      </c>
      <c r="B68" s="17">
        <v>2.0</v>
      </c>
      <c r="C68" s="73">
        <v>29.0</v>
      </c>
      <c r="D68" s="74">
        <v>45615.0</v>
      </c>
      <c r="E68" s="72">
        <v>4.0</v>
      </c>
    </row>
    <row r="69">
      <c r="A69" s="17" t="s">
        <v>95</v>
      </c>
      <c r="B69" s="17">
        <v>2.0</v>
      </c>
      <c r="C69" s="73">
        <v>31.0</v>
      </c>
      <c r="D69" s="74">
        <v>45615.0</v>
      </c>
      <c r="E69" s="72">
        <v>4.0</v>
      </c>
    </row>
    <row r="70">
      <c r="A70" s="17" t="s">
        <v>95</v>
      </c>
      <c r="B70" s="17">
        <v>2.0</v>
      </c>
      <c r="C70" s="73">
        <v>34.0</v>
      </c>
      <c r="D70" s="74">
        <v>45615.0</v>
      </c>
      <c r="E70" s="72">
        <v>4.0</v>
      </c>
    </row>
    <row r="71">
      <c r="A71" s="17" t="s">
        <v>95</v>
      </c>
      <c r="B71" s="17">
        <v>4.0</v>
      </c>
      <c r="C71" s="73">
        <v>37.0</v>
      </c>
      <c r="D71" s="74">
        <v>45615.0</v>
      </c>
      <c r="E71" s="72">
        <v>4.0</v>
      </c>
    </row>
    <row r="72">
      <c r="A72" s="17" t="s">
        <v>95</v>
      </c>
      <c r="B72" s="17">
        <v>4.0</v>
      </c>
      <c r="C72" s="73">
        <v>39.0</v>
      </c>
      <c r="D72" s="74">
        <v>45615.0</v>
      </c>
      <c r="E72" s="72">
        <v>4.0</v>
      </c>
    </row>
    <row r="73">
      <c r="A73" s="17" t="s">
        <v>95</v>
      </c>
      <c r="B73" s="17">
        <v>4.0</v>
      </c>
      <c r="C73" s="73">
        <v>42.0</v>
      </c>
      <c r="D73" s="74">
        <v>45615.0</v>
      </c>
      <c r="E73" s="72">
        <v>4.0</v>
      </c>
    </row>
    <row r="74">
      <c r="A74" s="17" t="s">
        <v>95</v>
      </c>
      <c r="B74" s="17">
        <v>0.0</v>
      </c>
      <c r="C74" s="73">
        <v>385.0</v>
      </c>
      <c r="D74" s="74">
        <v>45615.0</v>
      </c>
      <c r="E74" s="72">
        <v>4.0</v>
      </c>
    </row>
    <row r="75">
      <c r="A75" s="17" t="s">
        <v>95</v>
      </c>
      <c r="B75" s="17">
        <v>0.0</v>
      </c>
      <c r="C75" s="73">
        <v>390.0</v>
      </c>
      <c r="D75" s="74">
        <v>45615.0</v>
      </c>
      <c r="E75" s="72">
        <v>4.0</v>
      </c>
    </row>
    <row r="76">
      <c r="A76" s="17" t="s">
        <v>95</v>
      </c>
      <c r="B76" s="17">
        <v>0.0</v>
      </c>
      <c r="C76" s="73">
        <v>394.0</v>
      </c>
      <c r="D76" s="74">
        <v>45615.0</v>
      </c>
      <c r="E76" s="72">
        <v>4.0</v>
      </c>
    </row>
    <row r="77">
      <c r="A77" s="17" t="s">
        <v>96</v>
      </c>
      <c r="B77" s="17">
        <v>0.0</v>
      </c>
      <c r="C77" s="73">
        <v>400.0</v>
      </c>
      <c r="D77" s="74">
        <v>45615.0</v>
      </c>
      <c r="E77" s="72">
        <v>4.0</v>
      </c>
    </row>
    <row r="78">
      <c r="A78" s="17" t="s">
        <v>96</v>
      </c>
      <c r="B78" s="17">
        <v>0.0</v>
      </c>
      <c r="C78" s="73">
        <v>406.0</v>
      </c>
      <c r="D78" s="74">
        <v>45615.0</v>
      </c>
      <c r="E78" s="72">
        <v>4.0</v>
      </c>
    </row>
    <row r="79">
      <c r="A79" s="17" t="s">
        <v>96</v>
      </c>
      <c r="B79" s="17">
        <v>0.0</v>
      </c>
      <c r="C79" s="73">
        <v>411.0</v>
      </c>
      <c r="D79" s="74">
        <v>45615.0</v>
      </c>
      <c r="E79" s="72">
        <v>4.0</v>
      </c>
    </row>
    <row r="80">
      <c r="A80" s="17" t="s">
        <v>97</v>
      </c>
      <c r="B80" s="17">
        <v>0.0</v>
      </c>
      <c r="C80" s="73">
        <v>420.0</v>
      </c>
      <c r="D80" s="74">
        <v>45615.0</v>
      </c>
      <c r="E80" s="72">
        <v>4.0</v>
      </c>
    </row>
    <row r="81">
      <c r="A81" s="17" t="s">
        <v>97</v>
      </c>
      <c r="B81" s="17">
        <v>0.0</v>
      </c>
      <c r="C81" s="73">
        <v>426.0</v>
      </c>
      <c r="D81" s="74">
        <v>45615.0</v>
      </c>
      <c r="E81" s="72">
        <v>4.0</v>
      </c>
    </row>
    <row r="82">
      <c r="A82" s="17" t="s">
        <v>97</v>
      </c>
      <c r="B82" s="17">
        <v>0.0</v>
      </c>
      <c r="C82" s="73">
        <v>431.0</v>
      </c>
      <c r="D82" s="74">
        <v>45615.0</v>
      </c>
      <c r="E82" s="72">
        <v>4.0</v>
      </c>
    </row>
    <row r="83">
      <c r="A83" s="17" t="s">
        <v>94</v>
      </c>
      <c r="B83" s="17">
        <v>2.0</v>
      </c>
      <c r="C83" s="73">
        <v>5.0</v>
      </c>
      <c r="D83" s="74">
        <v>45622.0</v>
      </c>
      <c r="E83" s="72">
        <v>2.0</v>
      </c>
    </row>
    <row r="84">
      <c r="A84" s="17" t="s">
        <v>94</v>
      </c>
      <c r="B84" s="17">
        <v>2.0</v>
      </c>
      <c r="C84" s="73">
        <v>6.0</v>
      </c>
      <c r="D84" s="74">
        <v>45622.0</v>
      </c>
      <c r="E84" s="72">
        <v>2.0</v>
      </c>
    </row>
    <row r="85">
      <c r="A85" s="17" t="s">
        <v>94</v>
      </c>
      <c r="B85" s="17">
        <v>2.0</v>
      </c>
      <c r="C85" s="73">
        <v>7.0</v>
      </c>
      <c r="D85" s="74">
        <v>45622.0</v>
      </c>
      <c r="E85" s="72">
        <v>2.0</v>
      </c>
    </row>
    <row r="86">
      <c r="A86" s="17" t="s">
        <v>94</v>
      </c>
      <c r="B86" s="17">
        <v>4.0</v>
      </c>
      <c r="C86" s="73">
        <v>9.0</v>
      </c>
      <c r="D86" s="74">
        <v>45622.0</v>
      </c>
      <c r="E86" s="72">
        <v>2.0</v>
      </c>
    </row>
    <row r="87">
      <c r="A87" s="17" t="s">
        <v>94</v>
      </c>
      <c r="B87" s="17">
        <v>4.0</v>
      </c>
      <c r="C87" s="73">
        <v>10.0</v>
      </c>
      <c r="D87" s="74">
        <v>45622.0</v>
      </c>
      <c r="E87" s="72">
        <v>2.0</v>
      </c>
    </row>
    <row r="88">
      <c r="A88" s="17" t="s">
        <v>94</v>
      </c>
      <c r="B88" s="17">
        <v>4.0</v>
      </c>
      <c r="C88" s="73">
        <v>11.0</v>
      </c>
      <c r="D88" s="74">
        <v>45622.0</v>
      </c>
      <c r="E88" s="72">
        <v>2.0</v>
      </c>
    </row>
    <row r="89">
      <c r="A89" s="17" t="s">
        <v>94</v>
      </c>
      <c r="B89" s="17">
        <v>10.0</v>
      </c>
      <c r="C89" s="73">
        <v>13.0</v>
      </c>
      <c r="D89" s="74">
        <v>45622.0</v>
      </c>
      <c r="E89" s="72">
        <v>4.0</v>
      </c>
    </row>
    <row r="90">
      <c r="A90" s="17" t="s">
        <v>94</v>
      </c>
      <c r="B90" s="17">
        <v>10.0</v>
      </c>
      <c r="C90" s="73">
        <v>14.0</v>
      </c>
      <c r="D90" s="74">
        <v>45622.0</v>
      </c>
      <c r="E90" s="72">
        <v>4.0</v>
      </c>
    </row>
    <row r="91">
      <c r="A91" s="17" t="s">
        <v>94</v>
      </c>
      <c r="B91" s="17">
        <v>10.0</v>
      </c>
      <c r="C91" s="73">
        <v>15.0</v>
      </c>
      <c r="D91" s="74">
        <v>45622.0</v>
      </c>
      <c r="E91" s="72">
        <v>4.0</v>
      </c>
    </row>
    <row r="92">
      <c r="A92" s="17" t="s">
        <v>94</v>
      </c>
      <c r="B92" s="17">
        <v>15.0</v>
      </c>
      <c r="C92" s="73">
        <v>21.0</v>
      </c>
      <c r="D92" s="74">
        <v>45622.0</v>
      </c>
      <c r="E92" s="72">
        <v>4.0</v>
      </c>
    </row>
    <row r="93">
      <c r="A93" s="17" t="s">
        <v>94</v>
      </c>
      <c r="B93" s="17">
        <v>15.0</v>
      </c>
      <c r="C93" s="73">
        <v>22.0</v>
      </c>
      <c r="D93" s="74">
        <v>45622.0</v>
      </c>
      <c r="E93" s="72">
        <v>4.0</v>
      </c>
    </row>
    <row r="94">
      <c r="A94" s="17" t="s">
        <v>94</v>
      </c>
      <c r="B94" s="17">
        <v>15.0</v>
      </c>
      <c r="C94" s="73">
        <v>23.0</v>
      </c>
      <c r="D94" s="74">
        <v>45622.0</v>
      </c>
      <c r="E94" s="72">
        <v>4.0</v>
      </c>
    </row>
    <row r="95">
      <c r="A95" s="17" t="s">
        <v>95</v>
      </c>
      <c r="B95" s="17">
        <v>2.0</v>
      </c>
      <c r="C95" s="73">
        <v>29.0</v>
      </c>
      <c r="D95" s="74">
        <v>45622.0</v>
      </c>
      <c r="E95" s="72">
        <v>3.0</v>
      </c>
    </row>
    <row r="96">
      <c r="A96" s="17" t="s">
        <v>95</v>
      </c>
      <c r="B96" s="17">
        <v>2.0</v>
      </c>
      <c r="C96" s="73">
        <v>31.0</v>
      </c>
      <c r="D96" s="74">
        <v>45622.0</v>
      </c>
      <c r="E96" s="72">
        <v>3.0</v>
      </c>
    </row>
    <row r="97">
      <c r="A97" s="17" t="s">
        <v>95</v>
      </c>
      <c r="B97" s="17">
        <v>2.0</v>
      </c>
      <c r="C97" s="73">
        <v>34.0</v>
      </c>
      <c r="D97" s="74">
        <v>45622.0</v>
      </c>
      <c r="E97" s="72">
        <v>3.0</v>
      </c>
    </row>
    <row r="98">
      <c r="A98" s="17" t="s">
        <v>95</v>
      </c>
      <c r="B98" s="17">
        <v>4.0</v>
      </c>
      <c r="C98" s="73">
        <v>37.0</v>
      </c>
      <c r="D98" s="74">
        <v>45622.0</v>
      </c>
      <c r="E98" s="72">
        <v>4.0</v>
      </c>
    </row>
    <row r="99">
      <c r="A99" s="17" t="s">
        <v>95</v>
      </c>
      <c r="B99" s="17">
        <v>4.0</v>
      </c>
      <c r="C99" s="73">
        <v>39.0</v>
      </c>
      <c r="D99" s="74">
        <v>45622.0</v>
      </c>
      <c r="E99" s="72">
        <v>4.0</v>
      </c>
    </row>
    <row r="100">
      <c r="A100" s="17" t="s">
        <v>95</v>
      </c>
      <c r="B100" s="17">
        <v>4.0</v>
      </c>
      <c r="C100" s="73">
        <v>42.0</v>
      </c>
      <c r="D100" s="74">
        <v>45622.0</v>
      </c>
      <c r="E100" s="72">
        <v>4.0</v>
      </c>
    </row>
    <row r="101">
      <c r="A101" s="17" t="s">
        <v>95</v>
      </c>
      <c r="B101" s="17">
        <v>0.0</v>
      </c>
      <c r="C101" s="73">
        <v>385.0</v>
      </c>
      <c r="D101" s="74">
        <v>45622.0</v>
      </c>
      <c r="E101" s="72">
        <v>3.0</v>
      </c>
    </row>
    <row r="102">
      <c r="A102" s="17" t="s">
        <v>95</v>
      </c>
      <c r="B102" s="17">
        <v>0.0</v>
      </c>
      <c r="C102" s="73">
        <v>390.0</v>
      </c>
      <c r="D102" s="74">
        <v>45622.0</v>
      </c>
      <c r="E102" s="72">
        <v>3.0</v>
      </c>
    </row>
    <row r="103">
      <c r="A103" s="17" t="s">
        <v>95</v>
      </c>
      <c r="B103" s="17">
        <v>0.0</v>
      </c>
      <c r="C103" s="73">
        <v>394.0</v>
      </c>
      <c r="D103" s="74">
        <v>45622.0</v>
      </c>
      <c r="E103" s="72">
        <v>3.0</v>
      </c>
    </row>
    <row r="104">
      <c r="A104" s="17" t="s">
        <v>96</v>
      </c>
      <c r="B104" s="17">
        <v>0.0</v>
      </c>
      <c r="C104" s="73">
        <v>400.0</v>
      </c>
      <c r="D104" s="74">
        <v>45622.0</v>
      </c>
      <c r="E104" s="72">
        <v>3.0</v>
      </c>
    </row>
    <row r="105">
      <c r="A105" s="17" t="s">
        <v>96</v>
      </c>
      <c r="B105" s="17">
        <v>0.0</v>
      </c>
      <c r="C105" s="73">
        <v>406.0</v>
      </c>
      <c r="D105" s="74">
        <v>45622.0</v>
      </c>
      <c r="E105" s="72">
        <v>3.0</v>
      </c>
    </row>
    <row r="106">
      <c r="A106" s="17" t="s">
        <v>96</v>
      </c>
      <c r="B106" s="17">
        <v>0.0</v>
      </c>
      <c r="C106" s="73">
        <v>411.0</v>
      </c>
      <c r="D106" s="74">
        <v>45622.0</v>
      </c>
      <c r="E106" s="72">
        <v>3.0</v>
      </c>
    </row>
    <row r="107">
      <c r="A107" s="17" t="s">
        <v>97</v>
      </c>
      <c r="B107" s="17">
        <v>0.0</v>
      </c>
      <c r="C107" s="73">
        <v>420.0</v>
      </c>
      <c r="D107" s="74">
        <v>45622.0</v>
      </c>
      <c r="E107" s="72">
        <v>3.0</v>
      </c>
    </row>
    <row r="108">
      <c r="A108" s="17" t="s">
        <v>97</v>
      </c>
      <c r="B108" s="17">
        <v>0.0</v>
      </c>
      <c r="C108" s="73">
        <v>426.0</v>
      </c>
      <c r="D108" s="74">
        <v>45622.0</v>
      </c>
      <c r="E108" s="72">
        <v>3.0</v>
      </c>
    </row>
    <row r="109">
      <c r="A109" s="17" t="s">
        <v>97</v>
      </c>
      <c r="B109" s="17">
        <v>0.0</v>
      </c>
      <c r="C109" s="73">
        <v>431.0</v>
      </c>
      <c r="D109" s="74">
        <v>45622.0</v>
      </c>
      <c r="E109" s="72">
        <v>3.0</v>
      </c>
    </row>
    <row r="110">
      <c r="A110" s="17" t="s">
        <v>94</v>
      </c>
      <c r="B110" s="17">
        <v>2.0</v>
      </c>
      <c r="C110" s="73">
        <v>5.0</v>
      </c>
      <c r="D110" s="74">
        <v>45629.0</v>
      </c>
      <c r="E110" s="72">
        <v>0.0</v>
      </c>
    </row>
    <row r="111">
      <c r="A111" s="17" t="s">
        <v>94</v>
      </c>
      <c r="B111" s="17">
        <v>2.0</v>
      </c>
      <c r="C111" s="73">
        <v>6.0</v>
      </c>
      <c r="D111" s="74">
        <v>45629.0</v>
      </c>
      <c r="E111" s="72">
        <v>0.0</v>
      </c>
    </row>
    <row r="112">
      <c r="A112" s="17" t="s">
        <v>94</v>
      </c>
      <c r="B112" s="17">
        <v>2.0</v>
      </c>
      <c r="C112" s="73">
        <v>7.0</v>
      </c>
      <c r="D112" s="74">
        <v>45629.0</v>
      </c>
      <c r="E112" s="72">
        <v>0.0</v>
      </c>
    </row>
    <row r="113">
      <c r="A113" s="17" t="s">
        <v>94</v>
      </c>
      <c r="B113" s="17">
        <v>4.0</v>
      </c>
      <c r="C113" s="73">
        <v>9.0</v>
      </c>
      <c r="D113" s="74">
        <v>45629.0</v>
      </c>
      <c r="E113" s="72">
        <v>0.0</v>
      </c>
    </row>
    <row r="114">
      <c r="A114" s="17" t="s">
        <v>94</v>
      </c>
      <c r="B114" s="17">
        <v>4.0</v>
      </c>
      <c r="C114" s="73">
        <v>10.0</v>
      </c>
      <c r="D114" s="74">
        <v>45629.0</v>
      </c>
      <c r="E114" s="72">
        <v>0.0</v>
      </c>
    </row>
    <row r="115">
      <c r="A115" s="17" t="s">
        <v>94</v>
      </c>
      <c r="B115" s="17">
        <v>4.0</v>
      </c>
      <c r="C115" s="73">
        <v>11.0</v>
      </c>
      <c r="D115" s="74">
        <v>45629.0</v>
      </c>
      <c r="E115" s="72">
        <v>0.0</v>
      </c>
    </row>
    <row r="116">
      <c r="A116" s="17" t="s">
        <v>94</v>
      </c>
      <c r="B116" s="17">
        <v>10.0</v>
      </c>
      <c r="C116" s="73">
        <v>13.0</v>
      </c>
      <c r="D116" s="74">
        <v>45629.0</v>
      </c>
      <c r="E116" s="72">
        <v>4.0</v>
      </c>
    </row>
    <row r="117">
      <c r="A117" s="17" t="s">
        <v>94</v>
      </c>
      <c r="B117" s="17">
        <v>10.0</v>
      </c>
      <c r="C117" s="73">
        <v>14.0</v>
      </c>
      <c r="D117" s="74">
        <v>45629.0</v>
      </c>
      <c r="E117" s="72">
        <v>4.0</v>
      </c>
    </row>
    <row r="118">
      <c r="A118" s="17" t="s">
        <v>94</v>
      </c>
      <c r="B118" s="17">
        <v>10.0</v>
      </c>
      <c r="C118" s="73">
        <v>15.0</v>
      </c>
      <c r="D118" s="74">
        <v>45629.0</v>
      </c>
      <c r="E118" s="72">
        <v>4.0</v>
      </c>
    </row>
    <row r="119">
      <c r="A119" s="17" t="s">
        <v>94</v>
      </c>
      <c r="B119" s="17">
        <v>15.0</v>
      </c>
      <c r="C119" s="73">
        <v>21.0</v>
      </c>
      <c r="D119" s="74">
        <v>45629.0</v>
      </c>
      <c r="E119" s="72">
        <v>4.0</v>
      </c>
    </row>
    <row r="120">
      <c r="A120" s="17" t="s">
        <v>94</v>
      </c>
      <c r="B120" s="17">
        <v>15.0</v>
      </c>
      <c r="C120" s="73">
        <v>22.0</v>
      </c>
      <c r="D120" s="74">
        <v>45629.0</v>
      </c>
      <c r="E120" s="72">
        <v>4.0</v>
      </c>
    </row>
    <row r="121">
      <c r="A121" s="17" t="s">
        <v>94</v>
      </c>
      <c r="B121" s="17">
        <v>15.0</v>
      </c>
      <c r="C121" s="73">
        <v>23.0</v>
      </c>
      <c r="D121" s="74">
        <v>45629.0</v>
      </c>
      <c r="E121" s="72">
        <v>4.0</v>
      </c>
    </row>
    <row r="122">
      <c r="A122" s="17" t="s">
        <v>95</v>
      </c>
      <c r="B122" s="17">
        <v>2.0</v>
      </c>
      <c r="C122" s="73">
        <v>29.0</v>
      </c>
      <c r="D122" s="74">
        <v>45629.0</v>
      </c>
      <c r="E122" s="72">
        <v>3.0</v>
      </c>
    </row>
    <row r="123">
      <c r="A123" s="17" t="s">
        <v>95</v>
      </c>
      <c r="B123" s="17">
        <v>2.0</v>
      </c>
      <c r="C123" s="73">
        <v>31.0</v>
      </c>
      <c r="D123" s="74">
        <v>45629.0</v>
      </c>
      <c r="E123" s="72">
        <v>3.0</v>
      </c>
    </row>
    <row r="124">
      <c r="A124" s="17" t="s">
        <v>95</v>
      </c>
      <c r="B124" s="17">
        <v>2.0</v>
      </c>
      <c r="C124" s="73">
        <v>34.0</v>
      </c>
      <c r="D124" s="74">
        <v>45629.0</v>
      </c>
      <c r="E124" s="72">
        <v>3.0</v>
      </c>
    </row>
    <row r="125">
      <c r="A125" s="17" t="s">
        <v>95</v>
      </c>
      <c r="B125" s="17">
        <v>4.0</v>
      </c>
      <c r="C125" s="73">
        <v>37.0</v>
      </c>
      <c r="D125" s="74">
        <v>45629.0</v>
      </c>
      <c r="E125" s="72">
        <v>4.0</v>
      </c>
    </row>
    <row r="126">
      <c r="A126" s="17" t="s">
        <v>95</v>
      </c>
      <c r="B126" s="17">
        <v>4.0</v>
      </c>
      <c r="C126" s="73">
        <v>39.0</v>
      </c>
      <c r="D126" s="74">
        <v>45629.0</v>
      </c>
      <c r="E126" s="72">
        <v>4.0</v>
      </c>
    </row>
    <row r="127">
      <c r="A127" s="17" t="s">
        <v>95</v>
      </c>
      <c r="B127" s="17">
        <v>4.0</v>
      </c>
      <c r="C127" s="73">
        <v>42.0</v>
      </c>
      <c r="D127" s="74">
        <v>45629.0</v>
      </c>
      <c r="E127" s="72">
        <v>4.0</v>
      </c>
    </row>
    <row r="128">
      <c r="A128" s="17" t="s">
        <v>95</v>
      </c>
      <c r="B128" s="17">
        <v>0.0</v>
      </c>
      <c r="C128" s="73">
        <v>385.0</v>
      </c>
      <c r="D128" s="74">
        <v>45629.0</v>
      </c>
      <c r="E128" s="72">
        <v>3.0</v>
      </c>
    </row>
    <row r="129">
      <c r="A129" s="17" t="s">
        <v>95</v>
      </c>
      <c r="B129" s="17">
        <v>0.0</v>
      </c>
      <c r="C129" s="73">
        <v>390.0</v>
      </c>
      <c r="D129" s="74">
        <v>45629.0</v>
      </c>
      <c r="E129" s="72">
        <v>3.0</v>
      </c>
    </row>
    <row r="130">
      <c r="A130" s="17" t="s">
        <v>95</v>
      </c>
      <c r="B130" s="17">
        <v>0.0</v>
      </c>
      <c r="C130" s="73">
        <v>394.0</v>
      </c>
      <c r="D130" s="74">
        <v>45629.0</v>
      </c>
      <c r="E130" s="72">
        <v>3.0</v>
      </c>
    </row>
    <row r="131">
      <c r="A131" s="17" t="s">
        <v>96</v>
      </c>
      <c r="B131" s="17">
        <v>0.0</v>
      </c>
      <c r="C131" s="73">
        <v>400.0</v>
      </c>
      <c r="D131" s="74">
        <v>45629.0</v>
      </c>
      <c r="E131" s="72">
        <v>3.0</v>
      </c>
    </row>
    <row r="132">
      <c r="A132" s="17" t="s">
        <v>96</v>
      </c>
      <c r="B132" s="17">
        <v>0.0</v>
      </c>
      <c r="C132" s="73">
        <v>406.0</v>
      </c>
      <c r="D132" s="74">
        <v>45629.0</v>
      </c>
      <c r="E132" s="72">
        <v>3.0</v>
      </c>
    </row>
    <row r="133">
      <c r="A133" s="17" t="s">
        <v>96</v>
      </c>
      <c r="B133" s="17">
        <v>0.0</v>
      </c>
      <c r="C133" s="73">
        <v>411.0</v>
      </c>
      <c r="D133" s="74">
        <v>45629.0</v>
      </c>
      <c r="E133" s="72">
        <v>3.0</v>
      </c>
    </row>
    <row r="134">
      <c r="A134" s="17" t="s">
        <v>97</v>
      </c>
      <c r="B134" s="17">
        <v>0.0</v>
      </c>
      <c r="C134" s="73">
        <v>420.0</v>
      </c>
      <c r="D134" s="74">
        <v>45629.0</v>
      </c>
      <c r="E134" s="72">
        <v>3.0</v>
      </c>
    </row>
    <row r="135">
      <c r="A135" s="17" t="s">
        <v>97</v>
      </c>
      <c r="B135" s="17">
        <v>0.0</v>
      </c>
      <c r="C135" s="73">
        <v>426.0</v>
      </c>
      <c r="D135" s="74">
        <v>45629.0</v>
      </c>
      <c r="E135" s="72">
        <v>3.0</v>
      </c>
    </row>
    <row r="136">
      <c r="A136" s="17" t="s">
        <v>97</v>
      </c>
      <c r="B136" s="17">
        <v>0.0</v>
      </c>
      <c r="C136" s="73">
        <v>431.0</v>
      </c>
      <c r="D136" s="74">
        <v>45629.0</v>
      </c>
      <c r="E136" s="72">
        <v>3.0</v>
      </c>
    </row>
    <row r="137">
      <c r="A137" s="17" t="s">
        <v>94</v>
      </c>
      <c r="B137" s="17">
        <v>2.0</v>
      </c>
      <c r="C137" s="73">
        <v>5.0</v>
      </c>
      <c r="D137" s="74">
        <v>45643.0</v>
      </c>
      <c r="E137" s="72">
        <v>0.0</v>
      </c>
    </row>
    <row r="138">
      <c r="A138" s="17" t="s">
        <v>94</v>
      </c>
      <c r="B138" s="17">
        <v>2.0</v>
      </c>
      <c r="C138" s="73">
        <v>6.0</v>
      </c>
      <c r="D138" s="74">
        <v>45643.0</v>
      </c>
      <c r="E138" s="72">
        <v>0.0</v>
      </c>
    </row>
    <row r="139">
      <c r="A139" s="17" t="s">
        <v>94</v>
      </c>
      <c r="B139" s="17">
        <v>2.0</v>
      </c>
      <c r="C139" s="73">
        <v>7.0</v>
      </c>
      <c r="D139" s="74">
        <v>45643.0</v>
      </c>
      <c r="E139" s="72">
        <v>0.0</v>
      </c>
    </row>
    <row r="140">
      <c r="A140" s="17" t="s">
        <v>94</v>
      </c>
      <c r="B140" s="17">
        <v>4.0</v>
      </c>
      <c r="C140" s="73">
        <v>9.0</v>
      </c>
      <c r="D140" s="74">
        <v>45643.0</v>
      </c>
      <c r="E140" s="72">
        <v>0.0</v>
      </c>
    </row>
    <row r="141">
      <c r="A141" s="17" t="s">
        <v>94</v>
      </c>
      <c r="B141" s="17">
        <v>4.0</v>
      </c>
      <c r="C141" s="73">
        <v>10.0</v>
      </c>
      <c r="D141" s="74">
        <v>45643.0</v>
      </c>
      <c r="E141" s="72">
        <v>0.0</v>
      </c>
    </row>
    <row r="142">
      <c r="A142" s="17" t="s">
        <v>94</v>
      </c>
      <c r="B142" s="17">
        <v>4.0</v>
      </c>
      <c r="C142" s="73">
        <v>11.0</v>
      </c>
      <c r="D142" s="74">
        <v>45643.0</v>
      </c>
      <c r="E142" s="72">
        <v>0.0</v>
      </c>
    </row>
    <row r="143">
      <c r="A143" s="17" t="s">
        <v>94</v>
      </c>
      <c r="B143" s="17">
        <v>10.0</v>
      </c>
      <c r="C143" s="73">
        <v>13.0</v>
      </c>
      <c r="D143" s="74">
        <v>45643.0</v>
      </c>
      <c r="E143" s="72">
        <v>4.0</v>
      </c>
    </row>
    <row r="144">
      <c r="A144" s="17" t="s">
        <v>94</v>
      </c>
      <c r="B144" s="17">
        <v>10.0</v>
      </c>
      <c r="C144" s="73">
        <v>14.0</v>
      </c>
      <c r="D144" s="74">
        <v>45643.0</v>
      </c>
      <c r="E144" s="72">
        <v>4.0</v>
      </c>
    </row>
    <row r="145">
      <c r="A145" s="17" t="s">
        <v>94</v>
      </c>
      <c r="B145" s="17">
        <v>10.0</v>
      </c>
      <c r="C145" s="73">
        <v>15.0</v>
      </c>
      <c r="D145" s="74">
        <v>45643.0</v>
      </c>
      <c r="E145" s="72">
        <v>4.0</v>
      </c>
    </row>
    <row r="146">
      <c r="A146" s="17" t="s">
        <v>94</v>
      </c>
      <c r="B146" s="17">
        <v>15.0</v>
      </c>
      <c r="C146" s="73">
        <v>21.0</v>
      </c>
      <c r="D146" s="74">
        <v>45643.0</v>
      </c>
      <c r="E146" s="72">
        <v>4.0</v>
      </c>
    </row>
    <row r="147">
      <c r="A147" s="17" t="s">
        <v>94</v>
      </c>
      <c r="B147" s="17">
        <v>15.0</v>
      </c>
      <c r="C147" s="73">
        <v>22.0</v>
      </c>
      <c r="D147" s="74">
        <v>45643.0</v>
      </c>
      <c r="E147" s="72">
        <v>4.0</v>
      </c>
    </row>
    <row r="148">
      <c r="A148" s="17" t="s">
        <v>94</v>
      </c>
      <c r="B148" s="17">
        <v>15.0</v>
      </c>
      <c r="C148" s="73">
        <v>23.0</v>
      </c>
      <c r="D148" s="74">
        <v>45643.0</v>
      </c>
      <c r="E148" s="72">
        <v>4.0</v>
      </c>
    </row>
    <row r="149">
      <c r="A149" s="17" t="s">
        <v>95</v>
      </c>
      <c r="B149" s="17">
        <v>2.0</v>
      </c>
      <c r="C149" s="73">
        <v>29.0</v>
      </c>
      <c r="D149" s="74">
        <v>45643.0</v>
      </c>
      <c r="E149" s="72">
        <v>2.0</v>
      </c>
    </row>
    <row r="150">
      <c r="A150" s="17" t="s">
        <v>95</v>
      </c>
      <c r="B150" s="17">
        <v>2.0</v>
      </c>
      <c r="C150" s="73">
        <v>31.0</v>
      </c>
      <c r="D150" s="74">
        <v>45643.0</v>
      </c>
      <c r="E150" s="72">
        <v>2.0</v>
      </c>
    </row>
    <row r="151">
      <c r="A151" s="17" t="s">
        <v>95</v>
      </c>
      <c r="B151" s="17">
        <v>2.0</v>
      </c>
      <c r="C151" s="73">
        <v>34.0</v>
      </c>
      <c r="D151" s="74">
        <v>45643.0</v>
      </c>
      <c r="E151" s="72">
        <v>2.0</v>
      </c>
    </row>
    <row r="152">
      <c r="A152" s="17" t="s">
        <v>95</v>
      </c>
      <c r="B152" s="17">
        <v>4.0</v>
      </c>
      <c r="C152" s="73">
        <v>37.0</v>
      </c>
      <c r="D152" s="74">
        <v>45643.0</v>
      </c>
      <c r="E152" s="72">
        <v>4.0</v>
      </c>
    </row>
    <row r="153">
      <c r="A153" s="17" t="s">
        <v>95</v>
      </c>
      <c r="B153" s="17">
        <v>4.0</v>
      </c>
      <c r="C153" s="73">
        <v>39.0</v>
      </c>
      <c r="D153" s="74">
        <v>45643.0</v>
      </c>
      <c r="E153" s="72">
        <v>4.0</v>
      </c>
    </row>
    <row r="154">
      <c r="A154" s="17" t="s">
        <v>95</v>
      </c>
      <c r="B154" s="17">
        <v>4.0</v>
      </c>
      <c r="C154" s="73">
        <v>42.0</v>
      </c>
      <c r="D154" s="74">
        <v>45643.0</v>
      </c>
      <c r="E154" s="72">
        <v>4.0</v>
      </c>
    </row>
    <row r="155">
      <c r="A155" s="17" t="s">
        <v>95</v>
      </c>
      <c r="B155" s="17">
        <v>0.0</v>
      </c>
      <c r="C155" s="73">
        <v>385.0</v>
      </c>
      <c r="D155" s="74">
        <v>45643.0</v>
      </c>
      <c r="E155" s="72">
        <v>3.0</v>
      </c>
    </row>
    <row r="156">
      <c r="A156" s="17" t="s">
        <v>95</v>
      </c>
      <c r="B156" s="17">
        <v>0.0</v>
      </c>
      <c r="C156" s="73">
        <v>390.0</v>
      </c>
      <c r="D156" s="74">
        <v>45643.0</v>
      </c>
      <c r="E156" s="72">
        <v>2.0</v>
      </c>
    </row>
    <row r="157">
      <c r="A157" s="17" t="s">
        <v>95</v>
      </c>
      <c r="B157" s="17">
        <v>0.0</v>
      </c>
      <c r="C157" s="73">
        <v>394.0</v>
      </c>
      <c r="D157" s="74">
        <v>45643.0</v>
      </c>
      <c r="E157" s="72">
        <v>2.0</v>
      </c>
    </row>
    <row r="158">
      <c r="A158" s="17" t="s">
        <v>96</v>
      </c>
      <c r="B158" s="17">
        <v>0.0</v>
      </c>
      <c r="C158" s="73">
        <v>400.0</v>
      </c>
      <c r="D158" s="74">
        <v>45643.0</v>
      </c>
      <c r="E158" s="72">
        <v>3.0</v>
      </c>
    </row>
    <row r="159">
      <c r="A159" s="17" t="s">
        <v>96</v>
      </c>
      <c r="B159" s="17">
        <v>0.0</v>
      </c>
      <c r="C159" s="73">
        <v>406.0</v>
      </c>
      <c r="D159" s="74">
        <v>45643.0</v>
      </c>
      <c r="E159" s="72">
        <v>2.0</v>
      </c>
    </row>
    <row r="160">
      <c r="A160" s="17" t="s">
        <v>96</v>
      </c>
      <c r="B160" s="17">
        <v>0.0</v>
      </c>
      <c r="C160" s="73">
        <v>411.0</v>
      </c>
      <c r="D160" s="74">
        <v>45643.0</v>
      </c>
      <c r="E160" s="72">
        <v>2.0</v>
      </c>
    </row>
    <row r="161">
      <c r="A161" s="17" t="s">
        <v>97</v>
      </c>
      <c r="B161" s="17">
        <v>0.0</v>
      </c>
      <c r="C161" s="73">
        <v>420.0</v>
      </c>
      <c r="D161" s="74">
        <v>45643.0</v>
      </c>
      <c r="E161" s="72">
        <v>3.0</v>
      </c>
    </row>
    <row r="162">
      <c r="A162" s="17" t="s">
        <v>97</v>
      </c>
      <c r="B162" s="17">
        <v>0.0</v>
      </c>
      <c r="C162" s="73">
        <v>426.0</v>
      </c>
      <c r="D162" s="74">
        <v>45643.0</v>
      </c>
      <c r="E162" s="72">
        <v>2.0</v>
      </c>
    </row>
    <row r="163">
      <c r="A163" s="17" t="s">
        <v>97</v>
      </c>
      <c r="B163" s="17">
        <v>0.0</v>
      </c>
      <c r="C163" s="73">
        <v>431.0</v>
      </c>
      <c r="D163" s="74">
        <v>45643.0</v>
      </c>
      <c r="E163" s="72">
        <v>2.0</v>
      </c>
    </row>
    <row r="164">
      <c r="A164" s="17" t="s">
        <v>94</v>
      </c>
      <c r="B164" s="17">
        <v>2.0</v>
      </c>
      <c r="C164" s="73">
        <v>5.0</v>
      </c>
      <c r="D164" s="75">
        <v>45659.0</v>
      </c>
      <c r="E164" s="72">
        <v>0.0</v>
      </c>
    </row>
    <row r="165">
      <c r="A165" s="17" t="s">
        <v>94</v>
      </c>
      <c r="B165" s="17">
        <v>2.0</v>
      </c>
      <c r="C165" s="73">
        <v>6.0</v>
      </c>
      <c r="D165" s="75">
        <v>45659.0</v>
      </c>
      <c r="E165" s="72">
        <v>0.0</v>
      </c>
    </row>
    <row r="166">
      <c r="A166" s="17" t="s">
        <v>94</v>
      </c>
      <c r="B166" s="17">
        <v>2.0</v>
      </c>
      <c r="C166" s="73">
        <v>7.0</v>
      </c>
      <c r="D166" s="75">
        <v>45659.0</v>
      </c>
      <c r="E166" s="72">
        <v>0.0</v>
      </c>
    </row>
    <row r="167">
      <c r="A167" s="17" t="s">
        <v>94</v>
      </c>
      <c r="B167" s="17">
        <v>4.0</v>
      </c>
      <c r="C167" s="73">
        <v>9.0</v>
      </c>
      <c r="D167" s="75">
        <v>45659.0</v>
      </c>
      <c r="E167" s="72">
        <v>0.0</v>
      </c>
    </row>
    <row r="168">
      <c r="A168" s="17" t="s">
        <v>94</v>
      </c>
      <c r="B168" s="17">
        <v>4.0</v>
      </c>
      <c r="C168" s="73">
        <v>10.0</v>
      </c>
      <c r="D168" s="75">
        <v>45659.0</v>
      </c>
      <c r="E168" s="72">
        <v>0.0</v>
      </c>
    </row>
    <row r="169">
      <c r="A169" s="17" t="s">
        <v>94</v>
      </c>
      <c r="B169" s="17">
        <v>4.0</v>
      </c>
      <c r="C169" s="73">
        <v>11.0</v>
      </c>
      <c r="D169" s="75">
        <v>45659.0</v>
      </c>
      <c r="E169" s="72">
        <v>0.0</v>
      </c>
    </row>
    <row r="170">
      <c r="A170" s="17" t="s">
        <v>94</v>
      </c>
      <c r="B170" s="17">
        <v>10.0</v>
      </c>
      <c r="C170" s="73">
        <v>13.0</v>
      </c>
      <c r="D170" s="75">
        <v>45659.0</v>
      </c>
      <c r="E170" s="72">
        <v>3.0</v>
      </c>
    </row>
    <row r="171">
      <c r="A171" s="17" t="s">
        <v>94</v>
      </c>
      <c r="B171" s="17">
        <v>10.0</v>
      </c>
      <c r="C171" s="73">
        <v>14.0</v>
      </c>
      <c r="D171" s="75">
        <v>45659.0</v>
      </c>
      <c r="E171" s="72">
        <v>3.0</v>
      </c>
    </row>
    <row r="172">
      <c r="A172" s="17" t="s">
        <v>94</v>
      </c>
      <c r="B172" s="17">
        <v>10.0</v>
      </c>
      <c r="C172" s="73">
        <v>15.0</v>
      </c>
      <c r="D172" s="75">
        <v>45659.0</v>
      </c>
      <c r="E172" s="72">
        <v>3.0</v>
      </c>
    </row>
    <row r="173">
      <c r="A173" s="17" t="s">
        <v>94</v>
      </c>
      <c r="B173" s="17">
        <v>15.0</v>
      </c>
      <c r="C173" s="73">
        <v>21.0</v>
      </c>
      <c r="D173" s="75">
        <v>45659.0</v>
      </c>
      <c r="E173" s="72">
        <v>3.0</v>
      </c>
    </row>
    <row r="174">
      <c r="A174" s="17" t="s">
        <v>94</v>
      </c>
      <c r="B174" s="17">
        <v>15.0</v>
      </c>
      <c r="C174" s="73">
        <v>22.0</v>
      </c>
      <c r="D174" s="75">
        <v>45659.0</v>
      </c>
      <c r="E174" s="72">
        <v>3.0</v>
      </c>
    </row>
    <row r="175">
      <c r="A175" s="17" t="s">
        <v>94</v>
      </c>
      <c r="B175" s="17">
        <v>15.0</v>
      </c>
      <c r="C175" s="73">
        <v>23.0</v>
      </c>
      <c r="D175" s="75">
        <v>45659.0</v>
      </c>
      <c r="E175" s="72">
        <v>3.0</v>
      </c>
    </row>
    <row r="176">
      <c r="A176" s="17" t="s">
        <v>95</v>
      </c>
      <c r="B176" s="17">
        <v>2.0</v>
      </c>
      <c r="C176" s="73">
        <v>29.0</v>
      </c>
      <c r="D176" s="75">
        <v>45659.0</v>
      </c>
      <c r="E176" s="72">
        <v>0.0</v>
      </c>
    </row>
    <row r="177">
      <c r="A177" s="17" t="s">
        <v>95</v>
      </c>
      <c r="B177" s="17">
        <v>2.0</v>
      </c>
      <c r="C177" s="73">
        <v>31.0</v>
      </c>
      <c r="D177" s="75">
        <v>45659.0</v>
      </c>
      <c r="E177" s="72">
        <v>0.0</v>
      </c>
    </row>
    <row r="178">
      <c r="A178" s="17" t="s">
        <v>95</v>
      </c>
      <c r="B178" s="17">
        <v>2.0</v>
      </c>
      <c r="C178" s="73">
        <v>34.0</v>
      </c>
      <c r="D178" s="75">
        <v>45659.0</v>
      </c>
      <c r="E178" s="72">
        <v>0.0</v>
      </c>
    </row>
    <row r="179">
      <c r="A179" s="17" t="s">
        <v>95</v>
      </c>
      <c r="B179" s="17">
        <v>4.0</v>
      </c>
      <c r="C179" s="73">
        <v>37.0</v>
      </c>
      <c r="D179" s="75">
        <v>45659.0</v>
      </c>
      <c r="E179" s="72">
        <v>3.0</v>
      </c>
    </row>
    <row r="180">
      <c r="A180" s="17" t="s">
        <v>95</v>
      </c>
      <c r="B180" s="17">
        <v>4.0</v>
      </c>
      <c r="C180" s="73">
        <v>39.0</v>
      </c>
      <c r="D180" s="75">
        <v>45659.0</v>
      </c>
      <c r="E180" s="72">
        <v>3.0</v>
      </c>
    </row>
    <row r="181">
      <c r="A181" s="17" t="s">
        <v>95</v>
      </c>
      <c r="B181" s="17">
        <v>4.0</v>
      </c>
      <c r="C181" s="73">
        <v>42.0</v>
      </c>
      <c r="D181" s="75">
        <v>45659.0</v>
      </c>
      <c r="E181" s="72">
        <v>3.0</v>
      </c>
    </row>
    <row r="182">
      <c r="A182" s="17" t="s">
        <v>95</v>
      </c>
      <c r="B182" s="17">
        <v>0.0</v>
      </c>
      <c r="C182" s="73">
        <v>385.0</v>
      </c>
      <c r="D182" s="75">
        <v>45659.0</v>
      </c>
      <c r="E182" s="72">
        <v>2.0</v>
      </c>
    </row>
    <row r="183">
      <c r="A183" s="17" t="s">
        <v>95</v>
      </c>
      <c r="B183" s="17">
        <v>0.0</v>
      </c>
      <c r="C183" s="73">
        <v>390.0</v>
      </c>
      <c r="D183" s="75">
        <v>45659.0</v>
      </c>
      <c r="E183" s="72">
        <v>0.0</v>
      </c>
    </row>
    <row r="184">
      <c r="A184" s="17" t="s">
        <v>95</v>
      </c>
      <c r="B184" s="17">
        <v>0.0</v>
      </c>
      <c r="C184" s="73">
        <v>394.0</v>
      </c>
      <c r="D184" s="75">
        <v>45659.0</v>
      </c>
      <c r="E184" s="72">
        <v>0.0</v>
      </c>
    </row>
    <row r="185">
      <c r="A185" s="17" t="s">
        <v>96</v>
      </c>
      <c r="B185" s="17">
        <v>0.0</v>
      </c>
      <c r="C185" s="73">
        <v>400.0</v>
      </c>
      <c r="D185" s="75">
        <v>45659.0</v>
      </c>
      <c r="E185" s="72">
        <v>2.0</v>
      </c>
    </row>
    <row r="186">
      <c r="A186" s="17" t="s">
        <v>96</v>
      </c>
      <c r="B186" s="17">
        <v>0.0</v>
      </c>
      <c r="C186" s="73">
        <v>406.0</v>
      </c>
      <c r="D186" s="75">
        <v>45659.0</v>
      </c>
      <c r="E186" s="72">
        <v>0.0</v>
      </c>
    </row>
    <row r="187">
      <c r="A187" s="17" t="s">
        <v>96</v>
      </c>
      <c r="B187" s="17">
        <v>0.0</v>
      </c>
      <c r="C187" s="73">
        <v>411.0</v>
      </c>
      <c r="D187" s="75">
        <v>45659.0</v>
      </c>
      <c r="E187" s="72">
        <v>0.0</v>
      </c>
    </row>
    <row r="188">
      <c r="A188" s="17" t="s">
        <v>97</v>
      </c>
      <c r="B188" s="17">
        <v>0.0</v>
      </c>
      <c r="C188" s="73">
        <v>420.0</v>
      </c>
      <c r="D188" s="75">
        <v>45659.0</v>
      </c>
      <c r="E188" s="72">
        <v>2.0</v>
      </c>
    </row>
    <row r="189">
      <c r="A189" s="17" t="s">
        <v>97</v>
      </c>
      <c r="B189" s="17">
        <v>0.0</v>
      </c>
      <c r="C189" s="73">
        <v>426.0</v>
      </c>
      <c r="D189" s="75">
        <v>45659.0</v>
      </c>
      <c r="E189" s="72">
        <v>0.0</v>
      </c>
    </row>
    <row r="190">
      <c r="A190" s="17" t="s">
        <v>97</v>
      </c>
      <c r="B190" s="17">
        <v>0.0</v>
      </c>
      <c r="C190" s="73">
        <v>431.0</v>
      </c>
      <c r="D190" s="75">
        <v>45659.0</v>
      </c>
      <c r="E190" s="72">
        <v>0.0</v>
      </c>
    </row>
    <row r="191">
      <c r="A191" s="17" t="s">
        <v>94</v>
      </c>
      <c r="B191" s="17">
        <v>2.0</v>
      </c>
      <c r="C191" s="73">
        <v>5.0</v>
      </c>
      <c r="D191" s="75">
        <v>45671.0</v>
      </c>
      <c r="E191" s="72">
        <v>0.0</v>
      </c>
    </row>
    <row r="192">
      <c r="A192" s="17" t="s">
        <v>94</v>
      </c>
      <c r="B192" s="17">
        <v>2.0</v>
      </c>
      <c r="C192" s="73">
        <v>6.0</v>
      </c>
      <c r="D192" s="75">
        <v>45671.0</v>
      </c>
      <c r="E192" s="72">
        <v>0.0</v>
      </c>
    </row>
    <row r="193">
      <c r="A193" s="17" t="s">
        <v>94</v>
      </c>
      <c r="B193" s="17">
        <v>2.0</v>
      </c>
      <c r="C193" s="73">
        <v>7.0</v>
      </c>
      <c r="D193" s="75">
        <v>45671.0</v>
      </c>
      <c r="E193" s="72">
        <v>0.0</v>
      </c>
    </row>
    <row r="194">
      <c r="A194" s="17" t="s">
        <v>94</v>
      </c>
      <c r="B194" s="17">
        <v>4.0</v>
      </c>
      <c r="C194" s="73">
        <v>9.0</v>
      </c>
      <c r="D194" s="75">
        <v>45671.0</v>
      </c>
      <c r="E194" s="72">
        <v>0.0</v>
      </c>
    </row>
    <row r="195">
      <c r="A195" s="17" t="s">
        <v>94</v>
      </c>
      <c r="B195" s="17">
        <v>4.0</v>
      </c>
      <c r="C195" s="73">
        <v>10.0</v>
      </c>
      <c r="D195" s="75">
        <v>45671.0</v>
      </c>
      <c r="E195" s="72">
        <v>0.0</v>
      </c>
    </row>
    <row r="196">
      <c r="A196" s="17" t="s">
        <v>94</v>
      </c>
      <c r="B196" s="17">
        <v>4.0</v>
      </c>
      <c r="C196" s="73">
        <v>11.0</v>
      </c>
      <c r="D196" s="75">
        <v>45671.0</v>
      </c>
      <c r="E196" s="72">
        <v>0.0</v>
      </c>
    </row>
    <row r="197">
      <c r="A197" s="17" t="s">
        <v>94</v>
      </c>
      <c r="B197" s="17">
        <v>10.0</v>
      </c>
      <c r="C197" s="73">
        <v>13.0</v>
      </c>
      <c r="D197" s="75">
        <v>45671.0</v>
      </c>
      <c r="E197" s="72">
        <v>3.0</v>
      </c>
    </row>
    <row r="198">
      <c r="A198" s="17" t="s">
        <v>94</v>
      </c>
      <c r="B198" s="17">
        <v>10.0</v>
      </c>
      <c r="C198" s="73">
        <v>14.0</v>
      </c>
      <c r="D198" s="75">
        <v>45671.0</v>
      </c>
      <c r="E198" s="72">
        <v>3.0</v>
      </c>
    </row>
    <row r="199">
      <c r="A199" s="17" t="s">
        <v>94</v>
      </c>
      <c r="B199" s="17">
        <v>10.0</v>
      </c>
      <c r="C199" s="73">
        <v>15.0</v>
      </c>
      <c r="D199" s="75">
        <v>45671.0</v>
      </c>
      <c r="E199" s="72">
        <v>3.0</v>
      </c>
    </row>
    <row r="200">
      <c r="A200" s="17" t="s">
        <v>94</v>
      </c>
      <c r="B200" s="17">
        <v>15.0</v>
      </c>
      <c r="C200" s="73">
        <v>21.0</v>
      </c>
      <c r="D200" s="75">
        <v>45671.0</v>
      </c>
      <c r="E200" s="72">
        <v>3.0</v>
      </c>
    </row>
    <row r="201">
      <c r="A201" s="17" t="s">
        <v>94</v>
      </c>
      <c r="B201" s="17">
        <v>15.0</v>
      </c>
      <c r="C201" s="73">
        <v>22.0</v>
      </c>
      <c r="D201" s="75">
        <v>45671.0</v>
      </c>
      <c r="E201" s="72">
        <v>3.0</v>
      </c>
    </row>
    <row r="202">
      <c r="A202" s="17" t="s">
        <v>94</v>
      </c>
      <c r="B202" s="17">
        <v>15.0</v>
      </c>
      <c r="C202" s="73">
        <v>23.0</v>
      </c>
      <c r="D202" s="75">
        <v>45671.0</v>
      </c>
      <c r="E202" s="72">
        <v>3.0</v>
      </c>
    </row>
    <row r="203">
      <c r="A203" s="17" t="s">
        <v>95</v>
      </c>
      <c r="B203" s="17">
        <v>2.0</v>
      </c>
      <c r="C203" s="73">
        <v>29.0</v>
      </c>
      <c r="D203" s="75">
        <v>45671.0</v>
      </c>
      <c r="E203" s="72">
        <v>0.0</v>
      </c>
    </row>
    <row r="204">
      <c r="A204" s="17" t="s">
        <v>95</v>
      </c>
      <c r="B204" s="17">
        <v>2.0</v>
      </c>
      <c r="C204" s="73">
        <v>31.0</v>
      </c>
      <c r="D204" s="75">
        <v>45671.0</v>
      </c>
      <c r="E204" s="72">
        <v>0.0</v>
      </c>
    </row>
    <row r="205">
      <c r="A205" s="17" t="s">
        <v>95</v>
      </c>
      <c r="B205" s="17">
        <v>2.0</v>
      </c>
      <c r="C205" s="73">
        <v>34.0</v>
      </c>
      <c r="D205" s="75">
        <v>45671.0</v>
      </c>
      <c r="E205" s="72">
        <v>0.0</v>
      </c>
    </row>
    <row r="206">
      <c r="A206" s="17" t="s">
        <v>95</v>
      </c>
      <c r="B206" s="17">
        <v>4.0</v>
      </c>
      <c r="C206" s="73">
        <v>37.0</v>
      </c>
      <c r="D206" s="75">
        <v>45671.0</v>
      </c>
      <c r="E206" s="72">
        <v>3.0</v>
      </c>
    </row>
    <row r="207">
      <c r="A207" s="17" t="s">
        <v>95</v>
      </c>
      <c r="B207" s="17">
        <v>4.0</v>
      </c>
      <c r="C207" s="73">
        <v>39.0</v>
      </c>
      <c r="D207" s="75">
        <v>45671.0</v>
      </c>
      <c r="E207" s="72">
        <v>3.0</v>
      </c>
    </row>
    <row r="208">
      <c r="A208" s="17" t="s">
        <v>95</v>
      </c>
      <c r="B208" s="17">
        <v>4.0</v>
      </c>
      <c r="C208" s="73">
        <v>42.0</v>
      </c>
      <c r="D208" s="75">
        <v>45671.0</v>
      </c>
      <c r="E208" s="72">
        <v>3.0</v>
      </c>
    </row>
    <row r="209">
      <c r="A209" s="17" t="s">
        <v>95</v>
      </c>
      <c r="B209" s="17">
        <v>0.0</v>
      </c>
      <c r="C209" s="73">
        <v>385.0</v>
      </c>
      <c r="D209" s="75">
        <v>45671.0</v>
      </c>
      <c r="E209" s="72">
        <v>0.0</v>
      </c>
    </row>
    <row r="210">
      <c r="A210" s="17" t="s">
        <v>95</v>
      </c>
      <c r="B210" s="17">
        <v>0.0</v>
      </c>
      <c r="C210" s="73">
        <v>390.0</v>
      </c>
      <c r="D210" s="75">
        <v>45671.0</v>
      </c>
      <c r="E210" s="72">
        <v>0.0</v>
      </c>
    </row>
    <row r="211">
      <c r="A211" s="17" t="s">
        <v>95</v>
      </c>
      <c r="B211" s="17">
        <v>0.0</v>
      </c>
      <c r="C211" s="73">
        <v>394.0</v>
      </c>
      <c r="D211" s="75">
        <v>45671.0</v>
      </c>
      <c r="E211" s="72">
        <v>0.0</v>
      </c>
    </row>
    <row r="212">
      <c r="A212" s="17" t="s">
        <v>96</v>
      </c>
      <c r="B212" s="17">
        <v>0.0</v>
      </c>
      <c r="C212" s="73">
        <v>400.0</v>
      </c>
      <c r="D212" s="75">
        <v>45671.0</v>
      </c>
      <c r="E212" s="72">
        <v>0.0</v>
      </c>
    </row>
    <row r="213">
      <c r="A213" s="17" t="s">
        <v>96</v>
      </c>
      <c r="B213" s="17">
        <v>0.0</v>
      </c>
      <c r="C213" s="73">
        <v>406.0</v>
      </c>
      <c r="D213" s="75">
        <v>45671.0</v>
      </c>
      <c r="E213" s="72">
        <v>0.0</v>
      </c>
    </row>
    <row r="214">
      <c r="A214" s="17" t="s">
        <v>96</v>
      </c>
      <c r="B214" s="17">
        <v>0.0</v>
      </c>
      <c r="C214" s="73">
        <v>411.0</v>
      </c>
      <c r="D214" s="75">
        <v>45671.0</v>
      </c>
      <c r="E214" s="72">
        <v>0.0</v>
      </c>
    </row>
    <row r="215">
      <c r="A215" s="17" t="s">
        <v>97</v>
      </c>
      <c r="B215" s="17">
        <v>0.0</v>
      </c>
      <c r="C215" s="73">
        <v>420.0</v>
      </c>
      <c r="D215" s="75">
        <v>45671.0</v>
      </c>
      <c r="E215" s="72">
        <v>1.0</v>
      </c>
    </row>
    <row r="216">
      <c r="A216" s="17" t="s">
        <v>97</v>
      </c>
      <c r="B216" s="17">
        <v>0.0</v>
      </c>
      <c r="C216" s="73">
        <v>426.0</v>
      </c>
      <c r="D216" s="75">
        <v>45671.0</v>
      </c>
      <c r="E216" s="72">
        <v>0.0</v>
      </c>
    </row>
    <row r="217">
      <c r="A217" s="17" t="s">
        <v>97</v>
      </c>
      <c r="B217" s="17">
        <v>0.0</v>
      </c>
      <c r="C217" s="73">
        <v>431.0</v>
      </c>
      <c r="D217" s="75">
        <v>45671.0</v>
      </c>
      <c r="E217" s="72">
        <v>0.0</v>
      </c>
    </row>
    <row r="218">
      <c r="A218" s="17" t="s">
        <v>94</v>
      </c>
      <c r="B218" s="17">
        <v>2.0</v>
      </c>
      <c r="C218" s="73">
        <v>5.0</v>
      </c>
      <c r="D218" s="75">
        <v>45685.0</v>
      </c>
      <c r="E218" s="72">
        <v>0.0</v>
      </c>
    </row>
    <row r="219">
      <c r="A219" s="17" t="s">
        <v>94</v>
      </c>
      <c r="B219" s="17">
        <v>2.0</v>
      </c>
      <c r="C219" s="73">
        <v>6.0</v>
      </c>
      <c r="D219" s="75">
        <v>45685.0</v>
      </c>
      <c r="E219" s="72">
        <v>0.0</v>
      </c>
    </row>
    <row r="220">
      <c r="A220" s="17" t="s">
        <v>94</v>
      </c>
      <c r="B220" s="17">
        <v>2.0</v>
      </c>
      <c r="C220" s="73">
        <v>7.0</v>
      </c>
      <c r="D220" s="75">
        <v>45685.0</v>
      </c>
      <c r="E220" s="72">
        <v>0.0</v>
      </c>
    </row>
    <row r="221">
      <c r="A221" s="17" t="s">
        <v>94</v>
      </c>
      <c r="B221" s="17">
        <v>4.0</v>
      </c>
      <c r="C221" s="73">
        <v>9.0</v>
      </c>
      <c r="D221" s="75">
        <v>45685.0</v>
      </c>
      <c r="E221" s="72">
        <v>0.0</v>
      </c>
    </row>
    <row r="222">
      <c r="A222" s="17" t="s">
        <v>94</v>
      </c>
      <c r="B222" s="17">
        <v>4.0</v>
      </c>
      <c r="C222" s="73">
        <v>10.0</v>
      </c>
      <c r="D222" s="75">
        <v>45685.0</v>
      </c>
      <c r="E222" s="72">
        <v>0.0</v>
      </c>
    </row>
    <row r="223">
      <c r="A223" s="17" t="s">
        <v>94</v>
      </c>
      <c r="B223" s="17">
        <v>4.0</v>
      </c>
      <c r="C223" s="73">
        <v>11.0</v>
      </c>
      <c r="D223" s="75">
        <v>45685.0</v>
      </c>
      <c r="E223" s="72">
        <v>0.0</v>
      </c>
    </row>
    <row r="224">
      <c r="A224" s="17" t="s">
        <v>94</v>
      </c>
      <c r="B224" s="17">
        <v>10.0</v>
      </c>
      <c r="C224" s="73">
        <v>13.0</v>
      </c>
      <c r="D224" s="75">
        <v>45685.0</v>
      </c>
      <c r="E224" s="72">
        <v>2.0</v>
      </c>
    </row>
    <row r="225">
      <c r="A225" s="17" t="s">
        <v>94</v>
      </c>
      <c r="B225" s="17">
        <v>10.0</v>
      </c>
      <c r="C225" s="73">
        <v>14.0</v>
      </c>
      <c r="D225" s="75">
        <v>45685.0</v>
      </c>
      <c r="E225" s="72">
        <v>3.0</v>
      </c>
    </row>
    <row r="226">
      <c r="A226" s="17" t="s">
        <v>94</v>
      </c>
      <c r="B226" s="17">
        <v>10.0</v>
      </c>
      <c r="C226" s="73">
        <v>15.0</v>
      </c>
      <c r="D226" s="75">
        <v>45685.0</v>
      </c>
      <c r="E226" s="72">
        <v>3.0</v>
      </c>
    </row>
    <row r="227">
      <c r="A227" s="17" t="s">
        <v>94</v>
      </c>
      <c r="B227" s="17">
        <v>15.0</v>
      </c>
      <c r="C227" s="73">
        <v>21.0</v>
      </c>
      <c r="D227" s="75">
        <v>45685.0</v>
      </c>
      <c r="E227" s="72">
        <v>2.0</v>
      </c>
    </row>
    <row r="228">
      <c r="A228" s="17" t="s">
        <v>94</v>
      </c>
      <c r="B228" s="17">
        <v>15.0</v>
      </c>
      <c r="C228" s="73">
        <v>22.0</v>
      </c>
      <c r="D228" s="75">
        <v>45685.0</v>
      </c>
      <c r="E228" s="72">
        <v>2.0</v>
      </c>
    </row>
    <row r="229">
      <c r="A229" s="17" t="s">
        <v>94</v>
      </c>
      <c r="B229" s="17">
        <v>15.0</v>
      </c>
      <c r="C229" s="73">
        <v>23.0</v>
      </c>
      <c r="D229" s="75">
        <v>45685.0</v>
      </c>
      <c r="E229" s="72">
        <v>3.0</v>
      </c>
    </row>
    <row r="230">
      <c r="A230" s="17" t="s">
        <v>95</v>
      </c>
      <c r="B230" s="17">
        <v>2.0</v>
      </c>
      <c r="C230" s="73">
        <v>29.0</v>
      </c>
      <c r="D230" s="75">
        <v>45685.0</v>
      </c>
      <c r="E230" s="72">
        <v>0.0</v>
      </c>
    </row>
    <row r="231">
      <c r="A231" s="17" t="s">
        <v>95</v>
      </c>
      <c r="B231" s="17">
        <v>2.0</v>
      </c>
      <c r="C231" s="73">
        <v>31.0</v>
      </c>
      <c r="D231" s="75">
        <v>45685.0</v>
      </c>
      <c r="E231" s="72">
        <v>0.0</v>
      </c>
    </row>
    <row r="232">
      <c r="A232" s="17" t="s">
        <v>95</v>
      </c>
      <c r="B232" s="17">
        <v>2.0</v>
      </c>
      <c r="C232" s="73">
        <v>34.0</v>
      </c>
      <c r="D232" s="75">
        <v>45685.0</v>
      </c>
      <c r="E232" s="72">
        <v>0.0</v>
      </c>
    </row>
    <row r="233">
      <c r="A233" s="17" t="s">
        <v>95</v>
      </c>
      <c r="B233" s="17">
        <v>4.0</v>
      </c>
      <c r="C233" s="73">
        <v>37.0</v>
      </c>
      <c r="D233" s="75">
        <v>45685.0</v>
      </c>
      <c r="E233" s="72">
        <v>3.0</v>
      </c>
    </row>
    <row r="234">
      <c r="A234" s="17" t="s">
        <v>95</v>
      </c>
      <c r="B234" s="17">
        <v>4.0</v>
      </c>
      <c r="C234" s="73">
        <v>39.0</v>
      </c>
      <c r="D234" s="75">
        <v>45685.0</v>
      </c>
      <c r="E234" s="72">
        <v>3.0</v>
      </c>
    </row>
    <row r="235">
      <c r="A235" s="17" t="s">
        <v>95</v>
      </c>
      <c r="B235" s="17">
        <v>4.0</v>
      </c>
      <c r="C235" s="73">
        <v>42.0</v>
      </c>
      <c r="D235" s="75">
        <v>45685.0</v>
      </c>
      <c r="E235" s="72">
        <v>3.0</v>
      </c>
    </row>
    <row r="236">
      <c r="A236" s="17" t="s">
        <v>95</v>
      </c>
      <c r="B236" s="17">
        <v>0.0</v>
      </c>
      <c r="C236" s="73">
        <v>385.0</v>
      </c>
      <c r="D236" s="75">
        <v>45685.0</v>
      </c>
      <c r="E236" s="72">
        <v>0.0</v>
      </c>
    </row>
    <row r="237">
      <c r="A237" s="17" t="s">
        <v>95</v>
      </c>
      <c r="B237" s="17">
        <v>0.0</v>
      </c>
      <c r="C237" s="73">
        <v>390.0</v>
      </c>
      <c r="D237" s="75">
        <v>45685.0</v>
      </c>
      <c r="E237" s="72">
        <v>0.0</v>
      </c>
    </row>
    <row r="238">
      <c r="A238" s="17" t="s">
        <v>95</v>
      </c>
      <c r="B238" s="17">
        <v>0.0</v>
      </c>
      <c r="C238" s="73">
        <v>394.0</v>
      </c>
      <c r="D238" s="75">
        <v>45685.0</v>
      </c>
      <c r="E238" s="72">
        <v>0.0</v>
      </c>
    </row>
    <row r="239">
      <c r="A239" s="17" t="s">
        <v>96</v>
      </c>
      <c r="B239" s="17">
        <v>0.0</v>
      </c>
      <c r="C239" s="73">
        <v>400.0</v>
      </c>
      <c r="D239" s="75">
        <v>45685.0</v>
      </c>
      <c r="E239" s="72">
        <v>0.0</v>
      </c>
    </row>
    <row r="240">
      <c r="A240" s="17" t="s">
        <v>96</v>
      </c>
      <c r="B240" s="17">
        <v>0.0</v>
      </c>
      <c r="C240" s="73">
        <v>406.0</v>
      </c>
      <c r="D240" s="75">
        <v>45685.0</v>
      </c>
      <c r="E240" s="72">
        <v>0.0</v>
      </c>
    </row>
    <row r="241">
      <c r="A241" s="17" t="s">
        <v>96</v>
      </c>
      <c r="B241" s="17">
        <v>0.0</v>
      </c>
      <c r="C241" s="73">
        <v>411.0</v>
      </c>
      <c r="D241" s="75">
        <v>45685.0</v>
      </c>
      <c r="E241" s="72">
        <v>0.0</v>
      </c>
    </row>
    <row r="242">
      <c r="A242" s="17" t="s">
        <v>97</v>
      </c>
      <c r="B242" s="17">
        <v>0.0</v>
      </c>
      <c r="C242" s="73">
        <v>420.0</v>
      </c>
      <c r="D242" s="75">
        <v>45685.0</v>
      </c>
      <c r="E242" s="72">
        <v>0.0</v>
      </c>
    </row>
    <row r="243">
      <c r="A243" s="17" t="s">
        <v>97</v>
      </c>
      <c r="B243" s="17">
        <v>0.0</v>
      </c>
      <c r="C243" s="73">
        <v>426.0</v>
      </c>
      <c r="D243" s="75">
        <v>45685.0</v>
      </c>
      <c r="E243" s="72">
        <v>0.0</v>
      </c>
    </row>
    <row r="244">
      <c r="A244" s="17" t="s">
        <v>97</v>
      </c>
      <c r="B244" s="17">
        <v>0.0</v>
      </c>
      <c r="C244" s="73">
        <v>431.0</v>
      </c>
      <c r="D244" s="75">
        <v>45685.0</v>
      </c>
      <c r="E244" s="72">
        <v>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8.56"/>
  </cols>
  <sheetData>
    <row r="1" ht="15.75" customHeight="1">
      <c r="A1" s="76" t="s">
        <v>91</v>
      </c>
      <c r="B1" s="76" t="s">
        <v>92</v>
      </c>
      <c r="C1" s="76" t="s">
        <v>88</v>
      </c>
      <c r="D1" s="76" t="s">
        <v>101</v>
      </c>
      <c r="E1" s="77" t="s">
        <v>102</v>
      </c>
      <c r="F1" s="77" t="s">
        <v>103</v>
      </c>
      <c r="G1" s="77" t="s">
        <v>104</v>
      </c>
      <c r="H1" s="78" t="s">
        <v>105</v>
      </c>
      <c r="I1" s="77" t="s">
        <v>106</v>
      </c>
      <c r="J1" s="79" t="s">
        <v>107</v>
      </c>
      <c r="K1" s="78" t="s">
        <v>108</v>
      </c>
      <c r="L1" s="17" t="s">
        <v>109</v>
      </c>
      <c r="M1" s="17" t="s">
        <v>110</v>
      </c>
      <c r="N1" s="17" t="s">
        <v>111</v>
      </c>
      <c r="O1" s="17" t="s">
        <v>112</v>
      </c>
      <c r="P1" s="17" t="s">
        <v>113</v>
      </c>
    </row>
    <row r="2" ht="15.75" customHeight="1">
      <c r="A2" s="76" t="s">
        <v>94</v>
      </c>
      <c r="B2" s="2">
        <v>2.0</v>
      </c>
      <c r="C2" s="2">
        <v>5.0</v>
      </c>
      <c r="D2" s="2">
        <v>18.0</v>
      </c>
      <c r="E2" s="80">
        <v>2.481992483139038</v>
      </c>
      <c r="F2" s="80">
        <v>34.784912109375</v>
      </c>
      <c r="G2" s="80">
        <v>4.584654331207275</v>
      </c>
      <c r="H2" s="69">
        <f t="shared" ref="H2:H82" si="1">100-E2-F2-G2-I2</f>
        <v>57.52327347</v>
      </c>
      <c r="I2" s="80">
        <v>0.6251676082611084</v>
      </c>
      <c r="J2" s="80">
        <f t="shared" ref="J2:J82" si="2">L2/K2</f>
        <v>16.35073343</v>
      </c>
      <c r="K2" s="69">
        <f t="shared" ref="K2:K82" si="3">E2/14</f>
        <v>0.1772851774</v>
      </c>
      <c r="L2" s="69">
        <f t="shared" ref="L2:L82" si="4">F2/12</f>
        <v>2.898742676</v>
      </c>
      <c r="M2" s="69">
        <f t="shared" ref="M2:M82" si="5">G2/1</f>
        <v>4.584654331</v>
      </c>
      <c r="N2" s="69">
        <f t="shared" ref="N2:N82" si="6">H2/16</f>
        <v>3.595204592</v>
      </c>
      <c r="O2" s="69">
        <f t="shared" ref="O2:O82" si="7">M2/L2</f>
        <v>1.581601006</v>
      </c>
      <c r="P2" s="69">
        <f t="shared" ref="P2:P82" si="8">N2/L2</f>
        <v>1.24026345</v>
      </c>
      <c r="Q2" s="69"/>
      <c r="R2" s="69"/>
    </row>
    <row r="3" ht="15.75" customHeight="1">
      <c r="A3" s="76" t="s">
        <v>94</v>
      </c>
      <c r="B3" s="2">
        <v>2.0</v>
      </c>
      <c r="C3" s="2">
        <v>5.0</v>
      </c>
      <c r="D3" s="2">
        <v>17.440000534057617</v>
      </c>
      <c r="E3" s="80">
        <v>2.5060789585113525</v>
      </c>
      <c r="F3" s="80">
        <v>34.90897750854492</v>
      </c>
      <c r="G3" s="80">
        <v>4.75745153427124</v>
      </c>
      <c r="H3" s="69">
        <f t="shared" si="1"/>
        <v>57.33754569</v>
      </c>
      <c r="I3" s="80">
        <v>0.48994630575180054</v>
      </c>
      <c r="J3" s="80">
        <f t="shared" si="2"/>
        <v>16.25133968</v>
      </c>
      <c r="K3" s="69">
        <f t="shared" si="3"/>
        <v>0.1790056399</v>
      </c>
      <c r="L3" s="69">
        <f t="shared" si="4"/>
        <v>2.909081459</v>
      </c>
      <c r="M3" s="69">
        <f t="shared" si="5"/>
        <v>4.757451534</v>
      </c>
      <c r="N3" s="69">
        <f t="shared" si="6"/>
        <v>3.583596606</v>
      </c>
      <c r="O3" s="69">
        <f t="shared" si="7"/>
        <v>1.635379277</v>
      </c>
      <c r="P3" s="69">
        <f t="shared" si="8"/>
        <v>1.231865335</v>
      </c>
      <c r="R3" s="69"/>
    </row>
    <row r="4" ht="15.75" customHeight="1">
      <c r="A4" s="76" t="s">
        <v>94</v>
      </c>
      <c r="B4" s="2">
        <v>2.0</v>
      </c>
      <c r="C4" s="2">
        <v>5.0</v>
      </c>
      <c r="D4" s="2">
        <v>18.950000762939453</v>
      </c>
      <c r="E4" s="80">
        <v>2.4366602897644043</v>
      </c>
      <c r="F4" s="80">
        <v>33.75265121459961</v>
      </c>
      <c r="G4" s="80">
        <v>4.302516460418701</v>
      </c>
      <c r="H4" s="69">
        <f t="shared" si="1"/>
        <v>59.00090313</v>
      </c>
      <c r="I4" s="80">
        <v>0.5072689056396484</v>
      </c>
      <c r="J4" s="80">
        <f t="shared" si="2"/>
        <v>16.16068241</v>
      </c>
      <c r="K4" s="69">
        <f t="shared" si="3"/>
        <v>0.1740471636</v>
      </c>
      <c r="L4" s="69">
        <f t="shared" si="4"/>
        <v>2.812720935</v>
      </c>
      <c r="M4" s="69">
        <f t="shared" si="5"/>
        <v>4.30251646</v>
      </c>
      <c r="N4" s="69">
        <f t="shared" si="6"/>
        <v>3.687556446</v>
      </c>
      <c r="O4" s="69">
        <f t="shared" si="7"/>
        <v>1.529663468</v>
      </c>
      <c r="P4" s="69">
        <f t="shared" si="8"/>
        <v>1.311028193</v>
      </c>
    </row>
    <row r="5" ht="15.75" customHeight="1">
      <c r="A5" s="76" t="s">
        <v>94</v>
      </c>
      <c r="B5" s="2">
        <v>2.0</v>
      </c>
      <c r="C5" s="2">
        <v>6.0</v>
      </c>
      <c r="D5" s="2">
        <v>17.600000381469727</v>
      </c>
      <c r="E5" s="80">
        <v>2.5770461559295654</v>
      </c>
      <c r="F5" s="80">
        <v>33.910282135009766</v>
      </c>
      <c r="G5" s="80">
        <v>4.619618892669678</v>
      </c>
      <c r="H5" s="69">
        <f t="shared" si="1"/>
        <v>58.3707152</v>
      </c>
      <c r="I5" s="80">
        <v>0.5223376154899597</v>
      </c>
      <c r="J5" s="80">
        <f t="shared" si="2"/>
        <v>15.35168306</v>
      </c>
      <c r="K5" s="69">
        <f t="shared" si="3"/>
        <v>0.1840747254</v>
      </c>
      <c r="L5" s="69">
        <f t="shared" si="4"/>
        <v>2.825856845</v>
      </c>
      <c r="M5" s="69">
        <f t="shared" si="5"/>
        <v>4.619618893</v>
      </c>
      <c r="N5" s="69">
        <f t="shared" si="6"/>
        <v>3.6481697</v>
      </c>
      <c r="O5" s="69">
        <f t="shared" si="7"/>
        <v>1.634767487</v>
      </c>
      <c r="P5" s="69">
        <f t="shared" si="8"/>
        <v>1.290995935</v>
      </c>
      <c r="Q5" s="69"/>
    </row>
    <row r="6" ht="15.75" customHeight="1">
      <c r="A6" s="76" t="s">
        <v>94</v>
      </c>
      <c r="B6" s="2">
        <v>2.0</v>
      </c>
      <c r="C6" s="2">
        <v>6.0</v>
      </c>
      <c r="D6" s="2">
        <v>19.770000457763672</v>
      </c>
      <c r="E6" s="80">
        <v>2.371272325515747</v>
      </c>
      <c r="F6" s="80">
        <v>33.30854797363281</v>
      </c>
      <c r="G6" s="80">
        <v>4.121457099914551</v>
      </c>
      <c r="H6" s="69">
        <f t="shared" si="1"/>
        <v>59.71249366</v>
      </c>
      <c r="I6" s="80">
        <v>0.48622894287109375</v>
      </c>
      <c r="J6" s="80">
        <f t="shared" si="2"/>
        <v>16.38781519</v>
      </c>
      <c r="K6" s="69">
        <f t="shared" si="3"/>
        <v>0.1693765947</v>
      </c>
      <c r="L6" s="69">
        <f t="shared" si="4"/>
        <v>2.775712331</v>
      </c>
      <c r="M6" s="69">
        <f t="shared" si="5"/>
        <v>4.1214571</v>
      </c>
      <c r="N6" s="69">
        <f t="shared" si="6"/>
        <v>3.732030854</v>
      </c>
      <c r="O6" s="69">
        <f t="shared" si="7"/>
        <v>1.484828616</v>
      </c>
      <c r="P6" s="69">
        <f t="shared" si="8"/>
        <v>1.344530848</v>
      </c>
    </row>
    <row r="7" ht="15.75" customHeight="1">
      <c r="A7" s="76" t="s">
        <v>94</v>
      </c>
      <c r="B7" s="2">
        <v>2.0</v>
      </c>
      <c r="C7" s="2">
        <v>6.0</v>
      </c>
      <c r="D7" s="2">
        <v>20.219999313354492</v>
      </c>
      <c r="E7" s="80">
        <v>2.4081995487213135</v>
      </c>
      <c r="F7" s="80">
        <v>33.39930725097656</v>
      </c>
      <c r="G7" s="80">
        <v>4.114818096160889</v>
      </c>
      <c r="H7" s="69">
        <f t="shared" si="1"/>
        <v>59.61547303</v>
      </c>
      <c r="I7" s="80">
        <v>0.4622020721435547</v>
      </c>
      <c r="J7" s="80">
        <f t="shared" si="2"/>
        <v>16.18049405</v>
      </c>
      <c r="K7" s="69">
        <f t="shared" si="3"/>
        <v>0.1720142535</v>
      </c>
      <c r="L7" s="69">
        <f t="shared" si="4"/>
        <v>2.783275604</v>
      </c>
      <c r="M7" s="69">
        <f t="shared" si="5"/>
        <v>4.114818096</v>
      </c>
      <c r="N7" s="69">
        <f t="shared" si="6"/>
        <v>3.725967064</v>
      </c>
      <c r="O7" s="69">
        <f t="shared" si="7"/>
        <v>1.478408423</v>
      </c>
      <c r="P7" s="69">
        <f t="shared" si="8"/>
        <v>1.338698568</v>
      </c>
    </row>
    <row r="8" ht="15.75" customHeight="1">
      <c r="A8" s="76" t="s">
        <v>94</v>
      </c>
      <c r="B8" s="2">
        <v>2.0</v>
      </c>
      <c r="C8" s="2">
        <v>7.0</v>
      </c>
      <c r="D8" s="2">
        <v>18.889999389648438</v>
      </c>
      <c r="E8" s="80">
        <v>2.217696189880371</v>
      </c>
      <c r="F8" s="80">
        <v>36.61225891113281</v>
      </c>
      <c r="G8" s="80">
        <v>4.234414577484131</v>
      </c>
      <c r="H8" s="69">
        <f t="shared" si="1"/>
        <v>56.48127303</v>
      </c>
      <c r="I8" s="80">
        <v>0.4543572962284088</v>
      </c>
      <c r="J8" s="80">
        <f t="shared" si="2"/>
        <v>19.2606644</v>
      </c>
      <c r="K8" s="69">
        <f t="shared" si="3"/>
        <v>0.1584068707</v>
      </c>
      <c r="L8" s="69">
        <f t="shared" si="4"/>
        <v>3.051021576</v>
      </c>
      <c r="M8" s="69">
        <f t="shared" si="5"/>
        <v>4.234414577</v>
      </c>
      <c r="N8" s="69">
        <f t="shared" si="6"/>
        <v>3.530079564</v>
      </c>
      <c r="O8" s="69">
        <f t="shared" si="7"/>
        <v>1.387867792</v>
      </c>
      <c r="P8" s="69">
        <f t="shared" si="8"/>
        <v>1.157015602</v>
      </c>
      <c r="Q8" s="69"/>
    </row>
    <row r="9" ht="15.75" customHeight="1">
      <c r="A9" s="76" t="s">
        <v>94</v>
      </c>
      <c r="B9" s="2">
        <v>2.0</v>
      </c>
      <c r="C9" s="2">
        <v>7.0</v>
      </c>
      <c r="D9" s="2">
        <v>21.040000915527344</v>
      </c>
      <c r="E9" s="80">
        <v>1.99526846408844</v>
      </c>
      <c r="F9" s="80">
        <v>36.47972106933594</v>
      </c>
      <c r="G9" s="80">
        <v>4.083096027374268</v>
      </c>
      <c r="H9" s="69">
        <f t="shared" si="1"/>
        <v>57.01223007</v>
      </c>
      <c r="I9" s="80">
        <v>0.4296843707561493</v>
      </c>
      <c r="J9" s="80">
        <f t="shared" si="2"/>
        <v>21.33029983</v>
      </c>
      <c r="K9" s="69">
        <f t="shared" si="3"/>
        <v>0.142519176</v>
      </c>
      <c r="L9" s="69">
        <f t="shared" si="4"/>
        <v>3.039976756</v>
      </c>
      <c r="M9" s="69">
        <f t="shared" si="5"/>
        <v>4.083096027</v>
      </c>
      <c r="N9" s="69">
        <f t="shared" si="6"/>
        <v>3.563264379</v>
      </c>
      <c r="O9" s="69">
        <f t="shared" si="7"/>
        <v>1.343133963</v>
      </c>
      <c r="P9" s="69">
        <f t="shared" si="8"/>
        <v>1.172135403</v>
      </c>
    </row>
    <row r="10" ht="15.75" customHeight="1">
      <c r="A10" s="76" t="s">
        <v>94</v>
      </c>
      <c r="B10" s="2">
        <v>2.0</v>
      </c>
      <c r="C10" s="2">
        <v>7.0</v>
      </c>
      <c r="D10" s="2">
        <v>20.25</v>
      </c>
      <c r="E10" s="80">
        <v>2.324394464492798</v>
      </c>
      <c r="F10" s="80">
        <v>37.3114051818848</v>
      </c>
      <c r="G10" s="80">
        <v>4.181596279144287</v>
      </c>
      <c r="H10" s="69">
        <f t="shared" si="1"/>
        <v>55.69283059</v>
      </c>
      <c r="I10" s="80">
        <v>0.4897734820842743</v>
      </c>
      <c r="J10" s="80">
        <f t="shared" si="2"/>
        <v>18.72744639</v>
      </c>
      <c r="K10" s="69">
        <f t="shared" si="3"/>
        <v>0.166028176</v>
      </c>
      <c r="L10" s="69">
        <f t="shared" si="4"/>
        <v>3.109283765</v>
      </c>
      <c r="M10" s="69">
        <f t="shared" si="5"/>
        <v>4.181596279</v>
      </c>
      <c r="N10" s="69">
        <f t="shared" si="6"/>
        <v>3.480801912</v>
      </c>
      <c r="O10" s="69">
        <f t="shared" si="7"/>
        <v>1.344874445</v>
      </c>
      <c r="P10" s="69">
        <f t="shared" si="8"/>
        <v>1.119486729</v>
      </c>
    </row>
    <row r="11" ht="15.75" customHeight="1">
      <c r="A11" s="76" t="s">
        <v>94</v>
      </c>
      <c r="B11" s="2">
        <v>4.0</v>
      </c>
      <c r="C11" s="2">
        <v>9.0</v>
      </c>
      <c r="D11" s="2">
        <v>18.3799991607666</v>
      </c>
      <c r="E11" s="80">
        <v>2.7424793243408203</v>
      </c>
      <c r="F11" s="80">
        <v>38.50825119018555</v>
      </c>
      <c r="G11" s="80">
        <v>4.690113067626953</v>
      </c>
      <c r="H11" s="69">
        <f t="shared" si="1"/>
        <v>53.54445761</v>
      </c>
      <c r="I11" s="80">
        <v>0.5146988034248352</v>
      </c>
      <c r="J11" s="80">
        <f t="shared" si="2"/>
        <v>16.38163419</v>
      </c>
      <c r="K11" s="69">
        <f t="shared" si="3"/>
        <v>0.1958913803</v>
      </c>
      <c r="L11" s="69">
        <f t="shared" si="4"/>
        <v>3.209020933</v>
      </c>
      <c r="M11" s="69">
        <f t="shared" si="5"/>
        <v>4.690113068</v>
      </c>
      <c r="N11" s="69">
        <f t="shared" si="6"/>
        <v>3.346528601</v>
      </c>
      <c r="O11" s="69">
        <f t="shared" si="7"/>
        <v>1.461540191</v>
      </c>
      <c r="P11" s="69">
        <f t="shared" si="8"/>
        <v>1.042850349</v>
      </c>
    </row>
    <row r="12" ht="15.75" customHeight="1">
      <c r="A12" s="76" t="s">
        <v>94</v>
      </c>
      <c r="B12" s="2">
        <v>4.0</v>
      </c>
      <c r="C12" s="2">
        <v>9.0</v>
      </c>
      <c r="D12" s="2">
        <v>17.149999618530273</v>
      </c>
      <c r="E12" s="80">
        <v>2.260561227798462</v>
      </c>
      <c r="F12" s="80">
        <v>37.27943801879883</v>
      </c>
      <c r="G12" s="80">
        <v>4.632255554199219</v>
      </c>
      <c r="H12" s="69">
        <f t="shared" si="1"/>
        <v>55.37399897</v>
      </c>
      <c r="I12" s="80">
        <v>0.4537462294101715</v>
      </c>
      <c r="J12" s="80">
        <f t="shared" si="2"/>
        <v>19.23976982</v>
      </c>
      <c r="K12" s="69">
        <f t="shared" si="3"/>
        <v>0.1614686591</v>
      </c>
      <c r="L12" s="69">
        <f t="shared" si="4"/>
        <v>3.106619835</v>
      </c>
      <c r="M12" s="69">
        <f t="shared" si="5"/>
        <v>4.632255554</v>
      </c>
      <c r="N12" s="69">
        <f t="shared" si="6"/>
        <v>3.460874936</v>
      </c>
      <c r="O12" s="69">
        <f t="shared" si="7"/>
        <v>1.491091862</v>
      </c>
      <c r="P12" s="69">
        <f t="shared" si="8"/>
        <v>1.114032331</v>
      </c>
    </row>
    <row r="13" ht="15.75" customHeight="1">
      <c r="A13" s="76" t="s">
        <v>94</v>
      </c>
      <c r="B13" s="2">
        <v>4.0</v>
      </c>
      <c r="C13" s="2">
        <v>9.0</v>
      </c>
      <c r="D13" s="2">
        <v>18.079999923706055</v>
      </c>
      <c r="E13" s="80">
        <v>2.4340879917144775</v>
      </c>
      <c r="F13" s="80">
        <v>37.494720458984375</v>
      </c>
      <c r="G13" s="80">
        <v>4.490804672241211</v>
      </c>
      <c r="H13" s="69">
        <f t="shared" si="1"/>
        <v>55.16896901</v>
      </c>
      <c r="I13" s="80">
        <v>0.4114178717136383</v>
      </c>
      <c r="J13" s="80">
        <f t="shared" si="2"/>
        <v>17.97134725</v>
      </c>
      <c r="K13" s="69">
        <f t="shared" si="3"/>
        <v>0.173863428</v>
      </c>
      <c r="L13" s="69">
        <f t="shared" si="4"/>
        <v>3.124560038</v>
      </c>
      <c r="M13" s="69">
        <f t="shared" si="5"/>
        <v>4.490804672</v>
      </c>
      <c r="N13" s="69">
        <f t="shared" si="6"/>
        <v>3.448060563</v>
      </c>
      <c r="O13" s="69">
        <f t="shared" si="7"/>
        <v>1.437259844</v>
      </c>
      <c r="P13" s="69">
        <f t="shared" si="8"/>
        <v>1.103534744</v>
      </c>
    </row>
    <row r="14" ht="15.75" customHeight="1">
      <c r="A14" s="76" t="s">
        <v>94</v>
      </c>
      <c r="B14" s="2">
        <v>4.0</v>
      </c>
      <c r="C14" s="2">
        <v>10.0</v>
      </c>
      <c r="D14" s="2">
        <v>18.40999984741211</v>
      </c>
      <c r="E14" s="80">
        <v>2.372668504714966</v>
      </c>
      <c r="F14" s="80">
        <v>33.84687805175781</v>
      </c>
      <c r="G14" s="80">
        <v>4.362063407897949</v>
      </c>
      <c r="H14" s="69">
        <f t="shared" si="1"/>
        <v>58.93768227</v>
      </c>
      <c r="I14" s="80">
        <v>0.4807077646255493</v>
      </c>
      <c r="J14" s="80">
        <f t="shared" si="2"/>
        <v>16.6428746</v>
      </c>
      <c r="K14" s="69">
        <f t="shared" si="3"/>
        <v>0.1694763218</v>
      </c>
      <c r="L14" s="69">
        <f t="shared" si="4"/>
        <v>2.820573171</v>
      </c>
      <c r="M14" s="69">
        <f t="shared" si="5"/>
        <v>4.362063408</v>
      </c>
      <c r="N14" s="69">
        <f t="shared" si="6"/>
        <v>3.683605142</v>
      </c>
      <c r="O14" s="69">
        <f t="shared" si="7"/>
        <v>1.546516663</v>
      </c>
      <c r="P14" s="69">
        <f t="shared" si="8"/>
        <v>1.305977515</v>
      </c>
    </row>
    <row r="15" ht="15.75" customHeight="1">
      <c r="A15" s="76" t="s">
        <v>94</v>
      </c>
      <c r="B15" s="2">
        <v>4.0</v>
      </c>
      <c r="C15" s="2">
        <v>10.0</v>
      </c>
      <c r="D15" s="2">
        <v>18.139999389648438</v>
      </c>
      <c r="E15" s="80">
        <v>2.2788360118865967</v>
      </c>
      <c r="F15" s="80">
        <v>32.762378692627</v>
      </c>
      <c r="G15" s="80">
        <v>4.2481770515441895</v>
      </c>
      <c r="H15" s="69">
        <f t="shared" si="1"/>
        <v>60.27531692</v>
      </c>
      <c r="I15" s="80">
        <v>0.4352913200855255</v>
      </c>
      <c r="J15" s="80">
        <f t="shared" si="2"/>
        <v>16.772938</v>
      </c>
      <c r="K15" s="69">
        <f t="shared" si="3"/>
        <v>0.1627740008</v>
      </c>
      <c r="L15" s="69">
        <f t="shared" si="4"/>
        <v>2.730198224</v>
      </c>
      <c r="M15" s="69">
        <f t="shared" si="5"/>
        <v>4.248177052</v>
      </c>
      <c r="N15" s="69">
        <f t="shared" si="6"/>
        <v>3.767207308</v>
      </c>
      <c r="O15" s="69">
        <f t="shared" si="7"/>
        <v>1.55599583</v>
      </c>
      <c r="P15" s="69">
        <f t="shared" si="8"/>
        <v>1.379829228</v>
      </c>
    </row>
    <row r="16" ht="15.75" customHeight="1">
      <c r="A16" s="76" t="s">
        <v>94</v>
      </c>
      <c r="B16" s="2">
        <v>4.0</v>
      </c>
      <c r="C16" s="2">
        <v>10.0</v>
      </c>
      <c r="D16" s="2">
        <v>18.600000381469727</v>
      </c>
      <c r="E16" s="80">
        <v>2.3504629135131836</v>
      </c>
      <c r="F16" s="80">
        <v>33.54109573364258</v>
      </c>
      <c r="G16" s="80">
        <v>4.303433418273926</v>
      </c>
      <c r="H16" s="69">
        <f t="shared" si="1"/>
        <v>59.3394649</v>
      </c>
      <c r="I16" s="80">
        <v>0.4655430316925049</v>
      </c>
      <c r="J16" s="80">
        <f t="shared" si="2"/>
        <v>16.64832835</v>
      </c>
      <c r="K16" s="69">
        <f t="shared" si="3"/>
        <v>0.1678902081</v>
      </c>
      <c r="L16" s="69">
        <f t="shared" si="4"/>
        <v>2.795091311</v>
      </c>
      <c r="M16" s="69">
        <f t="shared" si="5"/>
        <v>4.303433418</v>
      </c>
      <c r="N16" s="69">
        <f t="shared" si="6"/>
        <v>3.708716556</v>
      </c>
      <c r="O16" s="69">
        <f t="shared" si="7"/>
        <v>1.539639654</v>
      </c>
      <c r="P16" s="69">
        <f t="shared" si="8"/>
        <v>1.326867763</v>
      </c>
    </row>
    <row r="17" ht="15.75" customHeight="1">
      <c r="A17" s="76" t="s">
        <v>94</v>
      </c>
      <c r="B17" s="2">
        <v>4.0</v>
      </c>
      <c r="C17" s="2">
        <v>11.0</v>
      </c>
      <c r="D17" s="2">
        <v>18.90999984741211</v>
      </c>
      <c r="E17" s="80">
        <v>2.2486541271209717</v>
      </c>
      <c r="F17" s="80">
        <v>33.4843254089355</v>
      </c>
      <c r="G17" s="80">
        <v>4.11172342300415</v>
      </c>
      <c r="H17" s="69">
        <f t="shared" si="1"/>
        <v>59.73167872</v>
      </c>
      <c r="I17" s="80">
        <v>0.4236183166503906</v>
      </c>
      <c r="J17" s="80">
        <f t="shared" si="2"/>
        <v>17.37263452</v>
      </c>
      <c r="K17" s="69">
        <f t="shared" si="3"/>
        <v>0.1606181519</v>
      </c>
      <c r="L17" s="69">
        <f t="shared" si="4"/>
        <v>2.790360451</v>
      </c>
      <c r="M17" s="69">
        <f t="shared" si="5"/>
        <v>4.111723423</v>
      </c>
      <c r="N17" s="69">
        <f t="shared" si="6"/>
        <v>3.73322992</v>
      </c>
      <c r="O17" s="69">
        <f t="shared" si="7"/>
        <v>1.473545621</v>
      </c>
      <c r="P17" s="69">
        <f t="shared" si="8"/>
        <v>1.337902392</v>
      </c>
    </row>
    <row r="18" ht="15.75" customHeight="1">
      <c r="A18" s="76" t="s">
        <v>94</v>
      </c>
      <c r="B18" s="2">
        <v>4.0</v>
      </c>
      <c r="C18" s="2">
        <v>11.0</v>
      </c>
      <c r="D18" s="2">
        <v>17.799999237060547</v>
      </c>
      <c r="E18" s="80">
        <v>2.4086923599243164</v>
      </c>
      <c r="F18" s="80">
        <v>33.1342487335205</v>
      </c>
      <c r="G18" s="80">
        <v>4.244724273681641</v>
      </c>
      <c r="H18" s="69">
        <f t="shared" si="1"/>
        <v>59.76658571</v>
      </c>
      <c r="I18" s="80">
        <v>0.4457489252090454</v>
      </c>
      <c r="J18" s="80">
        <f t="shared" si="2"/>
        <v>16.04880065</v>
      </c>
      <c r="K18" s="69">
        <f t="shared" si="3"/>
        <v>0.1720494543</v>
      </c>
      <c r="L18" s="69">
        <f t="shared" si="4"/>
        <v>2.761187394</v>
      </c>
      <c r="M18" s="69">
        <f t="shared" si="5"/>
        <v>4.244724274</v>
      </c>
      <c r="N18" s="69">
        <f t="shared" si="6"/>
        <v>3.735411607</v>
      </c>
      <c r="O18" s="69">
        <f t="shared" si="7"/>
        <v>1.537282215</v>
      </c>
      <c r="P18" s="69">
        <f t="shared" si="8"/>
        <v>1.352827995</v>
      </c>
    </row>
    <row r="19" ht="15.75" customHeight="1">
      <c r="A19" s="76" t="s">
        <v>94</v>
      </c>
      <c r="B19" s="2">
        <v>4.0</v>
      </c>
      <c r="C19" s="2">
        <v>11.0</v>
      </c>
      <c r="D19" s="2">
        <v>20.899999618530273</v>
      </c>
      <c r="E19" s="80">
        <v>2.5486087799072266</v>
      </c>
      <c r="F19" s="80">
        <v>34.13134765625</v>
      </c>
      <c r="G19" s="80">
        <v>4.168313026428223</v>
      </c>
      <c r="H19" s="69">
        <f t="shared" si="1"/>
        <v>58.85240448</v>
      </c>
      <c r="I19" s="80">
        <v>0.2993260622024536</v>
      </c>
      <c r="J19" s="80">
        <f t="shared" si="2"/>
        <v>15.62417344</v>
      </c>
      <c r="K19" s="69">
        <f t="shared" si="3"/>
        <v>0.1820434843</v>
      </c>
      <c r="L19" s="69">
        <f t="shared" si="4"/>
        <v>2.844278971</v>
      </c>
      <c r="M19" s="69">
        <f t="shared" si="5"/>
        <v>4.168313026</v>
      </c>
      <c r="N19" s="69">
        <f t="shared" si="6"/>
        <v>3.67827528</v>
      </c>
      <c r="O19" s="69">
        <f t="shared" si="7"/>
        <v>1.465507803</v>
      </c>
      <c r="P19" s="69">
        <f t="shared" si="8"/>
        <v>1.293218885</v>
      </c>
    </row>
    <row r="20" ht="15.75" customHeight="1">
      <c r="A20" s="76" t="s">
        <v>94</v>
      </c>
      <c r="B20" s="2">
        <v>10.0</v>
      </c>
      <c r="C20" s="2">
        <v>13.0</v>
      </c>
      <c r="D20" s="2">
        <v>18.399999618530273</v>
      </c>
      <c r="E20" s="80">
        <v>2.295236825942993</v>
      </c>
      <c r="F20" s="80">
        <v>35.80512237548828</v>
      </c>
      <c r="G20" s="80">
        <v>4.055718898773193</v>
      </c>
      <c r="H20" s="69">
        <f t="shared" si="1"/>
        <v>57.11832201</v>
      </c>
      <c r="I20" s="80">
        <v>0.7255998849868774</v>
      </c>
      <c r="J20" s="80">
        <f t="shared" si="2"/>
        <v>18.1997092</v>
      </c>
      <c r="K20" s="69">
        <f t="shared" si="3"/>
        <v>0.1639454876</v>
      </c>
      <c r="L20" s="69">
        <f t="shared" si="4"/>
        <v>2.983760198</v>
      </c>
      <c r="M20" s="69">
        <f t="shared" si="5"/>
        <v>4.055718899</v>
      </c>
      <c r="N20" s="69">
        <f t="shared" si="6"/>
        <v>3.569895126</v>
      </c>
      <c r="O20" s="69">
        <f t="shared" si="7"/>
        <v>1.359264361</v>
      </c>
      <c r="P20" s="69">
        <f t="shared" si="8"/>
        <v>1.196441701</v>
      </c>
    </row>
    <row r="21" ht="15.75" customHeight="1">
      <c r="A21" s="76" t="s">
        <v>94</v>
      </c>
      <c r="B21" s="2">
        <v>10.0</v>
      </c>
      <c r="C21" s="2">
        <v>13.0</v>
      </c>
      <c r="D21" s="2">
        <v>17.270000457763672</v>
      </c>
      <c r="E21" s="80">
        <v>2.7159957885742188</v>
      </c>
      <c r="F21" s="80">
        <v>36.80806350708008</v>
      </c>
      <c r="G21" s="80">
        <v>4.791861534118652</v>
      </c>
      <c r="H21" s="69">
        <f t="shared" si="1"/>
        <v>55.07887048</v>
      </c>
      <c r="I21" s="80">
        <v>0.605208694934845</v>
      </c>
      <c r="J21" s="80">
        <f t="shared" si="2"/>
        <v>15.81104836</v>
      </c>
      <c r="K21" s="69">
        <f t="shared" si="3"/>
        <v>0.1939996992</v>
      </c>
      <c r="L21" s="69">
        <f t="shared" si="4"/>
        <v>3.067338626</v>
      </c>
      <c r="M21" s="69">
        <f t="shared" si="5"/>
        <v>4.791861534</v>
      </c>
      <c r="N21" s="69">
        <f t="shared" si="6"/>
        <v>3.442429405</v>
      </c>
      <c r="O21" s="69">
        <f t="shared" si="7"/>
        <v>1.562221234</v>
      </c>
      <c r="P21" s="69">
        <f t="shared" si="8"/>
        <v>1.122285416</v>
      </c>
    </row>
    <row r="22" ht="15.75" customHeight="1">
      <c r="A22" s="76" t="s">
        <v>94</v>
      </c>
      <c r="B22" s="2">
        <v>10.0</v>
      </c>
      <c r="C22" s="2">
        <v>13.0</v>
      </c>
      <c r="D22" s="2">
        <v>19.889999389648438</v>
      </c>
      <c r="E22" s="80">
        <v>2.6406633853912354</v>
      </c>
      <c r="F22" s="80">
        <v>36.23921585083008</v>
      </c>
      <c r="G22" s="80">
        <v>4.468360900878906</v>
      </c>
      <c r="H22" s="69">
        <f t="shared" si="1"/>
        <v>56.12435406</v>
      </c>
      <c r="I22" s="80">
        <v>0.5274057984352112</v>
      </c>
      <c r="J22" s="80">
        <f t="shared" si="2"/>
        <v>16.01078176</v>
      </c>
      <c r="K22" s="69">
        <f t="shared" si="3"/>
        <v>0.1886188132</v>
      </c>
      <c r="L22" s="69">
        <f t="shared" si="4"/>
        <v>3.019934654</v>
      </c>
      <c r="M22" s="69">
        <f t="shared" si="5"/>
        <v>4.468360901</v>
      </c>
      <c r="N22" s="69">
        <f t="shared" si="6"/>
        <v>3.507772129</v>
      </c>
      <c r="O22" s="69">
        <f t="shared" si="7"/>
        <v>1.479621718</v>
      </c>
      <c r="P22" s="69">
        <f t="shared" si="8"/>
        <v>1.161539083</v>
      </c>
    </row>
    <row r="23" ht="15.75" customHeight="1">
      <c r="A23" s="76" t="s">
        <v>94</v>
      </c>
      <c r="B23" s="2">
        <v>10.0</v>
      </c>
      <c r="C23" s="2">
        <v>14.0</v>
      </c>
      <c r="D23" s="2">
        <v>19.520000457763672</v>
      </c>
      <c r="E23" s="80">
        <v>2.0499777793884277</v>
      </c>
      <c r="F23" s="80">
        <v>35.60568618774414</v>
      </c>
      <c r="G23" s="80">
        <v>3.951141357421875</v>
      </c>
      <c r="H23" s="69">
        <f t="shared" si="1"/>
        <v>57.95740998</v>
      </c>
      <c r="I23" s="80">
        <v>0.4357846975326538</v>
      </c>
      <c r="J23" s="80">
        <f t="shared" si="2"/>
        <v>20.26361829</v>
      </c>
      <c r="K23" s="69">
        <f t="shared" si="3"/>
        <v>0.1464269842</v>
      </c>
      <c r="L23" s="69">
        <f t="shared" si="4"/>
        <v>2.967140516</v>
      </c>
      <c r="M23" s="69">
        <f t="shared" si="5"/>
        <v>3.951141357</v>
      </c>
      <c r="N23" s="69">
        <f t="shared" si="6"/>
        <v>3.622338124</v>
      </c>
      <c r="O23" s="69">
        <f t="shared" si="7"/>
        <v>1.331632707</v>
      </c>
      <c r="P23" s="69">
        <f t="shared" si="8"/>
        <v>1.220817856</v>
      </c>
    </row>
    <row r="24" ht="15.75" customHeight="1">
      <c r="A24" s="76" t="s">
        <v>94</v>
      </c>
      <c r="B24" s="2">
        <v>10.0</v>
      </c>
      <c r="C24" s="2">
        <v>14.0</v>
      </c>
      <c r="D24" s="2">
        <v>19.100000381469727</v>
      </c>
      <c r="E24" s="80">
        <v>2.5724937915802</v>
      </c>
      <c r="F24" s="80">
        <v>35.76689147949219</v>
      </c>
      <c r="G24" s="80">
        <v>4.520947456359863</v>
      </c>
      <c r="H24" s="69">
        <f t="shared" si="1"/>
        <v>56.61041898</v>
      </c>
      <c r="I24" s="80">
        <v>0.5292482972145081</v>
      </c>
      <c r="J24" s="80">
        <f t="shared" si="2"/>
        <v>16.22085161</v>
      </c>
      <c r="K24" s="69">
        <f t="shared" si="3"/>
        <v>0.1837495565</v>
      </c>
      <c r="L24" s="69">
        <f t="shared" si="4"/>
        <v>2.98057429</v>
      </c>
      <c r="M24" s="69">
        <f t="shared" si="5"/>
        <v>4.520947456</v>
      </c>
      <c r="N24" s="69">
        <f t="shared" si="6"/>
        <v>3.538151186</v>
      </c>
      <c r="O24" s="69">
        <f t="shared" si="7"/>
        <v>1.516804151</v>
      </c>
      <c r="P24" s="69">
        <f t="shared" si="8"/>
        <v>1.18707029</v>
      </c>
    </row>
    <row r="25" ht="15.75" customHeight="1">
      <c r="A25" s="76" t="s">
        <v>94</v>
      </c>
      <c r="B25" s="2">
        <v>10.0</v>
      </c>
      <c r="C25" s="2">
        <v>14.0</v>
      </c>
      <c r="D25" s="2">
        <v>17.049999237060547</v>
      </c>
      <c r="E25" s="80">
        <v>2.6276726722717285</v>
      </c>
      <c r="F25" s="80">
        <v>36.78352355957031</v>
      </c>
      <c r="G25" s="80">
        <v>4.8003458976745605</v>
      </c>
      <c r="H25" s="69">
        <f t="shared" si="1"/>
        <v>55.26716894</v>
      </c>
      <c r="I25" s="80">
        <v>0.5212889313697815</v>
      </c>
      <c r="J25" s="80">
        <f t="shared" si="2"/>
        <v>16.33160449</v>
      </c>
      <c r="K25" s="69">
        <f t="shared" si="3"/>
        <v>0.1876909052</v>
      </c>
      <c r="L25" s="69">
        <f t="shared" si="4"/>
        <v>3.06529363</v>
      </c>
      <c r="M25" s="69">
        <f t="shared" si="5"/>
        <v>4.800345898</v>
      </c>
      <c r="N25" s="69">
        <f t="shared" si="6"/>
        <v>3.454198059</v>
      </c>
      <c r="O25" s="69">
        <f t="shared" si="7"/>
        <v>1.566031342</v>
      </c>
      <c r="P25" s="69">
        <f t="shared" si="8"/>
        <v>1.126873467</v>
      </c>
    </row>
    <row r="26" ht="15.75" customHeight="1">
      <c r="A26" s="76" t="s">
        <v>94</v>
      </c>
      <c r="B26" s="2">
        <v>10.0</v>
      </c>
      <c r="C26" s="2">
        <v>15.0</v>
      </c>
      <c r="D26" s="2">
        <v>20.100000381469727</v>
      </c>
      <c r="E26" s="80">
        <v>2.353020191192627</v>
      </c>
      <c r="F26" s="80">
        <v>33.62226486206055</v>
      </c>
      <c r="G26" s="80">
        <v>4.256976127624512</v>
      </c>
      <c r="H26" s="69">
        <f t="shared" si="1"/>
        <v>59.30277735</v>
      </c>
      <c r="I26" s="80">
        <v>0.4649614691734314</v>
      </c>
      <c r="J26" s="80">
        <f t="shared" si="2"/>
        <v>16.67047985</v>
      </c>
      <c r="K26" s="69">
        <f t="shared" si="3"/>
        <v>0.1680728708</v>
      </c>
      <c r="L26" s="69">
        <f t="shared" si="4"/>
        <v>2.801855405</v>
      </c>
      <c r="M26" s="69">
        <f t="shared" si="5"/>
        <v>4.256976128</v>
      </c>
      <c r="N26" s="69">
        <f t="shared" si="6"/>
        <v>3.706423584</v>
      </c>
      <c r="O26" s="69">
        <f t="shared" si="7"/>
        <v>1.519341833</v>
      </c>
      <c r="P26" s="69">
        <f t="shared" si="8"/>
        <v>1.322846132</v>
      </c>
    </row>
    <row r="27" ht="15.75" customHeight="1">
      <c r="A27" s="76" t="s">
        <v>94</v>
      </c>
      <c r="B27" s="2">
        <v>10.0</v>
      </c>
      <c r="C27" s="2">
        <v>15.0</v>
      </c>
      <c r="D27" s="2">
        <v>21.75</v>
      </c>
      <c r="E27" s="80">
        <v>2.373725175857544</v>
      </c>
      <c r="F27" s="80">
        <v>34.03934860229492</v>
      </c>
      <c r="G27" s="80">
        <v>4.301968097686768</v>
      </c>
      <c r="H27" s="69">
        <f t="shared" si="1"/>
        <v>58.80616233</v>
      </c>
      <c r="I27" s="80">
        <v>0.4787957966327667</v>
      </c>
      <c r="J27" s="80">
        <f t="shared" si="2"/>
        <v>16.73006369</v>
      </c>
      <c r="K27" s="69">
        <f t="shared" si="3"/>
        <v>0.1695517983</v>
      </c>
      <c r="L27" s="69">
        <f t="shared" si="4"/>
        <v>2.836612384</v>
      </c>
      <c r="M27" s="69">
        <f t="shared" si="5"/>
        <v>4.301968098</v>
      </c>
      <c r="N27" s="69">
        <f t="shared" si="6"/>
        <v>3.675385145</v>
      </c>
      <c r="O27" s="69">
        <f t="shared" si="7"/>
        <v>1.516586518</v>
      </c>
      <c r="P27" s="69">
        <f t="shared" si="8"/>
        <v>1.295695234</v>
      </c>
    </row>
    <row r="28" ht="15.75" customHeight="1">
      <c r="A28" s="76" t="s">
        <v>94</v>
      </c>
      <c r="B28" s="2">
        <v>10.0</v>
      </c>
      <c r="C28" s="2">
        <v>15.0</v>
      </c>
      <c r="D28" s="2">
        <v>19.010000228881836</v>
      </c>
      <c r="E28" s="80">
        <v>2.2408008575439453</v>
      </c>
      <c r="F28" s="80">
        <v>34.07464599609375</v>
      </c>
      <c r="G28" s="80">
        <v>4.265013217926025</v>
      </c>
      <c r="H28" s="69">
        <f t="shared" si="1"/>
        <v>58.96403751</v>
      </c>
      <c r="I28" s="80">
        <v>0.4555024206638336</v>
      </c>
      <c r="J28" s="80">
        <f t="shared" si="2"/>
        <v>17.74086864</v>
      </c>
      <c r="K28" s="69">
        <f t="shared" si="3"/>
        <v>0.1600572041</v>
      </c>
      <c r="L28" s="69">
        <f t="shared" si="4"/>
        <v>2.839553833</v>
      </c>
      <c r="M28" s="69">
        <f t="shared" si="5"/>
        <v>4.265013218</v>
      </c>
      <c r="N28" s="69">
        <f t="shared" si="6"/>
        <v>3.685252344</v>
      </c>
      <c r="O28" s="69">
        <f t="shared" si="7"/>
        <v>1.502001184</v>
      </c>
      <c r="P28" s="69">
        <f t="shared" si="8"/>
        <v>1.297827955</v>
      </c>
    </row>
    <row r="29" ht="15.75" customHeight="1">
      <c r="A29" s="76" t="s">
        <v>94</v>
      </c>
      <c r="B29" s="2">
        <v>15.0</v>
      </c>
      <c r="C29" s="2">
        <v>21.0</v>
      </c>
      <c r="D29" s="2">
        <v>17.889999389648438</v>
      </c>
      <c r="E29" s="80">
        <v>2.280406951904297</v>
      </c>
      <c r="F29" s="80">
        <v>32.2496452331543</v>
      </c>
      <c r="G29" s="80">
        <v>4.32588877677917</v>
      </c>
      <c r="H29" s="69">
        <f t="shared" si="1"/>
        <v>60.76025534</v>
      </c>
      <c r="I29" s="80">
        <v>0.38380369544029236</v>
      </c>
      <c r="J29" s="80">
        <f t="shared" si="2"/>
        <v>16.49906657</v>
      </c>
      <c r="K29" s="69">
        <f t="shared" si="3"/>
        <v>0.1628862109</v>
      </c>
      <c r="L29" s="69">
        <f t="shared" si="4"/>
        <v>2.687470436</v>
      </c>
      <c r="M29" s="69">
        <f t="shared" si="5"/>
        <v>4.325888777</v>
      </c>
      <c r="N29" s="69">
        <f t="shared" si="6"/>
        <v>3.797515959</v>
      </c>
      <c r="O29" s="69">
        <f t="shared" si="7"/>
        <v>1.60965074</v>
      </c>
      <c r="P29" s="69">
        <f t="shared" si="8"/>
        <v>1.413044738</v>
      </c>
    </row>
    <row r="30" ht="15.75" customHeight="1">
      <c r="A30" s="76" t="s">
        <v>94</v>
      </c>
      <c r="B30" s="2">
        <v>15.0</v>
      </c>
      <c r="C30" s="2">
        <v>21.0</v>
      </c>
      <c r="D30" s="2">
        <v>18.760000228881836</v>
      </c>
      <c r="E30" s="80">
        <v>2.2075510025024414</v>
      </c>
      <c r="F30" s="80">
        <v>32.95244598388672</v>
      </c>
      <c r="G30" s="80">
        <v>4.204292297363281</v>
      </c>
      <c r="H30" s="69">
        <f t="shared" si="1"/>
        <v>60.18837172</v>
      </c>
      <c r="I30" s="80">
        <v>0.4473389983177185</v>
      </c>
      <c r="J30" s="80">
        <f t="shared" si="2"/>
        <v>17.41500888</v>
      </c>
      <c r="K30" s="69">
        <f t="shared" si="3"/>
        <v>0.1576822145</v>
      </c>
      <c r="L30" s="69">
        <f t="shared" si="4"/>
        <v>2.746037165</v>
      </c>
      <c r="M30" s="69">
        <f t="shared" si="5"/>
        <v>4.204292297</v>
      </c>
      <c r="N30" s="69">
        <f t="shared" si="6"/>
        <v>3.761773232</v>
      </c>
      <c r="O30" s="69">
        <f t="shared" si="7"/>
        <v>1.531039838</v>
      </c>
      <c r="P30" s="69">
        <f t="shared" si="8"/>
        <v>1.369891595</v>
      </c>
    </row>
    <row r="31" ht="15.75" customHeight="1">
      <c r="A31" s="76" t="s">
        <v>94</v>
      </c>
      <c r="B31" s="2">
        <v>15.0</v>
      </c>
      <c r="C31" s="2">
        <v>21.0</v>
      </c>
      <c r="D31" s="2">
        <v>17.200000762939453</v>
      </c>
      <c r="E31" s="80">
        <v>2.453904867172241</v>
      </c>
      <c r="F31" s="80">
        <v>32.5176887512207</v>
      </c>
      <c r="G31" s="80">
        <v>4.834559917449951</v>
      </c>
      <c r="H31" s="69">
        <f t="shared" si="1"/>
        <v>59.68597484</v>
      </c>
      <c r="I31" s="80">
        <v>0.5078716278076172</v>
      </c>
      <c r="J31" s="80">
        <f t="shared" si="2"/>
        <v>15.45997322</v>
      </c>
      <c r="K31" s="69">
        <f t="shared" si="3"/>
        <v>0.1752789191</v>
      </c>
      <c r="L31" s="69">
        <f t="shared" si="4"/>
        <v>2.709807396</v>
      </c>
      <c r="M31" s="69">
        <f t="shared" si="5"/>
        <v>4.834559917</v>
      </c>
      <c r="N31" s="69">
        <f t="shared" si="6"/>
        <v>3.730373427</v>
      </c>
      <c r="O31" s="69">
        <f t="shared" si="7"/>
        <v>1.784097248</v>
      </c>
      <c r="P31" s="69">
        <f t="shared" si="8"/>
        <v>1.376619398</v>
      </c>
    </row>
    <row r="32" ht="15.75" customHeight="1">
      <c r="A32" s="76" t="s">
        <v>94</v>
      </c>
      <c r="B32" s="2">
        <v>15.0</v>
      </c>
      <c r="C32" s="2">
        <v>22.0</v>
      </c>
      <c r="D32" s="2">
        <v>17.790000915527344</v>
      </c>
      <c r="E32" s="80">
        <v>2.4362423419952393</v>
      </c>
      <c r="F32" s="80">
        <v>35.42156982421875</v>
      </c>
      <c r="G32" s="80">
        <v>4.600186347961426</v>
      </c>
      <c r="H32" s="69">
        <f t="shared" si="1"/>
        <v>57.04882902</v>
      </c>
      <c r="I32" s="80">
        <v>0.49317246675491333</v>
      </c>
      <c r="J32" s="80">
        <f t="shared" si="2"/>
        <v>16.96266586</v>
      </c>
      <c r="K32" s="69">
        <f t="shared" si="3"/>
        <v>0.1740173101</v>
      </c>
      <c r="L32" s="69">
        <f t="shared" si="4"/>
        <v>2.951797485</v>
      </c>
      <c r="M32" s="69">
        <f t="shared" si="5"/>
        <v>4.600186348</v>
      </c>
      <c r="N32" s="69">
        <f t="shared" si="6"/>
        <v>3.565551814</v>
      </c>
      <c r="O32" s="69">
        <f t="shared" si="7"/>
        <v>1.558435621</v>
      </c>
      <c r="P32" s="69">
        <f t="shared" si="8"/>
        <v>1.207925622</v>
      </c>
    </row>
    <row r="33" ht="15.75" customHeight="1">
      <c r="A33" s="76" t="s">
        <v>94</v>
      </c>
      <c r="B33" s="2">
        <v>15.0</v>
      </c>
      <c r="C33" s="2">
        <v>22.0</v>
      </c>
      <c r="D33" s="2">
        <v>17.399999618530273</v>
      </c>
      <c r="E33" s="80">
        <v>2.4329092502593994</v>
      </c>
      <c r="F33" s="80">
        <v>34.89458465576172</v>
      </c>
      <c r="G33" s="80">
        <v>4.842362403869629</v>
      </c>
      <c r="H33" s="69">
        <f t="shared" si="1"/>
        <v>57.33687273</v>
      </c>
      <c r="I33" s="80">
        <v>0.49327096343040466</v>
      </c>
      <c r="J33" s="80">
        <f t="shared" si="2"/>
        <v>16.73319659</v>
      </c>
      <c r="K33" s="69">
        <f t="shared" si="3"/>
        <v>0.1737792322</v>
      </c>
      <c r="L33" s="69">
        <f t="shared" si="4"/>
        <v>2.907882055</v>
      </c>
      <c r="M33" s="69">
        <f t="shared" si="5"/>
        <v>4.842362404</v>
      </c>
      <c r="N33" s="69">
        <f t="shared" si="6"/>
        <v>3.583554545</v>
      </c>
      <c r="O33" s="69">
        <f t="shared" si="7"/>
        <v>1.665254062</v>
      </c>
      <c r="P33" s="69">
        <f t="shared" si="8"/>
        <v>1.232358974</v>
      </c>
    </row>
    <row r="34" ht="15.75" customHeight="1">
      <c r="A34" s="76" t="s">
        <v>94</v>
      </c>
      <c r="B34" s="2">
        <v>15.0</v>
      </c>
      <c r="C34" s="2">
        <v>22.0</v>
      </c>
      <c r="D34" s="2">
        <v>18.559999465942383</v>
      </c>
      <c r="E34" s="80">
        <v>2.3304195404052734</v>
      </c>
      <c r="F34" s="80">
        <v>34.812477111816406</v>
      </c>
      <c r="G34" s="80">
        <v>4.407026767730713</v>
      </c>
      <c r="H34" s="69">
        <f t="shared" si="1"/>
        <v>58.00613815</v>
      </c>
      <c r="I34" s="80">
        <v>0.4439384341239929</v>
      </c>
      <c r="J34" s="80">
        <f t="shared" si="2"/>
        <v>17.42800209</v>
      </c>
      <c r="K34" s="69">
        <f t="shared" si="3"/>
        <v>0.1664585386</v>
      </c>
      <c r="L34" s="69">
        <f t="shared" si="4"/>
        <v>2.901039759</v>
      </c>
      <c r="M34" s="69">
        <f t="shared" si="5"/>
        <v>4.407026768</v>
      </c>
      <c r="N34" s="69">
        <f t="shared" si="6"/>
        <v>3.625383634</v>
      </c>
      <c r="O34" s="69">
        <f t="shared" si="7"/>
        <v>1.519119741</v>
      </c>
      <c r="P34" s="69">
        <f t="shared" si="8"/>
        <v>1.249684229</v>
      </c>
    </row>
    <row r="35" ht="15.75" customHeight="1">
      <c r="A35" s="76" t="s">
        <v>94</v>
      </c>
      <c r="B35" s="2">
        <v>15.0</v>
      </c>
      <c r="C35" s="2">
        <v>23.0</v>
      </c>
      <c r="D35" s="2">
        <v>18.899999618530273</v>
      </c>
      <c r="E35" s="80">
        <v>2.114560127258301</v>
      </c>
      <c r="F35" s="80">
        <v>32.50545883178711</v>
      </c>
      <c r="G35" s="80">
        <v>4.219460964202881</v>
      </c>
      <c r="H35" s="69">
        <f t="shared" si="1"/>
        <v>60.70236659</v>
      </c>
      <c r="I35" s="80">
        <v>0.45815348625183105</v>
      </c>
      <c r="J35" s="80">
        <f t="shared" si="2"/>
        <v>17.93424307</v>
      </c>
      <c r="K35" s="69">
        <f t="shared" si="3"/>
        <v>0.1510400091</v>
      </c>
      <c r="L35" s="69">
        <f t="shared" si="4"/>
        <v>2.708788236</v>
      </c>
      <c r="M35" s="69">
        <f t="shared" si="5"/>
        <v>4.219460964</v>
      </c>
      <c r="N35" s="69">
        <f t="shared" si="6"/>
        <v>3.793897912</v>
      </c>
      <c r="O35" s="69">
        <f t="shared" si="7"/>
        <v>1.557693181</v>
      </c>
      <c r="P35" s="69">
        <f t="shared" si="8"/>
        <v>1.400588596</v>
      </c>
    </row>
    <row r="36" ht="15.75" customHeight="1">
      <c r="A36" s="76" t="s">
        <v>94</v>
      </c>
      <c r="B36" s="2">
        <v>15.0</v>
      </c>
      <c r="C36" s="2">
        <v>23.0</v>
      </c>
      <c r="D36" s="2">
        <v>20.0</v>
      </c>
      <c r="E36" s="80">
        <v>2.063755512237549</v>
      </c>
      <c r="F36" s="80">
        <v>34.23857116699219</v>
      </c>
      <c r="G36" s="80">
        <v>4.656118869781494</v>
      </c>
      <c r="H36" s="69">
        <f t="shared" si="1"/>
        <v>58.53040045</v>
      </c>
      <c r="I36" s="80">
        <v>0.5111539959907532</v>
      </c>
      <c r="J36" s="80">
        <f t="shared" si="2"/>
        <v>19.35549025</v>
      </c>
      <c r="K36" s="69">
        <f t="shared" si="3"/>
        <v>0.147411108</v>
      </c>
      <c r="L36" s="69">
        <f t="shared" si="4"/>
        <v>2.853214264</v>
      </c>
      <c r="M36" s="69">
        <f t="shared" si="5"/>
        <v>4.65611887</v>
      </c>
      <c r="N36" s="69">
        <f t="shared" si="6"/>
        <v>3.658150028</v>
      </c>
      <c r="O36" s="69">
        <f t="shared" si="7"/>
        <v>1.631885459</v>
      </c>
      <c r="P36" s="69">
        <f t="shared" si="8"/>
        <v>1.282115428</v>
      </c>
    </row>
    <row r="37" ht="15.75" customHeight="1">
      <c r="A37" s="76" t="s">
        <v>94</v>
      </c>
      <c r="B37" s="2">
        <v>15.0</v>
      </c>
      <c r="C37" s="2">
        <v>23.0</v>
      </c>
      <c r="D37" s="2">
        <v>22.450000762939453</v>
      </c>
      <c r="E37" s="80">
        <v>2.2357261180877686</v>
      </c>
      <c r="F37" s="80">
        <v>33.66306686401367</v>
      </c>
      <c r="G37" s="80">
        <v>4.64168477058411</v>
      </c>
      <c r="H37" s="69">
        <f t="shared" si="1"/>
        <v>59.09590065</v>
      </c>
      <c r="I37" s="80">
        <v>0.3636215925216675</v>
      </c>
      <c r="J37" s="80">
        <f t="shared" si="2"/>
        <v>17.56636365</v>
      </c>
      <c r="K37" s="69">
        <f t="shared" si="3"/>
        <v>0.1596947227</v>
      </c>
      <c r="L37" s="69">
        <f t="shared" si="4"/>
        <v>2.805255572</v>
      </c>
      <c r="M37" s="69">
        <f t="shared" si="5"/>
        <v>4.641684771</v>
      </c>
      <c r="N37" s="69">
        <f t="shared" si="6"/>
        <v>3.693493791</v>
      </c>
      <c r="O37" s="69">
        <f t="shared" si="7"/>
        <v>1.65463882</v>
      </c>
      <c r="P37" s="69">
        <f t="shared" si="8"/>
        <v>1.316633617</v>
      </c>
    </row>
    <row r="38" ht="15.75" customHeight="1">
      <c r="A38" s="76" t="s">
        <v>95</v>
      </c>
      <c r="B38" s="2">
        <v>2.0</v>
      </c>
      <c r="C38" s="2">
        <v>29.0</v>
      </c>
      <c r="D38" s="2">
        <v>21.959999084472656</v>
      </c>
      <c r="E38" s="80">
        <v>2.490401029586792</v>
      </c>
      <c r="F38" s="80">
        <v>35.63467025756836</v>
      </c>
      <c r="G38" s="80">
        <v>4.378584384918213</v>
      </c>
      <c r="H38" s="69">
        <f t="shared" si="1"/>
        <v>57.00823069</v>
      </c>
      <c r="I38" s="80">
        <v>0.4881136417388916</v>
      </c>
      <c r="J38" s="80">
        <f t="shared" si="2"/>
        <v>16.69360937</v>
      </c>
      <c r="K38" s="69">
        <f t="shared" si="3"/>
        <v>0.1778857878</v>
      </c>
      <c r="L38" s="69">
        <f t="shared" si="4"/>
        <v>2.969555855</v>
      </c>
      <c r="M38" s="69">
        <f t="shared" si="5"/>
        <v>4.378584385</v>
      </c>
      <c r="N38" s="69">
        <f t="shared" si="6"/>
        <v>3.563014418</v>
      </c>
      <c r="O38" s="69">
        <f t="shared" si="7"/>
        <v>1.474491338</v>
      </c>
      <c r="P38" s="69">
        <f t="shared" si="8"/>
        <v>1.199847584</v>
      </c>
    </row>
    <row r="39" ht="15.75" customHeight="1">
      <c r="A39" s="76" t="s">
        <v>95</v>
      </c>
      <c r="B39" s="2">
        <v>2.0</v>
      </c>
      <c r="C39" s="2">
        <v>29.0</v>
      </c>
      <c r="D39" s="2">
        <v>17.81999969482422</v>
      </c>
      <c r="E39" s="80">
        <v>2.1600182056427</v>
      </c>
      <c r="F39" s="80">
        <v>35.34771728515625</v>
      </c>
      <c r="G39" s="80">
        <v>4.287868022918701</v>
      </c>
      <c r="H39" s="69">
        <f t="shared" si="1"/>
        <v>57.80624145</v>
      </c>
      <c r="I39" s="80">
        <v>0.3981550335884094</v>
      </c>
      <c r="J39" s="80">
        <f t="shared" si="2"/>
        <v>19.09197033</v>
      </c>
      <c r="K39" s="69">
        <f t="shared" si="3"/>
        <v>0.1542870147</v>
      </c>
      <c r="L39" s="69">
        <f t="shared" si="4"/>
        <v>2.945643107</v>
      </c>
      <c r="M39" s="69">
        <f t="shared" si="5"/>
        <v>4.287868023</v>
      </c>
      <c r="N39" s="69">
        <f t="shared" si="6"/>
        <v>3.612890091</v>
      </c>
      <c r="O39" s="69">
        <f t="shared" si="7"/>
        <v>1.455664474</v>
      </c>
      <c r="P39" s="69">
        <f t="shared" si="8"/>
        <v>1.226519968</v>
      </c>
    </row>
    <row r="40" ht="15.75" customHeight="1">
      <c r="A40" s="76" t="s">
        <v>95</v>
      </c>
      <c r="B40" s="2">
        <v>2.0</v>
      </c>
      <c r="C40" s="2">
        <v>29.0</v>
      </c>
      <c r="D40" s="2">
        <v>17.8700008392334</v>
      </c>
      <c r="E40" s="80">
        <v>2.4316792488098145</v>
      </c>
      <c r="F40" s="80">
        <v>35.245975494384766</v>
      </c>
      <c r="G40" s="80">
        <v>4.571188926696777</v>
      </c>
      <c r="H40" s="69">
        <f t="shared" si="1"/>
        <v>57.27726871</v>
      </c>
      <c r="I40" s="80">
        <v>0.4738876223564148</v>
      </c>
      <c r="J40" s="80">
        <f t="shared" si="2"/>
        <v>16.9102503</v>
      </c>
      <c r="K40" s="69">
        <f t="shared" si="3"/>
        <v>0.1736913749</v>
      </c>
      <c r="L40" s="69">
        <f t="shared" si="4"/>
        <v>2.937164625</v>
      </c>
      <c r="M40" s="69">
        <f t="shared" si="5"/>
        <v>4.571188927</v>
      </c>
      <c r="N40" s="69">
        <f t="shared" si="6"/>
        <v>3.579829294</v>
      </c>
      <c r="O40" s="69">
        <f t="shared" si="7"/>
        <v>1.556327108</v>
      </c>
      <c r="P40" s="69">
        <f t="shared" si="8"/>
        <v>1.218804443</v>
      </c>
    </row>
    <row r="41" ht="15.75" customHeight="1">
      <c r="A41" s="76" t="s">
        <v>95</v>
      </c>
      <c r="B41" s="2">
        <v>2.0</v>
      </c>
      <c r="C41" s="2">
        <v>31.0</v>
      </c>
      <c r="D41" s="2">
        <v>18.899999618530273</v>
      </c>
      <c r="E41" s="80">
        <v>2.4510748386383057</v>
      </c>
      <c r="F41" s="80">
        <v>32.997562408447266</v>
      </c>
      <c r="G41" s="80">
        <v>4.63433475494385</v>
      </c>
      <c r="H41" s="69">
        <f t="shared" si="1"/>
        <v>59.56583996</v>
      </c>
      <c r="I41" s="80">
        <v>0.3511880338191986</v>
      </c>
      <c r="J41" s="80">
        <f t="shared" si="2"/>
        <v>15.70623448</v>
      </c>
      <c r="K41" s="69">
        <f t="shared" si="3"/>
        <v>0.1750767742</v>
      </c>
      <c r="L41" s="69">
        <f t="shared" si="4"/>
        <v>2.749796867</v>
      </c>
      <c r="M41" s="69">
        <f t="shared" si="5"/>
        <v>4.634334755</v>
      </c>
      <c r="N41" s="69">
        <f t="shared" si="6"/>
        <v>3.722864998</v>
      </c>
      <c r="O41" s="69">
        <f t="shared" si="7"/>
        <v>1.685337128</v>
      </c>
      <c r="P41" s="69">
        <f t="shared" si="8"/>
        <v>1.353869096</v>
      </c>
    </row>
    <row r="42" ht="15.75" customHeight="1">
      <c r="A42" s="76" t="s">
        <v>95</v>
      </c>
      <c r="B42" s="2">
        <v>2.0</v>
      </c>
      <c r="C42" s="2">
        <v>31.0</v>
      </c>
      <c r="D42" s="2">
        <v>19.09000015258789</v>
      </c>
      <c r="E42" s="80">
        <v>2.4596686363220215</v>
      </c>
      <c r="F42" s="80">
        <v>34.415870666503906</v>
      </c>
      <c r="G42" s="80">
        <v>4.593195915222168</v>
      </c>
      <c r="H42" s="69">
        <f t="shared" si="1"/>
        <v>58.05168864</v>
      </c>
      <c r="I42" s="80">
        <v>0.47957614064216614</v>
      </c>
      <c r="J42" s="80">
        <f t="shared" si="2"/>
        <v>16.32408875</v>
      </c>
      <c r="K42" s="69">
        <f t="shared" si="3"/>
        <v>0.1756906169</v>
      </c>
      <c r="L42" s="69">
        <f t="shared" si="4"/>
        <v>2.867989222</v>
      </c>
      <c r="M42" s="69">
        <f t="shared" si="5"/>
        <v>4.593195915</v>
      </c>
      <c r="N42" s="69">
        <f t="shared" si="6"/>
        <v>3.62823054</v>
      </c>
      <c r="O42" s="69">
        <f t="shared" si="7"/>
        <v>1.601538764</v>
      </c>
      <c r="P42" s="69">
        <f t="shared" si="8"/>
        <v>1.265078164</v>
      </c>
    </row>
    <row r="43" ht="15.75" customHeight="1">
      <c r="A43" s="76" t="s">
        <v>95</v>
      </c>
      <c r="B43" s="2">
        <v>2.0</v>
      </c>
      <c r="C43" s="2">
        <v>31.0</v>
      </c>
      <c r="D43" s="2">
        <v>17.950000762939453</v>
      </c>
      <c r="E43" s="80">
        <v>2.6923651695251465</v>
      </c>
      <c r="F43" s="80">
        <v>34.70817947387695</v>
      </c>
      <c r="G43" s="80">
        <v>4.985706806182861</v>
      </c>
      <c r="H43" s="69">
        <f t="shared" si="1"/>
        <v>57.12284094</v>
      </c>
      <c r="I43" s="80">
        <v>0.49090760946273804</v>
      </c>
      <c r="J43" s="80">
        <f t="shared" si="2"/>
        <v>15.03989002</v>
      </c>
      <c r="K43" s="69">
        <f t="shared" si="3"/>
        <v>0.1923117978</v>
      </c>
      <c r="L43" s="69">
        <f t="shared" si="4"/>
        <v>2.892348289</v>
      </c>
      <c r="M43" s="69">
        <f t="shared" si="5"/>
        <v>4.985706806</v>
      </c>
      <c r="N43" s="69">
        <f t="shared" si="6"/>
        <v>3.570177559</v>
      </c>
      <c r="O43" s="69">
        <f t="shared" si="7"/>
        <v>1.723757413</v>
      </c>
      <c r="P43" s="69">
        <f t="shared" si="8"/>
        <v>1.234352575</v>
      </c>
    </row>
    <row r="44" ht="15.75" customHeight="1">
      <c r="A44" s="76" t="s">
        <v>95</v>
      </c>
      <c r="B44" s="2">
        <v>2.0</v>
      </c>
      <c r="C44" s="2">
        <v>34.0</v>
      </c>
      <c r="D44" s="2">
        <v>21.010000228881836</v>
      </c>
      <c r="E44" s="80">
        <v>2.360212564468384</v>
      </c>
      <c r="F44" s="80">
        <v>33.97865295410156</v>
      </c>
      <c r="G44" s="80">
        <v>4.266275882720947</v>
      </c>
      <c r="H44" s="69">
        <f t="shared" si="1"/>
        <v>58.93732664</v>
      </c>
      <c r="I44" s="80">
        <v>0.45753195881843567</v>
      </c>
      <c r="J44" s="80">
        <f t="shared" si="2"/>
        <v>16.79584389</v>
      </c>
      <c r="K44" s="69">
        <f t="shared" si="3"/>
        <v>0.1685866117</v>
      </c>
      <c r="L44" s="69">
        <f t="shared" si="4"/>
        <v>2.831554413</v>
      </c>
      <c r="M44" s="69">
        <f t="shared" si="5"/>
        <v>4.266275883</v>
      </c>
      <c r="N44" s="69">
        <f t="shared" si="6"/>
        <v>3.683582915</v>
      </c>
      <c r="O44" s="69">
        <f t="shared" si="7"/>
        <v>1.506690411</v>
      </c>
      <c r="P44" s="69">
        <f t="shared" si="8"/>
        <v>1.300904866</v>
      </c>
    </row>
    <row r="45" ht="15.75" customHeight="1">
      <c r="A45" s="76" t="s">
        <v>95</v>
      </c>
      <c r="B45" s="2">
        <v>2.0</v>
      </c>
      <c r="C45" s="2">
        <v>34.0</v>
      </c>
      <c r="D45" s="2">
        <v>18.8799991607666</v>
      </c>
      <c r="E45" s="80">
        <v>2.5190491676330566</v>
      </c>
      <c r="F45" s="80">
        <v>32.69963073730469</v>
      </c>
      <c r="G45" s="80">
        <v>3.798797369003296</v>
      </c>
      <c r="H45" s="69">
        <f t="shared" si="1"/>
        <v>60.6733923</v>
      </c>
      <c r="I45" s="80">
        <v>0.3091304302215576</v>
      </c>
      <c r="J45" s="80">
        <f t="shared" si="2"/>
        <v>15.14443215</v>
      </c>
      <c r="K45" s="69">
        <f t="shared" si="3"/>
        <v>0.1799320834</v>
      </c>
      <c r="L45" s="69">
        <f t="shared" si="4"/>
        <v>2.724969228</v>
      </c>
      <c r="M45" s="69">
        <f t="shared" si="5"/>
        <v>3.798797369</v>
      </c>
      <c r="N45" s="69">
        <f t="shared" si="6"/>
        <v>3.792087018</v>
      </c>
      <c r="O45" s="69">
        <f t="shared" si="7"/>
        <v>1.394069823</v>
      </c>
      <c r="P45" s="69">
        <f t="shared" si="8"/>
        <v>1.391607281</v>
      </c>
    </row>
    <row r="46" ht="15.75" customHeight="1">
      <c r="A46" s="76" t="s">
        <v>95</v>
      </c>
      <c r="B46" s="2">
        <v>2.0</v>
      </c>
      <c r="C46" s="2">
        <v>34.0</v>
      </c>
      <c r="D46" s="2">
        <v>20.1299991607666</v>
      </c>
      <c r="E46" s="80">
        <v>2.3182284832000732</v>
      </c>
      <c r="F46" s="80">
        <v>34.802425384521484</v>
      </c>
      <c r="G46" s="80">
        <v>4.3963446617126465</v>
      </c>
      <c r="H46" s="69">
        <f t="shared" si="1"/>
        <v>57.9543038</v>
      </c>
      <c r="I46" s="80">
        <v>0.528697669506073</v>
      </c>
      <c r="J46" s="80">
        <f t="shared" si="2"/>
        <v>17.51459354</v>
      </c>
      <c r="K46" s="69">
        <f t="shared" si="3"/>
        <v>0.1655877488</v>
      </c>
      <c r="L46" s="69">
        <f t="shared" si="4"/>
        <v>2.900202115</v>
      </c>
      <c r="M46" s="69">
        <f t="shared" si="5"/>
        <v>4.396344662</v>
      </c>
      <c r="N46" s="69">
        <f t="shared" si="6"/>
        <v>3.622143988</v>
      </c>
      <c r="O46" s="69">
        <f t="shared" si="7"/>
        <v>1.515875269</v>
      </c>
      <c r="P46" s="69">
        <f t="shared" si="8"/>
        <v>1.248928124</v>
      </c>
    </row>
    <row r="47" ht="15.75" customHeight="1">
      <c r="A47" s="76" t="s">
        <v>95</v>
      </c>
      <c r="B47" s="2">
        <v>4.0</v>
      </c>
      <c r="C47" s="2">
        <v>37.0</v>
      </c>
      <c r="D47" s="2">
        <v>20.34000015258789</v>
      </c>
      <c r="E47" s="80">
        <v>2.304201602935791</v>
      </c>
      <c r="F47" s="80">
        <v>35.337589263916016</v>
      </c>
      <c r="G47" s="80">
        <v>4.414393424987793</v>
      </c>
      <c r="H47" s="69">
        <f t="shared" si="1"/>
        <v>57.48621589</v>
      </c>
      <c r="I47" s="80">
        <v>0.45759981870651245</v>
      </c>
      <c r="J47" s="80">
        <f t="shared" si="2"/>
        <v>17.89217898</v>
      </c>
      <c r="K47" s="69">
        <f t="shared" si="3"/>
        <v>0.1645858288</v>
      </c>
      <c r="L47" s="69">
        <f t="shared" si="4"/>
        <v>2.944799105</v>
      </c>
      <c r="M47" s="69">
        <f t="shared" si="5"/>
        <v>4.414393425</v>
      </c>
      <c r="N47" s="69">
        <f t="shared" si="6"/>
        <v>3.592888493</v>
      </c>
      <c r="O47" s="69">
        <f t="shared" si="7"/>
        <v>1.499047394</v>
      </c>
      <c r="P47" s="69">
        <f t="shared" si="8"/>
        <v>1.220079321</v>
      </c>
    </row>
    <row r="48" ht="15.75" customHeight="1">
      <c r="A48" s="76" t="s">
        <v>95</v>
      </c>
      <c r="B48" s="2">
        <v>4.0</v>
      </c>
      <c r="C48" s="2">
        <v>37.0</v>
      </c>
      <c r="D48" s="2">
        <v>17.209999084472656</v>
      </c>
      <c r="E48" s="80">
        <v>2.3426995277404785</v>
      </c>
      <c r="F48" s="80">
        <v>35.79855728149414</v>
      </c>
      <c r="G48" s="80">
        <v>4.707103729248047</v>
      </c>
      <c r="H48" s="69">
        <f t="shared" si="1"/>
        <v>56.67952672</v>
      </c>
      <c r="I48" s="80">
        <v>0.4721127450466156</v>
      </c>
      <c r="J48" s="80">
        <f t="shared" si="2"/>
        <v>17.8277167</v>
      </c>
      <c r="K48" s="69">
        <f t="shared" si="3"/>
        <v>0.1673356806</v>
      </c>
      <c r="L48" s="69">
        <f t="shared" si="4"/>
        <v>2.983213107</v>
      </c>
      <c r="M48" s="69">
        <f t="shared" si="5"/>
        <v>4.707103729</v>
      </c>
      <c r="N48" s="69">
        <f t="shared" si="6"/>
        <v>3.54247042</v>
      </c>
      <c r="O48" s="69">
        <f t="shared" si="7"/>
        <v>1.57786372</v>
      </c>
      <c r="P48" s="69">
        <f t="shared" si="8"/>
        <v>1.187468107</v>
      </c>
    </row>
    <row r="49" ht="15.75" customHeight="1">
      <c r="A49" s="76" t="s">
        <v>95</v>
      </c>
      <c r="B49" s="2">
        <v>4.0</v>
      </c>
      <c r="C49" s="2">
        <v>37.0</v>
      </c>
      <c r="D49" s="2">
        <v>18.520000457763672</v>
      </c>
      <c r="E49" s="80">
        <v>2.5320005416870117</v>
      </c>
      <c r="F49" s="80">
        <v>38.91997528076172</v>
      </c>
      <c r="G49" s="80">
        <v>4.853759765625</v>
      </c>
      <c r="H49" s="69">
        <f t="shared" si="1"/>
        <v>53.19787443</v>
      </c>
      <c r="I49" s="80">
        <v>0.4963899850845337</v>
      </c>
      <c r="J49" s="80">
        <f t="shared" si="2"/>
        <v>17.93310747</v>
      </c>
      <c r="K49" s="69">
        <f t="shared" si="3"/>
        <v>0.1808571815</v>
      </c>
      <c r="L49" s="69">
        <f t="shared" si="4"/>
        <v>3.243331273</v>
      </c>
      <c r="M49" s="69">
        <f t="shared" si="5"/>
        <v>4.853759766</v>
      </c>
      <c r="N49" s="69">
        <f t="shared" si="6"/>
        <v>3.324867152</v>
      </c>
      <c r="O49" s="69">
        <f t="shared" si="7"/>
        <v>1.496535308</v>
      </c>
      <c r="P49" s="69">
        <f t="shared" si="8"/>
        <v>1.025139547</v>
      </c>
    </row>
    <row r="50" ht="15.75" customHeight="1">
      <c r="A50" s="76" t="s">
        <v>95</v>
      </c>
      <c r="B50" s="2">
        <v>4.0</v>
      </c>
      <c r="C50" s="2">
        <v>39.0</v>
      </c>
      <c r="D50" s="2">
        <v>17.25</v>
      </c>
      <c r="E50" s="80">
        <v>2.422696590423584</v>
      </c>
      <c r="F50" s="80">
        <v>36.88502883911133</v>
      </c>
      <c r="G50" s="80">
        <v>4.771053791046143</v>
      </c>
      <c r="H50" s="69">
        <f t="shared" si="1"/>
        <v>55.45462552</v>
      </c>
      <c r="I50" s="80">
        <v>0.46659526228904724</v>
      </c>
      <c r="J50" s="80">
        <f t="shared" si="2"/>
        <v>17.76224634</v>
      </c>
      <c r="K50" s="69">
        <f t="shared" si="3"/>
        <v>0.1730497565</v>
      </c>
      <c r="L50" s="69">
        <f t="shared" si="4"/>
        <v>3.073752403</v>
      </c>
      <c r="M50" s="69">
        <f t="shared" si="5"/>
        <v>4.771053791</v>
      </c>
      <c r="N50" s="69">
        <f t="shared" si="6"/>
        <v>3.465914095</v>
      </c>
      <c r="O50" s="69">
        <f t="shared" si="7"/>
        <v>1.552191968</v>
      </c>
      <c r="P50" s="69">
        <f t="shared" si="8"/>
        <v>1.127584021</v>
      </c>
    </row>
    <row r="51" ht="15.75" customHeight="1">
      <c r="A51" s="76" t="s">
        <v>95</v>
      </c>
      <c r="B51" s="2">
        <v>4.0</v>
      </c>
      <c r="C51" s="2">
        <v>39.0</v>
      </c>
      <c r="D51" s="2">
        <v>17.280000686645508</v>
      </c>
      <c r="E51" s="80">
        <v>2.327378034591675</v>
      </c>
      <c r="F51" s="80">
        <v>34.88423538208008</v>
      </c>
      <c r="G51" s="80">
        <v>4.592688083648682</v>
      </c>
      <c r="H51" s="69">
        <f t="shared" si="1"/>
        <v>57.75861102</v>
      </c>
      <c r="I51" s="80">
        <v>0.4370874762535095</v>
      </c>
      <c r="J51" s="80">
        <f t="shared" si="2"/>
        <v>17.48674861</v>
      </c>
      <c r="K51" s="69">
        <f t="shared" si="3"/>
        <v>0.1662412882</v>
      </c>
      <c r="L51" s="69">
        <f t="shared" si="4"/>
        <v>2.907019615</v>
      </c>
      <c r="M51" s="69">
        <f t="shared" si="5"/>
        <v>4.592688084</v>
      </c>
      <c r="N51" s="69">
        <f t="shared" si="6"/>
        <v>3.609913189</v>
      </c>
      <c r="O51" s="69">
        <f t="shared" si="7"/>
        <v>1.579861402</v>
      </c>
      <c r="P51" s="69">
        <f t="shared" si="8"/>
        <v>1.241791824</v>
      </c>
    </row>
    <row r="52" ht="15.75" customHeight="1">
      <c r="A52" s="76" t="s">
        <v>95</v>
      </c>
      <c r="B52" s="2">
        <v>4.0</v>
      </c>
      <c r="C52" s="2">
        <v>39.0</v>
      </c>
      <c r="D52" s="2">
        <v>20.979999542236328</v>
      </c>
      <c r="E52" s="80">
        <v>2.3629872798919678</v>
      </c>
      <c r="F52" s="80">
        <v>36.32958221435547</v>
      </c>
      <c r="G52" s="80">
        <v>4.5388407707214355</v>
      </c>
      <c r="H52" s="69">
        <f t="shared" si="1"/>
        <v>56.31949452</v>
      </c>
      <c r="I52" s="80">
        <v>0.449095219373703</v>
      </c>
      <c r="J52" s="80">
        <f t="shared" si="2"/>
        <v>17.93683485</v>
      </c>
      <c r="K52" s="69">
        <f t="shared" si="3"/>
        <v>0.1687848057</v>
      </c>
      <c r="L52" s="69">
        <f t="shared" si="4"/>
        <v>3.027465185</v>
      </c>
      <c r="M52" s="69">
        <f t="shared" si="5"/>
        <v>4.538840771</v>
      </c>
      <c r="N52" s="69">
        <f t="shared" si="6"/>
        <v>3.519968407</v>
      </c>
      <c r="O52" s="69">
        <f t="shared" si="7"/>
        <v>1.499221459</v>
      </c>
      <c r="P52" s="69">
        <f t="shared" si="8"/>
        <v>1.16267841</v>
      </c>
    </row>
    <row r="53" ht="15.75" customHeight="1">
      <c r="A53" s="76" t="s">
        <v>95</v>
      </c>
      <c r="B53" s="2">
        <v>4.0</v>
      </c>
      <c r="C53" s="2">
        <v>42.0</v>
      </c>
      <c r="D53" s="2">
        <v>19.81999969482422</v>
      </c>
      <c r="E53" s="80">
        <v>2.268669366836548</v>
      </c>
      <c r="F53" s="80">
        <v>33.734344482421875</v>
      </c>
      <c r="G53" s="80">
        <v>4.488056659698486</v>
      </c>
      <c r="H53" s="69">
        <f t="shared" si="1"/>
        <v>59.05664</v>
      </c>
      <c r="I53" s="80">
        <v>0.45228949189186096</v>
      </c>
      <c r="J53" s="80">
        <f t="shared" si="2"/>
        <v>17.34793787</v>
      </c>
      <c r="K53" s="69">
        <f t="shared" si="3"/>
        <v>0.1620478119</v>
      </c>
      <c r="L53" s="69">
        <f t="shared" si="4"/>
        <v>2.811195374</v>
      </c>
      <c r="M53" s="69">
        <f t="shared" si="5"/>
        <v>4.48805666</v>
      </c>
      <c r="N53" s="69">
        <f t="shared" si="6"/>
        <v>3.69104</v>
      </c>
      <c r="O53" s="69">
        <f t="shared" si="7"/>
        <v>1.59649404</v>
      </c>
      <c r="P53" s="69">
        <f t="shared" si="8"/>
        <v>1.312978826</v>
      </c>
    </row>
    <row r="54" ht="15.75" customHeight="1">
      <c r="A54" s="76" t="s">
        <v>95</v>
      </c>
      <c r="B54" s="2">
        <v>4.0</v>
      </c>
      <c r="C54" s="2">
        <v>42.0</v>
      </c>
      <c r="D54" s="2">
        <v>21.299999237060547</v>
      </c>
      <c r="E54" s="80">
        <v>2.0525171756744385</v>
      </c>
      <c r="F54" s="80">
        <v>32.05836868286133</v>
      </c>
      <c r="G54" s="80">
        <v>4.0692973136901855</v>
      </c>
      <c r="H54" s="69">
        <f t="shared" si="1"/>
        <v>61.41865888</v>
      </c>
      <c r="I54" s="80">
        <v>0.401157945394516</v>
      </c>
      <c r="J54" s="80">
        <f t="shared" si="2"/>
        <v>18.22222516</v>
      </c>
      <c r="K54" s="69">
        <f t="shared" si="3"/>
        <v>0.1466083697</v>
      </c>
      <c r="L54" s="69">
        <f t="shared" si="4"/>
        <v>2.671530724</v>
      </c>
      <c r="M54" s="69">
        <f t="shared" si="5"/>
        <v>4.069297314</v>
      </c>
      <c r="N54" s="69">
        <f t="shared" si="6"/>
        <v>3.83866618</v>
      </c>
      <c r="O54" s="69">
        <f t="shared" si="7"/>
        <v>1.523208129</v>
      </c>
      <c r="P54" s="69">
        <f t="shared" si="8"/>
        <v>1.43687892</v>
      </c>
    </row>
    <row r="55" ht="15.75" customHeight="1">
      <c r="A55" s="76" t="s">
        <v>95</v>
      </c>
      <c r="B55" s="2">
        <v>4.0</v>
      </c>
      <c r="C55" s="2">
        <v>42.0</v>
      </c>
      <c r="D55" s="2">
        <v>19.610000610351562</v>
      </c>
      <c r="E55" s="80">
        <v>2.4529223442077637</v>
      </c>
      <c r="F55" s="80">
        <v>32.97605514526367</v>
      </c>
      <c r="G55" s="80">
        <v>4.6493144035339355</v>
      </c>
      <c r="H55" s="69">
        <f t="shared" si="1"/>
        <v>59.47041643</v>
      </c>
      <c r="I55" s="80">
        <v>0.45129168033599854</v>
      </c>
      <c r="J55" s="80">
        <f t="shared" si="2"/>
        <v>15.68417542</v>
      </c>
      <c r="K55" s="69">
        <f t="shared" si="3"/>
        <v>0.1752087389</v>
      </c>
      <c r="L55" s="69">
        <f t="shared" si="4"/>
        <v>2.748004595</v>
      </c>
      <c r="M55" s="69">
        <f t="shared" si="5"/>
        <v>4.649314404</v>
      </c>
      <c r="N55" s="69">
        <f t="shared" si="6"/>
        <v>3.716901027</v>
      </c>
      <c r="O55" s="69">
        <f t="shared" si="7"/>
        <v>1.691887419</v>
      </c>
      <c r="P55" s="69">
        <f t="shared" si="8"/>
        <v>1.352581809</v>
      </c>
    </row>
    <row r="56" ht="15.75" customHeight="1">
      <c r="A56" s="76" t="s">
        <v>95</v>
      </c>
      <c r="B56" s="2">
        <v>0.0</v>
      </c>
      <c r="C56" s="2">
        <v>385.0</v>
      </c>
      <c r="D56" s="2">
        <v>18.989999771118164</v>
      </c>
      <c r="E56" s="80">
        <v>2.2378547191619873</v>
      </c>
      <c r="F56" s="80">
        <v>35.377384185791016</v>
      </c>
      <c r="G56" s="80">
        <v>4.462210655212402</v>
      </c>
      <c r="H56" s="69">
        <f t="shared" si="1"/>
        <v>57.48866436</v>
      </c>
      <c r="I56" s="80">
        <v>0.4338860809803009</v>
      </c>
      <c r="J56" s="80">
        <f t="shared" si="2"/>
        <v>18.44338443</v>
      </c>
      <c r="K56" s="69">
        <f t="shared" si="3"/>
        <v>0.1598467657</v>
      </c>
      <c r="L56" s="69">
        <f t="shared" si="4"/>
        <v>2.948115349</v>
      </c>
      <c r="M56" s="69">
        <f t="shared" si="5"/>
        <v>4.462210655</v>
      </c>
      <c r="N56" s="69">
        <f t="shared" si="6"/>
        <v>3.593041522</v>
      </c>
      <c r="O56" s="69">
        <f t="shared" si="7"/>
        <v>1.513580755</v>
      </c>
      <c r="P56" s="69">
        <f t="shared" si="8"/>
        <v>1.218758799</v>
      </c>
    </row>
    <row r="57" ht="15.75" customHeight="1">
      <c r="A57" s="76" t="s">
        <v>95</v>
      </c>
      <c r="B57" s="2">
        <v>0.0</v>
      </c>
      <c r="C57" s="2">
        <v>385.0</v>
      </c>
      <c r="D57" s="2">
        <v>16.700000762939453</v>
      </c>
      <c r="E57" s="80">
        <v>2.313178062438965</v>
      </c>
      <c r="F57" s="80">
        <v>33.35784912109375</v>
      </c>
      <c r="G57" s="80">
        <v>4.582887172698975</v>
      </c>
      <c r="H57" s="69">
        <f t="shared" si="1"/>
        <v>59.33036473</v>
      </c>
      <c r="I57" s="80">
        <v>0.4157209098339081</v>
      </c>
      <c r="J57" s="80">
        <f t="shared" si="2"/>
        <v>16.824252</v>
      </c>
      <c r="K57" s="69">
        <f t="shared" si="3"/>
        <v>0.1652270045</v>
      </c>
      <c r="L57" s="69">
        <f t="shared" si="4"/>
        <v>2.77982076</v>
      </c>
      <c r="M57" s="69">
        <f t="shared" si="5"/>
        <v>4.582887173</v>
      </c>
      <c r="N57" s="69">
        <f t="shared" si="6"/>
        <v>3.708147796</v>
      </c>
      <c r="O57" s="69">
        <f t="shared" si="7"/>
        <v>1.648626861</v>
      </c>
      <c r="P57" s="69">
        <f t="shared" si="8"/>
        <v>1.33395212</v>
      </c>
    </row>
    <row r="58" ht="15.75" customHeight="1">
      <c r="A58" s="76" t="s">
        <v>95</v>
      </c>
      <c r="B58" s="2">
        <v>0.0</v>
      </c>
      <c r="C58" s="2">
        <v>385.0</v>
      </c>
      <c r="D58" s="2">
        <v>19.31999969482422</v>
      </c>
      <c r="E58" s="80">
        <v>2.4499738216400146</v>
      </c>
      <c r="F58" s="80">
        <v>35.59775161743164</v>
      </c>
      <c r="G58" s="80">
        <v>4.5620222091674805</v>
      </c>
      <c r="H58" s="69">
        <f t="shared" si="1"/>
        <v>56.93021217</v>
      </c>
      <c r="I58" s="80">
        <v>0.4600401818752289</v>
      </c>
      <c r="J58" s="80">
        <f t="shared" si="2"/>
        <v>16.95149142</v>
      </c>
      <c r="K58" s="69">
        <f t="shared" si="3"/>
        <v>0.1749981301</v>
      </c>
      <c r="L58" s="69">
        <f t="shared" si="4"/>
        <v>2.966479301</v>
      </c>
      <c r="M58" s="69">
        <f t="shared" si="5"/>
        <v>4.562022209</v>
      </c>
      <c r="N58" s="69">
        <f t="shared" si="6"/>
        <v>3.558138261</v>
      </c>
      <c r="O58" s="69">
        <f t="shared" si="7"/>
        <v>1.537857421</v>
      </c>
      <c r="P58" s="69">
        <f t="shared" si="8"/>
        <v>1.199448201</v>
      </c>
    </row>
    <row r="59" ht="15.75" customHeight="1">
      <c r="A59" s="76" t="s">
        <v>95</v>
      </c>
      <c r="B59" s="2">
        <v>0.0</v>
      </c>
      <c r="C59" s="2">
        <v>390.0</v>
      </c>
      <c r="D59" s="2">
        <v>22.600000381469727</v>
      </c>
      <c r="E59" s="80">
        <v>2.1796720027923584</v>
      </c>
      <c r="F59" s="80">
        <v>32.94048309326172</v>
      </c>
      <c r="G59" s="80">
        <v>4.045772075653076</v>
      </c>
      <c r="H59" s="69">
        <f t="shared" si="1"/>
        <v>60.42054516</v>
      </c>
      <c r="I59" s="80">
        <v>0.4135276675224304</v>
      </c>
      <c r="J59" s="80">
        <f t="shared" si="2"/>
        <v>17.63135167</v>
      </c>
      <c r="K59" s="69">
        <f t="shared" si="3"/>
        <v>0.1556908573</v>
      </c>
      <c r="L59" s="69">
        <f t="shared" si="4"/>
        <v>2.745040258</v>
      </c>
      <c r="M59" s="69">
        <f t="shared" si="5"/>
        <v>4.045772076</v>
      </c>
      <c r="N59" s="69">
        <f t="shared" si="6"/>
        <v>3.776284073</v>
      </c>
      <c r="O59" s="69">
        <f t="shared" si="7"/>
        <v>1.473847993</v>
      </c>
      <c r="P59" s="69">
        <f t="shared" si="8"/>
        <v>1.375675297</v>
      </c>
    </row>
    <row r="60" ht="15.75" customHeight="1">
      <c r="A60" s="76" t="s">
        <v>95</v>
      </c>
      <c r="B60" s="2">
        <v>0.0</v>
      </c>
      <c r="C60" s="2">
        <v>390.0</v>
      </c>
      <c r="D60" s="2">
        <v>18.149999618530273</v>
      </c>
      <c r="E60" s="80">
        <v>2.188753366470337</v>
      </c>
      <c r="F60" s="80">
        <v>32.78593063354492</v>
      </c>
      <c r="G60" s="80">
        <v>4.458591461181641</v>
      </c>
      <c r="H60" s="69">
        <f t="shared" si="1"/>
        <v>60.15058833</v>
      </c>
      <c r="I60" s="80">
        <v>0.4161362051963806</v>
      </c>
      <c r="J60" s="80">
        <f t="shared" si="2"/>
        <v>17.4758166</v>
      </c>
      <c r="K60" s="69">
        <f t="shared" si="3"/>
        <v>0.1563395262</v>
      </c>
      <c r="L60" s="69">
        <f t="shared" si="4"/>
        <v>2.732160886</v>
      </c>
      <c r="M60" s="69">
        <f t="shared" si="5"/>
        <v>4.458591461</v>
      </c>
      <c r="N60" s="69">
        <f t="shared" si="6"/>
        <v>3.759411771</v>
      </c>
      <c r="O60" s="69">
        <f t="shared" si="7"/>
        <v>1.631891988</v>
      </c>
      <c r="P60" s="69">
        <f t="shared" si="8"/>
        <v>1.375984771</v>
      </c>
    </row>
    <row r="61" ht="15.75" customHeight="1">
      <c r="A61" s="76" t="s">
        <v>95</v>
      </c>
      <c r="B61" s="2">
        <v>0.0</v>
      </c>
      <c r="C61" s="2">
        <v>390.0</v>
      </c>
      <c r="D61" s="2">
        <v>18.1200008392334</v>
      </c>
      <c r="E61" s="80">
        <v>2.378666639328003</v>
      </c>
      <c r="F61" s="80">
        <v>35.54587936401367</v>
      </c>
      <c r="G61" s="80">
        <v>4.638814449310303</v>
      </c>
      <c r="H61" s="69">
        <f t="shared" si="1"/>
        <v>56.9819212</v>
      </c>
      <c r="I61" s="80">
        <v>0.45471835136413574</v>
      </c>
      <c r="J61" s="80">
        <f t="shared" si="2"/>
        <v>17.43421794</v>
      </c>
      <c r="K61" s="69">
        <f t="shared" si="3"/>
        <v>0.16990476</v>
      </c>
      <c r="L61" s="69">
        <f t="shared" si="4"/>
        <v>2.962156614</v>
      </c>
      <c r="M61" s="69">
        <f t="shared" si="5"/>
        <v>4.638814449</v>
      </c>
      <c r="N61" s="69">
        <f t="shared" si="6"/>
        <v>3.561370075</v>
      </c>
      <c r="O61" s="69">
        <f t="shared" si="7"/>
        <v>1.566026059</v>
      </c>
      <c r="P61" s="69">
        <f t="shared" si="8"/>
        <v>1.202289595</v>
      </c>
    </row>
    <row r="62" ht="15.75" customHeight="1">
      <c r="A62" s="76" t="s">
        <v>95</v>
      </c>
      <c r="B62" s="2">
        <v>0.0</v>
      </c>
      <c r="C62" s="2">
        <v>394.0</v>
      </c>
      <c r="D62" s="2">
        <v>21.350000381469727</v>
      </c>
      <c r="E62" s="80">
        <v>2.503150224685669</v>
      </c>
      <c r="F62" s="80">
        <v>36.50428771972656</v>
      </c>
      <c r="G62" s="80">
        <v>4.465194225311279</v>
      </c>
      <c r="H62" s="69">
        <f t="shared" si="1"/>
        <v>56.07533538</v>
      </c>
      <c r="I62" s="80">
        <v>0.4520324468612671</v>
      </c>
      <c r="J62" s="80">
        <f t="shared" si="2"/>
        <v>17.01389523</v>
      </c>
      <c r="K62" s="69">
        <f t="shared" si="3"/>
        <v>0.1787964446</v>
      </c>
      <c r="L62" s="69">
        <f t="shared" si="4"/>
        <v>3.042023977</v>
      </c>
      <c r="M62" s="69">
        <f t="shared" si="5"/>
        <v>4.465194225</v>
      </c>
      <c r="N62" s="69">
        <f t="shared" si="6"/>
        <v>3.504708461</v>
      </c>
      <c r="O62" s="69">
        <f t="shared" si="7"/>
        <v>1.467836631</v>
      </c>
      <c r="P62" s="69">
        <f t="shared" si="8"/>
        <v>1.15209758</v>
      </c>
    </row>
    <row r="63" ht="15.75" customHeight="1">
      <c r="A63" s="76" t="s">
        <v>95</v>
      </c>
      <c r="B63" s="2">
        <v>0.0</v>
      </c>
      <c r="C63" s="2">
        <v>394.0</v>
      </c>
      <c r="D63" s="2">
        <v>17.139999389648438</v>
      </c>
      <c r="E63" s="80">
        <v>2.186164379119873</v>
      </c>
      <c r="F63" s="80">
        <v>30.228191375732422</v>
      </c>
      <c r="G63" s="80">
        <v>4.040374755859375</v>
      </c>
      <c r="H63" s="69">
        <f t="shared" si="1"/>
        <v>63.20030597</v>
      </c>
      <c r="I63" s="80">
        <v>0.34496352076530457</v>
      </c>
      <c r="J63" s="80">
        <f t="shared" si="2"/>
        <v>16.1315515</v>
      </c>
      <c r="K63" s="69">
        <f t="shared" si="3"/>
        <v>0.1561545985</v>
      </c>
      <c r="L63" s="69">
        <f t="shared" si="4"/>
        <v>2.519015948</v>
      </c>
      <c r="M63" s="69">
        <f t="shared" si="5"/>
        <v>4.040374756</v>
      </c>
      <c r="N63" s="69">
        <f t="shared" si="6"/>
        <v>3.950019123</v>
      </c>
      <c r="O63" s="69">
        <f t="shared" si="7"/>
        <v>1.603949653</v>
      </c>
      <c r="P63" s="69">
        <f t="shared" si="8"/>
        <v>1.568080236</v>
      </c>
    </row>
    <row r="64" ht="15.75" customHeight="1">
      <c r="A64" s="76" t="s">
        <v>95</v>
      </c>
      <c r="B64" s="2">
        <v>0.0</v>
      </c>
      <c r="C64" s="2">
        <v>394.0</v>
      </c>
      <c r="D64" s="2">
        <v>20.5</v>
      </c>
      <c r="E64" s="80">
        <v>2.458866596221924</v>
      </c>
      <c r="F64" s="80">
        <v>36.13391876220703</v>
      </c>
      <c r="G64" s="80">
        <v>4.49198579788208</v>
      </c>
      <c r="H64" s="69">
        <f t="shared" si="1"/>
        <v>56.44817516</v>
      </c>
      <c r="I64" s="80">
        <v>0.46705368161201477</v>
      </c>
      <c r="J64" s="80">
        <f t="shared" si="2"/>
        <v>17.14458142</v>
      </c>
      <c r="K64" s="69">
        <f t="shared" si="3"/>
        <v>0.1756333283</v>
      </c>
      <c r="L64" s="69">
        <f t="shared" si="4"/>
        <v>3.011159897</v>
      </c>
      <c r="M64" s="69">
        <f t="shared" si="5"/>
        <v>4.491985798</v>
      </c>
      <c r="N64" s="69">
        <f t="shared" si="6"/>
        <v>3.528010948</v>
      </c>
      <c r="O64" s="69">
        <f t="shared" si="7"/>
        <v>1.491779232</v>
      </c>
      <c r="P64" s="69">
        <f t="shared" si="8"/>
        <v>1.171645169</v>
      </c>
    </row>
    <row r="65" ht="15.75" customHeight="1">
      <c r="A65" s="76" t="s">
        <v>96</v>
      </c>
      <c r="B65" s="2">
        <v>0.0</v>
      </c>
      <c r="C65" s="2">
        <v>400.0</v>
      </c>
      <c r="D65" s="2">
        <v>18.760000228881836</v>
      </c>
      <c r="E65" s="80">
        <v>2.341158866882324</v>
      </c>
      <c r="F65" s="80">
        <v>34.932395935058594</v>
      </c>
      <c r="G65" s="80">
        <v>4.538410663604736</v>
      </c>
      <c r="H65" s="69">
        <f t="shared" si="1"/>
        <v>57.74272886</v>
      </c>
      <c r="I65" s="80">
        <v>0.4453056752681732</v>
      </c>
      <c r="J65" s="80">
        <f t="shared" si="2"/>
        <v>17.40781563</v>
      </c>
      <c r="K65" s="69">
        <f t="shared" si="3"/>
        <v>0.1672256333</v>
      </c>
      <c r="L65" s="69">
        <f t="shared" si="4"/>
        <v>2.911032995</v>
      </c>
      <c r="M65" s="69">
        <f t="shared" si="5"/>
        <v>4.538410664</v>
      </c>
      <c r="N65" s="69">
        <f t="shared" si="6"/>
        <v>3.608920554</v>
      </c>
      <c r="O65" s="69">
        <f t="shared" si="7"/>
        <v>1.559037865</v>
      </c>
      <c r="P65" s="69">
        <f t="shared" si="8"/>
        <v>1.239738801</v>
      </c>
    </row>
    <row r="66" ht="15.75" customHeight="1">
      <c r="A66" s="76" t="s">
        <v>96</v>
      </c>
      <c r="B66" s="2">
        <v>0.0</v>
      </c>
      <c r="C66" s="2">
        <v>400.0</v>
      </c>
      <c r="D66" s="2">
        <v>19.729999542236328</v>
      </c>
      <c r="E66" s="80">
        <v>2.218398332595825</v>
      </c>
      <c r="F66" s="80">
        <v>34.96775817871094</v>
      </c>
      <c r="G66" s="80">
        <v>4.444836616516113</v>
      </c>
      <c r="H66" s="69">
        <f t="shared" si="1"/>
        <v>57.96106118</v>
      </c>
      <c r="I66" s="80">
        <v>0.4079456925392151</v>
      </c>
      <c r="J66" s="80">
        <f t="shared" si="2"/>
        <v>18.38971716</v>
      </c>
      <c r="K66" s="69">
        <f t="shared" si="3"/>
        <v>0.1584570238</v>
      </c>
      <c r="L66" s="69">
        <f t="shared" si="4"/>
        <v>2.913979848</v>
      </c>
      <c r="M66" s="69">
        <f t="shared" si="5"/>
        <v>4.444836617</v>
      </c>
      <c r="N66" s="69">
        <f t="shared" si="6"/>
        <v>3.622566324</v>
      </c>
      <c r="O66" s="69">
        <f t="shared" si="7"/>
        <v>1.525349127</v>
      </c>
      <c r="P66" s="69">
        <f t="shared" si="8"/>
        <v>1.24316794</v>
      </c>
    </row>
    <row r="67" ht="15.75" customHeight="1">
      <c r="A67" s="76" t="s">
        <v>96</v>
      </c>
      <c r="B67" s="2">
        <v>0.0</v>
      </c>
      <c r="C67" s="2">
        <v>400.0</v>
      </c>
      <c r="D67" s="2">
        <v>30.6200008392334</v>
      </c>
      <c r="E67" s="80">
        <v>2.5213372707366943</v>
      </c>
      <c r="F67" s="80">
        <v>35.23930740356445</v>
      </c>
      <c r="G67" s="80">
        <v>3.965306520462036</v>
      </c>
      <c r="H67" s="69">
        <f t="shared" si="1"/>
        <v>57.78445679</v>
      </c>
      <c r="I67" s="80">
        <v>0.4895920157432556</v>
      </c>
      <c r="J67" s="80">
        <f t="shared" si="2"/>
        <v>16.30584126</v>
      </c>
      <c r="K67" s="69">
        <f t="shared" si="3"/>
        <v>0.1800955193</v>
      </c>
      <c r="L67" s="69">
        <f t="shared" si="4"/>
        <v>2.93660895</v>
      </c>
      <c r="M67" s="69">
        <f t="shared" si="5"/>
        <v>3.96530652</v>
      </c>
      <c r="N67" s="69">
        <f t="shared" si="6"/>
        <v>3.611528549</v>
      </c>
      <c r="O67" s="69">
        <f t="shared" si="7"/>
        <v>1.350301176</v>
      </c>
      <c r="P67" s="69">
        <f t="shared" si="8"/>
        <v>1.229829579</v>
      </c>
    </row>
    <row r="68" ht="15.75" customHeight="1">
      <c r="A68" s="76" t="s">
        <v>96</v>
      </c>
      <c r="B68" s="2">
        <v>0.0</v>
      </c>
      <c r="C68" s="2">
        <v>406.0</v>
      </c>
      <c r="D68" s="2">
        <v>17.579999923706055</v>
      </c>
      <c r="E68" s="80">
        <v>2.5871121883392334</v>
      </c>
      <c r="F68" s="80">
        <v>35.24358367919922</v>
      </c>
      <c r="G68" s="80">
        <v>4.872816562652588</v>
      </c>
      <c r="H68" s="69">
        <f t="shared" si="1"/>
        <v>56.84298509</v>
      </c>
      <c r="I68" s="80">
        <v>0.45350247621536255</v>
      </c>
      <c r="J68" s="80">
        <f t="shared" si="2"/>
        <v>15.89320884</v>
      </c>
      <c r="K68" s="69">
        <f t="shared" si="3"/>
        <v>0.1847937277</v>
      </c>
      <c r="L68" s="69">
        <f t="shared" si="4"/>
        <v>2.936965307</v>
      </c>
      <c r="M68" s="69">
        <f t="shared" si="5"/>
        <v>4.872816563</v>
      </c>
      <c r="N68" s="69">
        <f t="shared" si="6"/>
        <v>3.552686568</v>
      </c>
      <c r="O68" s="69">
        <f t="shared" si="7"/>
        <v>1.659133171</v>
      </c>
      <c r="P68" s="69">
        <f t="shared" si="8"/>
        <v>1.209645398</v>
      </c>
    </row>
    <row r="69" ht="15.75" customHeight="1">
      <c r="A69" s="76" t="s">
        <v>96</v>
      </c>
      <c r="B69" s="2">
        <v>0.0</v>
      </c>
      <c r="C69" s="2">
        <v>406.0</v>
      </c>
      <c r="D69" s="2">
        <v>19.739999771118164</v>
      </c>
      <c r="E69" s="80">
        <v>2.3314602375030518</v>
      </c>
      <c r="F69" s="80">
        <v>35.612361907958984</v>
      </c>
      <c r="G69" s="80">
        <v>3.7701759338378906</v>
      </c>
      <c r="H69" s="69">
        <f t="shared" si="1"/>
        <v>57.98260945</v>
      </c>
      <c r="I69" s="80">
        <v>0.3033924698829651</v>
      </c>
      <c r="J69" s="80">
        <f t="shared" si="2"/>
        <v>17.82048644</v>
      </c>
      <c r="K69" s="69">
        <f t="shared" si="3"/>
        <v>0.1665328741</v>
      </c>
      <c r="L69" s="69">
        <f t="shared" si="4"/>
        <v>2.967696826</v>
      </c>
      <c r="M69" s="69">
        <f t="shared" si="5"/>
        <v>3.770175934</v>
      </c>
      <c r="N69" s="69">
        <f t="shared" si="6"/>
        <v>3.623913091</v>
      </c>
      <c r="O69" s="69">
        <f t="shared" si="7"/>
        <v>1.270404679</v>
      </c>
      <c r="P69" s="69">
        <f t="shared" si="8"/>
        <v>1.221119711</v>
      </c>
    </row>
    <row r="70" ht="15.75" customHeight="1">
      <c r="A70" s="76" t="s">
        <v>96</v>
      </c>
      <c r="B70" s="2">
        <v>0.0</v>
      </c>
      <c r="C70" s="2">
        <v>406.0</v>
      </c>
      <c r="D70" s="2">
        <v>16.209999084472656</v>
      </c>
      <c r="E70" s="80">
        <v>2.2914137840270996</v>
      </c>
      <c r="F70" s="80">
        <v>34.00798797607422</v>
      </c>
      <c r="G70" s="80">
        <v>4.556024551391602</v>
      </c>
      <c r="H70" s="69">
        <f t="shared" si="1"/>
        <v>58.68098781</v>
      </c>
      <c r="I70" s="80">
        <v>0.46358588337898254</v>
      </c>
      <c r="J70" s="80">
        <f t="shared" si="2"/>
        <v>17.31506821</v>
      </c>
      <c r="K70" s="69">
        <f t="shared" si="3"/>
        <v>0.1636724131</v>
      </c>
      <c r="L70" s="69">
        <f t="shared" si="4"/>
        <v>2.833998998</v>
      </c>
      <c r="M70" s="69">
        <f t="shared" si="5"/>
        <v>4.556024551</v>
      </c>
      <c r="N70" s="69">
        <f t="shared" si="6"/>
        <v>3.667561738</v>
      </c>
      <c r="O70" s="69">
        <f t="shared" si="7"/>
        <v>1.607630968</v>
      </c>
      <c r="P70" s="69">
        <f t="shared" si="8"/>
        <v>1.294129511</v>
      </c>
    </row>
    <row r="71" ht="15.75" customHeight="1">
      <c r="A71" s="76" t="s">
        <v>96</v>
      </c>
      <c r="B71" s="2">
        <v>0.0</v>
      </c>
      <c r="C71" s="2">
        <v>411.0</v>
      </c>
      <c r="D71" s="2">
        <v>18.65999984741211</v>
      </c>
      <c r="E71" s="80">
        <v>2.4630544185638428</v>
      </c>
      <c r="F71" s="80">
        <v>36.156185150146484</v>
      </c>
      <c r="G71" s="80">
        <v>3.8461387157440186</v>
      </c>
      <c r="H71" s="69">
        <f t="shared" si="1"/>
        <v>57.15847856</v>
      </c>
      <c r="I71" s="80">
        <v>0.3761431574821472</v>
      </c>
      <c r="J71" s="80">
        <f t="shared" si="2"/>
        <v>17.12597809</v>
      </c>
      <c r="K71" s="69">
        <f t="shared" si="3"/>
        <v>0.1759324585</v>
      </c>
      <c r="L71" s="69">
        <f t="shared" si="4"/>
        <v>3.013015429</v>
      </c>
      <c r="M71" s="69">
        <f t="shared" si="5"/>
        <v>3.846138716</v>
      </c>
      <c r="N71" s="69">
        <f t="shared" si="6"/>
        <v>3.57240491</v>
      </c>
      <c r="O71" s="69">
        <f t="shared" si="7"/>
        <v>1.276508138</v>
      </c>
      <c r="P71" s="69">
        <f t="shared" si="8"/>
        <v>1.185657689</v>
      </c>
    </row>
    <row r="72" ht="15.75" customHeight="1">
      <c r="A72" s="76" t="s">
        <v>96</v>
      </c>
      <c r="B72" s="2">
        <v>0.0</v>
      </c>
      <c r="C72" s="2">
        <v>411.0</v>
      </c>
      <c r="D72" s="2">
        <v>15.569999694824219</v>
      </c>
      <c r="E72" s="80">
        <v>2.3953092098236084</v>
      </c>
      <c r="F72" s="80">
        <v>35.31047821044922</v>
      </c>
      <c r="G72" s="80">
        <v>4.779937267303467</v>
      </c>
      <c r="H72" s="69">
        <f t="shared" si="1"/>
        <v>57.0610334</v>
      </c>
      <c r="I72" s="80">
        <v>0.45324191451072693</v>
      </c>
      <c r="J72" s="80">
        <f t="shared" si="2"/>
        <v>17.19843006</v>
      </c>
      <c r="K72" s="69">
        <f t="shared" si="3"/>
        <v>0.171093515</v>
      </c>
      <c r="L72" s="69">
        <f t="shared" si="4"/>
        <v>2.942539851</v>
      </c>
      <c r="M72" s="69">
        <f t="shared" si="5"/>
        <v>4.779937267</v>
      </c>
      <c r="N72" s="69">
        <f t="shared" si="6"/>
        <v>3.566314587</v>
      </c>
      <c r="O72" s="69">
        <f t="shared" si="7"/>
        <v>1.62442567</v>
      </c>
      <c r="P72" s="69">
        <f t="shared" si="8"/>
        <v>1.211985145</v>
      </c>
    </row>
    <row r="73" ht="15.75" customHeight="1">
      <c r="A73" s="76" t="s">
        <v>96</v>
      </c>
      <c r="B73" s="2">
        <v>0.0</v>
      </c>
      <c r="C73" s="2">
        <v>411.0</v>
      </c>
      <c r="D73" s="2">
        <v>16.239999771118164</v>
      </c>
      <c r="E73" s="80">
        <v>2.534590482711792</v>
      </c>
      <c r="F73" s="80">
        <v>35.384849548339844</v>
      </c>
      <c r="G73" s="80">
        <v>4.972138404846191</v>
      </c>
      <c r="H73" s="69">
        <f t="shared" si="1"/>
        <v>56.64099434</v>
      </c>
      <c r="I73" s="80">
        <v>0.46742722392082214</v>
      </c>
      <c r="J73" s="80">
        <f t="shared" si="2"/>
        <v>16.2875718</v>
      </c>
      <c r="K73" s="69">
        <f t="shared" si="3"/>
        <v>0.1810421773</v>
      </c>
      <c r="L73" s="69">
        <f t="shared" si="4"/>
        <v>2.948737462</v>
      </c>
      <c r="M73" s="69">
        <f t="shared" si="5"/>
        <v>4.972138405</v>
      </c>
      <c r="N73" s="69">
        <f t="shared" si="6"/>
        <v>3.540062146</v>
      </c>
      <c r="O73" s="69">
        <f t="shared" si="7"/>
        <v>1.6861923</v>
      </c>
      <c r="P73" s="69">
        <f t="shared" si="8"/>
        <v>1.20053487</v>
      </c>
    </row>
    <row r="74" ht="15.75" customHeight="1">
      <c r="A74" s="76" t="s">
        <v>97</v>
      </c>
      <c r="B74" s="2">
        <v>0.0</v>
      </c>
      <c r="C74" s="2">
        <v>420.0</v>
      </c>
      <c r="D74" s="2">
        <v>19.049999237060547</v>
      </c>
      <c r="E74" s="80">
        <v>2.230145215988159</v>
      </c>
      <c r="F74" s="80">
        <v>33.60918426513672</v>
      </c>
      <c r="G74" s="80">
        <v>4.373619556427002</v>
      </c>
      <c r="H74" s="69">
        <f t="shared" si="1"/>
        <v>59.36854827</v>
      </c>
      <c r="I74" s="80">
        <v>0.41850268840789795</v>
      </c>
      <c r="J74" s="80">
        <f t="shared" si="2"/>
        <v>17.58213532</v>
      </c>
      <c r="K74" s="69">
        <f t="shared" si="3"/>
        <v>0.1592960869</v>
      </c>
      <c r="L74" s="69">
        <f t="shared" si="4"/>
        <v>2.800765355</v>
      </c>
      <c r="M74" s="69">
        <f t="shared" si="5"/>
        <v>4.373619556</v>
      </c>
      <c r="N74" s="69">
        <f t="shared" si="6"/>
        <v>3.710534267</v>
      </c>
      <c r="O74" s="69">
        <f t="shared" si="7"/>
        <v>1.56158014</v>
      </c>
      <c r="P74" s="69">
        <f t="shared" si="8"/>
        <v>1.324828679</v>
      </c>
    </row>
    <row r="75" ht="15.75" customHeight="1">
      <c r="A75" s="76" t="s">
        <v>97</v>
      </c>
      <c r="B75" s="2">
        <v>0.0</v>
      </c>
      <c r="C75" s="2">
        <v>420.0</v>
      </c>
      <c r="D75" s="2">
        <v>18.690000534057617</v>
      </c>
      <c r="E75" s="80">
        <v>2.123493194580078</v>
      </c>
      <c r="F75" s="80">
        <v>33.59292221069336</v>
      </c>
      <c r="G75" s="80">
        <v>4.269395351409912</v>
      </c>
      <c r="H75" s="69">
        <f t="shared" si="1"/>
        <v>59.62232208</v>
      </c>
      <c r="I75" s="80">
        <v>0.39186716079711914</v>
      </c>
      <c r="J75" s="80">
        <f t="shared" si="2"/>
        <v>18.45626003</v>
      </c>
      <c r="K75" s="69">
        <f t="shared" si="3"/>
        <v>0.1516780853</v>
      </c>
      <c r="L75" s="69">
        <f t="shared" si="4"/>
        <v>2.799410184</v>
      </c>
      <c r="M75" s="69">
        <f t="shared" si="5"/>
        <v>4.269395351</v>
      </c>
      <c r="N75" s="69">
        <f t="shared" si="6"/>
        <v>3.72639513</v>
      </c>
      <c r="O75" s="69">
        <f t="shared" si="7"/>
        <v>1.525105315</v>
      </c>
      <c r="P75" s="69">
        <f t="shared" si="8"/>
        <v>1.331135805</v>
      </c>
    </row>
    <row r="76" ht="15.75" customHeight="1">
      <c r="A76" s="76" t="s">
        <v>97</v>
      </c>
      <c r="B76" s="2">
        <v>0.0</v>
      </c>
      <c r="C76" s="2">
        <v>420.0</v>
      </c>
      <c r="D76" s="2">
        <v>20.579999923706055</v>
      </c>
      <c r="E76" s="80">
        <v>2.3195600509643555</v>
      </c>
      <c r="F76" s="80">
        <v>34.903282165527344</v>
      </c>
      <c r="G76" s="80">
        <v>4.294797897338867</v>
      </c>
      <c r="H76" s="69">
        <f t="shared" si="1"/>
        <v>58.04492483</v>
      </c>
      <c r="I76" s="80">
        <v>0.4374350607395172</v>
      </c>
      <c r="J76" s="80">
        <f t="shared" si="2"/>
        <v>17.55526693</v>
      </c>
      <c r="K76" s="69">
        <f t="shared" si="3"/>
        <v>0.1656828608</v>
      </c>
      <c r="L76" s="69">
        <f t="shared" si="4"/>
        <v>2.908606847</v>
      </c>
      <c r="M76" s="69">
        <f t="shared" si="5"/>
        <v>4.294797897</v>
      </c>
      <c r="N76" s="69">
        <f t="shared" si="6"/>
        <v>3.627807802</v>
      </c>
      <c r="O76" s="69">
        <f t="shared" si="7"/>
        <v>1.476582475</v>
      </c>
      <c r="P76" s="69">
        <f t="shared" si="8"/>
        <v>1.247266472</v>
      </c>
    </row>
    <row r="77" ht="15.75" customHeight="1">
      <c r="A77" s="76" t="s">
        <v>97</v>
      </c>
      <c r="B77" s="2">
        <v>0.0</v>
      </c>
      <c r="C77" s="2">
        <v>426.0</v>
      </c>
      <c r="D77" s="2">
        <v>20.010000228881836</v>
      </c>
      <c r="E77" s="80">
        <v>2.2949929237365723</v>
      </c>
      <c r="F77" s="80">
        <v>34.850467681884766</v>
      </c>
      <c r="G77" s="80">
        <v>4.390997409820557</v>
      </c>
      <c r="H77" s="69">
        <f t="shared" si="1"/>
        <v>58.04986668</v>
      </c>
      <c r="I77" s="80">
        <v>0.41367530822753906</v>
      </c>
      <c r="J77" s="80">
        <f t="shared" si="2"/>
        <v>17.71634175</v>
      </c>
      <c r="K77" s="69">
        <f t="shared" si="3"/>
        <v>0.163928066</v>
      </c>
      <c r="L77" s="69">
        <f t="shared" si="4"/>
        <v>2.90420564</v>
      </c>
      <c r="M77" s="69">
        <f t="shared" si="5"/>
        <v>4.39099741</v>
      </c>
      <c r="N77" s="69">
        <f t="shared" si="6"/>
        <v>3.628116667</v>
      </c>
      <c r="O77" s="69">
        <f t="shared" si="7"/>
        <v>1.511944385</v>
      </c>
      <c r="P77" s="69">
        <f t="shared" si="8"/>
        <v>1.249263006</v>
      </c>
    </row>
    <row r="78" ht="15.75" customHeight="1">
      <c r="A78" s="76" t="s">
        <v>97</v>
      </c>
      <c r="B78" s="2">
        <v>0.0</v>
      </c>
      <c r="C78" s="2">
        <v>426.0</v>
      </c>
      <c r="D78" s="2">
        <v>21.690000534057617</v>
      </c>
      <c r="E78" s="80">
        <v>2.218276023864746</v>
      </c>
      <c r="F78" s="80">
        <v>33.5822868347168</v>
      </c>
      <c r="G78" s="80">
        <v>4.229339599609375</v>
      </c>
      <c r="H78" s="69">
        <f t="shared" si="1"/>
        <v>59.5673593</v>
      </c>
      <c r="I78" s="80">
        <v>0.4027382433414459</v>
      </c>
      <c r="J78" s="80">
        <f t="shared" si="2"/>
        <v>17.66206469</v>
      </c>
      <c r="K78" s="69">
        <f t="shared" si="3"/>
        <v>0.1584482874</v>
      </c>
      <c r="L78" s="69">
        <f t="shared" si="4"/>
        <v>2.798523903</v>
      </c>
      <c r="M78" s="69">
        <f t="shared" si="5"/>
        <v>4.2293396</v>
      </c>
      <c r="N78" s="69">
        <f t="shared" si="6"/>
        <v>3.722959956</v>
      </c>
      <c r="O78" s="69">
        <f t="shared" si="7"/>
        <v>1.511275139</v>
      </c>
      <c r="P78" s="69">
        <f t="shared" si="8"/>
        <v>1.330329876</v>
      </c>
    </row>
    <row r="79" ht="15.75" customHeight="1">
      <c r="A79" s="76" t="s">
        <v>97</v>
      </c>
      <c r="B79" s="2">
        <v>0.0</v>
      </c>
      <c r="C79" s="2">
        <v>426.0</v>
      </c>
      <c r="D79" s="2">
        <v>20.06999969482422</v>
      </c>
      <c r="E79" s="80">
        <v>2.4054880142211914</v>
      </c>
      <c r="F79" s="80">
        <v>36.218727111816406</v>
      </c>
      <c r="G79" s="80">
        <v>4.540618419647217</v>
      </c>
      <c r="H79" s="69">
        <f t="shared" si="1"/>
        <v>56.40182081</v>
      </c>
      <c r="I79" s="80">
        <v>0.43334564566612244</v>
      </c>
      <c r="J79" s="80">
        <f t="shared" si="2"/>
        <v>17.56615763</v>
      </c>
      <c r="K79" s="69">
        <f t="shared" si="3"/>
        <v>0.1718205724</v>
      </c>
      <c r="L79" s="69">
        <f t="shared" si="4"/>
        <v>3.018227259</v>
      </c>
      <c r="M79" s="69">
        <f t="shared" si="5"/>
        <v>4.54061842</v>
      </c>
      <c r="N79" s="69">
        <f t="shared" si="6"/>
        <v>3.525113801</v>
      </c>
      <c r="O79" s="69">
        <f t="shared" si="7"/>
        <v>1.504399116</v>
      </c>
      <c r="P79" s="69">
        <f t="shared" si="8"/>
        <v>1.167941807</v>
      </c>
    </row>
    <row r="80" ht="15.75" customHeight="1">
      <c r="A80" s="76" t="s">
        <v>97</v>
      </c>
      <c r="B80" s="2">
        <v>0.0</v>
      </c>
      <c r="C80" s="2">
        <v>431.0</v>
      </c>
      <c r="D80" s="2">
        <v>21.75</v>
      </c>
      <c r="E80" s="80">
        <v>2.341874837875366</v>
      </c>
      <c r="F80" s="80">
        <v>35.00446701049805</v>
      </c>
      <c r="G80" s="80">
        <v>4.301377773284912</v>
      </c>
      <c r="H80" s="69">
        <f t="shared" si="1"/>
        <v>57.92960715</v>
      </c>
      <c r="I80" s="80">
        <v>0.42267322540283203</v>
      </c>
      <c r="J80" s="80">
        <f t="shared" si="2"/>
        <v>17.43839773</v>
      </c>
      <c r="K80" s="69">
        <f t="shared" si="3"/>
        <v>0.1672767741</v>
      </c>
      <c r="L80" s="69">
        <f t="shared" si="4"/>
        <v>2.917038918</v>
      </c>
      <c r="M80" s="69">
        <f t="shared" si="5"/>
        <v>4.301377773</v>
      </c>
      <c r="N80" s="69">
        <f t="shared" si="6"/>
        <v>3.620600447</v>
      </c>
      <c r="O80" s="69">
        <f t="shared" si="7"/>
        <v>1.474569896</v>
      </c>
      <c r="P80" s="69">
        <f t="shared" si="8"/>
        <v>1.241190313</v>
      </c>
    </row>
    <row r="81" ht="15.75" customHeight="1">
      <c r="A81" s="76" t="s">
        <v>97</v>
      </c>
      <c r="B81" s="2">
        <v>0.0</v>
      </c>
      <c r="C81" s="2">
        <v>431.0</v>
      </c>
      <c r="D81" s="2">
        <v>20.6200008392334</v>
      </c>
      <c r="E81" s="80">
        <v>2.4812071323394775</v>
      </c>
      <c r="F81" s="80">
        <v>34.505577087402344</v>
      </c>
      <c r="G81" s="80">
        <v>4.620574474334717</v>
      </c>
      <c r="H81" s="69">
        <f t="shared" si="1"/>
        <v>57.93940535</v>
      </c>
      <c r="I81" s="80">
        <v>0.4532359540462494</v>
      </c>
      <c r="J81" s="80">
        <f t="shared" si="2"/>
        <v>16.22456508</v>
      </c>
      <c r="K81" s="69">
        <f t="shared" si="3"/>
        <v>0.1772290809</v>
      </c>
      <c r="L81" s="69">
        <f t="shared" si="4"/>
        <v>2.875464757</v>
      </c>
      <c r="M81" s="69">
        <f t="shared" si="5"/>
        <v>4.620574474</v>
      </c>
      <c r="N81" s="69">
        <f t="shared" si="6"/>
        <v>3.621212834</v>
      </c>
      <c r="O81" s="69">
        <f t="shared" si="7"/>
        <v>1.606896577</v>
      </c>
      <c r="P81" s="69">
        <f t="shared" si="8"/>
        <v>1.259348711</v>
      </c>
    </row>
    <row r="82" ht="15.75" customHeight="1">
      <c r="A82" s="76" t="s">
        <v>97</v>
      </c>
      <c r="B82" s="2">
        <v>0.0</v>
      </c>
      <c r="C82" s="2">
        <v>431.0</v>
      </c>
      <c r="D82" s="2">
        <v>22.299999237060547</v>
      </c>
      <c r="E82" s="80">
        <v>2.244013547897339</v>
      </c>
      <c r="F82" s="80">
        <v>33.56822204589844</v>
      </c>
      <c r="G82" s="80">
        <v>4.071567535400391</v>
      </c>
      <c r="H82" s="69">
        <f t="shared" si="1"/>
        <v>59.697106</v>
      </c>
      <c r="I82" s="80">
        <v>0.4190908670425415</v>
      </c>
      <c r="J82" s="80">
        <f t="shared" si="2"/>
        <v>17.45217882</v>
      </c>
      <c r="K82" s="69">
        <f t="shared" si="3"/>
        <v>0.160286682</v>
      </c>
      <c r="L82" s="69">
        <f t="shared" si="4"/>
        <v>2.797351837</v>
      </c>
      <c r="M82" s="69">
        <f t="shared" si="5"/>
        <v>4.071567535</v>
      </c>
      <c r="N82" s="69">
        <f t="shared" si="6"/>
        <v>3.731069125</v>
      </c>
      <c r="O82" s="69">
        <f t="shared" si="7"/>
        <v>1.455507842</v>
      </c>
      <c r="P82" s="69">
        <f t="shared" si="8"/>
        <v>1.333786146</v>
      </c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8.56"/>
  </cols>
  <sheetData>
    <row r="1" ht="15.75" customHeight="1">
      <c r="A1" s="76" t="s">
        <v>91</v>
      </c>
      <c r="B1" s="76" t="s">
        <v>92</v>
      </c>
      <c r="C1" s="76" t="s">
        <v>88</v>
      </c>
      <c r="D1" s="76" t="s">
        <v>101</v>
      </c>
      <c r="E1" s="77" t="s">
        <v>102</v>
      </c>
      <c r="F1" s="77" t="s">
        <v>103</v>
      </c>
      <c r="G1" s="77" t="s">
        <v>104</v>
      </c>
      <c r="H1" s="78" t="s">
        <v>105</v>
      </c>
      <c r="I1" s="77" t="s">
        <v>106</v>
      </c>
      <c r="J1" s="79" t="s">
        <v>107</v>
      </c>
      <c r="K1" s="78" t="s">
        <v>108</v>
      </c>
      <c r="L1" s="17" t="s">
        <v>109</v>
      </c>
      <c r="M1" s="17" t="s">
        <v>110</v>
      </c>
      <c r="N1" s="17" t="s">
        <v>111</v>
      </c>
      <c r="O1" s="17" t="s">
        <v>112</v>
      </c>
      <c r="P1" s="17" t="s">
        <v>113</v>
      </c>
    </row>
    <row r="2" ht="15.75" customHeight="1">
      <c r="A2" s="76" t="s">
        <v>94</v>
      </c>
      <c r="B2" s="2">
        <v>2.0</v>
      </c>
      <c r="C2" s="2">
        <v>5.0</v>
      </c>
      <c r="D2" s="2">
        <v>16.760000228881836</v>
      </c>
      <c r="E2" s="80">
        <v>2.4825658798217773</v>
      </c>
      <c r="F2" s="80">
        <v>36.4847297668457</v>
      </c>
      <c r="G2" s="80">
        <v>6.302032470703125</v>
      </c>
      <c r="H2" s="69">
        <f t="shared" ref="H2:H95" si="1">100-E2-F2-G2-I2</f>
        <v>53.72885549</v>
      </c>
      <c r="I2" s="80">
        <v>1.0018163919448853</v>
      </c>
      <c r="J2" s="80">
        <f t="shared" ref="J2:J95" si="2">L2/K2</f>
        <v>17.14577583</v>
      </c>
      <c r="K2" s="69">
        <f t="shared" ref="K2:K95" si="3">E2/14</f>
        <v>0.1773261343</v>
      </c>
      <c r="L2" s="69">
        <f t="shared" ref="L2:L95" si="4">F2/12</f>
        <v>3.040394147</v>
      </c>
      <c r="M2" s="69">
        <f t="shared" ref="M2:M95" si="5">G2/1</f>
        <v>6.302032471</v>
      </c>
      <c r="N2" s="69">
        <f t="shared" ref="N2:N95" si="6">H2/16</f>
        <v>3.358053468</v>
      </c>
      <c r="O2" s="69">
        <f t="shared" ref="O2:O46" si="7">M2/L2</f>
        <v>2.072768255</v>
      </c>
      <c r="P2" s="69">
        <f t="shared" ref="P2:P46" si="8">N2/L2</f>
        <v>1.104479652</v>
      </c>
    </row>
    <row r="3" ht="15.75" customHeight="1">
      <c r="A3" s="76" t="s">
        <v>94</v>
      </c>
      <c r="B3" s="2">
        <v>2.0</v>
      </c>
      <c r="C3" s="2">
        <v>5.0</v>
      </c>
      <c r="D3" s="2">
        <v>16.06999969482422</v>
      </c>
      <c r="E3" s="80">
        <v>2.52925705909729</v>
      </c>
      <c r="F3" s="80">
        <v>38.656978607177734</v>
      </c>
      <c r="G3" s="80">
        <v>6.651692867279053</v>
      </c>
      <c r="H3" s="69">
        <f t="shared" si="1"/>
        <v>51.45307863</v>
      </c>
      <c r="I3" s="80">
        <v>0.7089928388595581</v>
      </c>
      <c r="J3" s="80">
        <f t="shared" si="2"/>
        <v>17.83124741</v>
      </c>
      <c r="K3" s="69">
        <f t="shared" si="3"/>
        <v>0.1806612185</v>
      </c>
      <c r="L3" s="69">
        <f t="shared" si="4"/>
        <v>3.221414884</v>
      </c>
      <c r="M3" s="69">
        <f t="shared" si="5"/>
        <v>6.651692867</v>
      </c>
      <c r="N3" s="69">
        <f t="shared" si="6"/>
        <v>3.215817414</v>
      </c>
      <c r="O3" s="69">
        <f t="shared" si="7"/>
        <v>2.064835827</v>
      </c>
      <c r="P3" s="69">
        <f t="shared" si="8"/>
        <v>0.9982624189</v>
      </c>
    </row>
    <row r="4" ht="15.75" customHeight="1">
      <c r="A4" s="76" t="s">
        <v>94</v>
      </c>
      <c r="B4" s="2">
        <v>2.0</v>
      </c>
      <c r="C4" s="2">
        <v>5.0</v>
      </c>
      <c r="D4" s="2">
        <v>18.56999969482422</v>
      </c>
      <c r="E4" s="80">
        <v>2.3820297718048096</v>
      </c>
      <c r="F4" s="80">
        <v>36.837257385253906</v>
      </c>
      <c r="G4" s="80">
        <v>6.171839714050293</v>
      </c>
      <c r="H4" s="69">
        <f t="shared" si="1"/>
        <v>53.98025948</v>
      </c>
      <c r="I4" s="80">
        <v>0.6286136507987976</v>
      </c>
      <c r="J4" s="80">
        <f t="shared" si="2"/>
        <v>18.042092</v>
      </c>
      <c r="K4" s="69">
        <f t="shared" si="3"/>
        <v>0.1701449837</v>
      </c>
      <c r="L4" s="69">
        <f t="shared" si="4"/>
        <v>3.069771449</v>
      </c>
      <c r="M4" s="69">
        <f t="shared" si="5"/>
        <v>6.171839714</v>
      </c>
      <c r="N4" s="69">
        <f t="shared" si="6"/>
        <v>3.373766217</v>
      </c>
      <c r="O4" s="69">
        <f t="shared" si="7"/>
        <v>2.010520919</v>
      </c>
      <c r="P4" s="69">
        <f t="shared" si="8"/>
        <v>1.09902847</v>
      </c>
    </row>
    <row r="5" ht="15.75" customHeight="1">
      <c r="A5" s="76" t="s">
        <v>94</v>
      </c>
      <c r="B5" s="2">
        <v>2.0</v>
      </c>
      <c r="C5" s="2">
        <v>6.0</v>
      </c>
      <c r="D5" s="2">
        <v>19.81999969482422</v>
      </c>
      <c r="E5" s="80">
        <v>2.6461410522460938</v>
      </c>
      <c r="F5" s="80">
        <v>42.0271339416504</v>
      </c>
      <c r="G5" s="80">
        <v>6.453298091888428</v>
      </c>
      <c r="H5" s="69">
        <f t="shared" si="1"/>
        <v>48.23201603</v>
      </c>
      <c r="I5" s="80">
        <v>0.6414108872413635</v>
      </c>
      <c r="J5" s="80">
        <f t="shared" si="2"/>
        <v>18.52949457</v>
      </c>
      <c r="K5" s="69">
        <f t="shared" si="3"/>
        <v>0.1890100752</v>
      </c>
      <c r="L5" s="69">
        <f t="shared" si="4"/>
        <v>3.502261162</v>
      </c>
      <c r="M5" s="69">
        <f t="shared" si="5"/>
        <v>6.453298092</v>
      </c>
      <c r="N5" s="69">
        <f t="shared" si="6"/>
        <v>3.014501002</v>
      </c>
      <c r="O5" s="69">
        <f t="shared" si="7"/>
        <v>1.842609044</v>
      </c>
      <c r="P5" s="69">
        <f t="shared" si="8"/>
        <v>0.8607299292</v>
      </c>
    </row>
    <row r="6" ht="15.75" customHeight="1">
      <c r="A6" s="76" t="s">
        <v>94</v>
      </c>
      <c r="B6" s="2">
        <v>2.0</v>
      </c>
      <c r="C6" s="2">
        <v>6.0</v>
      </c>
      <c r="D6" s="2">
        <v>20.25</v>
      </c>
      <c r="E6" s="80">
        <v>2.706742763519287</v>
      </c>
      <c r="F6" s="80">
        <v>42.7435302734375</v>
      </c>
      <c r="G6" s="80">
        <v>6.661342620849609</v>
      </c>
      <c r="H6" s="69">
        <f t="shared" si="1"/>
        <v>47.2783612</v>
      </c>
      <c r="I6" s="80">
        <v>0.6100231409072876</v>
      </c>
      <c r="J6" s="80">
        <f t="shared" si="2"/>
        <v>18.4234175</v>
      </c>
      <c r="K6" s="69">
        <f t="shared" si="3"/>
        <v>0.1933387688</v>
      </c>
      <c r="L6" s="69">
        <f t="shared" si="4"/>
        <v>3.561960856</v>
      </c>
      <c r="M6" s="69">
        <f t="shared" si="5"/>
        <v>6.661342621</v>
      </c>
      <c r="N6" s="69">
        <f t="shared" si="6"/>
        <v>2.954897575</v>
      </c>
      <c r="O6" s="69">
        <f t="shared" si="7"/>
        <v>1.870133584</v>
      </c>
      <c r="P6" s="69">
        <f t="shared" si="8"/>
        <v>0.8295704794</v>
      </c>
    </row>
    <row r="7" ht="15.75" customHeight="1">
      <c r="A7" s="76" t="s">
        <v>94</v>
      </c>
      <c r="B7" s="2">
        <v>2.0</v>
      </c>
      <c r="C7" s="2">
        <v>6.0</v>
      </c>
      <c r="D7" s="2">
        <v>20.639999389648438</v>
      </c>
      <c r="E7" s="80">
        <v>2.7131781578063965</v>
      </c>
      <c r="F7" s="80">
        <v>42.677886962890625</v>
      </c>
      <c r="G7" s="80">
        <v>6.776156902313232</v>
      </c>
      <c r="H7" s="69">
        <f t="shared" si="1"/>
        <v>47.23040771</v>
      </c>
      <c r="I7" s="80">
        <v>0.6023702621459961</v>
      </c>
      <c r="J7" s="80">
        <f t="shared" si="2"/>
        <v>18.35149232</v>
      </c>
      <c r="K7" s="69">
        <f t="shared" si="3"/>
        <v>0.1937984398</v>
      </c>
      <c r="L7" s="69">
        <f t="shared" si="4"/>
        <v>3.55649058</v>
      </c>
      <c r="M7" s="69">
        <f t="shared" si="5"/>
        <v>6.776156902</v>
      </c>
      <c r="N7" s="69">
        <f t="shared" si="6"/>
        <v>2.951900482</v>
      </c>
      <c r="O7" s="69">
        <f t="shared" si="7"/>
        <v>1.905293083</v>
      </c>
      <c r="P7" s="69">
        <f t="shared" si="8"/>
        <v>0.8300037398</v>
      </c>
    </row>
    <row r="8" ht="15.75" customHeight="1">
      <c r="A8" s="76" t="s">
        <v>94</v>
      </c>
      <c r="B8" s="2">
        <v>2.0</v>
      </c>
      <c r="C8" s="2">
        <v>7.0</v>
      </c>
      <c r="D8" s="2">
        <v>18.459999084472656</v>
      </c>
      <c r="E8" s="80">
        <v>2.546873092651367</v>
      </c>
      <c r="F8" s="80">
        <v>41.0863647460937</v>
      </c>
      <c r="G8" s="80">
        <v>6.116697311401367</v>
      </c>
      <c r="H8" s="69">
        <f t="shared" si="1"/>
        <v>49.66101766</v>
      </c>
      <c r="I8" s="80">
        <v>0.5890471935272217</v>
      </c>
      <c r="J8" s="80">
        <f t="shared" si="2"/>
        <v>18.82076195</v>
      </c>
      <c r="K8" s="69">
        <f t="shared" si="3"/>
        <v>0.1819195066</v>
      </c>
      <c r="L8" s="69">
        <f t="shared" si="4"/>
        <v>3.423863729</v>
      </c>
      <c r="M8" s="69">
        <f t="shared" si="5"/>
        <v>6.116697311</v>
      </c>
      <c r="N8" s="69">
        <f t="shared" si="6"/>
        <v>3.103813604</v>
      </c>
      <c r="O8" s="69">
        <f t="shared" si="7"/>
        <v>1.786489707</v>
      </c>
      <c r="P8" s="69">
        <f t="shared" si="8"/>
        <v>0.9065236964</v>
      </c>
    </row>
    <row r="9" ht="15.75" customHeight="1">
      <c r="A9" s="76" t="s">
        <v>94</v>
      </c>
      <c r="B9" s="2">
        <v>2.0</v>
      </c>
      <c r="C9" s="2">
        <v>7.0</v>
      </c>
      <c r="D9" s="2">
        <v>18.75</v>
      </c>
      <c r="E9" s="80">
        <v>2.57813220024109</v>
      </c>
      <c r="F9" s="80">
        <v>41.4256324768066</v>
      </c>
      <c r="G9" s="80">
        <v>6.940248966217041</v>
      </c>
      <c r="H9" s="69">
        <f t="shared" si="1"/>
        <v>48.36944385</v>
      </c>
      <c r="I9" s="80">
        <v>0.6865425109863281</v>
      </c>
      <c r="J9" s="80">
        <f t="shared" si="2"/>
        <v>18.74609244</v>
      </c>
      <c r="K9" s="69">
        <f t="shared" si="3"/>
        <v>0.1841523</v>
      </c>
      <c r="L9" s="69">
        <f t="shared" si="4"/>
        <v>3.45213604</v>
      </c>
      <c r="M9" s="69">
        <f t="shared" si="5"/>
        <v>6.940248966</v>
      </c>
      <c r="N9" s="69">
        <f t="shared" si="6"/>
        <v>3.02309024</v>
      </c>
      <c r="O9" s="69">
        <f t="shared" si="7"/>
        <v>2.010421631</v>
      </c>
      <c r="P9" s="69">
        <f t="shared" si="8"/>
        <v>0.8757158483</v>
      </c>
    </row>
    <row r="10" ht="15.75" customHeight="1">
      <c r="A10" s="76" t="s">
        <v>94</v>
      </c>
      <c r="B10" s="2">
        <v>2.0</v>
      </c>
      <c r="C10" s="2">
        <v>7.0</v>
      </c>
      <c r="D10" s="2">
        <v>20.760000228881836</v>
      </c>
      <c r="E10" s="80">
        <v>2.5681159496307373</v>
      </c>
      <c r="F10" s="80">
        <v>41.253482818603516</v>
      </c>
      <c r="G10" s="80">
        <v>6.745582580566406</v>
      </c>
      <c r="H10" s="69">
        <f t="shared" si="1"/>
        <v>48.8859238</v>
      </c>
      <c r="I10" s="80">
        <v>0.5468948483467102</v>
      </c>
      <c r="J10" s="80">
        <f t="shared" si="2"/>
        <v>18.74100089</v>
      </c>
      <c r="K10" s="69">
        <f t="shared" si="3"/>
        <v>0.1834368535</v>
      </c>
      <c r="L10" s="69">
        <f t="shared" si="4"/>
        <v>3.437790235</v>
      </c>
      <c r="M10" s="69">
        <f t="shared" si="5"/>
        <v>6.745582581</v>
      </c>
      <c r="N10" s="69">
        <f t="shared" si="6"/>
        <v>3.055370238</v>
      </c>
      <c r="O10" s="69">
        <f t="shared" si="7"/>
        <v>1.962185625</v>
      </c>
      <c r="P10" s="69">
        <f t="shared" si="8"/>
        <v>0.8887599385</v>
      </c>
    </row>
    <row r="11" ht="15.75" customHeight="1">
      <c r="A11" s="76" t="s">
        <v>94</v>
      </c>
      <c r="B11" s="2">
        <v>4.0</v>
      </c>
      <c r="C11" s="2">
        <v>9.0</v>
      </c>
      <c r="D11" s="2">
        <v>22.360000610351562</v>
      </c>
      <c r="E11" s="80">
        <v>2.6022696495056152</v>
      </c>
      <c r="F11" s="80">
        <v>41.15634536743164</v>
      </c>
      <c r="G11" s="80">
        <v>6.417194843292236</v>
      </c>
      <c r="H11" s="69">
        <f t="shared" si="1"/>
        <v>49.2556408</v>
      </c>
      <c r="I11" s="80">
        <v>0.5685493350028992</v>
      </c>
      <c r="J11" s="80">
        <f t="shared" si="2"/>
        <v>18.45148379</v>
      </c>
      <c r="K11" s="69">
        <f t="shared" si="3"/>
        <v>0.1858764035</v>
      </c>
      <c r="L11" s="69">
        <f t="shared" si="4"/>
        <v>3.429695447</v>
      </c>
      <c r="M11" s="69">
        <f t="shared" si="5"/>
        <v>6.417194843</v>
      </c>
      <c r="N11" s="69">
        <f t="shared" si="6"/>
        <v>3.07847755</v>
      </c>
      <c r="O11" s="69">
        <f t="shared" si="7"/>
        <v>1.87106842</v>
      </c>
      <c r="P11" s="69">
        <f t="shared" si="8"/>
        <v>0.897595019</v>
      </c>
    </row>
    <row r="12" ht="15.75" customHeight="1">
      <c r="A12" s="76" t="s">
        <v>94</v>
      </c>
      <c r="B12" s="2">
        <v>4.0</v>
      </c>
      <c r="C12" s="2">
        <v>9.0</v>
      </c>
      <c r="D12" s="2">
        <v>20.760000228881836</v>
      </c>
      <c r="E12" s="80">
        <v>2.451331377029419</v>
      </c>
      <c r="F12" s="80">
        <v>38.686302185058594</v>
      </c>
      <c r="G12" s="80">
        <v>6.301834583282471</v>
      </c>
      <c r="H12" s="69">
        <f t="shared" si="1"/>
        <v>52.02711678</v>
      </c>
      <c r="I12" s="80">
        <v>0.5334150791168213</v>
      </c>
      <c r="J12" s="80">
        <f t="shared" si="2"/>
        <v>18.4120432</v>
      </c>
      <c r="K12" s="69">
        <f t="shared" si="3"/>
        <v>0.1750950984</v>
      </c>
      <c r="L12" s="69">
        <f t="shared" si="4"/>
        <v>3.223858515</v>
      </c>
      <c r="M12" s="69">
        <f t="shared" si="5"/>
        <v>6.301834583</v>
      </c>
      <c r="N12" s="69">
        <f t="shared" si="6"/>
        <v>3.251694798</v>
      </c>
      <c r="O12" s="69">
        <f t="shared" si="7"/>
        <v>1.954749116</v>
      </c>
      <c r="P12" s="69">
        <f t="shared" si="8"/>
        <v>1.008634462</v>
      </c>
    </row>
    <row r="13" ht="15.75" customHeight="1">
      <c r="A13" s="76" t="s">
        <v>94</v>
      </c>
      <c r="B13" s="2">
        <v>4.0</v>
      </c>
      <c r="C13" s="2">
        <v>9.0</v>
      </c>
      <c r="D13" s="2">
        <v>20.270000457763672</v>
      </c>
      <c r="E13" s="80">
        <v>2.536386728286743</v>
      </c>
      <c r="F13" s="80">
        <v>39.99551010131836</v>
      </c>
      <c r="G13" s="80">
        <v>6.528652667999268</v>
      </c>
      <c r="H13" s="69">
        <f t="shared" si="1"/>
        <v>50.39708531</v>
      </c>
      <c r="I13" s="80">
        <v>0.5423651933670044</v>
      </c>
      <c r="J13" s="80">
        <f t="shared" si="2"/>
        <v>18.39681147</v>
      </c>
      <c r="K13" s="69">
        <f t="shared" si="3"/>
        <v>0.1811704806</v>
      </c>
      <c r="L13" s="69">
        <f t="shared" si="4"/>
        <v>3.332959175</v>
      </c>
      <c r="M13" s="69">
        <f t="shared" si="5"/>
        <v>6.528652668</v>
      </c>
      <c r="N13" s="69">
        <f t="shared" si="6"/>
        <v>3.149817832</v>
      </c>
      <c r="O13" s="69">
        <f t="shared" si="7"/>
        <v>1.958815672</v>
      </c>
      <c r="P13" s="69">
        <f t="shared" si="8"/>
        <v>0.9450514292</v>
      </c>
    </row>
    <row r="14" ht="15.75" customHeight="1">
      <c r="A14" s="76" t="s">
        <v>94</v>
      </c>
      <c r="B14" s="2">
        <v>4.0</v>
      </c>
      <c r="C14" s="2">
        <v>10.0</v>
      </c>
      <c r="D14" s="2">
        <v>19.799999237060547</v>
      </c>
      <c r="E14" s="80">
        <v>2.522165536880493</v>
      </c>
      <c r="F14" s="80">
        <v>39.6533088684082</v>
      </c>
      <c r="G14" s="80">
        <v>6.491575241088867</v>
      </c>
      <c r="H14" s="69">
        <f t="shared" si="1"/>
        <v>50.783768</v>
      </c>
      <c r="I14" s="80">
        <v>0.5491823554039001</v>
      </c>
      <c r="J14" s="80">
        <f t="shared" si="2"/>
        <v>18.34225113</v>
      </c>
      <c r="K14" s="69">
        <f t="shared" si="3"/>
        <v>0.1801546812</v>
      </c>
      <c r="L14" s="69">
        <f t="shared" si="4"/>
        <v>3.304442406</v>
      </c>
      <c r="M14" s="69">
        <f t="shared" si="5"/>
        <v>6.491575241</v>
      </c>
      <c r="N14" s="69">
        <f t="shared" si="6"/>
        <v>3.1739855</v>
      </c>
      <c r="O14" s="69">
        <f t="shared" si="7"/>
        <v>1.964499436</v>
      </c>
      <c r="P14" s="69">
        <f t="shared" si="8"/>
        <v>0.9605207506</v>
      </c>
    </row>
    <row r="15" ht="15.75" customHeight="1">
      <c r="A15" s="76" t="s">
        <v>94</v>
      </c>
      <c r="B15" s="2">
        <v>4.0</v>
      </c>
      <c r="C15" s="2">
        <v>10.0</v>
      </c>
      <c r="D15" s="2">
        <v>17.299999237060547</v>
      </c>
      <c r="E15" s="80">
        <v>2.673680067062378</v>
      </c>
      <c r="F15" s="80">
        <v>41.270721435546875</v>
      </c>
      <c r="G15" s="80">
        <v>6.7351274490356445</v>
      </c>
      <c r="H15" s="69">
        <f t="shared" si="1"/>
        <v>48.77511674</v>
      </c>
      <c r="I15" s="80">
        <v>0.5453543066978455</v>
      </c>
      <c r="J15" s="80">
        <f t="shared" si="2"/>
        <v>18.00857762</v>
      </c>
      <c r="K15" s="69">
        <f t="shared" si="3"/>
        <v>0.1909771476</v>
      </c>
      <c r="L15" s="69">
        <f t="shared" si="4"/>
        <v>3.439226786</v>
      </c>
      <c r="M15" s="69">
        <f t="shared" si="5"/>
        <v>6.735127449</v>
      </c>
      <c r="N15" s="69">
        <f t="shared" si="6"/>
        <v>3.048444796</v>
      </c>
      <c r="O15" s="69">
        <f t="shared" si="7"/>
        <v>1.958326062</v>
      </c>
      <c r="P15" s="69">
        <f t="shared" si="8"/>
        <v>0.8863750447</v>
      </c>
    </row>
    <row r="16" ht="15.75" customHeight="1">
      <c r="A16" s="76" t="s">
        <v>94</v>
      </c>
      <c r="B16" s="2">
        <v>4.0</v>
      </c>
      <c r="C16" s="2">
        <v>10.0</v>
      </c>
      <c r="D16" s="2">
        <v>20.040000915527344</v>
      </c>
      <c r="E16" s="80">
        <v>2.5957419872283936</v>
      </c>
      <c r="F16" s="80">
        <v>40.768043518066406</v>
      </c>
      <c r="G16" s="80">
        <v>6.506105422973633</v>
      </c>
      <c r="H16" s="69">
        <f t="shared" si="1"/>
        <v>49.56356531</v>
      </c>
      <c r="I16" s="80">
        <v>0.5665437579154968</v>
      </c>
      <c r="J16" s="80">
        <f t="shared" si="2"/>
        <v>18.32336098</v>
      </c>
      <c r="K16" s="69">
        <f t="shared" si="3"/>
        <v>0.1854101419</v>
      </c>
      <c r="L16" s="69">
        <f t="shared" si="4"/>
        <v>3.39733696</v>
      </c>
      <c r="M16" s="69">
        <f t="shared" si="5"/>
        <v>6.506105423</v>
      </c>
      <c r="N16" s="69">
        <f t="shared" si="6"/>
        <v>3.097722832</v>
      </c>
      <c r="O16" s="69">
        <f t="shared" si="7"/>
        <v>1.915060384</v>
      </c>
      <c r="P16" s="69">
        <f t="shared" si="8"/>
        <v>0.9118091225</v>
      </c>
    </row>
    <row r="17" ht="15.75" customHeight="1">
      <c r="A17" s="76" t="s">
        <v>94</v>
      </c>
      <c r="B17" s="2">
        <v>4.0</v>
      </c>
      <c r="C17" s="2">
        <v>11.0</v>
      </c>
      <c r="D17" s="2">
        <v>18.899999618530273</v>
      </c>
      <c r="E17" s="80">
        <v>2.458026647567749</v>
      </c>
      <c r="F17" s="80">
        <v>38.80275344848633</v>
      </c>
      <c r="G17" s="80">
        <v>6.3748626708984375</v>
      </c>
      <c r="H17" s="69">
        <f t="shared" si="1"/>
        <v>51.85247928</v>
      </c>
      <c r="I17" s="80">
        <v>0.5118779540061951</v>
      </c>
      <c r="J17" s="80">
        <f t="shared" si="2"/>
        <v>18.41716365</v>
      </c>
      <c r="K17" s="69">
        <f t="shared" si="3"/>
        <v>0.175573332</v>
      </c>
      <c r="L17" s="69">
        <f t="shared" si="4"/>
        <v>3.233562787</v>
      </c>
      <c r="M17" s="69">
        <f t="shared" si="5"/>
        <v>6.374862671</v>
      </c>
      <c r="N17" s="69">
        <f t="shared" si="6"/>
        <v>3.240779955</v>
      </c>
      <c r="O17" s="69">
        <f t="shared" si="7"/>
        <v>1.971467106</v>
      </c>
      <c r="P17" s="69">
        <f t="shared" si="8"/>
        <v>1.002231955</v>
      </c>
    </row>
    <row r="18" ht="15.75" customHeight="1">
      <c r="A18" s="76" t="s">
        <v>94</v>
      </c>
      <c r="B18" s="2">
        <v>4.0</v>
      </c>
      <c r="C18" s="2">
        <v>11.0</v>
      </c>
      <c r="D18" s="2">
        <v>21.809999465942383</v>
      </c>
      <c r="E18" s="80">
        <v>2.5343897342681885</v>
      </c>
      <c r="F18" s="80">
        <v>40.20527648925781</v>
      </c>
      <c r="G18" s="80">
        <v>6.176689147949219</v>
      </c>
      <c r="H18" s="69">
        <f t="shared" si="1"/>
        <v>50.5649119</v>
      </c>
      <c r="I18" s="80">
        <v>0.5187327265739441</v>
      </c>
      <c r="J18" s="80">
        <f t="shared" si="2"/>
        <v>18.50787007</v>
      </c>
      <c r="K18" s="69">
        <f t="shared" si="3"/>
        <v>0.1810278382</v>
      </c>
      <c r="L18" s="69">
        <f t="shared" si="4"/>
        <v>3.350439707</v>
      </c>
      <c r="M18" s="69">
        <f t="shared" si="5"/>
        <v>6.176689148</v>
      </c>
      <c r="N18" s="69">
        <f t="shared" si="6"/>
        <v>3.160306994</v>
      </c>
      <c r="O18" s="69">
        <f t="shared" si="7"/>
        <v>1.843545829</v>
      </c>
      <c r="P18" s="69">
        <f t="shared" si="8"/>
        <v>0.9432514147</v>
      </c>
    </row>
    <row r="19" ht="15.75" customHeight="1">
      <c r="A19" s="76" t="s">
        <v>94</v>
      </c>
      <c r="B19" s="2">
        <v>4.0</v>
      </c>
      <c r="C19" s="2">
        <v>11.0</v>
      </c>
      <c r="D19" s="2">
        <v>20.799999237060547</v>
      </c>
      <c r="E19" s="80">
        <v>2.488898992538452</v>
      </c>
      <c r="F19" s="80">
        <v>38.77669143676758</v>
      </c>
      <c r="G19" s="80">
        <v>6.203486442565918</v>
      </c>
      <c r="H19" s="69">
        <f t="shared" si="1"/>
        <v>52.00429982</v>
      </c>
      <c r="I19" s="80">
        <v>0.5266233086585999</v>
      </c>
      <c r="J19" s="80">
        <f t="shared" si="2"/>
        <v>18.17650032</v>
      </c>
      <c r="K19" s="69">
        <f t="shared" si="3"/>
        <v>0.1777784995</v>
      </c>
      <c r="L19" s="69">
        <f t="shared" si="4"/>
        <v>3.231390953</v>
      </c>
      <c r="M19" s="69">
        <f t="shared" si="5"/>
        <v>6.203486443</v>
      </c>
      <c r="N19" s="69">
        <f t="shared" si="6"/>
        <v>3.250268739</v>
      </c>
      <c r="O19" s="69">
        <f t="shared" si="7"/>
        <v>1.919757322</v>
      </c>
      <c r="P19" s="69">
        <f t="shared" si="8"/>
        <v>1.005842</v>
      </c>
    </row>
    <row r="20" ht="15.75" customHeight="1">
      <c r="A20" s="76" t="s">
        <v>94</v>
      </c>
      <c r="B20" s="2">
        <v>10.0</v>
      </c>
      <c r="C20" s="2">
        <v>13.0</v>
      </c>
      <c r="D20" s="2">
        <v>18.149999618530273</v>
      </c>
      <c r="E20" s="80">
        <v>2.3075013160705566</v>
      </c>
      <c r="F20" s="80">
        <v>36.799713134765625</v>
      </c>
      <c r="G20" s="80">
        <v>6.455063819885254</v>
      </c>
      <c r="H20" s="69">
        <f t="shared" si="1"/>
        <v>53.91350222</v>
      </c>
      <c r="I20" s="80">
        <v>0.5242195129394531</v>
      </c>
      <c r="J20" s="80">
        <f t="shared" si="2"/>
        <v>18.60583929</v>
      </c>
      <c r="K20" s="69">
        <f t="shared" si="3"/>
        <v>0.1648215226</v>
      </c>
      <c r="L20" s="69">
        <f t="shared" si="4"/>
        <v>3.066642761</v>
      </c>
      <c r="M20" s="69">
        <f t="shared" si="5"/>
        <v>6.45506382</v>
      </c>
      <c r="N20" s="69">
        <f t="shared" si="6"/>
        <v>3.369593889</v>
      </c>
      <c r="O20" s="69">
        <f t="shared" si="7"/>
        <v>2.104928524</v>
      </c>
      <c r="P20" s="69">
        <f t="shared" si="8"/>
        <v>1.098789181</v>
      </c>
    </row>
    <row r="21" ht="15.75" customHeight="1">
      <c r="A21" s="76" t="s">
        <v>94</v>
      </c>
      <c r="B21" s="2">
        <v>10.0</v>
      </c>
      <c r="C21" s="2">
        <v>13.0</v>
      </c>
      <c r="D21" s="2">
        <v>18.350000381469727</v>
      </c>
      <c r="E21" s="80">
        <v>2.621725082397461</v>
      </c>
      <c r="F21" s="80">
        <v>42.0870361328125</v>
      </c>
      <c r="G21" s="80">
        <v>6.8939924240112305</v>
      </c>
      <c r="H21" s="69">
        <f t="shared" si="1"/>
        <v>47.84606147</v>
      </c>
      <c r="I21" s="80">
        <v>0.551184892654419</v>
      </c>
      <c r="J21" s="80">
        <f t="shared" si="2"/>
        <v>18.72871511</v>
      </c>
      <c r="K21" s="69">
        <f t="shared" si="3"/>
        <v>0.1872660773</v>
      </c>
      <c r="L21" s="69">
        <f t="shared" si="4"/>
        <v>3.507253011</v>
      </c>
      <c r="M21" s="69">
        <f t="shared" si="5"/>
        <v>6.893992424</v>
      </c>
      <c r="N21" s="69">
        <f t="shared" si="6"/>
        <v>2.990378842</v>
      </c>
      <c r="O21" s="69">
        <f t="shared" si="7"/>
        <v>1.96563875</v>
      </c>
      <c r="P21" s="69">
        <f t="shared" si="8"/>
        <v>0.8526270652</v>
      </c>
    </row>
    <row r="22" ht="15.75" customHeight="1">
      <c r="A22" s="76" t="s">
        <v>94</v>
      </c>
      <c r="B22" s="2">
        <v>10.0</v>
      </c>
      <c r="C22" s="2">
        <v>13.0</v>
      </c>
      <c r="D22" s="2">
        <v>20.280000686645508</v>
      </c>
      <c r="E22" s="80">
        <v>2.4624691009521484</v>
      </c>
      <c r="F22" s="80">
        <v>40.21146011352539</v>
      </c>
      <c r="G22" s="80">
        <v>6.518749237060547</v>
      </c>
      <c r="H22" s="69">
        <f t="shared" si="1"/>
        <v>50.28099394</v>
      </c>
      <c r="I22" s="80">
        <v>0.5263276100158691</v>
      </c>
      <c r="J22" s="80">
        <f t="shared" si="2"/>
        <v>19.05135383</v>
      </c>
      <c r="K22" s="69">
        <f t="shared" si="3"/>
        <v>0.1758906501</v>
      </c>
      <c r="L22" s="69">
        <f t="shared" si="4"/>
        <v>3.350955009</v>
      </c>
      <c r="M22" s="69">
        <f t="shared" si="5"/>
        <v>6.518749237</v>
      </c>
      <c r="N22" s="69">
        <f t="shared" si="6"/>
        <v>3.142562121</v>
      </c>
      <c r="O22" s="69">
        <f t="shared" si="7"/>
        <v>1.945340722</v>
      </c>
      <c r="P22" s="69">
        <f t="shared" si="8"/>
        <v>0.9378108964</v>
      </c>
    </row>
    <row r="23" ht="15.75" customHeight="1">
      <c r="A23" s="76" t="s">
        <v>94</v>
      </c>
      <c r="B23" s="2">
        <v>10.0</v>
      </c>
      <c r="C23" s="2">
        <v>14.0</v>
      </c>
      <c r="D23" s="2">
        <v>20.280000686645508</v>
      </c>
      <c r="E23" s="80">
        <v>2.1477746963500977</v>
      </c>
      <c r="F23" s="80">
        <v>34.98789596557617</v>
      </c>
      <c r="G23" s="80">
        <v>5.947762489318848</v>
      </c>
      <c r="H23" s="69">
        <f t="shared" si="1"/>
        <v>56.40798062</v>
      </c>
      <c r="I23" s="80">
        <v>0.5085862278938293</v>
      </c>
      <c r="J23" s="80">
        <f t="shared" si="2"/>
        <v>19.00535099</v>
      </c>
      <c r="K23" s="69">
        <f t="shared" si="3"/>
        <v>0.1534124783</v>
      </c>
      <c r="L23" s="69">
        <f t="shared" si="4"/>
        <v>2.915657997</v>
      </c>
      <c r="M23" s="69">
        <f t="shared" si="5"/>
        <v>5.947762489</v>
      </c>
      <c r="N23" s="69">
        <f t="shared" si="6"/>
        <v>3.525498789</v>
      </c>
      <c r="O23" s="69">
        <f t="shared" si="7"/>
        <v>2.039938324</v>
      </c>
      <c r="P23" s="69">
        <f t="shared" si="8"/>
        <v>1.209160605</v>
      </c>
    </row>
    <row r="24" ht="15.75" customHeight="1">
      <c r="A24" s="76" t="s">
        <v>94</v>
      </c>
      <c r="B24" s="2">
        <v>10.0</v>
      </c>
      <c r="C24" s="2">
        <v>14.0</v>
      </c>
      <c r="D24" s="2">
        <v>21.84000015258789</v>
      </c>
      <c r="E24" s="80">
        <v>2.266988515853882</v>
      </c>
      <c r="F24" s="80">
        <v>37.302093505859375</v>
      </c>
      <c r="G24" s="80">
        <v>6.110106468200684</v>
      </c>
      <c r="H24" s="69">
        <f t="shared" si="1"/>
        <v>53.821096</v>
      </c>
      <c r="I24" s="80">
        <v>0.49971550703048706</v>
      </c>
      <c r="J24" s="80">
        <f t="shared" si="2"/>
        <v>19.19688114</v>
      </c>
      <c r="K24" s="69">
        <f t="shared" si="3"/>
        <v>0.1619277511</v>
      </c>
      <c r="L24" s="69">
        <f t="shared" si="4"/>
        <v>3.108507792</v>
      </c>
      <c r="M24" s="69">
        <f t="shared" si="5"/>
        <v>6.110106468</v>
      </c>
      <c r="N24" s="69">
        <f t="shared" si="6"/>
        <v>3.3638185</v>
      </c>
      <c r="O24" s="69">
        <f t="shared" si="7"/>
        <v>1.965607577</v>
      </c>
      <c r="P24" s="69">
        <f t="shared" si="8"/>
        <v>1.082132883</v>
      </c>
    </row>
    <row r="25" ht="15.75" customHeight="1">
      <c r="A25" s="76" t="s">
        <v>94</v>
      </c>
      <c r="B25" s="2">
        <v>10.0</v>
      </c>
      <c r="C25" s="2">
        <v>14.0</v>
      </c>
      <c r="D25" s="2">
        <v>21.84000015258789</v>
      </c>
      <c r="E25" s="80">
        <v>2.2963733673095703</v>
      </c>
      <c r="F25" s="80">
        <v>37.874454498291016</v>
      </c>
      <c r="G25" s="80">
        <v>6.0663838386535645</v>
      </c>
      <c r="H25" s="69">
        <f t="shared" si="1"/>
        <v>53.26307279</v>
      </c>
      <c r="I25" s="80">
        <v>0.49971550703048706</v>
      </c>
      <c r="J25" s="80">
        <f t="shared" si="2"/>
        <v>19.24202057</v>
      </c>
      <c r="K25" s="69">
        <f t="shared" si="3"/>
        <v>0.1640266691</v>
      </c>
      <c r="L25" s="69">
        <f t="shared" si="4"/>
        <v>3.156204542</v>
      </c>
      <c r="M25" s="69">
        <f t="shared" si="5"/>
        <v>6.066383839</v>
      </c>
      <c r="N25" s="69">
        <f t="shared" si="6"/>
        <v>3.328942049</v>
      </c>
      <c r="O25" s="69">
        <f t="shared" si="7"/>
        <v>1.922050285</v>
      </c>
      <c r="P25" s="69">
        <f t="shared" si="8"/>
        <v>1.054729504</v>
      </c>
    </row>
    <row r="26" ht="15.75" customHeight="1">
      <c r="A26" s="76" t="s">
        <v>94</v>
      </c>
      <c r="B26" s="2">
        <v>10.0</v>
      </c>
      <c r="C26" s="17">
        <v>14.0</v>
      </c>
      <c r="D26" s="2">
        <v>19.579999923706055</v>
      </c>
      <c r="E26" s="80">
        <v>1.939888596534729</v>
      </c>
      <c r="F26" s="80">
        <v>31.391515731811523</v>
      </c>
      <c r="G26" s="80">
        <v>5.618078231811523</v>
      </c>
      <c r="H26" s="69">
        <f t="shared" si="1"/>
        <v>60.6095019</v>
      </c>
      <c r="I26" s="80">
        <v>0.4410155415534973</v>
      </c>
      <c r="J26" s="80">
        <f t="shared" si="2"/>
        <v>18.87914341</v>
      </c>
      <c r="K26" s="69">
        <f t="shared" si="3"/>
        <v>0.1385634712</v>
      </c>
      <c r="L26" s="69">
        <f t="shared" si="4"/>
        <v>2.615959644</v>
      </c>
      <c r="M26" s="69">
        <f t="shared" si="5"/>
        <v>5.618078232</v>
      </c>
      <c r="N26" s="69">
        <f t="shared" si="6"/>
        <v>3.788093869</v>
      </c>
      <c r="O26" s="69">
        <f t="shared" si="7"/>
        <v>2.147616552</v>
      </c>
      <c r="P26" s="69">
        <f t="shared" si="8"/>
        <v>1.448070454</v>
      </c>
    </row>
    <row r="27" ht="15.75" customHeight="1">
      <c r="A27" s="76" t="s">
        <v>94</v>
      </c>
      <c r="B27" s="2">
        <v>10.0</v>
      </c>
      <c r="C27" s="2">
        <v>15.0</v>
      </c>
      <c r="D27" s="2">
        <v>17.59000015258789</v>
      </c>
      <c r="E27" s="80">
        <v>2.303940534591675</v>
      </c>
      <c r="F27" s="80">
        <v>37.342987060546875</v>
      </c>
      <c r="G27" s="80">
        <v>6.416421890258789</v>
      </c>
      <c r="H27" s="69">
        <f t="shared" si="1"/>
        <v>53.41392362</v>
      </c>
      <c r="I27" s="80">
        <v>0.5227268934249878</v>
      </c>
      <c r="J27" s="80">
        <f t="shared" si="2"/>
        <v>18.90969736</v>
      </c>
      <c r="K27" s="69">
        <f t="shared" si="3"/>
        <v>0.164567181</v>
      </c>
      <c r="L27" s="69">
        <f t="shared" si="4"/>
        <v>3.111915588</v>
      </c>
      <c r="M27" s="69">
        <f t="shared" si="5"/>
        <v>6.41642189</v>
      </c>
      <c r="N27" s="69">
        <f t="shared" si="6"/>
        <v>3.338370226</v>
      </c>
      <c r="O27" s="69">
        <f t="shared" si="7"/>
        <v>2.061888155</v>
      </c>
      <c r="P27" s="69">
        <f t="shared" si="8"/>
        <v>1.072770174</v>
      </c>
    </row>
    <row r="28" ht="15.75" customHeight="1">
      <c r="A28" s="76" t="s">
        <v>94</v>
      </c>
      <c r="B28" s="2">
        <v>10.0</v>
      </c>
      <c r="C28" s="2">
        <v>15.0</v>
      </c>
      <c r="D28" s="2">
        <v>19.93000030517578</v>
      </c>
      <c r="E28" s="80">
        <v>2.4359447956085205</v>
      </c>
      <c r="F28" s="80">
        <v>39.907798767089844</v>
      </c>
      <c r="G28" s="80">
        <v>6.604784965515137</v>
      </c>
      <c r="H28" s="69">
        <f t="shared" si="1"/>
        <v>50.5279361</v>
      </c>
      <c r="I28" s="80">
        <v>0.5235353708267212</v>
      </c>
      <c r="J28" s="80">
        <f t="shared" si="2"/>
        <v>19.11336359</v>
      </c>
      <c r="K28" s="69">
        <f t="shared" si="3"/>
        <v>0.1739960568</v>
      </c>
      <c r="L28" s="69">
        <f t="shared" si="4"/>
        <v>3.325649897</v>
      </c>
      <c r="M28" s="69">
        <f t="shared" si="5"/>
        <v>6.604784966</v>
      </c>
      <c r="N28" s="69">
        <f t="shared" si="6"/>
        <v>3.157996006</v>
      </c>
      <c r="O28" s="69">
        <f t="shared" si="7"/>
        <v>1.986013312</v>
      </c>
      <c r="P28" s="69">
        <f t="shared" si="8"/>
        <v>0.9495876307</v>
      </c>
    </row>
    <row r="29" ht="15.75" customHeight="1">
      <c r="A29" s="76" t="s">
        <v>94</v>
      </c>
      <c r="B29" s="2">
        <v>10.0</v>
      </c>
      <c r="C29" s="2">
        <v>15.0</v>
      </c>
      <c r="D29" s="2">
        <v>22.15999984741211</v>
      </c>
      <c r="E29" s="80">
        <v>2.4047977924346924</v>
      </c>
      <c r="F29" s="80">
        <v>40.31591033935547</v>
      </c>
      <c r="G29" s="80">
        <v>6.497026443481445</v>
      </c>
      <c r="H29" s="69">
        <f t="shared" si="1"/>
        <v>50.26090157</v>
      </c>
      <c r="I29" s="80">
        <v>0.5213638544082642</v>
      </c>
      <c r="J29" s="80">
        <f t="shared" si="2"/>
        <v>19.55891214</v>
      </c>
      <c r="K29" s="69">
        <f t="shared" si="3"/>
        <v>0.1717712709</v>
      </c>
      <c r="L29" s="69">
        <f t="shared" si="4"/>
        <v>3.359659195</v>
      </c>
      <c r="M29" s="69">
        <f t="shared" si="5"/>
        <v>6.497026443</v>
      </c>
      <c r="N29" s="69">
        <f t="shared" si="6"/>
        <v>3.141306348</v>
      </c>
      <c r="O29" s="69">
        <f t="shared" si="7"/>
        <v>1.933834971</v>
      </c>
      <c r="P29" s="69">
        <f t="shared" si="8"/>
        <v>0.9350074415</v>
      </c>
    </row>
    <row r="30" ht="15.75" customHeight="1">
      <c r="A30" s="76" t="s">
        <v>94</v>
      </c>
      <c r="B30" s="2">
        <v>15.0</v>
      </c>
      <c r="C30" s="2">
        <v>21.0</v>
      </c>
      <c r="D30" s="2">
        <v>18.940000534057617</v>
      </c>
      <c r="E30" s="80">
        <v>2.501779079437256</v>
      </c>
      <c r="F30" s="80">
        <v>41.30059814453125</v>
      </c>
      <c r="G30" s="80">
        <v>6.688353538513184</v>
      </c>
      <c r="H30" s="69">
        <f t="shared" si="1"/>
        <v>48.98791873</v>
      </c>
      <c r="I30" s="80">
        <v>0.5213505029678345</v>
      </c>
      <c r="J30" s="80">
        <f t="shared" si="2"/>
        <v>19.25990651</v>
      </c>
      <c r="K30" s="69">
        <f t="shared" si="3"/>
        <v>0.1786985057</v>
      </c>
      <c r="L30" s="69">
        <f t="shared" si="4"/>
        <v>3.441716512</v>
      </c>
      <c r="M30" s="69">
        <f t="shared" si="5"/>
        <v>6.688353539</v>
      </c>
      <c r="N30" s="69">
        <f t="shared" si="6"/>
        <v>3.061744921</v>
      </c>
      <c r="O30" s="69">
        <f t="shared" si="7"/>
        <v>1.94331913</v>
      </c>
      <c r="P30" s="69">
        <f t="shared" si="8"/>
        <v>0.8895982311</v>
      </c>
    </row>
    <row r="31" ht="15.75" customHeight="1">
      <c r="A31" s="76" t="s">
        <v>94</v>
      </c>
      <c r="B31" s="2">
        <v>15.0</v>
      </c>
      <c r="C31" s="2">
        <v>21.0</v>
      </c>
      <c r="D31" s="2">
        <v>20.489999771118164</v>
      </c>
      <c r="E31" s="80">
        <v>2.432591438293457</v>
      </c>
      <c r="F31" s="80">
        <v>39.88671112060547</v>
      </c>
      <c r="G31" s="80">
        <v>6.518087863922119</v>
      </c>
      <c r="H31" s="69">
        <f t="shared" si="1"/>
        <v>50.63192093</v>
      </c>
      <c r="I31" s="80">
        <v>0.5306886434555054</v>
      </c>
      <c r="J31" s="80">
        <f t="shared" si="2"/>
        <v>19.129598</v>
      </c>
      <c r="K31" s="69">
        <f t="shared" si="3"/>
        <v>0.1737565313</v>
      </c>
      <c r="L31" s="69">
        <f t="shared" si="4"/>
        <v>3.323892593</v>
      </c>
      <c r="M31" s="69">
        <f t="shared" si="5"/>
        <v>6.518087864</v>
      </c>
      <c r="N31" s="69">
        <f t="shared" si="6"/>
        <v>3.164495058</v>
      </c>
      <c r="O31" s="69">
        <f t="shared" si="7"/>
        <v>1.960980291</v>
      </c>
      <c r="P31" s="69">
        <f t="shared" si="8"/>
        <v>0.9520449201</v>
      </c>
    </row>
    <row r="32" ht="15.75" customHeight="1">
      <c r="A32" s="76" t="s">
        <v>94</v>
      </c>
      <c r="B32" s="2">
        <v>15.0</v>
      </c>
      <c r="C32" s="2">
        <v>21.0</v>
      </c>
      <c r="D32" s="2">
        <v>19.790000915527344</v>
      </c>
      <c r="E32" s="80">
        <v>2.4483730792999268</v>
      </c>
      <c r="F32" s="80">
        <v>40.207176208496094</v>
      </c>
      <c r="G32" s="80">
        <v>6.594834804534912</v>
      </c>
      <c r="H32" s="69">
        <f t="shared" si="1"/>
        <v>50.22035682</v>
      </c>
      <c r="I32" s="80">
        <v>0.5292590856552124</v>
      </c>
      <c r="J32" s="80">
        <f t="shared" si="2"/>
        <v>19.1589969</v>
      </c>
      <c r="K32" s="69">
        <f t="shared" si="3"/>
        <v>0.1748837914</v>
      </c>
      <c r="L32" s="69">
        <f t="shared" si="4"/>
        <v>3.350598017</v>
      </c>
      <c r="M32" s="69">
        <f t="shared" si="5"/>
        <v>6.594834805</v>
      </c>
      <c r="N32" s="69">
        <f t="shared" si="6"/>
        <v>3.138772301</v>
      </c>
      <c r="O32" s="69">
        <f t="shared" si="7"/>
        <v>1.968256046</v>
      </c>
      <c r="P32" s="69">
        <f t="shared" si="8"/>
        <v>0.9367797286</v>
      </c>
    </row>
    <row r="33" ht="15.75" customHeight="1">
      <c r="A33" s="76" t="s">
        <v>94</v>
      </c>
      <c r="B33" s="2">
        <v>15.0</v>
      </c>
      <c r="C33" s="2">
        <v>22.0</v>
      </c>
      <c r="D33" s="2">
        <v>21.06999969482422</v>
      </c>
      <c r="E33" s="80">
        <v>2.4936683177948</v>
      </c>
      <c r="F33" s="80">
        <v>41.3594970703125</v>
      </c>
      <c r="G33" s="80">
        <v>6.592309951782227</v>
      </c>
      <c r="H33" s="69">
        <f t="shared" si="1"/>
        <v>49.02895766</v>
      </c>
      <c r="I33" s="80">
        <v>0.5255669951438904</v>
      </c>
      <c r="J33" s="80">
        <f t="shared" si="2"/>
        <v>19.35010612</v>
      </c>
      <c r="K33" s="69">
        <f t="shared" si="3"/>
        <v>0.1781191656</v>
      </c>
      <c r="L33" s="69">
        <f t="shared" si="4"/>
        <v>3.446624756</v>
      </c>
      <c r="M33" s="69">
        <f t="shared" si="5"/>
        <v>6.592309952</v>
      </c>
      <c r="N33" s="69">
        <f t="shared" si="6"/>
        <v>3.064309854</v>
      </c>
      <c r="O33" s="69">
        <f t="shared" si="7"/>
        <v>1.91268572</v>
      </c>
      <c r="P33" s="69">
        <f t="shared" si="8"/>
        <v>0.8890755656</v>
      </c>
    </row>
    <row r="34" ht="15.75" customHeight="1">
      <c r="A34" s="76" t="s">
        <v>94</v>
      </c>
      <c r="B34" s="2">
        <v>15.0</v>
      </c>
      <c r="C34" s="2">
        <v>22.0</v>
      </c>
      <c r="D34" s="2">
        <v>21.709999084472656</v>
      </c>
      <c r="E34" s="80">
        <v>2.539494514465332</v>
      </c>
      <c r="F34" s="80">
        <v>42.97982406616211</v>
      </c>
      <c r="G34" s="80">
        <v>6.901605129241943</v>
      </c>
      <c r="H34" s="69">
        <f t="shared" si="1"/>
        <v>47.03769857</v>
      </c>
      <c r="I34" s="80">
        <v>0.5413777232170105</v>
      </c>
      <c r="J34" s="80">
        <f t="shared" si="2"/>
        <v>19.74531852</v>
      </c>
      <c r="K34" s="69">
        <f t="shared" si="3"/>
        <v>0.1813924653</v>
      </c>
      <c r="L34" s="69">
        <f t="shared" si="4"/>
        <v>3.581652006</v>
      </c>
      <c r="M34" s="69">
        <f t="shared" si="5"/>
        <v>6.901605129</v>
      </c>
      <c r="N34" s="69">
        <f t="shared" si="6"/>
        <v>2.93985616</v>
      </c>
      <c r="O34" s="69">
        <f t="shared" si="7"/>
        <v>1.926933471</v>
      </c>
      <c r="P34" s="69">
        <f t="shared" si="8"/>
        <v>0.8208101055</v>
      </c>
    </row>
    <row r="35" ht="15.75" customHeight="1">
      <c r="A35" s="76" t="s">
        <v>94</v>
      </c>
      <c r="B35" s="2">
        <v>15.0</v>
      </c>
      <c r="C35" s="2">
        <v>22.0</v>
      </c>
      <c r="D35" s="2">
        <v>18.989999771118164</v>
      </c>
      <c r="E35" s="80">
        <v>2.483927011489868</v>
      </c>
      <c r="F35" s="80">
        <v>41.3935546875</v>
      </c>
      <c r="G35" s="80">
        <v>6.698017120361328</v>
      </c>
      <c r="H35" s="69">
        <f t="shared" si="1"/>
        <v>48.90662849</v>
      </c>
      <c r="I35" s="80">
        <v>0.51787269115448</v>
      </c>
      <c r="J35" s="80">
        <f t="shared" si="2"/>
        <v>19.44198853</v>
      </c>
      <c r="K35" s="69">
        <f t="shared" si="3"/>
        <v>0.177423358</v>
      </c>
      <c r="L35" s="69">
        <f t="shared" si="4"/>
        <v>3.449462891</v>
      </c>
      <c r="M35" s="69">
        <f t="shared" si="5"/>
        <v>6.69801712</v>
      </c>
      <c r="N35" s="69">
        <f t="shared" si="6"/>
        <v>3.056664281</v>
      </c>
      <c r="O35" s="69">
        <f t="shared" si="7"/>
        <v>1.941756538</v>
      </c>
      <c r="P35" s="69">
        <f t="shared" si="8"/>
        <v>0.8861276023</v>
      </c>
    </row>
    <row r="36" ht="15.75" customHeight="1">
      <c r="A36" s="76" t="s">
        <v>94</v>
      </c>
      <c r="B36" s="2">
        <v>15.0</v>
      </c>
      <c r="C36" s="2">
        <v>23.0</v>
      </c>
      <c r="D36" s="2">
        <v>19.43000030517578</v>
      </c>
      <c r="E36" s="80">
        <v>2.5023000240325928</v>
      </c>
      <c r="F36" s="80">
        <v>37.6229133605957</v>
      </c>
      <c r="G36" s="80">
        <v>7.0090250968933105</v>
      </c>
      <c r="H36" s="69">
        <f t="shared" si="1"/>
        <v>52.32258129</v>
      </c>
      <c r="I36" s="80">
        <v>0.5431802272796631</v>
      </c>
      <c r="J36" s="80">
        <f t="shared" si="2"/>
        <v>17.54122148</v>
      </c>
      <c r="K36" s="69">
        <f t="shared" si="3"/>
        <v>0.178735716</v>
      </c>
      <c r="L36" s="69">
        <f t="shared" si="4"/>
        <v>3.13524278</v>
      </c>
      <c r="M36" s="69">
        <f t="shared" si="5"/>
        <v>7.009025097</v>
      </c>
      <c r="N36" s="69">
        <f t="shared" si="6"/>
        <v>3.270161331</v>
      </c>
      <c r="O36" s="69">
        <f t="shared" si="7"/>
        <v>2.235560557</v>
      </c>
      <c r="P36" s="69">
        <f t="shared" si="8"/>
        <v>1.043032888</v>
      </c>
    </row>
    <row r="37" ht="15.75" customHeight="1">
      <c r="A37" s="76" t="s">
        <v>94</v>
      </c>
      <c r="B37" s="2">
        <v>15.0</v>
      </c>
      <c r="C37" s="2">
        <v>23.0</v>
      </c>
      <c r="D37" s="2">
        <v>20.770000457763672</v>
      </c>
      <c r="E37" s="80">
        <v>2.2687642574310303</v>
      </c>
      <c r="F37" s="80">
        <v>37.78598403930664</v>
      </c>
      <c r="G37" s="80">
        <v>6.292569637298584</v>
      </c>
      <c r="H37" s="69">
        <f t="shared" si="1"/>
        <v>53.16186854</v>
      </c>
      <c r="I37" s="80">
        <v>0.4908135235309601</v>
      </c>
      <c r="J37" s="80">
        <f t="shared" si="2"/>
        <v>19.43068695</v>
      </c>
      <c r="K37" s="69">
        <f t="shared" si="3"/>
        <v>0.1620545898</v>
      </c>
      <c r="L37" s="69">
        <f t="shared" si="4"/>
        <v>3.148832003</v>
      </c>
      <c r="M37" s="69">
        <f t="shared" si="5"/>
        <v>6.292569637</v>
      </c>
      <c r="N37" s="69">
        <f t="shared" si="6"/>
        <v>3.322616784</v>
      </c>
      <c r="O37" s="69">
        <f t="shared" si="7"/>
        <v>1.99838214</v>
      </c>
      <c r="P37" s="69">
        <f t="shared" si="8"/>
        <v>1.055190236</v>
      </c>
    </row>
    <row r="38" ht="15.75" customHeight="1">
      <c r="A38" s="76" t="s">
        <v>94</v>
      </c>
      <c r="B38" s="2">
        <v>15.0</v>
      </c>
      <c r="C38" s="2">
        <v>23.0</v>
      </c>
      <c r="D38" s="2">
        <v>18.389999389648438</v>
      </c>
      <c r="E38" s="80">
        <v>2.2767410278320312</v>
      </c>
      <c r="F38" s="80">
        <v>37.48426818847656</v>
      </c>
      <c r="G38" s="80">
        <v>6.521796703338623</v>
      </c>
      <c r="H38" s="69">
        <f t="shared" si="1"/>
        <v>53.21068519</v>
      </c>
      <c r="I38" s="80">
        <v>0.5065088868141174</v>
      </c>
      <c r="J38" s="80">
        <f t="shared" si="2"/>
        <v>19.208002</v>
      </c>
      <c r="K38" s="69">
        <f t="shared" si="3"/>
        <v>0.1626243591</v>
      </c>
      <c r="L38" s="69">
        <f t="shared" si="4"/>
        <v>3.123689016</v>
      </c>
      <c r="M38" s="69">
        <f t="shared" si="5"/>
        <v>6.521796703</v>
      </c>
      <c r="N38" s="69">
        <f t="shared" si="6"/>
        <v>3.325667825</v>
      </c>
      <c r="O38" s="69">
        <f t="shared" si="7"/>
        <v>2.08785083</v>
      </c>
      <c r="P38" s="69">
        <f t="shared" si="8"/>
        <v>1.064660345</v>
      </c>
    </row>
    <row r="39" ht="15.75" customHeight="1">
      <c r="A39" s="76" t="s">
        <v>95</v>
      </c>
      <c r="B39" s="2">
        <v>2.0</v>
      </c>
      <c r="C39" s="2">
        <v>29.0</v>
      </c>
      <c r="D39" s="2">
        <v>20.450000762939453</v>
      </c>
      <c r="E39" s="80">
        <v>2.550092935562134</v>
      </c>
      <c r="F39" s="80">
        <v>40.7231330871582</v>
      </c>
      <c r="G39" s="80">
        <v>6.6272125244140625</v>
      </c>
      <c r="H39" s="69">
        <f t="shared" si="1"/>
        <v>49.57956409</v>
      </c>
      <c r="I39" s="80">
        <v>0.5199973583221436</v>
      </c>
      <c r="J39" s="80">
        <f t="shared" si="2"/>
        <v>18.63081979</v>
      </c>
      <c r="K39" s="69">
        <f t="shared" si="3"/>
        <v>0.1821494954</v>
      </c>
      <c r="L39" s="69">
        <f t="shared" si="4"/>
        <v>3.393594424</v>
      </c>
      <c r="M39" s="69">
        <f t="shared" si="5"/>
        <v>6.627212524</v>
      </c>
      <c r="N39" s="69">
        <f t="shared" si="6"/>
        <v>3.098722756</v>
      </c>
      <c r="O39" s="69">
        <f t="shared" si="7"/>
        <v>1.952859327</v>
      </c>
      <c r="P39" s="69">
        <f t="shared" si="8"/>
        <v>0.9131093374</v>
      </c>
    </row>
    <row r="40" ht="15.75" customHeight="1">
      <c r="A40" s="76" t="s">
        <v>95</v>
      </c>
      <c r="B40" s="2">
        <v>2.0</v>
      </c>
      <c r="C40" s="2">
        <v>29.0</v>
      </c>
      <c r="D40" s="2">
        <v>19.540000915527344</v>
      </c>
      <c r="E40" s="80">
        <v>2.434690237045288</v>
      </c>
      <c r="F40" s="80">
        <v>37.97682189941406</v>
      </c>
      <c r="G40" s="80">
        <v>6.478560924530029</v>
      </c>
      <c r="H40" s="69">
        <f t="shared" si="1"/>
        <v>52.59844738</v>
      </c>
      <c r="I40" s="80">
        <v>0.5114795565605164</v>
      </c>
      <c r="J40" s="80">
        <f t="shared" si="2"/>
        <v>18.19791756</v>
      </c>
      <c r="K40" s="69">
        <f t="shared" si="3"/>
        <v>0.1739064455</v>
      </c>
      <c r="L40" s="69">
        <f t="shared" si="4"/>
        <v>3.164735158</v>
      </c>
      <c r="M40" s="69">
        <f t="shared" si="5"/>
        <v>6.478560925</v>
      </c>
      <c r="N40" s="69">
        <f t="shared" si="6"/>
        <v>3.287402961</v>
      </c>
      <c r="O40" s="69">
        <f t="shared" si="7"/>
        <v>2.047109979</v>
      </c>
      <c r="P40" s="69">
        <f t="shared" si="8"/>
        <v>1.038760843</v>
      </c>
    </row>
    <row r="41" ht="15.75" customHeight="1">
      <c r="A41" s="76" t="s">
        <v>95</v>
      </c>
      <c r="B41" s="2">
        <v>2.0</v>
      </c>
      <c r="C41" s="2">
        <v>29.0</v>
      </c>
      <c r="D41" s="2">
        <v>22.110000610351562</v>
      </c>
      <c r="E41" s="80">
        <v>2.5516035556793213</v>
      </c>
      <c r="F41" s="80">
        <v>40.083892822265625</v>
      </c>
      <c r="G41" s="80">
        <v>6.454717636108398</v>
      </c>
      <c r="H41" s="69">
        <f t="shared" si="1"/>
        <v>50.40351605</v>
      </c>
      <c r="I41" s="80">
        <v>0.5062699317932129</v>
      </c>
      <c r="J41" s="80">
        <f t="shared" si="2"/>
        <v>18.32751076</v>
      </c>
      <c r="K41" s="69">
        <f t="shared" si="3"/>
        <v>0.1822573968</v>
      </c>
      <c r="L41" s="69">
        <f t="shared" si="4"/>
        <v>3.340324402</v>
      </c>
      <c r="M41" s="69">
        <f t="shared" si="5"/>
        <v>6.454717636</v>
      </c>
      <c r="N41" s="69">
        <f t="shared" si="6"/>
        <v>3.150219753</v>
      </c>
      <c r="O41" s="69">
        <f t="shared" si="7"/>
        <v>1.932362507</v>
      </c>
      <c r="P41" s="69">
        <f t="shared" si="8"/>
        <v>0.9430879682</v>
      </c>
    </row>
    <row r="42" ht="15.75" customHeight="1">
      <c r="A42" s="76" t="s">
        <v>95</v>
      </c>
      <c r="B42" s="2">
        <v>2.0</v>
      </c>
      <c r="C42" s="2">
        <v>31.0</v>
      </c>
      <c r="D42" s="2">
        <v>20.200000762939453</v>
      </c>
      <c r="E42" s="80">
        <v>2.595773696899414</v>
      </c>
      <c r="F42" s="80">
        <v>40.86995315551758</v>
      </c>
      <c r="G42" s="80">
        <v>6.780252456665039</v>
      </c>
      <c r="H42" s="69">
        <f t="shared" si="1"/>
        <v>49.22165048</v>
      </c>
      <c r="I42" s="80">
        <v>0.5323702096939087</v>
      </c>
      <c r="J42" s="80">
        <f t="shared" si="2"/>
        <v>18.36894028</v>
      </c>
      <c r="K42" s="69">
        <f t="shared" si="3"/>
        <v>0.1854124069</v>
      </c>
      <c r="L42" s="69">
        <f t="shared" si="4"/>
        <v>3.40582943</v>
      </c>
      <c r="M42" s="69">
        <f t="shared" si="5"/>
        <v>6.780252457</v>
      </c>
      <c r="N42" s="69">
        <f t="shared" si="6"/>
        <v>3.076353155</v>
      </c>
      <c r="O42" s="69">
        <f t="shared" si="7"/>
        <v>1.990778633</v>
      </c>
      <c r="P42" s="69">
        <f t="shared" si="8"/>
        <v>0.9032610759</v>
      </c>
    </row>
    <row r="43" ht="15.75" customHeight="1">
      <c r="A43" s="76" t="s">
        <v>95</v>
      </c>
      <c r="B43" s="2">
        <v>2.0</v>
      </c>
      <c r="C43" s="2">
        <v>31.0</v>
      </c>
      <c r="D43" s="2">
        <v>19.579999923706055</v>
      </c>
      <c r="E43" s="80">
        <v>2.6069529056549072</v>
      </c>
      <c r="F43" s="80">
        <v>41.683555603027344</v>
      </c>
      <c r="G43" s="80">
        <v>6.837381362915039</v>
      </c>
      <c r="H43" s="69">
        <f t="shared" si="1"/>
        <v>48.34329981</v>
      </c>
      <c r="I43" s="80">
        <v>0.5288103222846985</v>
      </c>
      <c r="J43" s="80">
        <f t="shared" si="2"/>
        <v>18.65427441</v>
      </c>
      <c r="K43" s="69">
        <f t="shared" si="3"/>
        <v>0.1862109218</v>
      </c>
      <c r="L43" s="69">
        <f t="shared" si="4"/>
        <v>3.473629634</v>
      </c>
      <c r="M43" s="69">
        <f t="shared" si="5"/>
        <v>6.837381363</v>
      </c>
      <c r="N43" s="69">
        <f t="shared" si="6"/>
        <v>3.021456238</v>
      </c>
      <c r="O43" s="69">
        <f t="shared" si="7"/>
        <v>1.968367985</v>
      </c>
      <c r="P43" s="69">
        <f t="shared" si="8"/>
        <v>0.8698268257</v>
      </c>
    </row>
    <row r="44" ht="15.75" customHeight="1">
      <c r="A44" s="76" t="s">
        <v>95</v>
      </c>
      <c r="B44" s="2">
        <v>2.0</v>
      </c>
      <c r="C44" s="2">
        <v>31.0</v>
      </c>
      <c r="D44" s="2">
        <v>23.299999237060547</v>
      </c>
      <c r="E44" s="80">
        <v>2.5641043186187744</v>
      </c>
      <c r="F44" s="80">
        <v>40.71894454956055</v>
      </c>
      <c r="G44" s="80">
        <v>6.531490325927734</v>
      </c>
      <c r="H44" s="69">
        <f t="shared" si="1"/>
        <v>49.66901654</v>
      </c>
      <c r="I44" s="80">
        <v>0.5164442658424377</v>
      </c>
      <c r="J44" s="80">
        <f t="shared" si="2"/>
        <v>18.52710709</v>
      </c>
      <c r="K44" s="69">
        <f t="shared" si="3"/>
        <v>0.1831503085</v>
      </c>
      <c r="L44" s="69">
        <f t="shared" si="4"/>
        <v>3.393245379</v>
      </c>
      <c r="M44" s="69">
        <f t="shared" si="5"/>
        <v>6.531490326</v>
      </c>
      <c r="N44" s="69">
        <f t="shared" si="6"/>
        <v>3.104313534</v>
      </c>
      <c r="O44" s="69">
        <f t="shared" si="7"/>
        <v>1.924850577</v>
      </c>
      <c r="P44" s="69">
        <f t="shared" si="8"/>
        <v>0.9148508837</v>
      </c>
    </row>
    <row r="45" ht="15.75" customHeight="1">
      <c r="A45" s="76" t="s">
        <v>95</v>
      </c>
      <c r="B45" s="2">
        <v>2.0</v>
      </c>
      <c r="C45" s="2">
        <v>34.0</v>
      </c>
      <c r="D45" s="2">
        <v>20.079999923706055</v>
      </c>
      <c r="E45" s="80">
        <v>2.3999922275543213</v>
      </c>
      <c r="F45" s="80">
        <v>38.04526138305664</v>
      </c>
      <c r="G45" s="80">
        <v>6.411800384521484</v>
      </c>
      <c r="H45" s="69">
        <f t="shared" si="1"/>
        <v>52.66513038</v>
      </c>
      <c r="I45" s="80">
        <v>0.4778156280517578</v>
      </c>
      <c r="J45" s="80">
        <f t="shared" si="2"/>
        <v>18.49428418</v>
      </c>
      <c r="K45" s="69">
        <f t="shared" si="3"/>
        <v>0.1714280163</v>
      </c>
      <c r="L45" s="69">
        <f t="shared" si="4"/>
        <v>3.170438449</v>
      </c>
      <c r="M45" s="69">
        <f t="shared" si="5"/>
        <v>6.411800385</v>
      </c>
      <c r="N45" s="69">
        <f t="shared" si="6"/>
        <v>3.291570649</v>
      </c>
      <c r="O45" s="69">
        <f t="shared" si="7"/>
        <v>2.022370246</v>
      </c>
      <c r="P45" s="69">
        <f t="shared" si="8"/>
        <v>1.038206766</v>
      </c>
    </row>
    <row r="46" ht="15.75" customHeight="1">
      <c r="A46" s="76" t="s">
        <v>95</v>
      </c>
      <c r="B46" s="2">
        <v>2.0</v>
      </c>
      <c r="C46" s="2">
        <v>34.0</v>
      </c>
      <c r="D46" s="2">
        <v>21.200000762939453</v>
      </c>
      <c r="E46" s="80">
        <v>2.3432743549346924</v>
      </c>
      <c r="F46" s="80">
        <v>36.73942947387695</v>
      </c>
      <c r="G46" s="80">
        <v>6.066375732421875</v>
      </c>
      <c r="H46" s="69">
        <f t="shared" si="1"/>
        <v>54.37194782</v>
      </c>
      <c r="I46" s="80">
        <v>0.4789726138114929</v>
      </c>
      <c r="J46" s="80">
        <f t="shared" si="2"/>
        <v>18.29178373</v>
      </c>
      <c r="K46" s="69">
        <f t="shared" si="3"/>
        <v>0.1673767396</v>
      </c>
      <c r="L46" s="69">
        <f t="shared" si="4"/>
        <v>3.061619123</v>
      </c>
      <c r="M46" s="69">
        <f t="shared" si="5"/>
        <v>6.066375732</v>
      </c>
      <c r="N46" s="69">
        <f t="shared" si="6"/>
        <v>3.398246739</v>
      </c>
      <c r="O46" s="69">
        <f t="shared" si="7"/>
        <v>1.981427307</v>
      </c>
      <c r="P46" s="69">
        <f t="shared" si="8"/>
        <v>1.109950847</v>
      </c>
    </row>
    <row r="47" ht="15.75" customHeight="1">
      <c r="A47" s="76" t="s">
        <v>95</v>
      </c>
      <c r="B47" s="2">
        <v>2.0</v>
      </c>
      <c r="C47" s="2">
        <v>34.0</v>
      </c>
      <c r="D47" s="2">
        <v>20.899999618530273</v>
      </c>
      <c r="E47" s="80">
        <v>0.046059735119342804</v>
      </c>
      <c r="F47" s="80">
        <v>0.0</v>
      </c>
      <c r="G47" s="80">
        <v>3.8422956466674805</v>
      </c>
      <c r="H47" s="69">
        <f t="shared" si="1"/>
        <v>96.05234823</v>
      </c>
      <c r="I47" s="80">
        <v>0.059296391904354095</v>
      </c>
      <c r="J47" s="80">
        <f t="shared" si="2"/>
        <v>0</v>
      </c>
      <c r="K47" s="69">
        <f t="shared" si="3"/>
        <v>0.00328998108</v>
      </c>
      <c r="L47" s="69">
        <f t="shared" si="4"/>
        <v>0</v>
      </c>
      <c r="M47" s="69">
        <f t="shared" si="5"/>
        <v>3.842295647</v>
      </c>
      <c r="N47" s="69">
        <f t="shared" si="6"/>
        <v>6.003271764</v>
      </c>
      <c r="O47" s="69"/>
      <c r="P47" s="69"/>
    </row>
    <row r="48" ht="15.75" customHeight="1">
      <c r="A48" s="76" t="s">
        <v>95</v>
      </c>
      <c r="B48" s="2">
        <v>4.0</v>
      </c>
      <c r="C48" s="2">
        <v>37.0</v>
      </c>
      <c r="D48" s="2">
        <v>20.5</v>
      </c>
      <c r="E48" s="80">
        <v>4.358675956726074</v>
      </c>
      <c r="F48" s="80">
        <v>71.86170196533203</v>
      </c>
      <c r="G48" s="80">
        <v>10.094037055969238</v>
      </c>
      <c r="H48" s="69">
        <f t="shared" si="1"/>
        <v>12.77878416</v>
      </c>
      <c r="I48" s="80">
        <v>0.9068008661270142</v>
      </c>
      <c r="J48" s="80">
        <f t="shared" si="2"/>
        <v>19.23488994</v>
      </c>
      <c r="K48" s="69">
        <f t="shared" si="3"/>
        <v>0.3113339969</v>
      </c>
      <c r="L48" s="69">
        <f t="shared" si="4"/>
        <v>5.988475164</v>
      </c>
      <c r="M48" s="69">
        <f t="shared" si="5"/>
        <v>10.09403706</v>
      </c>
      <c r="N48" s="69">
        <f t="shared" si="6"/>
        <v>0.7986740097</v>
      </c>
      <c r="O48" s="69">
        <f t="shared" ref="O48:O95" si="9">M48/L48</f>
        <v>1.685577176</v>
      </c>
      <c r="P48" s="69">
        <f t="shared" ref="P48:P95" si="10">N48/L48</f>
        <v>0.13336851</v>
      </c>
    </row>
    <row r="49" ht="15.75" customHeight="1">
      <c r="A49" s="76" t="s">
        <v>95</v>
      </c>
      <c r="B49" s="2">
        <v>4.0</v>
      </c>
      <c r="C49" s="2">
        <v>37.0</v>
      </c>
      <c r="D49" s="2">
        <v>19.100000381469727</v>
      </c>
      <c r="E49" s="80">
        <v>2.232553005218506</v>
      </c>
      <c r="F49" s="80">
        <v>37.28522491455078</v>
      </c>
      <c r="G49" s="80">
        <v>6.337502956390381</v>
      </c>
      <c r="H49" s="69">
        <f t="shared" si="1"/>
        <v>53.67587605</v>
      </c>
      <c r="I49" s="80">
        <v>0.4688430726528168</v>
      </c>
      <c r="J49" s="80">
        <f t="shared" si="2"/>
        <v>19.48416408</v>
      </c>
      <c r="K49" s="69">
        <f t="shared" si="3"/>
        <v>0.1594680718</v>
      </c>
      <c r="L49" s="69">
        <f t="shared" si="4"/>
        <v>3.107102076</v>
      </c>
      <c r="M49" s="69">
        <f t="shared" si="5"/>
        <v>6.337502956</v>
      </c>
      <c r="N49" s="69">
        <f t="shared" si="6"/>
        <v>3.354742253</v>
      </c>
      <c r="O49" s="69">
        <f t="shared" si="9"/>
        <v>2.039682895</v>
      </c>
      <c r="P49" s="69">
        <f t="shared" si="10"/>
        <v>1.079701333</v>
      </c>
    </row>
    <row r="50" ht="15.75" customHeight="1">
      <c r="A50" s="76" t="s">
        <v>95</v>
      </c>
      <c r="B50" s="2">
        <v>4.0</v>
      </c>
      <c r="C50" s="2">
        <v>37.0</v>
      </c>
      <c r="D50" s="2">
        <v>21.299999237060547</v>
      </c>
      <c r="E50" s="80">
        <v>2.0683579444885254</v>
      </c>
      <c r="F50" s="80">
        <v>37.23794937133789</v>
      </c>
      <c r="G50" s="80">
        <v>5.638031482696533</v>
      </c>
      <c r="H50" s="69">
        <f t="shared" si="1"/>
        <v>54.61647457</v>
      </c>
      <c r="I50" s="80">
        <v>0.43918663263320923</v>
      </c>
      <c r="J50" s="80">
        <f t="shared" si="2"/>
        <v>21.004234</v>
      </c>
      <c r="K50" s="69">
        <f t="shared" si="3"/>
        <v>0.1477398532</v>
      </c>
      <c r="L50" s="69">
        <f t="shared" si="4"/>
        <v>3.103162448</v>
      </c>
      <c r="M50" s="69">
        <f t="shared" si="5"/>
        <v>5.638031483</v>
      </c>
      <c r="N50" s="69">
        <f t="shared" si="6"/>
        <v>3.413529661</v>
      </c>
      <c r="O50" s="69">
        <f t="shared" si="9"/>
        <v>1.816866367</v>
      </c>
      <c r="P50" s="69">
        <f t="shared" si="10"/>
        <v>1.100016425</v>
      </c>
    </row>
    <row r="51" ht="15.75" customHeight="1">
      <c r="A51" s="76" t="s">
        <v>95</v>
      </c>
      <c r="B51" s="2">
        <v>4.0</v>
      </c>
      <c r="C51" s="2">
        <v>39.0</v>
      </c>
      <c r="D51" s="2">
        <v>20.18000030517578</v>
      </c>
      <c r="E51" s="80">
        <v>2.248523712158203</v>
      </c>
      <c r="F51" s="80">
        <v>37.22343063354492</v>
      </c>
      <c r="G51" s="80">
        <v>6.401410102844238</v>
      </c>
      <c r="H51" s="69">
        <f t="shared" si="1"/>
        <v>53.609586</v>
      </c>
      <c r="I51" s="80">
        <v>0.5170495510101318</v>
      </c>
      <c r="J51" s="80">
        <f t="shared" si="2"/>
        <v>19.31371037</v>
      </c>
      <c r="K51" s="69">
        <f t="shared" si="3"/>
        <v>0.1606088366</v>
      </c>
      <c r="L51" s="69">
        <f t="shared" si="4"/>
        <v>3.101952553</v>
      </c>
      <c r="M51" s="69">
        <f t="shared" si="5"/>
        <v>6.401410103</v>
      </c>
      <c r="N51" s="69">
        <f t="shared" si="6"/>
        <v>3.350599125</v>
      </c>
      <c r="O51" s="69">
        <f t="shared" si="9"/>
        <v>2.063671186</v>
      </c>
      <c r="P51" s="69">
        <f t="shared" si="10"/>
        <v>1.080158084</v>
      </c>
    </row>
    <row r="52" ht="15.75" customHeight="1">
      <c r="A52" s="76" t="s">
        <v>95</v>
      </c>
      <c r="B52" s="2">
        <v>4.0</v>
      </c>
      <c r="C52" s="2">
        <v>39.0</v>
      </c>
      <c r="D52" s="2">
        <v>19.030000686645508</v>
      </c>
      <c r="E52" s="80">
        <v>2.296971559524536</v>
      </c>
      <c r="F52" s="80">
        <v>37.252479553222656</v>
      </c>
      <c r="G52" s="80">
        <v>6.2693915367126465</v>
      </c>
      <c r="H52" s="69">
        <f t="shared" si="1"/>
        <v>53.67067552</v>
      </c>
      <c r="I52" s="80">
        <v>0.5104818344116211</v>
      </c>
      <c r="J52" s="80">
        <f t="shared" si="2"/>
        <v>18.92109894</v>
      </c>
      <c r="K52" s="69">
        <f t="shared" si="3"/>
        <v>0.1640693971</v>
      </c>
      <c r="L52" s="69">
        <f t="shared" si="4"/>
        <v>3.104373296</v>
      </c>
      <c r="M52" s="69">
        <f t="shared" si="5"/>
        <v>6.269391537</v>
      </c>
      <c r="N52" s="69">
        <f t="shared" si="6"/>
        <v>3.35441722</v>
      </c>
      <c r="O52" s="69">
        <f t="shared" si="9"/>
        <v>2.019535326</v>
      </c>
      <c r="P52" s="69">
        <f t="shared" si="10"/>
        <v>1.080545701</v>
      </c>
    </row>
    <row r="53" ht="15.75" customHeight="1">
      <c r="A53" s="76" t="s">
        <v>95</v>
      </c>
      <c r="B53" s="2">
        <v>4.0</v>
      </c>
      <c r="C53" s="2">
        <v>39.0</v>
      </c>
      <c r="D53" s="2">
        <v>20.989999771118164</v>
      </c>
      <c r="E53" s="80">
        <v>2.4380593299865723</v>
      </c>
      <c r="F53" s="80">
        <v>39.84052276611328</v>
      </c>
      <c r="G53" s="80">
        <v>6.317915439605713</v>
      </c>
      <c r="H53" s="69">
        <f t="shared" si="1"/>
        <v>50.89878738</v>
      </c>
      <c r="I53" s="80">
        <v>0.504715085029602</v>
      </c>
      <c r="J53" s="80">
        <f t="shared" si="2"/>
        <v>19.06459343</v>
      </c>
      <c r="K53" s="69">
        <f t="shared" si="3"/>
        <v>0.174147095</v>
      </c>
      <c r="L53" s="69">
        <f t="shared" si="4"/>
        <v>3.320043564</v>
      </c>
      <c r="M53" s="69">
        <f t="shared" si="5"/>
        <v>6.31791544</v>
      </c>
      <c r="N53" s="69">
        <f t="shared" si="6"/>
        <v>3.181174211</v>
      </c>
      <c r="O53" s="69">
        <f t="shared" si="9"/>
        <v>1.902961608</v>
      </c>
      <c r="P53" s="69">
        <f t="shared" si="10"/>
        <v>0.9581724306</v>
      </c>
    </row>
    <row r="54" ht="15.75" customHeight="1">
      <c r="A54" s="76" t="s">
        <v>95</v>
      </c>
      <c r="B54" s="2">
        <v>4.0</v>
      </c>
      <c r="C54" s="2">
        <v>42.0</v>
      </c>
      <c r="D54" s="2">
        <v>20.950000762939453</v>
      </c>
      <c r="E54" s="80">
        <v>2.3996009826660156</v>
      </c>
      <c r="F54" s="80">
        <v>39.987579345703125</v>
      </c>
      <c r="G54" s="80">
        <v>6.4887375831604</v>
      </c>
      <c r="H54" s="69">
        <f t="shared" si="1"/>
        <v>50.6050458</v>
      </c>
      <c r="I54" s="80">
        <v>0.5190362930297852</v>
      </c>
      <c r="J54" s="80">
        <f t="shared" si="2"/>
        <v>19.44163894</v>
      </c>
      <c r="K54" s="69">
        <f t="shared" si="3"/>
        <v>0.1714000702</v>
      </c>
      <c r="L54" s="69">
        <f t="shared" si="4"/>
        <v>3.332298279</v>
      </c>
      <c r="M54" s="69">
        <f t="shared" si="5"/>
        <v>6.488737583</v>
      </c>
      <c r="N54" s="69">
        <f t="shared" si="6"/>
        <v>3.162815362</v>
      </c>
      <c r="O54" s="69">
        <f t="shared" si="9"/>
        <v>1.94722592</v>
      </c>
      <c r="P54" s="69">
        <f t="shared" si="10"/>
        <v>0.949139332</v>
      </c>
    </row>
    <row r="55" ht="15.75" customHeight="1">
      <c r="A55" s="76" t="s">
        <v>95</v>
      </c>
      <c r="B55" s="2">
        <v>4.0</v>
      </c>
      <c r="C55" s="2">
        <v>42.0</v>
      </c>
      <c r="D55" s="2">
        <v>21.06999969482422</v>
      </c>
      <c r="E55" s="80">
        <v>2.5201785564422607</v>
      </c>
      <c r="F55" s="80">
        <v>41.77396774291992</v>
      </c>
      <c r="G55" s="80">
        <v>6.649256229400635</v>
      </c>
      <c r="H55" s="69">
        <f t="shared" si="1"/>
        <v>48.52533841</v>
      </c>
      <c r="I55" s="80">
        <v>0.5312590599060059</v>
      </c>
      <c r="J55" s="80">
        <f t="shared" si="2"/>
        <v>19.33842964</v>
      </c>
      <c r="K55" s="69">
        <f t="shared" si="3"/>
        <v>0.180012754</v>
      </c>
      <c r="L55" s="69">
        <f t="shared" si="4"/>
        <v>3.481163979</v>
      </c>
      <c r="M55" s="69">
        <f t="shared" si="5"/>
        <v>6.649256229</v>
      </c>
      <c r="N55" s="69">
        <f t="shared" si="6"/>
        <v>3.032833651</v>
      </c>
      <c r="O55" s="69">
        <f t="shared" si="9"/>
        <v>1.91006694</v>
      </c>
      <c r="P55" s="69">
        <f t="shared" si="10"/>
        <v>0.8712125224</v>
      </c>
    </row>
    <row r="56" ht="15.75" customHeight="1">
      <c r="A56" s="76" t="s">
        <v>95</v>
      </c>
      <c r="B56" s="2">
        <v>4.0</v>
      </c>
      <c r="C56" s="2">
        <v>42.0</v>
      </c>
      <c r="D56" s="2">
        <v>21.079999923706055</v>
      </c>
      <c r="E56" s="80">
        <v>2.517292022705078</v>
      </c>
      <c r="F56" s="80">
        <v>41.942867279052734</v>
      </c>
      <c r="G56" s="80">
        <v>6.888201713562012</v>
      </c>
      <c r="H56" s="69">
        <f t="shared" si="1"/>
        <v>48.11683905</v>
      </c>
      <c r="I56" s="80">
        <v>0.5347999334335327</v>
      </c>
      <c r="J56" s="80">
        <f t="shared" si="2"/>
        <v>19.43888302</v>
      </c>
      <c r="K56" s="69">
        <f t="shared" si="3"/>
        <v>0.1798065731</v>
      </c>
      <c r="L56" s="69">
        <f t="shared" si="4"/>
        <v>3.49523894</v>
      </c>
      <c r="M56" s="69">
        <f t="shared" si="5"/>
        <v>6.888201714</v>
      </c>
      <c r="N56" s="69">
        <f t="shared" si="6"/>
        <v>3.007302441</v>
      </c>
      <c r="O56" s="69">
        <f t="shared" si="9"/>
        <v>1.970738434</v>
      </c>
      <c r="P56" s="69">
        <f t="shared" si="10"/>
        <v>0.8603996729</v>
      </c>
    </row>
    <row r="57" ht="15.75" customHeight="1">
      <c r="A57" s="76" t="s">
        <v>95</v>
      </c>
      <c r="B57" s="2">
        <v>0.0</v>
      </c>
      <c r="C57" s="2">
        <v>385.0</v>
      </c>
      <c r="D57" s="2">
        <v>21.3799991607666</v>
      </c>
      <c r="E57" s="80">
        <v>2.6020381450653076</v>
      </c>
      <c r="F57" s="80">
        <v>41.9020217895508</v>
      </c>
      <c r="G57" s="80">
        <v>6.70070219039917</v>
      </c>
      <c r="H57" s="69">
        <f t="shared" si="1"/>
        <v>48.26794217</v>
      </c>
      <c r="I57" s="80">
        <v>0.527295708656311</v>
      </c>
      <c r="J57" s="80">
        <f t="shared" si="2"/>
        <v>18.78746174</v>
      </c>
      <c r="K57" s="69">
        <f t="shared" si="3"/>
        <v>0.1858598675</v>
      </c>
      <c r="L57" s="69">
        <f t="shared" si="4"/>
        <v>3.491835149</v>
      </c>
      <c r="M57" s="69">
        <f t="shared" si="5"/>
        <v>6.70070219</v>
      </c>
      <c r="N57" s="69">
        <f t="shared" si="6"/>
        <v>3.016746385</v>
      </c>
      <c r="O57" s="69">
        <f t="shared" si="9"/>
        <v>1.918962925</v>
      </c>
      <c r="P57" s="69">
        <f t="shared" si="10"/>
        <v>0.8639429574</v>
      </c>
    </row>
    <row r="58" ht="15.75" customHeight="1">
      <c r="A58" s="76" t="s">
        <v>95</v>
      </c>
      <c r="B58" s="2">
        <v>0.0</v>
      </c>
      <c r="C58" s="2">
        <v>385.0</v>
      </c>
      <c r="D58" s="2">
        <v>20.239999771118164</v>
      </c>
      <c r="E58" s="80">
        <v>2.6282236576080322</v>
      </c>
      <c r="F58" s="80">
        <v>41.63834762573242</v>
      </c>
      <c r="G58" s="80">
        <v>6.774152755737305</v>
      </c>
      <c r="H58" s="69">
        <f t="shared" si="1"/>
        <v>48.42795783</v>
      </c>
      <c r="I58" s="80">
        <v>0.5313181281089783</v>
      </c>
      <c r="J58" s="80">
        <f t="shared" si="2"/>
        <v>18.48323376</v>
      </c>
      <c r="K58" s="69">
        <f t="shared" si="3"/>
        <v>0.1877302613</v>
      </c>
      <c r="L58" s="69">
        <f t="shared" si="4"/>
        <v>3.469862302</v>
      </c>
      <c r="M58" s="69">
        <f t="shared" si="5"/>
        <v>6.774152756</v>
      </c>
      <c r="N58" s="69">
        <f t="shared" si="6"/>
        <v>3.026747365</v>
      </c>
      <c r="O58" s="69">
        <f t="shared" si="9"/>
        <v>1.952282876</v>
      </c>
      <c r="P58" s="69">
        <f t="shared" si="10"/>
        <v>0.8722961031</v>
      </c>
    </row>
    <row r="59" ht="15.75" customHeight="1">
      <c r="A59" s="76" t="s">
        <v>95</v>
      </c>
      <c r="B59" s="2">
        <v>0.0</v>
      </c>
      <c r="C59" s="2">
        <v>385.0</v>
      </c>
      <c r="D59" s="2">
        <v>20.68000030517578</v>
      </c>
      <c r="E59" s="80">
        <v>2.686091899871826</v>
      </c>
      <c r="F59" s="80">
        <v>42.17303466796875</v>
      </c>
      <c r="G59" s="80">
        <v>6.890052795410156</v>
      </c>
      <c r="H59" s="69">
        <f t="shared" si="1"/>
        <v>47.71147579</v>
      </c>
      <c r="I59" s="80">
        <v>0.539344847202301</v>
      </c>
      <c r="J59" s="80">
        <f t="shared" si="2"/>
        <v>18.31727119</v>
      </c>
      <c r="K59" s="69">
        <f t="shared" si="3"/>
        <v>0.1918637071</v>
      </c>
      <c r="L59" s="69">
        <f t="shared" si="4"/>
        <v>3.514419556</v>
      </c>
      <c r="M59" s="69">
        <f t="shared" si="5"/>
        <v>6.890052795</v>
      </c>
      <c r="N59" s="69">
        <f t="shared" si="6"/>
        <v>2.981967237</v>
      </c>
      <c r="O59" s="69">
        <f t="shared" si="9"/>
        <v>1.960509463</v>
      </c>
      <c r="P59" s="69">
        <f t="shared" si="10"/>
        <v>0.8484949476</v>
      </c>
    </row>
    <row r="60" ht="15.75" customHeight="1">
      <c r="A60" s="76" t="s">
        <v>95</v>
      </c>
      <c r="B60" s="2">
        <v>0.0</v>
      </c>
      <c r="C60" s="2">
        <v>390.0</v>
      </c>
      <c r="D60" s="2">
        <v>19.860000610351562</v>
      </c>
      <c r="E60" s="80">
        <v>2.580371379852295</v>
      </c>
      <c r="F60" s="80">
        <v>40.96660614013672</v>
      </c>
      <c r="G60" s="80">
        <v>6.784402370452881</v>
      </c>
      <c r="H60" s="69">
        <f t="shared" si="1"/>
        <v>49.14122653</v>
      </c>
      <c r="I60" s="80">
        <v>0.5273935794830322</v>
      </c>
      <c r="J60" s="80">
        <f t="shared" si="2"/>
        <v>18.52228489</v>
      </c>
      <c r="K60" s="69">
        <f t="shared" si="3"/>
        <v>0.1843122414</v>
      </c>
      <c r="L60" s="69">
        <f t="shared" si="4"/>
        <v>3.413883845</v>
      </c>
      <c r="M60" s="69">
        <f t="shared" si="5"/>
        <v>6.78440237</v>
      </c>
      <c r="N60" s="69">
        <f t="shared" si="6"/>
        <v>3.071326658</v>
      </c>
      <c r="O60" s="69">
        <f t="shared" si="9"/>
        <v>1.987297365</v>
      </c>
      <c r="P60" s="69">
        <f t="shared" si="10"/>
        <v>0.8996576326</v>
      </c>
    </row>
    <row r="61" ht="15.75" customHeight="1">
      <c r="A61" s="76" t="s">
        <v>95</v>
      </c>
      <c r="B61" s="2">
        <v>0.0</v>
      </c>
      <c r="C61" s="2">
        <v>390.0</v>
      </c>
      <c r="D61" s="2">
        <v>22.6200008392334</v>
      </c>
      <c r="E61" s="80">
        <v>2.607034921646118</v>
      </c>
      <c r="F61" s="80">
        <v>41.07980728149414</v>
      </c>
      <c r="G61" s="80">
        <v>6.627752780914307</v>
      </c>
      <c r="H61" s="69">
        <f t="shared" si="1"/>
        <v>49.18524766</v>
      </c>
      <c r="I61" s="80">
        <v>0.500157356262207</v>
      </c>
      <c r="J61" s="80">
        <f t="shared" si="2"/>
        <v>18.38350589</v>
      </c>
      <c r="K61" s="69">
        <f t="shared" si="3"/>
        <v>0.1862167801</v>
      </c>
      <c r="L61" s="69">
        <f t="shared" si="4"/>
        <v>3.423317273</v>
      </c>
      <c r="M61" s="69">
        <f t="shared" si="5"/>
        <v>6.627752781</v>
      </c>
      <c r="N61" s="69">
        <f t="shared" si="6"/>
        <v>3.074077979</v>
      </c>
      <c r="O61" s="69">
        <f t="shared" si="9"/>
        <v>1.936061502</v>
      </c>
      <c r="P61" s="69">
        <f t="shared" si="10"/>
        <v>0.8979822006</v>
      </c>
    </row>
    <row r="62" ht="15.75" customHeight="1">
      <c r="A62" s="76" t="s">
        <v>95</v>
      </c>
      <c r="B62" s="2">
        <v>0.0</v>
      </c>
      <c r="C62" s="2">
        <v>390.0</v>
      </c>
      <c r="D62" s="2">
        <v>20.920000076293945</v>
      </c>
      <c r="E62" s="80">
        <v>2.5359764099121094</v>
      </c>
      <c r="F62" s="80">
        <v>40.9228797912598</v>
      </c>
      <c r="G62" s="80">
        <v>6.738394737243652</v>
      </c>
      <c r="H62" s="69">
        <f t="shared" si="1"/>
        <v>49.28870132</v>
      </c>
      <c r="I62" s="80">
        <v>0.5140477418899536</v>
      </c>
      <c r="J62" s="80">
        <f t="shared" si="2"/>
        <v>18.82642109</v>
      </c>
      <c r="K62" s="69">
        <f t="shared" si="3"/>
        <v>0.1811411721</v>
      </c>
      <c r="L62" s="69">
        <f t="shared" si="4"/>
        <v>3.410239983</v>
      </c>
      <c r="M62" s="69">
        <f t="shared" si="5"/>
        <v>6.738394737</v>
      </c>
      <c r="N62" s="69">
        <f t="shared" si="6"/>
        <v>3.080543832</v>
      </c>
      <c r="O62" s="69">
        <f t="shared" si="9"/>
        <v>1.97592978</v>
      </c>
      <c r="P62" s="69">
        <f t="shared" si="10"/>
        <v>0.9033217158</v>
      </c>
    </row>
    <row r="63" ht="15.75" customHeight="1">
      <c r="A63" s="76" t="s">
        <v>95</v>
      </c>
      <c r="B63" s="2">
        <v>0.0</v>
      </c>
      <c r="C63" s="2">
        <v>394.0</v>
      </c>
      <c r="D63" s="2">
        <v>20.700000762939453</v>
      </c>
      <c r="E63" s="80">
        <v>2.6611053943634033</v>
      </c>
      <c r="F63" s="80">
        <v>41.77591323852539</v>
      </c>
      <c r="G63" s="80">
        <v>6.704196929931641</v>
      </c>
      <c r="H63" s="69">
        <f t="shared" si="1"/>
        <v>48.34313595</v>
      </c>
      <c r="I63" s="80">
        <v>0.5156484842300415</v>
      </c>
      <c r="J63" s="80">
        <f t="shared" si="2"/>
        <v>18.31515788</v>
      </c>
      <c r="K63" s="69">
        <f t="shared" si="3"/>
        <v>0.1900789567</v>
      </c>
      <c r="L63" s="69">
        <f t="shared" si="4"/>
        <v>3.481326103</v>
      </c>
      <c r="M63" s="69">
        <f t="shared" si="5"/>
        <v>6.70419693</v>
      </c>
      <c r="N63" s="69">
        <f t="shared" si="6"/>
        <v>3.021445997</v>
      </c>
      <c r="O63" s="69">
        <f t="shared" si="9"/>
        <v>1.925759533</v>
      </c>
      <c r="P63" s="69">
        <f t="shared" si="10"/>
        <v>0.8679008824</v>
      </c>
    </row>
    <row r="64" ht="15.75" customHeight="1">
      <c r="A64" s="76" t="s">
        <v>95</v>
      </c>
      <c r="B64" s="2">
        <v>0.0</v>
      </c>
      <c r="C64" s="2">
        <v>394.0</v>
      </c>
      <c r="D64" s="2">
        <v>20.520000457763672</v>
      </c>
      <c r="E64" s="80">
        <v>2.6508567333221436</v>
      </c>
      <c r="F64" s="80">
        <v>41.91401672363281</v>
      </c>
      <c r="G64" s="80">
        <v>6.898222923278809</v>
      </c>
      <c r="H64" s="69">
        <f t="shared" si="1"/>
        <v>48.02062833</v>
      </c>
      <c r="I64" s="80">
        <v>0.5162752866744995</v>
      </c>
      <c r="J64" s="80">
        <f t="shared" si="2"/>
        <v>18.44674801</v>
      </c>
      <c r="K64" s="69">
        <f t="shared" si="3"/>
        <v>0.1893469095</v>
      </c>
      <c r="L64" s="69">
        <f t="shared" si="4"/>
        <v>3.492834727</v>
      </c>
      <c r="M64" s="69">
        <f t="shared" si="5"/>
        <v>6.898222923</v>
      </c>
      <c r="N64" s="69">
        <f t="shared" si="6"/>
        <v>3.001289271</v>
      </c>
      <c r="O64" s="69">
        <f t="shared" si="9"/>
        <v>1.974964023</v>
      </c>
      <c r="P64" s="69">
        <f t="shared" si="10"/>
        <v>0.8592703364</v>
      </c>
    </row>
    <row r="65" ht="15.75" customHeight="1">
      <c r="A65" s="76" t="s">
        <v>95</v>
      </c>
      <c r="B65" s="2">
        <v>0.0</v>
      </c>
      <c r="C65" s="2">
        <v>394.0</v>
      </c>
      <c r="D65" s="2">
        <v>19.799999237060547</v>
      </c>
      <c r="E65" s="80">
        <v>2.628406286239624</v>
      </c>
      <c r="F65" s="80">
        <v>40.722312927246094</v>
      </c>
      <c r="G65" s="80">
        <v>6.688293933868408</v>
      </c>
      <c r="H65" s="69">
        <f t="shared" si="1"/>
        <v>49.44410938</v>
      </c>
      <c r="I65" s="80">
        <v>0.5168774724006653</v>
      </c>
      <c r="J65" s="80">
        <f t="shared" si="2"/>
        <v>18.07535058</v>
      </c>
      <c r="K65" s="69">
        <f t="shared" si="3"/>
        <v>0.1877433062</v>
      </c>
      <c r="L65" s="69">
        <f t="shared" si="4"/>
        <v>3.393526077</v>
      </c>
      <c r="M65" s="69">
        <f t="shared" si="5"/>
        <v>6.688293934</v>
      </c>
      <c r="N65" s="69">
        <f t="shared" si="6"/>
        <v>3.090256836</v>
      </c>
      <c r="O65" s="69">
        <f t="shared" si="9"/>
        <v>1.970898052</v>
      </c>
      <c r="P65" s="69">
        <f t="shared" si="10"/>
        <v>0.9106330012</v>
      </c>
    </row>
    <row r="66" ht="15.75" customHeight="1">
      <c r="A66" s="76" t="s">
        <v>96</v>
      </c>
      <c r="B66" s="2">
        <v>0.0</v>
      </c>
      <c r="C66" s="2">
        <v>400.0</v>
      </c>
      <c r="D66" s="2">
        <v>20.0</v>
      </c>
      <c r="E66" s="80">
        <v>2.0203733444213867</v>
      </c>
      <c r="F66" s="80">
        <v>31.134002685546875</v>
      </c>
      <c r="G66" s="80">
        <v>5.67594575881958</v>
      </c>
      <c r="H66" s="69">
        <f t="shared" si="1"/>
        <v>60.70594218</v>
      </c>
      <c r="I66" s="80">
        <v>0.46373602747917175</v>
      </c>
      <c r="J66" s="80">
        <f t="shared" si="2"/>
        <v>17.97836189</v>
      </c>
      <c r="K66" s="69">
        <f t="shared" si="3"/>
        <v>0.1443123817</v>
      </c>
      <c r="L66" s="69">
        <f t="shared" si="4"/>
        <v>2.594500224</v>
      </c>
      <c r="M66" s="69">
        <f t="shared" si="5"/>
        <v>5.675945759</v>
      </c>
      <c r="N66" s="69">
        <f t="shared" si="6"/>
        <v>3.794121386</v>
      </c>
      <c r="O66" s="69">
        <f t="shared" si="9"/>
        <v>2.187683665</v>
      </c>
      <c r="P66" s="69">
        <f t="shared" si="10"/>
        <v>1.462370807</v>
      </c>
    </row>
    <row r="67" ht="15.75" customHeight="1">
      <c r="A67" s="76" t="s">
        <v>96</v>
      </c>
      <c r="B67" s="2">
        <v>0.0</v>
      </c>
      <c r="C67" s="2">
        <v>400.0</v>
      </c>
      <c r="D67" s="2">
        <v>21.270000457763672</v>
      </c>
      <c r="E67" s="80">
        <v>1.894152283668518</v>
      </c>
      <c r="F67" s="80">
        <v>31.273601531982422</v>
      </c>
      <c r="G67" s="80">
        <v>5.1276068687438965</v>
      </c>
      <c r="H67" s="69">
        <f t="shared" si="1"/>
        <v>61.26295373</v>
      </c>
      <c r="I67" s="80">
        <v>0.44168558716773987</v>
      </c>
      <c r="J67" s="80">
        <f t="shared" si="2"/>
        <v>19.26237334</v>
      </c>
      <c r="K67" s="69">
        <f t="shared" si="3"/>
        <v>0.1352965917</v>
      </c>
      <c r="L67" s="69">
        <f t="shared" si="4"/>
        <v>2.606133461</v>
      </c>
      <c r="M67" s="69">
        <f t="shared" si="5"/>
        <v>5.127606869</v>
      </c>
      <c r="N67" s="69">
        <f t="shared" si="6"/>
        <v>3.828934608</v>
      </c>
      <c r="O67" s="69">
        <f t="shared" si="9"/>
        <v>1.967515074</v>
      </c>
      <c r="P67" s="69">
        <f t="shared" si="10"/>
        <v>1.469201277</v>
      </c>
    </row>
    <row r="68" ht="15.75" customHeight="1">
      <c r="A68" s="76" t="s">
        <v>96</v>
      </c>
      <c r="B68" s="2">
        <v>0.0</v>
      </c>
      <c r="C68" s="2">
        <v>400.0</v>
      </c>
      <c r="D68" s="2">
        <v>18.8000003814697</v>
      </c>
      <c r="E68" s="80">
        <v>2.03255300521851</v>
      </c>
      <c r="F68" s="80">
        <v>31.2852249145508</v>
      </c>
      <c r="G68" s="80">
        <v>5.13750295639038</v>
      </c>
      <c r="H68" s="69">
        <f t="shared" si="1"/>
        <v>61.07587605</v>
      </c>
      <c r="I68" s="80">
        <v>0.46884307265281</v>
      </c>
      <c r="J68" s="80">
        <f t="shared" si="2"/>
        <v>17.95743037</v>
      </c>
      <c r="K68" s="69">
        <f t="shared" si="3"/>
        <v>0.1451823575</v>
      </c>
      <c r="L68" s="69">
        <f t="shared" si="4"/>
        <v>2.607102076</v>
      </c>
      <c r="M68" s="69">
        <f t="shared" si="5"/>
        <v>5.137502956</v>
      </c>
      <c r="N68" s="69">
        <f t="shared" si="6"/>
        <v>3.817242253</v>
      </c>
      <c r="O68" s="69">
        <f t="shared" si="9"/>
        <v>1.970579903</v>
      </c>
      <c r="P68" s="69">
        <f t="shared" si="10"/>
        <v>1.464170616</v>
      </c>
    </row>
    <row r="69" ht="15.75" customHeight="1">
      <c r="A69" s="76" t="s">
        <v>96</v>
      </c>
      <c r="B69" s="2">
        <v>0.0</v>
      </c>
      <c r="C69" s="2">
        <v>406.0</v>
      </c>
      <c r="D69" s="2">
        <v>20.989999771118164</v>
      </c>
      <c r="E69" s="80">
        <v>2.525254249572754</v>
      </c>
      <c r="F69" s="80">
        <v>39.34943771362305</v>
      </c>
      <c r="G69" s="80">
        <v>6.429432392120361</v>
      </c>
      <c r="H69" s="69">
        <f t="shared" si="1"/>
        <v>51.13783216</v>
      </c>
      <c r="I69" s="80">
        <v>0.5580434799194336</v>
      </c>
      <c r="J69" s="80">
        <f t="shared" si="2"/>
        <v>18.17942781</v>
      </c>
      <c r="K69" s="69">
        <f t="shared" si="3"/>
        <v>0.1803753035</v>
      </c>
      <c r="L69" s="69">
        <f t="shared" si="4"/>
        <v>3.279119809</v>
      </c>
      <c r="M69" s="69">
        <f t="shared" si="5"/>
        <v>6.429432392</v>
      </c>
      <c r="N69" s="69">
        <f t="shared" si="6"/>
        <v>3.19611451</v>
      </c>
      <c r="O69" s="69">
        <f t="shared" si="9"/>
        <v>1.960718963</v>
      </c>
      <c r="P69" s="69">
        <f t="shared" si="10"/>
        <v>0.9746867135</v>
      </c>
    </row>
    <row r="70" ht="15.75" customHeight="1">
      <c r="A70" s="76" t="s">
        <v>96</v>
      </c>
      <c r="B70" s="2">
        <v>0.0</v>
      </c>
      <c r="C70" s="2">
        <v>406.0</v>
      </c>
      <c r="D70" s="2">
        <v>19.239999771118164</v>
      </c>
      <c r="E70" s="80">
        <v>2.525157928466797</v>
      </c>
      <c r="F70" s="80">
        <v>39.206764221191406</v>
      </c>
      <c r="G70" s="80">
        <v>6.638543605804443</v>
      </c>
      <c r="H70" s="69">
        <f t="shared" si="1"/>
        <v>51.08722341</v>
      </c>
      <c r="I70" s="80">
        <v>0.5423108339309692</v>
      </c>
      <c r="J70" s="80">
        <f t="shared" si="2"/>
        <v>18.11420363</v>
      </c>
      <c r="K70" s="69">
        <f t="shared" si="3"/>
        <v>0.1803684235</v>
      </c>
      <c r="L70" s="69">
        <f t="shared" si="4"/>
        <v>3.267230352</v>
      </c>
      <c r="M70" s="69">
        <f t="shared" si="5"/>
        <v>6.638543606</v>
      </c>
      <c r="N70" s="69">
        <f t="shared" si="6"/>
        <v>3.192951463</v>
      </c>
      <c r="O70" s="69">
        <f t="shared" si="9"/>
        <v>2.031856616</v>
      </c>
      <c r="P70" s="69">
        <f t="shared" si="10"/>
        <v>0.9772654877</v>
      </c>
    </row>
    <row r="71" ht="15.75" customHeight="1">
      <c r="A71" s="76" t="s">
        <v>96</v>
      </c>
      <c r="B71" s="2">
        <v>0.0</v>
      </c>
      <c r="C71" s="2">
        <v>406.0</v>
      </c>
      <c r="D71" s="2">
        <v>22.1000003814697</v>
      </c>
      <c r="E71" s="80">
        <v>2.53255300521851</v>
      </c>
      <c r="F71" s="80">
        <v>39.2859949145508</v>
      </c>
      <c r="G71" s="80">
        <v>6.43750295639038</v>
      </c>
      <c r="H71" s="69">
        <f t="shared" si="1"/>
        <v>51.17510605</v>
      </c>
      <c r="I71" s="80">
        <v>0.568843072652817</v>
      </c>
      <c r="J71" s="80">
        <f t="shared" si="2"/>
        <v>18.09780906</v>
      </c>
      <c r="K71" s="69">
        <f t="shared" si="3"/>
        <v>0.1808966432</v>
      </c>
      <c r="L71" s="69">
        <f t="shared" si="4"/>
        <v>3.27383291</v>
      </c>
      <c r="M71" s="69">
        <f t="shared" si="5"/>
        <v>6.437502956</v>
      </c>
      <c r="N71" s="69">
        <f t="shared" si="6"/>
        <v>3.198444128</v>
      </c>
      <c r="O71" s="69">
        <f t="shared" si="9"/>
        <v>1.966350493</v>
      </c>
      <c r="P71" s="69">
        <f t="shared" si="10"/>
        <v>0.9769723186</v>
      </c>
    </row>
    <row r="72" ht="15.75" customHeight="1">
      <c r="A72" s="76" t="s">
        <v>96</v>
      </c>
      <c r="B72" s="2">
        <v>0.0</v>
      </c>
      <c r="C72" s="2">
        <v>411.0</v>
      </c>
      <c r="D72" s="2">
        <v>21.639999389648438</v>
      </c>
      <c r="E72" s="80">
        <v>2.655900239944458</v>
      </c>
      <c r="F72" s="80">
        <v>41.53278732299805</v>
      </c>
      <c r="G72" s="80">
        <v>6.765597820281982</v>
      </c>
      <c r="H72" s="69">
        <f t="shared" si="1"/>
        <v>48.48965406</v>
      </c>
      <c r="I72" s="80">
        <v>0.5560605525970459</v>
      </c>
      <c r="J72" s="80">
        <f t="shared" si="2"/>
        <v>18.24425399</v>
      </c>
      <c r="K72" s="69">
        <f t="shared" si="3"/>
        <v>0.18970716</v>
      </c>
      <c r="L72" s="69">
        <f t="shared" si="4"/>
        <v>3.46106561</v>
      </c>
      <c r="M72" s="69">
        <f t="shared" si="5"/>
        <v>6.76559782</v>
      </c>
      <c r="N72" s="69">
        <f t="shared" si="6"/>
        <v>3.030603379</v>
      </c>
      <c r="O72" s="69">
        <f t="shared" si="9"/>
        <v>1.954773062</v>
      </c>
      <c r="P72" s="69">
        <f t="shared" si="10"/>
        <v>0.8756272548</v>
      </c>
    </row>
    <row r="73" ht="15.75" customHeight="1">
      <c r="A73" s="76" t="s">
        <v>96</v>
      </c>
      <c r="B73" s="2">
        <v>0.0</v>
      </c>
      <c r="C73" s="2">
        <v>411.0</v>
      </c>
      <c r="D73" s="2">
        <v>22.540000915527344</v>
      </c>
      <c r="E73" s="80">
        <v>2.578325033187866</v>
      </c>
      <c r="F73" s="80">
        <v>40.799102783203125</v>
      </c>
      <c r="G73" s="80">
        <v>6.740288734436035</v>
      </c>
      <c r="H73" s="69">
        <f t="shared" si="1"/>
        <v>49.366162</v>
      </c>
      <c r="I73" s="80">
        <v>0.5161214470863342</v>
      </c>
      <c r="J73" s="80">
        <f t="shared" si="2"/>
        <v>18.46119191</v>
      </c>
      <c r="K73" s="69">
        <f t="shared" si="3"/>
        <v>0.1841660738</v>
      </c>
      <c r="L73" s="69">
        <f t="shared" si="4"/>
        <v>3.399925232</v>
      </c>
      <c r="M73" s="69">
        <f t="shared" si="5"/>
        <v>6.740288734</v>
      </c>
      <c r="N73" s="69">
        <f t="shared" si="6"/>
        <v>3.085385125</v>
      </c>
      <c r="O73" s="69">
        <f t="shared" si="9"/>
        <v>1.982481459</v>
      </c>
      <c r="P73" s="69">
        <f t="shared" si="10"/>
        <v>0.9074861694</v>
      </c>
    </row>
    <row r="74" ht="15.75" customHeight="1">
      <c r="A74" s="76" t="s">
        <v>96</v>
      </c>
      <c r="B74" s="2">
        <v>0.0</v>
      </c>
      <c r="C74" s="2">
        <v>411.0</v>
      </c>
      <c r="D74" s="2">
        <v>23.3300008333334</v>
      </c>
      <c r="E74" s="80">
        <v>2.61701492164612</v>
      </c>
      <c r="F74" s="80">
        <v>41.1798072814941</v>
      </c>
      <c r="G74" s="80">
        <v>6.67775278091431</v>
      </c>
      <c r="H74" s="69">
        <f t="shared" si="1"/>
        <v>49.01526766</v>
      </c>
      <c r="I74" s="80">
        <v>0.510157356262207</v>
      </c>
      <c r="J74" s="80">
        <f t="shared" si="2"/>
        <v>18.35798035</v>
      </c>
      <c r="K74" s="69">
        <f t="shared" si="3"/>
        <v>0.1869296373</v>
      </c>
      <c r="L74" s="69">
        <f t="shared" si="4"/>
        <v>3.431650607</v>
      </c>
      <c r="M74" s="69">
        <f t="shared" si="5"/>
        <v>6.677752781</v>
      </c>
      <c r="N74" s="69">
        <f t="shared" si="6"/>
        <v>3.063454229</v>
      </c>
      <c r="O74" s="69">
        <f t="shared" si="9"/>
        <v>1.945930267</v>
      </c>
      <c r="P74" s="69">
        <f t="shared" si="10"/>
        <v>0.89270575</v>
      </c>
    </row>
    <row r="75" ht="15.75" customHeight="1">
      <c r="A75" s="76" t="s">
        <v>97</v>
      </c>
      <c r="B75" s="2">
        <v>0.0</v>
      </c>
      <c r="C75" s="2">
        <v>420.0</v>
      </c>
      <c r="D75" s="2">
        <v>21.8799991607666</v>
      </c>
      <c r="E75" s="80">
        <v>2.5105297565460205</v>
      </c>
      <c r="F75" s="80">
        <v>39.49353790283203</v>
      </c>
      <c r="G75" s="80">
        <v>6.681278228759766</v>
      </c>
      <c r="H75" s="69">
        <f t="shared" si="1"/>
        <v>50.79940808</v>
      </c>
      <c r="I75" s="80">
        <v>0.5152460336685181</v>
      </c>
      <c r="J75" s="80">
        <f t="shared" si="2"/>
        <v>18.35301657</v>
      </c>
      <c r="K75" s="69">
        <f t="shared" si="3"/>
        <v>0.179323554</v>
      </c>
      <c r="L75" s="69">
        <f t="shared" si="4"/>
        <v>3.291128159</v>
      </c>
      <c r="M75" s="69">
        <f t="shared" si="5"/>
        <v>6.681278229</v>
      </c>
      <c r="N75" s="69">
        <f t="shared" si="6"/>
        <v>3.174963005</v>
      </c>
      <c r="O75" s="69">
        <f t="shared" si="9"/>
        <v>2.030087528</v>
      </c>
      <c r="P75" s="69">
        <f t="shared" si="10"/>
        <v>0.964703546</v>
      </c>
    </row>
    <row r="76" ht="15.75" customHeight="1">
      <c r="A76" s="76" t="s">
        <v>97</v>
      </c>
      <c r="B76" s="2">
        <v>0.0</v>
      </c>
      <c r="C76" s="2">
        <v>420.0</v>
      </c>
      <c r="D76" s="2">
        <v>19.09000015258789</v>
      </c>
      <c r="E76" s="80">
        <v>2.5711464881896973</v>
      </c>
      <c r="F76" s="80">
        <v>40.41582489013672</v>
      </c>
      <c r="G76" s="80">
        <v>6.924135684967041</v>
      </c>
      <c r="H76" s="69">
        <f t="shared" si="1"/>
        <v>49.54860336</v>
      </c>
      <c r="I76" s="80">
        <v>0.540289580821991</v>
      </c>
      <c r="J76" s="80">
        <f t="shared" si="2"/>
        <v>18.33882119</v>
      </c>
      <c r="K76" s="69">
        <f t="shared" si="3"/>
        <v>0.1836533206</v>
      </c>
      <c r="L76" s="69">
        <f t="shared" si="4"/>
        <v>3.367985408</v>
      </c>
      <c r="M76" s="69">
        <f t="shared" si="5"/>
        <v>6.924135685</v>
      </c>
      <c r="N76" s="69">
        <f t="shared" si="6"/>
        <v>3.09678771</v>
      </c>
      <c r="O76" s="69">
        <f t="shared" si="9"/>
        <v>2.055868671</v>
      </c>
      <c r="P76" s="69">
        <f t="shared" si="10"/>
        <v>0.9194777694</v>
      </c>
    </row>
    <row r="77" ht="15.75" customHeight="1">
      <c r="A77" s="76" t="s">
        <v>97</v>
      </c>
      <c r="B77" s="2">
        <v>0.0</v>
      </c>
      <c r="C77" s="2">
        <v>420.0</v>
      </c>
      <c r="D77" s="2">
        <v>23.2999992330605</v>
      </c>
      <c r="E77" s="80">
        <v>2.56835794448853</v>
      </c>
      <c r="F77" s="80">
        <v>39.2379493713379</v>
      </c>
      <c r="G77" s="80">
        <v>6.93803148269653</v>
      </c>
      <c r="H77" s="69">
        <f t="shared" si="1"/>
        <v>50.71647457</v>
      </c>
      <c r="I77" s="80">
        <v>0.539186632633209</v>
      </c>
      <c r="J77" s="80">
        <f t="shared" si="2"/>
        <v>17.8236868</v>
      </c>
      <c r="K77" s="69">
        <f t="shared" si="3"/>
        <v>0.1834541389</v>
      </c>
      <c r="L77" s="69">
        <f t="shared" si="4"/>
        <v>3.269829114</v>
      </c>
      <c r="M77" s="69">
        <f t="shared" si="5"/>
        <v>6.938031483</v>
      </c>
      <c r="N77" s="69">
        <f t="shared" si="6"/>
        <v>3.169779661</v>
      </c>
      <c r="O77" s="69">
        <f t="shared" si="9"/>
        <v>2.12183305</v>
      </c>
      <c r="P77" s="69">
        <f t="shared" si="10"/>
        <v>0.9694022378</v>
      </c>
    </row>
    <row r="78" ht="15.75" customHeight="1">
      <c r="A78" s="76" t="s">
        <v>97</v>
      </c>
      <c r="B78" s="2">
        <v>0.0</v>
      </c>
      <c r="C78" s="2">
        <v>426.0</v>
      </c>
      <c r="D78" s="2">
        <v>20.6200008392334</v>
      </c>
      <c r="E78" s="80">
        <v>2.4420382976531982</v>
      </c>
      <c r="F78" s="80">
        <v>38.39967346191406</v>
      </c>
      <c r="G78" s="80">
        <v>6.563017845153809</v>
      </c>
      <c r="H78" s="69">
        <f t="shared" si="1"/>
        <v>52.09700894</v>
      </c>
      <c r="I78" s="80">
        <v>0.4982614517211914</v>
      </c>
      <c r="J78" s="80">
        <f t="shared" si="2"/>
        <v>18.34517464</v>
      </c>
      <c r="K78" s="69">
        <f t="shared" si="3"/>
        <v>0.174431307</v>
      </c>
      <c r="L78" s="69">
        <f t="shared" si="4"/>
        <v>3.199972788</v>
      </c>
      <c r="M78" s="69">
        <f t="shared" si="5"/>
        <v>6.563017845</v>
      </c>
      <c r="N78" s="69">
        <f t="shared" si="6"/>
        <v>3.256063059</v>
      </c>
      <c r="O78" s="69">
        <f t="shared" si="9"/>
        <v>2.050960517</v>
      </c>
      <c r="P78" s="69">
        <f t="shared" si="10"/>
        <v>1.017528359</v>
      </c>
    </row>
    <row r="79" ht="15.75" customHeight="1">
      <c r="A79" s="76" t="s">
        <v>97</v>
      </c>
      <c r="B79" s="2">
        <v>0.0</v>
      </c>
      <c r="C79" s="2">
        <v>426.0</v>
      </c>
      <c r="D79" s="2">
        <v>20.959999084472656</v>
      </c>
      <c r="E79" s="80">
        <v>2.4222707748413086</v>
      </c>
      <c r="F79" s="80">
        <v>37.936214447021484</v>
      </c>
      <c r="G79" s="80">
        <v>6.574346542358398</v>
      </c>
      <c r="H79" s="69">
        <f t="shared" si="1"/>
        <v>52.57698923</v>
      </c>
      <c r="I79" s="80">
        <v>0.49017900228500366</v>
      </c>
      <c r="J79" s="80">
        <f t="shared" si="2"/>
        <v>18.27166364</v>
      </c>
      <c r="K79" s="69">
        <f t="shared" si="3"/>
        <v>0.1730193411</v>
      </c>
      <c r="L79" s="69">
        <f t="shared" si="4"/>
        <v>3.161351204</v>
      </c>
      <c r="M79" s="69">
        <f t="shared" si="5"/>
        <v>6.574346542</v>
      </c>
      <c r="N79" s="69">
        <f t="shared" si="6"/>
        <v>3.286061827</v>
      </c>
      <c r="O79" s="69">
        <f t="shared" si="9"/>
        <v>2.079600183</v>
      </c>
      <c r="P79" s="69">
        <f t="shared" si="10"/>
        <v>1.039448519</v>
      </c>
    </row>
    <row r="80" ht="15.75" customHeight="1">
      <c r="A80" s="76" t="s">
        <v>97</v>
      </c>
      <c r="B80" s="2">
        <v>0.0</v>
      </c>
      <c r="C80" s="2">
        <v>426.0</v>
      </c>
      <c r="D80" s="2">
        <v>19.3000003814697</v>
      </c>
      <c r="E80" s="80">
        <v>2.43255300521851</v>
      </c>
      <c r="F80" s="80">
        <v>37.8852249145508</v>
      </c>
      <c r="G80" s="80">
        <v>6.337502956390381</v>
      </c>
      <c r="H80" s="69">
        <f t="shared" si="1"/>
        <v>52.87587605</v>
      </c>
      <c r="I80" s="80">
        <v>0.4688430726528168</v>
      </c>
      <c r="J80" s="80">
        <f t="shared" si="2"/>
        <v>18.16997573</v>
      </c>
      <c r="K80" s="69">
        <f t="shared" si="3"/>
        <v>0.1737537861</v>
      </c>
      <c r="L80" s="69">
        <f t="shared" si="4"/>
        <v>3.157102076</v>
      </c>
      <c r="M80" s="69">
        <f t="shared" si="5"/>
        <v>6.337502956</v>
      </c>
      <c r="N80" s="69">
        <f t="shared" si="6"/>
        <v>3.304742253</v>
      </c>
      <c r="O80" s="69">
        <f t="shared" si="9"/>
        <v>2.007379807</v>
      </c>
      <c r="P80" s="69">
        <f t="shared" si="10"/>
        <v>1.046764461</v>
      </c>
    </row>
    <row r="81" ht="15.75" customHeight="1">
      <c r="A81" s="76" t="s">
        <v>97</v>
      </c>
      <c r="B81" s="2">
        <v>0.0</v>
      </c>
      <c r="C81" s="2">
        <v>431.0</v>
      </c>
      <c r="D81" s="2">
        <v>20.700000762939453</v>
      </c>
      <c r="E81" s="80">
        <v>2.815546989440918</v>
      </c>
      <c r="F81" s="80">
        <v>43.42208480834961</v>
      </c>
      <c r="G81" s="80">
        <v>6.677736282348633</v>
      </c>
      <c r="H81" s="69">
        <f t="shared" si="1"/>
        <v>46.25998062</v>
      </c>
      <c r="I81" s="80">
        <v>0.824651300907135</v>
      </c>
      <c r="J81" s="80">
        <f t="shared" si="2"/>
        <v>17.99263132</v>
      </c>
      <c r="K81" s="69">
        <f t="shared" si="3"/>
        <v>0.2011104992</v>
      </c>
      <c r="L81" s="69">
        <f t="shared" si="4"/>
        <v>3.618507067</v>
      </c>
      <c r="M81" s="69">
        <f t="shared" si="5"/>
        <v>6.677736282</v>
      </c>
      <c r="N81" s="69">
        <f t="shared" si="6"/>
        <v>2.891248789</v>
      </c>
      <c r="O81" s="69">
        <f t="shared" si="9"/>
        <v>1.845439613</v>
      </c>
      <c r="P81" s="69">
        <f t="shared" si="10"/>
        <v>0.7990170352</v>
      </c>
    </row>
    <row r="82" ht="15.75" customHeight="1">
      <c r="A82" s="76" t="s">
        <v>97</v>
      </c>
      <c r="B82" s="2">
        <v>0.0</v>
      </c>
      <c r="C82" s="2">
        <v>431.0</v>
      </c>
      <c r="D82" s="2">
        <v>20.920000076293945</v>
      </c>
      <c r="E82" s="80">
        <v>2.697883367538452</v>
      </c>
      <c r="F82" s="80">
        <v>42.02414321899414</v>
      </c>
      <c r="G82" s="80">
        <v>6.886534690856934</v>
      </c>
      <c r="H82" s="69">
        <f t="shared" si="1"/>
        <v>47.78566498</v>
      </c>
      <c r="I82" s="80">
        <v>0.6057737469673157</v>
      </c>
      <c r="J82" s="80">
        <f t="shared" si="2"/>
        <v>18.17282677</v>
      </c>
      <c r="K82" s="69">
        <f t="shared" si="3"/>
        <v>0.1927059548</v>
      </c>
      <c r="L82" s="69">
        <f t="shared" si="4"/>
        <v>3.502011935</v>
      </c>
      <c r="M82" s="69">
        <f t="shared" si="5"/>
        <v>6.886534691</v>
      </c>
      <c r="N82" s="69">
        <f t="shared" si="6"/>
        <v>2.986604061</v>
      </c>
      <c r="O82" s="69">
        <f t="shared" si="9"/>
        <v>1.966450948</v>
      </c>
      <c r="P82" s="69">
        <f t="shared" si="10"/>
        <v>0.8528252092</v>
      </c>
    </row>
    <row r="83" ht="15.75" customHeight="1">
      <c r="A83" s="76" t="s">
        <v>97</v>
      </c>
      <c r="B83" s="2">
        <v>0.0</v>
      </c>
      <c r="C83" s="2">
        <v>431.0</v>
      </c>
      <c r="D83" s="2">
        <v>22.2200008392334</v>
      </c>
      <c r="E83" s="80">
        <v>2.69903492164612</v>
      </c>
      <c r="F83" s="80">
        <v>42.0798072814941</v>
      </c>
      <c r="G83" s="80">
        <v>6.627752780914307</v>
      </c>
      <c r="H83" s="69">
        <f t="shared" si="1"/>
        <v>48.09324766</v>
      </c>
      <c r="I83" s="80">
        <v>0.500157356262207</v>
      </c>
      <c r="J83" s="80">
        <f t="shared" si="2"/>
        <v>18.18913424</v>
      </c>
      <c r="K83" s="69">
        <f t="shared" si="3"/>
        <v>0.1927882087</v>
      </c>
      <c r="L83" s="69">
        <f t="shared" si="4"/>
        <v>3.506650607</v>
      </c>
      <c r="M83" s="69">
        <f t="shared" si="5"/>
        <v>6.627752781</v>
      </c>
      <c r="N83" s="69">
        <f t="shared" si="6"/>
        <v>3.005827979</v>
      </c>
      <c r="O83" s="69">
        <f t="shared" si="9"/>
        <v>1.890052225</v>
      </c>
      <c r="P83" s="69">
        <f t="shared" si="10"/>
        <v>0.8571792048</v>
      </c>
    </row>
    <row r="84" ht="15.75" customHeight="1">
      <c r="A84" s="17" t="s">
        <v>114</v>
      </c>
      <c r="B84" s="17">
        <v>0.0</v>
      </c>
      <c r="C84" s="17" t="s">
        <v>115</v>
      </c>
      <c r="D84" s="2">
        <v>19.700000762939453</v>
      </c>
      <c r="E84" s="69">
        <v>2.664896249771118</v>
      </c>
      <c r="F84" s="69">
        <v>40.194393157958984</v>
      </c>
      <c r="G84" s="69">
        <v>4.657149791717529</v>
      </c>
      <c r="H84" s="69">
        <f t="shared" si="1"/>
        <v>52.4835608</v>
      </c>
      <c r="J84" s="80">
        <f t="shared" si="2"/>
        <v>17.59672959</v>
      </c>
      <c r="K84" s="69">
        <f t="shared" si="3"/>
        <v>0.1903497321</v>
      </c>
      <c r="L84" s="69">
        <f t="shared" si="4"/>
        <v>3.349532763</v>
      </c>
      <c r="M84" s="69">
        <f t="shared" si="5"/>
        <v>4.657149792</v>
      </c>
      <c r="N84" s="69">
        <f t="shared" si="6"/>
        <v>3.28022255</v>
      </c>
      <c r="O84" s="69">
        <f t="shared" si="9"/>
        <v>1.39038789</v>
      </c>
      <c r="P84" s="69">
        <f t="shared" si="10"/>
        <v>0.9793074981</v>
      </c>
    </row>
    <row r="85" ht="15.75" customHeight="1">
      <c r="A85" s="17" t="s">
        <v>114</v>
      </c>
      <c r="B85" s="17">
        <v>0.0</v>
      </c>
      <c r="C85" s="17" t="s">
        <v>115</v>
      </c>
      <c r="D85" s="2">
        <v>20.639999389648438</v>
      </c>
      <c r="E85" s="69">
        <v>2.5447428226470947</v>
      </c>
      <c r="F85" s="69">
        <v>39.16613006591797</v>
      </c>
      <c r="G85" s="69">
        <v>4.540125370025635</v>
      </c>
      <c r="H85" s="69">
        <f t="shared" si="1"/>
        <v>53.74900174</v>
      </c>
      <c r="J85" s="80">
        <f t="shared" si="2"/>
        <v>17.95616359</v>
      </c>
      <c r="K85" s="69">
        <f t="shared" si="3"/>
        <v>0.1817673445</v>
      </c>
      <c r="L85" s="69">
        <f t="shared" si="4"/>
        <v>3.263844172</v>
      </c>
      <c r="M85" s="69">
        <f t="shared" si="5"/>
        <v>4.54012537</v>
      </c>
      <c r="N85" s="69">
        <f t="shared" si="6"/>
        <v>3.359312609</v>
      </c>
      <c r="O85" s="69">
        <f t="shared" si="9"/>
        <v>1.391036192</v>
      </c>
      <c r="P85" s="69">
        <f t="shared" si="10"/>
        <v>1.029250305</v>
      </c>
    </row>
    <row r="86" ht="15.75" customHeight="1">
      <c r="A86" s="17" t="s">
        <v>114</v>
      </c>
      <c r="B86" s="17">
        <v>0.0</v>
      </c>
      <c r="C86" s="17" t="s">
        <v>115</v>
      </c>
      <c r="D86" s="2">
        <v>22.030000686645508</v>
      </c>
      <c r="E86" s="69">
        <v>2.652308225631714</v>
      </c>
      <c r="F86" s="69">
        <v>40.1018486022949</v>
      </c>
      <c r="G86" s="69">
        <v>4.589299201965332</v>
      </c>
      <c r="H86" s="69">
        <f t="shared" si="1"/>
        <v>52.65654397</v>
      </c>
      <c r="J86" s="80">
        <f t="shared" si="2"/>
        <v>17.63953736</v>
      </c>
      <c r="K86" s="69">
        <f t="shared" si="3"/>
        <v>0.1894505875</v>
      </c>
      <c r="L86" s="69">
        <f t="shared" si="4"/>
        <v>3.341820717</v>
      </c>
      <c r="M86" s="69">
        <f t="shared" si="5"/>
        <v>4.589299202</v>
      </c>
      <c r="N86" s="69">
        <f t="shared" si="6"/>
        <v>3.291033998</v>
      </c>
      <c r="O86" s="69">
        <f t="shared" si="9"/>
        <v>1.373293061</v>
      </c>
      <c r="P86" s="69">
        <f t="shared" si="10"/>
        <v>0.98480268</v>
      </c>
    </row>
    <row r="87" ht="15.75" customHeight="1">
      <c r="A87" s="17" t="s">
        <v>114</v>
      </c>
      <c r="B87" s="17">
        <v>0.0</v>
      </c>
      <c r="C87" s="17" t="s">
        <v>115</v>
      </c>
      <c r="D87" s="2">
        <v>18.25</v>
      </c>
      <c r="E87" s="69">
        <v>2.6427948474884033</v>
      </c>
      <c r="F87" s="69">
        <v>40.49620819091797</v>
      </c>
      <c r="G87" s="69">
        <v>4.761563777923584</v>
      </c>
      <c r="H87" s="69">
        <f t="shared" si="1"/>
        <v>52.09943318</v>
      </c>
      <c r="J87" s="80">
        <f t="shared" si="2"/>
        <v>17.8771259</v>
      </c>
      <c r="K87" s="69">
        <f t="shared" si="3"/>
        <v>0.1887710605</v>
      </c>
      <c r="L87" s="69">
        <f t="shared" si="4"/>
        <v>3.374684016</v>
      </c>
      <c r="M87" s="69">
        <f t="shared" si="5"/>
        <v>4.761563778</v>
      </c>
      <c r="N87" s="69">
        <f t="shared" si="6"/>
        <v>3.256214574</v>
      </c>
      <c r="O87" s="69">
        <f t="shared" si="9"/>
        <v>1.410965814</v>
      </c>
      <c r="P87" s="69">
        <f t="shared" si="10"/>
        <v>0.9648946564</v>
      </c>
    </row>
    <row r="88" ht="15.75" customHeight="1">
      <c r="A88" s="17" t="s">
        <v>114</v>
      </c>
      <c r="B88" s="17">
        <v>0.0</v>
      </c>
      <c r="C88" s="17" t="s">
        <v>116</v>
      </c>
      <c r="D88" s="2">
        <v>22.600000381469727</v>
      </c>
      <c r="E88" s="69">
        <v>2.748213291168213</v>
      </c>
      <c r="F88" s="69">
        <v>39.836246490478516</v>
      </c>
      <c r="G88" s="69">
        <v>4.697681903839111</v>
      </c>
      <c r="H88" s="69">
        <f t="shared" si="1"/>
        <v>52.71785831</v>
      </c>
      <c r="J88" s="80">
        <f t="shared" si="2"/>
        <v>16.91121321</v>
      </c>
      <c r="K88" s="69">
        <f t="shared" si="3"/>
        <v>0.1963009494</v>
      </c>
      <c r="L88" s="69">
        <f t="shared" si="4"/>
        <v>3.319687208</v>
      </c>
      <c r="M88" s="69">
        <f t="shared" si="5"/>
        <v>4.697681904</v>
      </c>
      <c r="N88" s="69">
        <f t="shared" si="6"/>
        <v>3.294866145</v>
      </c>
      <c r="O88" s="69">
        <f t="shared" si="9"/>
        <v>1.415097752</v>
      </c>
      <c r="P88" s="69">
        <f t="shared" si="10"/>
        <v>0.9925230718</v>
      </c>
    </row>
    <row r="89" ht="15.75" customHeight="1">
      <c r="A89" s="17" t="s">
        <v>114</v>
      </c>
      <c r="B89" s="17">
        <v>0.0</v>
      </c>
      <c r="C89" s="17" t="s">
        <v>116</v>
      </c>
      <c r="D89" s="2">
        <v>19.6299991607666</v>
      </c>
      <c r="E89" s="69">
        <v>2.7145633697509766</v>
      </c>
      <c r="F89" s="69">
        <v>40.2506790161133</v>
      </c>
      <c r="G89" s="69">
        <v>4.773723602294922</v>
      </c>
      <c r="H89" s="69">
        <f t="shared" si="1"/>
        <v>52.26103401</v>
      </c>
      <c r="J89" s="80">
        <f t="shared" si="2"/>
        <v>17.29896087</v>
      </c>
      <c r="K89" s="69">
        <f t="shared" si="3"/>
        <v>0.1938973836</v>
      </c>
      <c r="L89" s="69">
        <f t="shared" si="4"/>
        <v>3.354223251</v>
      </c>
      <c r="M89" s="69">
        <f t="shared" si="5"/>
        <v>4.773723602</v>
      </c>
      <c r="N89" s="69">
        <f t="shared" si="6"/>
        <v>3.266314626</v>
      </c>
      <c r="O89" s="69">
        <f t="shared" si="9"/>
        <v>1.423197934</v>
      </c>
      <c r="P89" s="69">
        <f t="shared" si="10"/>
        <v>0.9737916593</v>
      </c>
    </row>
    <row r="90" ht="15.75" customHeight="1">
      <c r="A90" s="17" t="s">
        <v>114</v>
      </c>
      <c r="B90" s="17">
        <v>0.0</v>
      </c>
      <c r="C90" s="17" t="s">
        <v>116</v>
      </c>
      <c r="D90" s="2">
        <v>19.889999389648438</v>
      </c>
      <c r="E90" s="69">
        <v>2.6123850345611572</v>
      </c>
      <c r="F90" s="69">
        <v>39.60258102416992</v>
      </c>
      <c r="G90" s="69">
        <v>4.595701694488525</v>
      </c>
      <c r="H90" s="69">
        <f t="shared" si="1"/>
        <v>53.18933225</v>
      </c>
      <c r="J90" s="80">
        <f t="shared" si="2"/>
        <v>17.68614143</v>
      </c>
      <c r="K90" s="69">
        <f t="shared" si="3"/>
        <v>0.186598931</v>
      </c>
      <c r="L90" s="69">
        <f t="shared" si="4"/>
        <v>3.300215085</v>
      </c>
      <c r="M90" s="69">
        <f t="shared" si="5"/>
        <v>4.595701694</v>
      </c>
      <c r="N90" s="69">
        <f t="shared" si="6"/>
        <v>3.324333265</v>
      </c>
      <c r="O90" s="69">
        <f t="shared" si="9"/>
        <v>1.392546115</v>
      </c>
      <c r="P90" s="69">
        <f t="shared" si="10"/>
        <v>1.007308063</v>
      </c>
    </row>
    <row r="91" ht="15.75" customHeight="1">
      <c r="A91" s="17" t="s">
        <v>114</v>
      </c>
      <c r="B91" s="17">
        <v>0.0</v>
      </c>
      <c r="C91" s="17" t="s">
        <v>116</v>
      </c>
      <c r="D91" s="2">
        <v>22.739999771118164</v>
      </c>
      <c r="E91" s="69">
        <v>2.507859230041504</v>
      </c>
      <c r="F91" s="69">
        <v>39.378849029541</v>
      </c>
      <c r="G91" s="69">
        <v>4.225011348724365</v>
      </c>
      <c r="H91" s="69">
        <f t="shared" si="1"/>
        <v>53.88828039</v>
      </c>
      <c r="J91" s="80">
        <f t="shared" si="2"/>
        <v>18.31920627</v>
      </c>
      <c r="K91" s="69">
        <f t="shared" si="3"/>
        <v>0.1791328021</v>
      </c>
      <c r="L91" s="69">
        <f t="shared" si="4"/>
        <v>3.281570752</v>
      </c>
      <c r="M91" s="69">
        <f t="shared" si="5"/>
        <v>4.225011349</v>
      </c>
      <c r="N91" s="69">
        <f t="shared" si="6"/>
        <v>3.368017524</v>
      </c>
      <c r="O91" s="69">
        <f t="shared" si="9"/>
        <v>1.287496649</v>
      </c>
      <c r="P91" s="69">
        <f t="shared" si="10"/>
        <v>1.026343108</v>
      </c>
    </row>
    <row r="92" ht="15.75" customHeight="1">
      <c r="A92" s="17" t="s">
        <v>114</v>
      </c>
      <c r="B92" s="17">
        <v>0.0</v>
      </c>
      <c r="C92" s="17" t="s">
        <v>109</v>
      </c>
      <c r="D92" s="2">
        <v>19.68000030517578</v>
      </c>
      <c r="E92" s="69">
        <v>2.4501264095306396</v>
      </c>
      <c r="F92" s="69">
        <v>37.3067626953125</v>
      </c>
      <c r="G92" s="69">
        <v>4.344952583312988</v>
      </c>
      <c r="H92" s="69">
        <f t="shared" si="1"/>
        <v>55.89815831</v>
      </c>
      <c r="J92" s="80">
        <f t="shared" si="2"/>
        <v>17.76420854</v>
      </c>
      <c r="K92" s="69">
        <f t="shared" si="3"/>
        <v>0.1750090293</v>
      </c>
      <c r="L92" s="69">
        <f t="shared" si="4"/>
        <v>3.108896891</v>
      </c>
      <c r="M92" s="69">
        <f t="shared" si="5"/>
        <v>4.344952583</v>
      </c>
      <c r="N92" s="69">
        <f t="shared" si="6"/>
        <v>3.493634894</v>
      </c>
      <c r="O92" s="69">
        <f t="shared" si="9"/>
        <v>1.397586583</v>
      </c>
      <c r="P92" s="69">
        <f t="shared" si="10"/>
        <v>1.123753864</v>
      </c>
    </row>
    <row r="93" ht="15.75" customHeight="1">
      <c r="A93" s="17" t="s">
        <v>114</v>
      </c>
      <c r="B93" s="17">
        <v>0.0</v>
      </c>
      <c r="C93" s="17" t="s">
        <v>109</v>
      </c>
      <c r="D93" s="2">
        <v>21.010000228881836</v>
      </c>
      <c r="E93" s="69">
        <v>2.667304754257202</v>
      </c>
      <c r="F93" s="69">
        <v>40.2914085388184</v>
      </c>
      <c r="G93" s="69">
        <v>4.781311988830566</v>
      </c>
      <c r="H93" s="69">
        <f t="shared" si="1"/>
        <v>52.25997472</v>
      </c>
      <c r="J93" s="80">
        <f t="shared" si="2"/>
        <v>17.62327429</v>
      </c>
      <c r="K93" s="69">
        <f t="shared" si="3"/>
        <v>0.1905217682</v>
      </c>
      <c r="L93" s="69">
        <f t="shared" si="4"/>
        <v>3.357617378</v>
      </c>
      <c r="M93" s="69">
        <f t="shared" si="5"/>
        <v>4.781311989</v>
      </c>
      <c r="N93" s="69">
        <f t="shared" si="6"/>
        <v>3.26624842</v>
      </c>
      <c r="O93" s="69">
        <f t="shared" si="9"/>
        <v>1.424019312</v>
      </c>
      <c r="P93" s="69">
        <f t="shared" si="10"/>
        <v>0.9727875609</v>
      </c>
    </row>
    <row r="94" ht="15.75" customHeight="1">
      <c r="A94" s="17" t="s">
        <v>114</v>
      </c>
      <c r="B94" s="17">
        <v>0.0</v>
      </c>
      <c r="C94" s="17" t="s">
        <v>109</v>
      </c>
      <c r="D94" s="2">
        <v>20.969999313354492</v>
      </c>
      <c r="E94" s="69">
        <v>2.655085802078247</v>
      </c>
      <c r="F94" s="69">
        <v>40.53022003173828</v>
      </c>
      <c r="G94" s="69">
        <v>4.663637638092041</v>
      </c>
      <c r="H94" s="69">
        <f t="shared" si="1"/>
        <v>52.15105653</v>
      </c>
      <c r="J94" s="80">
        <f t="shared" si="2"/>
        <v>17.80931398</v>
      </c>
      <c r="K94" s="69">
        <f t="shared" si="3"/>
        <v>0.1896489859</v>
      </c>
      <c r="L94" s="69">
        <f t="shared" si="4"/>
        <v>3.377518336</v>
      </c>
      <c r="M94" s="69">
        <f t="shared" si="5"/>
        <v>4.663637638</v>
      </c>
      <c r="N94" s="69">
        <f t="shared" si="6"/>
        <v>3.259441033</v>
      </c>
      <c r="O94" s="69">
        <f t="shared" si="9"/>
        <v>1.380788252</v>
      </c>
      <c r="P94" s="69">
        <f t="shared" si="10"/>
        <v>0.9650402185</v>
      </c>
    </row>
    <row r="95" ht="15.75" customHeight="1">
      <c r="A95" s="17" t="s">
        <v>114</v>
      </c>
      <c r="B95" s="17">
        <v>0.0</v>
      </c>
      <c r="C95" s="17" t="s">
        <v>109</v>
      </c>
      <c r="D95" s="2">
        <v>20.440000534057617</v>
      </c>
      <c r="E95" s="69">
        <v>2.509028911590576</v>
      </c>
      <c r="F95" s="69">
        <v>38.73838424682617</v>
      </c>
      <c r="G95" s="69">
        <v>4.528622627258301</v>
      </c>
      <c r="H95" s="69">
        <f t="shared" si="1"/>
        <v>54.22396421</v>
      </c>
      <c r="J95" s="80">
        <f t="shared" si="2"/>
        <v>18.01285805</v>
      </c>
      <c r="K95" s="69">
        <f t="shared" si="3"/>
        <v>0.1792163508</v>
      </c>
      <c r="L95" s="69">
        <f t="shared" si="4"/>
        <v>3.228198687</v>
      </c>
      <c r="M95" s="69">
        <f t="shared" si="5"/>
        <v>4.528622627</v>
      </c>
      <c r="N95" s="69">
        <f t="shared" si="6"/>
        <v>3.388997763</v>
      </c>
      <c r="O95" s="69">
        <f t="shared" si="9"/>
        <v>1.402832683</v>
      </c>
      <c r="P95" s="69">
        <f t="shared" si="10"/>
        <v>1.049810774</v>
      </c>
    </row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56"/>
    <col customWidth="1" min="2" max="2" width="12.33"/>
    <col customWidth="1" min="3" max="3" width="18.89"/>
    <col customWidth="1" min="4" max="4" width="15.78"/>
    <col customWidth="1" min="5" max="5" width="14.78"/>
    <col customWidth="1" min="6" max="6" width="12.33"/>
    <col customWidth="1" min="7" max="7" width="12.89"/>
    <col customWidth="1" min="8" max="8" width="12.11"/>
    <col customWidth="1" min="9" max="9" width="12.89"/>
    <col customWidth="1" min="10" max="10" width="13.22"/>
    <col customWidth="1" min="11" max="11" width="14.22"/>
    <col customWidth="1" min="12" max="12" width="14.44"/>
    <col customWidth="1" min="13" max="13" width="12.22"/>
    <col customWidth="1" min="14" max="14" width="11.0"/>
    <col customWidth="1" min="15" max="19" width="9.89"/>
    <col customWidth="1" min="20" max="26" width="8.56"/>
  </cols>
  <sheetData>
    <row r="1" ht="15.75" customHeight="1">
      <c r="A1" s="79" t="s">
        <v>98</v>
      </c>
      <c r="B1" s="79" t="s">
        <v>92</v>
      </c>
      <c r="C1" s="79" t="s">
        <v>117</v>
      </c>
      <c r="D1" s="79" t="s">
        <v>118</v>
      </c>
      <c r="E1" s="79" t="s">
        <v>119</v>
      </c>
      <c r="F1" s="79" t="s">
        <v>120</v>
      </c>
      <c r="G1" s="79" t="s">
        <v>121</v>
      </c>
      <c r="H1" s="79" t="s">
        <v>122</v>
      </c>
      <c r="I1" s="79" t="s">
        <v>123</v>
      </c>
      <c r="J1" s="79" t="s">
        <v>124</v>
      </c>
      <c r="K1" s="79" t="s">
        <v>125</v>
      </c>
      <c r="L1" s="79" t="s">
        <v>126</v>
      </c>
      <c r="M1" s="79" t="s">
        <v>127</v>
      </c>
      <c r="N1" s="79" t="s">
        <v>128</v>
      </c>
      <c r="O1" s="79" t="s">
        <v>129</v>
      </c>
      <c r="P1" s="79" t="s">
        <v>130</v>
      </c>
      <c r="Q1" s="79" t="s">
        <v>131</v>
      </c>
      <c r="R1" s="79" t="s">
        <v>132</v>
      </c>
      <c r="S1" s="79" t="s">
        <v>133</v>
      </c>
    </row>
    <row r="2" ht="15.75" customHeight="1">
      <c r="A2" s="17" t="s">
        <v>94</v>
      </c>
      <c r="B2" s="17" t="s">
        <v>134</v>
      </c>
      <c r="C2" s="17" t="s">
        <v>135</v>
      </c>
      <c r="D2" s="69">
        <v>2.572559547424317</v>
      </c>
      <c r="E2" s="69">
        <v>0.1122589381130772</v>
      </c>
      <c r="F2" s="69">
        <v>40.35477744208441</v>
      </c>
      <c r="G2" s="69">
        <v>2.693596676303216</v>
      </c>
      <c r="H2" s="69">
        <v>6.535432391696506</v>
      </c>
      <c r="I2" s="69">
        <v>0.1395530062433028</v>
      </c>
      <c r="J2" s="69">
        <v>49.86881820493275</v>
      </c>
      <c r="K2" s="69">
        <v>2.844937417946023</v>
      </c>
      <c r="L2" s="69">
        <v>0.6684124138620164</v>
      </c>
      <c r="M2" s="69">
        <v>0.0966122047635774</v>
      </c>
      <c r="N2" s="69">
        <v>18.29237498946219</v>
      </c>
      <c r="O2" s="69">
        <v>0.5618301990983416</v>
      </c>
      <c r="P2" s="69">
        <v>1.947250852801016</v>
      </c>
      <c r="Q2" s="69">
        <v>0.09151358399259978</v>
      </c>
      <c r="R2" s="69">
        <v>0.9325637968366673</v>
      </c>
      <c r="S2" s="69">
        <v>0.1193208747029158</v>
      </c>
    </row>
    <row r="3" ht="15.75" customHeight="1">
      <c r="A3" s="17" t="s">
        <v>94</v>
      </c>
      <c r="B3" s="17" t="s">
        <v>134</v>
      </c>
      <c r="C3" s="17" t="s">
        <v>136</v>
      </c>
      <c r="D3" s="69">
        <v>2.368734320004781</v>
      </c>
      <c r="E3" s="69">
        <v>0.164604159632147</v>
      </c>
      <c r="F3" s="69">
        <v>34.94089592827692</v>
      </c>
      <c r="G3" s="69">
        <v>1.678561022820713</v>
      </c>
      <c r="H3" s="69">
        <v>4.333291477627225</v>
      </c>
      <c r="I3" s="69">
        <v>0.1953911067940876</v>
      </c>
      <c r="J3" s="69">
        <v>57.86074865195486</v>
      </c>
      <c r="K3" s="69">
        <v>1.421016782150527</v>
      </c>
      <c r="L3" s="69">
        <v>0.496329622136222</v>
      </c>
      <c r="M3" s="69">
        <v>0.04176050029254712</v>
      </c>
      <c r="N3" s="69">
        <v>17.33346204872688</v>
      </c>
      <c r="O3" s="69">
        <v>2.117196104537955</v>
      </c>
      <c r="P3" s="69">
        <v>1.491169386421364</v>
      </c>
      <c r="Q3" s="69">
        <v>0.1174293101655562</v>
      </c>
      <c r="R3" s="69">
        <v>1.245113340272326</v>
      </c>
      <c r="S3" s="69">
        <v>0.08867884119278743</v>
      </c>
    </row>
    <row r="4" ht="15.75" customHeight="1">
      <c r="A4" s="17" t="s">
        <v>94</v>
      </c>
      <c r="B4" s="17" t="s">
        <v>137</v>
      </c>
      <c r="C4" s="17" t="s">
        <v>135</v>
      </c>
      <c r="D4" s="69">
        <v>2.540321191151937</v>
      </c>
      <c r="E4" s="69">
        <v>0.05247945432267135</v>
      </c>
      <c r="F4" s="69">
        <v>39.92388365003798</v>
      </c>
      <c r="G4" s="69">
        <v>0.6515083476477551</v>
      </c>
      <c r="H4" s="69">
        <v>6.415058718787299</v>
      </c>
      <c r="I4" s="69">
        <v>0.1629632475643778</v>
      </c>
      <c r="J4" s="69">
        <v>50.58044266038471</v>
      </c>
      <c r="K4" s="69">
        <v>0.8833851535346933</v>
      </c>
      <c r="L4" s="69">
        <v>0.5402937796380785</v>
      </c>
      <c r="M4" s="69">
        <v>0.01858430123232547</v>
      </c>
      <c r="N4" s="69">
        <v>18.33734024807163</v>
      </c>
      <c r="O4" s="69">
        <v>0.1010511738049552</v>
      </c>
      <c r="P4" s="69">
        <v>1.928587705328185</v>
      </c>
      <c r="Q4" s="69">
        <v>0.01718903243710788</v>
      </c>
      <c r="R4" s="69">
        <v>0.9512567997355537</v>
      </c>
      <c r="S4" s="69">
        <v>0.03211145142056705</v>
      </c>
    </row>
    <row r="5" ht="15.75" customHeight="1">
      <c r="A5" s="17" t="s">
        <v>94</v>
      </c>
      <c r="B5" s="17" t="s">
        <v>137</v>
      </c>
      <c r="C5" s="17" t="s">
        <v>136</v>
      </c>
      <c r="D5" s="69">
        <v>2.405005693435669</v>
      </c>
      <c r="E5" s="69">
        <v>0.07257401285247322</v>
      </c>
      <c r="F5" s="69">
        <v>34.9091871049669</v>
      </c>
      <c r="G5" s="69">
        <v>2.471592909678739</v>
      </c>
      <c r="H5" s="69">
        <v>4.361289766099718</v>
      </c>
      <c r="I5" s="69">
        <v>0.2202843110210726</v>
      </c>
      <c r="J5" s="69">
        <v>57.88783984382948</v>
      </c>
      <c r="K5" s="69">
        <v>2.764584793281547</v>
      </c>
      <c r="L5" s="69">
        <v>0.4366775916682349</v>
      </c>
      <c r="M5" s="69">
        <v>0.04080215064172421</v>
      </c>
      <c r="N5" s="69">
        <v>16.96694453529721</v>
      </c>
      <c r="O5" s="69">
        <v>0.7954151614904831</v>
      </c>
      <c r="P5" s="69">
        <v>1.500931075808462</v>
      </c>
      <c r="Q5" s="69">
        <v>0.04273147595897277</v>
      </c>
      <c r="R5" s="69">
        <v>1.250782355849064</v>
      </c>
      <c r="S5" s="69">
        <v>0.1420885346141617</v>
      </c>
    </row>
    <row r="6" ht="15.75" customHeight="1">
      <c r="A6" s="17" t="s">
        <v>94</v>
      </c>
      <c r="B6" s="17" t="s">
        <v>138</v>
      </c>
      <c r="C6" s="17" t="s">
        <v>135</v>
      </c>
      <c r="D6" s="69">
        <v>2.336071944899029</v>
      </c>
      <c r="E6" s="69">
        <v>0.1556393279909529</v>
      </c>
      <c r="F6" s="69">
        <v>38.09243059158325</v>
      </c>
      <c r="G6" s="69">
        <v>2.355121496557719</v>
      </c>
      <c r="H6" s="69">
        <v>6.354754116800096</v>
      </c>
      <c r="I6" s="69">
        <v>0.3676587219592135</v>
      </c>
      <c r="J6" s="69">
        <v>52.70217304428419</v>
      </c>
      <c r="K6" s="69">
        <v>2.900483850833808</v>
      </c>
      <c r="L6" s="69">
        <v>0.5145703024334377</v>
      </c>
      <c r="M6" s="69">
        <v>0.02432642233451164</v>
      </c>
      <c r="N6" s="69">
        <v>19.02338093382835</v>
      </c>
      <c r="O6" s="69">
        <v>0.2054629499683724</v>
      </c>
      <c r="P6" s="69">
        <v>2.006005998530029</v>
      </c>
      <c r="Q6" s="69">
        <v>0.01246041569565839</v>
      </c>
      <c r="R6" s="69">
        <v>1.049129163668674</v>
      </c>
      <c r="S6" s="69">
        <v>0.12987662010683</v>
      </c>
    </row>
    <row r="7" ht="15.75" customHeight="1">
      <c r="A7" s="17" t="s">
        <v>94</v>
      </c>
      <c r="B7" s="17" t="s">
        <v>138</v>
      </c>
      <c r="C7" s="17" t="s">
        <v>136</v>
      </c>
      <c r="D7" s="69">
        <v>2.429954051971436</v>
      </c>
      <c r="E7" s="69">
        <v>0.1146331289053017</v>
      </c>
      <c r="F7" s="69">
        <v>35.41608471340604</v>
      </c>
      <c r="G7" s="69">
        <v>1.307660361594411</v>
      </c>
      <c r="H7" s="69">
        <v>4.379148165384929</v>
      </c>
      <c r="I7" s="69">
        <v>0.09078595449766474</v>
      </c>
      <c r="J7" s="69">
        <v>57.24772462579939</v>
      </c>
      <c r="K7" s="69">
        <v>1.559121412607785</v>
      </c>
      <c r="L7" s="69">
        <v>0.527088443438212</v>
      </c>
      <c r="M7" s="69">
        <v>0.08125442880355994</v>
      </c>
      <c r="N7" s="69">
        <v>17.10878065303179</v>
      </c>
      <c r="O7" s="69">
        <v>0.4688053184791469</v>
      </c>
      <c r="P7" s="69">
        <v>1.483722783194764</v>
      </c>
      <c r="Q7" s="69">
        <v>0.02514459466397188</v>
      </c>
      <c r="R7" s="69">
        <v>1.214599681401601</v>
      </c>
      <c r="S7" s="69">
        <v>0.07920672962582402</v>
      </c>
    </row>
    <row r="8" ht="15.75" customHeight="1">
      <c r="A8" s="17" t="s">
        <v>94</v>
      </c>
      <c r="B8" s="17" t="s">
        <v>139</v>
      </c>
      <c r="C8" s="17" t="s">
        <v>135</v>
      </c>
      <c r="D8" s="69">
        <v>2.438626527786255</v>
      </c>
      <c r="E8" s="69">
        <v>0.08056059887007253</v>
      </c>
      <c r="F8" s="69">
        <v>40.0022807651096</v>
      </c>
      <c r="G8" s="69">
        <v>2.177121058396859</v>
      </c>
      <c r="H8" s="69">
        <v>6.646288871765137</v>
      </c>
      <c r="I8" s="69">
        <v>0.07314666697276648</v>
      </c>
      <c r="J8" s="69">
        <v>50.38984624875916</v>
      </c>
      <c r="K8" s="69">
        <v>2.318947488237715</v>
      </c>
      <c r="L8" s="69">
        <v>0.5229575865798526</v>
      </c>
      <c r="M8" s="69">
        <v>0.008210724856790178</v>
      </c>
      <c r="N8" s="69">
        <v>19.14064722320723</v>
      </c>
      <c r="O8" s="69">
        <v>0.3946120217994936</v>
      </c>
      <c r="P8" s="69">
        <v>1.997302746887248</v>
      </c>
      <c r="Q8" s="69">
        <v>0.09643458511699447</v>
      </c>
      <c r="R8" s="69">
        <v>0.9485910690471578</v>
      </c>
      <c r="S8" s="69">
        <v>0.09645811091047403</v>
      </c>
    </row>
    <row r="9" ht="15.75" customHeight="1">
      <c r="A9" s="17" t="s">
        <v>94</v>
      </c>
      <c r="B9" s="17" t="s">
        <v>139</v>
      </c>
      <c r="C9" s="17" t="s">
        <v>136</v>
      </c>
      <c r="D9" s="69">
        <v>2.283941745758057</v>
      </c>
      <c r="E9" s="69">
        <v>0.1334766624285235</v>
      </c>
      <c r="F9" s="69">
        <v>33.69505649142795</v>
      </c>
      <c r="G9" s="69">
        <v>1.250226976936164</v>
      </c>
      <c r="H9" s="69">
        <v>4.525731235080295</v>
      </c>
      <c r="I9" s="69">
        <v>0.08263692523346496</v>
      </c>
      <c r="J9" s="69">
        <v>59.0394566098849</v>
      </c>
      <c r="K9" s="69">
        <v>1.417525115234056</v>
      </c>
      <c r="L9" s="69">
        <v>0.455813917848799</v>
      </c>
      <c r="M9" s="69">
        <v>0.01819752948523609</v>
      </c>
      <c r="N9" s="69">
        <v>17.26155668677822</v>
      </c>
      <c r="O9" s="69">
        <v>0.9333756725542646</v>
      </c>
      <c r="P9" s="69">
        <v>1.612423856851723</v>
      </c>
      <c r="Q9" s="69">
        <v>0.03039594039998334</v>
      </c>
      <c r="R9" s="69">
        <v>1.316540244221911</v>
      </c>
      <c r="S9" s="69">
        <v>0.07956953217206345</v>
      </c>
    </row>
    <row r="10" ht="15.75" customHeight="1">
      <c r="A10" s="17" t="s">
        <v>95</v>
      </c>
      <c r="B10" s="17" t="s">
        <v>140</v>
      </c>
      <c r="C10" s="17" t="s">
        <v>135</v>
      </c>
      <c r="D10" s="69">
        <v>2.620011647542317</v>
      </c>
      <c r="E10" s="69">
        <v>0.03965062814829301</v>
      </c>
      <c r="F10" s="69">
        <v>41.45499335394966</v>
      </c>
      <c r="G10" s="69">
        <v>0.4575552727218611</v>
      </c>
      <c r="H10" s="69">
        <v>6.756241268581815</v>
      </c>
      <c r="I10" s="69">
        <v>0.03628588911239537</v>
      </c>
      <c r="J10" s="69">
        <v>48.64782499604755</v>
      </c>
      <c r="K10" s="69">
        <v>0.5360644189108975</v>
      </c>
      <c r="L10" s="69">
        <v>0.5209287338786655</v>
      </c>
      <c r="M10" s="69">
        <v>0.01022413741584329</v>
      </c>
      <c r="N10" s="69">
        <v>18.46193722524881</v>
      </c>
      <c r="O10" s="69">
        <v>0.1601687564946579</v>
      </c>
      <c r="P10" s="69">
        <v>1.955851724175599</v>
      </c>
      <c r="Q10" s="69">
        <v>0.01131661196287433</v>
      </c>
      <c r="R10" s="69">
        <v>0.8803888641400391</v>
      </c>
      <c r="S10" s="69">
        <v>0.01939555929200285</v>
      </c>
    </row>
    <row r="11" ht="15.75" customHeight="1">
      <c r="A11" s="17" t="s">
        <v>95</v>
      </c>
      <c r="B11" s="17" t="s">
        <v>140</v>
      </c>
      <c r="C11" s="17" t="s">
        <v>136</v>
      </c>
      <c r="D11" s="69">
        <v>2.321808867984348</v>
      </c>
      <c r="E11" s="69">
        <v>0.06763265740901463</v>
      </c>
      <c r="F11" s="69">
        <v>34.27463065253364</v>
      </c>
      <c r="G11" s="69">
        <v>0.5102628612960937</v>
      </c>
      <c r="H11" s="69">
        <v>4.416428089141846</v>
      </c>
      <c r="I11" s="69">
        <v>0.1061112404473609</v>
      </c>
      <c r="J11" s="69">
        <v>58.55845694078339</v>
      </c>
      <c r="K11" s="69">
        <v>0.6341231379667402</v>
      </c>
      <c r="L11" s="69">
        <v>0.4286754495567746</v>
      </c>
      <c r="M11" s="69">
        <v>0.007614393500738865</v>
      </c>
      <c r="N11" s="69">
        <v>17.2278380229484</v>
      </c>
      <c r="O11" s="69">
        <v>0.40583451236692</v>
      </c>
      <c r="P11" s="69">
        <v>1.5483773993469</v>
      </c>
      <c r="Q11" s="69">
        <v>0.02401400288513545</v>
      </c>
      <c r="R11" s="69">
        <v>1.288659085378582</v>
      </c>
      <c r="S11" s="69">
        <v>0.03444941076629336</v>
      </c>
    </row>
    <row r="12" ht="15.75" customHeight="1">
      <c r="A12" s="17" t="s">
        <v>95</v>
      </c>
      <c r="B12" s="17" t="s">
        <v>134</v>
      </c>
      <c r="C12" s="17" t="s">
        <v>135</v>
      </c>
      <c r="D12" s="69">
        <v>2.490901947021484</v>
      </c>
      <c r="E12" s="69">
        <v>0.1101992963286562</v>
      </c>
      <c r="F12" s="69">
        <v>39.35925971137153</v>
      </c>
      <c r="G12" s="69">
        <v>1.860435118072072</v>
      </c>
      <c r="H12" s="69">
        <v>6.491875489552815</v>
      </c>
      <c r="I12" s="69">
        <v>0.2398974887148675</v>
      </c>
      <c r="J12" s="69">
        <v>51.15234574013287</v>
      </c>
      <c r="K12" s="69">
        <v>2.234613582261613</v>
      </c>
      <c r="L12" s="69">
        <v>0.5056171119213104</v>
      </c>
      <c r="M12" s="69">
        <v>0.02449473550298192</v>
      </c>
      <c r="N12" s="69">
        <v>18.43174130580203</v>
      </c>
      <c r="O12" s="69">
        <v>0.07373885049659935</v>
      </c>
      <c r="P12" s="69">
        <v>1.980225037547023</v>
      </c>
      <c r="Q12" s="69">
        <v>0.02042568572734902</v>
      </c>
      <c r="R12" s="69">
        <v>0.9783481504379626</v>
      </c>
      <c r="S12" s="69">
        <v>0.08979833843142923</v>
      </c>
    </row>
    <row r="13" ht="15.75" customHeight="1">
      <c r="A13" s="17" t="s">
        <v>95</v>
      </c>
      <c r="B13" s="17" t="s">
        <v>134</v>
      </c>
      <c r="C13" s="17" t="s">
        <v>136</v>
      </c>
      <c r="D13" s="69">
        <v>2.4314108159807</v>
      </c>
      <c r="E13" s="69">
        <v>0.09121536877342604</v>
      </c>
      <c r="F13" s="69">
        <v>34.42563162909614</v>
      </c>
      <c r="G13" s="69">
        <v>0.8586852026305264</v>
      </c>
      <c r="H13" s="69">
        <v>4.434699636035496</v>
      </c>
      <c r="I13" s="69">
        <v>0.2925995371121454</v>
      </c>
      <c r="J13" s="69">
        <v>58.26634812553723</v>
      </c>
      <c r="K13" s="69">
        <v>0.9123708866979285</v>
      </c>
      <c r="L13" s="69">
        <v>0.4419097933504316</v>
      </c>
      <c r="M13" s="69">
        <v>0.01086270999717442</v>
      </c>
      <c r="N13" s="69">
        <v>16.58010142564469</v>
      </c>
      <c r="O13" s="69">
        <v>0.9412164518917367</v>
      </c>
      <c r="P13" s="69">
        <v>1.545972414273568</v>
      </c>
      <c r="Q13" s="69">
        <v>0.1082217954474746</v>
      </c>
      <c r="R13" s="69">
        <v>1.27110134462866</v>
      </c>
      <c r="S13" s="69">
        <v>0.05070992770891394</v>
      </c>
    </row>
    <row r="14" ht="15.75" customHeight="1">
      <c r="A14" s="17" t="s">
        <v>95</v>
      </c>
      <c r="B14" s="17" t="s">
        <v>137</v>
      </c>
      <c r="C14" s="17" t="s">
        <v>135</v>
      </c>
      <c r="D14" s="69">
        <v>2.56446811887953</v>
      </c>
      <c r="E14" s="69">
        <v>0.2889734605134655</v>
      </c>
      <c r="F14" s="69">
        <v>42.71174706353082</v>
      </c>
      <c r="G14" s="69">
        <v>5.495659232983767</v>
      </c>
      <c r="H14" s="69">
        <v>6.787164900037977</v>
      </c>
      <c r="I14" s="69">
        <v>0.5225190198603011</v>
      </c>
      <c r="J14" s="69">
        <v>47.38860076997015</v>
      </c>
      <c r="K14" s="69">
        <v>6.35623011717606</v>
      </c>
      <c r="L14" s="69">
        <v>0.5480191475815244</v>
      </c>
      <c r="M14" s="69">
        <v>0.05007865529166809</v>
      </c>
      <c r="N14" s="69">
        <v>19.47129359622711</v>
      </c>
      <c r="O14" s="69">
        <v>0.4078811087583412</v>
      </c>
      <c r="P14" s="69">
        <v>1.928480650245364</v>
      </c>
      <c r="Q14" s="69">
        <v>0.07502121407050516</v>
      </c>
      <c r="R14" s="69">
        <v>0.9014126677946899</v>
      </c>
      <c r="S14" s="69">
        <v>0.1344693566631902</v>
      </c>
    </row>
    <row r="15" ht="15.75" customHeight="1">
      <c r="A15" s="17" t="s">
        <v>95</v>
      </c>
      <c r="B15" s="17" t="s">
        <v>137</v>
      </c>
      <c r="C15" s="17" t="s">
        <v>136</v>
      </c>
      <c r="D15" s="69">
        <v>2.340674718221029</v>
      </c>
      <c r="E15" s="69">
        <v>0.07240334845280208</v>
      </c>
      <c r="F15" s="69">
        <v>35.21374850802951</v>
      </c>
      <c r="G15" s="69">
        <v>2.010553793987939</v>
      </c>
      <c r="H15" s="69">
        <v>4.564945326911078</v>
      </c>
      <c r="I15" s="69">
        <v>0.1414414266673148</v>
      </c>
      <c r="J15" s="69">
        <v>57.42689593301879</v>
      </c>
      <c r="K15" s="69">
        <v>2.242041454381924</v>
      </c>
      <c r="L15" s="69">
        <v>0.4537355138195885</v>
      </c>
      <c r="M15" s="69">
        <v>0.02037305239358717</v>
      </c>
      <c r="N15" s="69">
        <v>17.56590793319847</v>
      </c>
      <c r="O15" s="69">
        <v>0.4238820158754258</v>
      </c>
      <c r="P15" s="69">
        <v>1.557367870878957</v>
      </c>
      <c r="Q15" s="69">
        <v>0.04140354811840489</v>
      </c>
      <c r="R15" s="69">
        <v>1.229686753720031</v>
      </c>
      <c r="S15" s="69">
        <v>0.1204760437457235</v>
      </c>
    </row>
    <row r="16" ht="15.75" customHeight="1">
      <c r="A16" s="17" t="s">
        <v>96</v>
      </c>
      <c r="B16" s="17" t="s">
        <v>140</v>
      </c>
      <c r="C16" s="17" t="s">
        <v>135</v>
      </c>
      <c r="D16" s="69">
        <v>2.375698223482769</v>
      </c>
      <c r="E16" s="69">
        <v>0.3435632331224674</v>
      </c>
      <c r="F16" s="69">
        <v>37.22741370768229</v>
      </c>
      <c r="G16" s="69">
        <v>5.278362718832902</v>
      </c>
      <c r="H16" s="69">
        <v>6.181130430433486</v>
      </c>
      <c r="I16" s="69">
        <v>0.7596847830219083</v>
      </c>
      <c r="J16" s="69">
        <v>53.70177970176273</v>
      </c>
      <c r="K16" s="69">
        <v>6.426172613775725</v>
      </c>
      <c r="L16" s="69">
        <v>0.5139779366387254</v>
      </c>
      <c r="M16" s="69">
        <v>0.05052038134073152</v>
      </c>
      <c r="N16" s="69">
        <v>18.29478137254496</v>
      </c>
      <c r="O16" s="69">
        <v>0.1440502031613023</v>
      </c>
      <c r="P16" s="69">
        <v>1.996432166847154</v>
      </c>
      <c r="Q16" s="69">
        <v>0.04137191306333628</v>
      </c>
      <c r="R16" s="69">
        <v>1.111165154886645</v>
      </c>
      <c r="S16" s="69">
        <v>0.3095323480896949</v>
      </c>
    </row>
    <row r="17" ht="15.75" customHeight="1">
      <c r="A17" s="17" t="s">
        <v>96</v>
      </c>
      <c r="B17" s="17" t="s">
        <v>140</v>
      </c>
      <c r="C17" s="17" t="s">
        <v>136</v>
      </c>
      <c r="D17" s="69">
        <v>2.409314976798163</v>
      </c>
      <c r="E17" s="69">
        <v>0.05226767813583289</v>
      </c>
      <c r="F17" s="69">
        <v>35.20610088772244</v>
      </c>
      <c r="G17" s="69">
        <v>0.3589466915037869</v>
      </c>
      <c r="H17" s="69">
        <v>4.416198359595405</v>
      </c>
      <c r="I17" s="69">
        <v>0.109218540111863</v>
      </c>
      <c r="J17" s="69">
        <v>57.53948171933492</v>
      </c>
      <c r="K17" s="69">
        <v>0.5074824385936232</v>
      </c>
      <c r="L17" s="69">
        <v>0.4289040565490723</v>
      </c>
      <c r="M17" s="69">
        <v>0.02060112745778332</v>
      </c>
      <c r="N17" s="69">
        <v>17.08267972156304</v>
      </c>
      <c r="O17" s="69">
        <v>0.2564989618527202</v>
      </c>
      <c r="P17" s="69">
        <v>1.506553677078746</v>
      </c>
      <c r="Q17" s="69">
        <v>0.02590414673162787</v>
      </c>
      <c r="R17" s="69">
        <v>1.226200960417426</v>
      </c>
      <c r="S17" s="69">
        <v>0.02330501368704064</v>
      </c>
    </row>
    <row r="18" ht="15.75" customHeight="1">
      <c r="A18" s="17" t="s">
        <v>97</v>
      </c>
      <c r="B18" s="17" t="s">
        <v>140</v>
      </c>
      <c r="C18" s="17" t="s">
        <v>135</v>
      </c>
      <c r="D18" s="69">
        <v>2.573262393951417</v>
      </c>
      <c r="E18" s="69">
        <v>0.1539232909117479</v>
      </c>
      <c r="F18" s="69">
        <v>40.09938447740343</v>
      </c>
      <c r="G18" s="69">
        <v>2.242235177060692</v>
      </c>
      <c r="H18" s="69">
        <v>6.690037388271755</v>
      </c>
      <c r="I18" s="69">
        <v>0.1815401976567725</v>
      </c>
      <c r="J18" s="69">
        <v>50.08369483171569</v>
      </c>
      <c r="K18" s="69">
        <v>2.579207461272827</v>
      </c>
      <c r="L18" s="69">
        <v>0.5536209086577097</v>
      </c>
      <c r="M18" s="69">
        <v>0.0811609368697788</v>
      </c>
      <c r="N18" s="69">
        <v>18.18410343350995</v>
      </c>
      <c r="O18" s="69">
        <v>0.07281543568930669</v>
      </c>
      <c r="P18" s="69">
        <v>2.00529694924855</v>
      </c>
      <c r="Q18" s="69">
        <v>0.09137362290628927</v>
      </c>
      <c r="R18" s="69">
        <v>0.9407051489959348</v>
      </c>
      <c r="S18" s="69">
        <v>0.09953537506864678</v>
      </c>
    </row>
    <row r="19" ht="15.75" customHeight="1">
      <c r="A19" s="17" t="s">
        <v>97</v>
      </c>
      <c r="B19" s="17" t="s">
        <v>140</v>
      </c>
      <c r="C19" s="17" t="s">
        <v>136</v>
      </c>
      <c r="D19" s="69">
        <v>2.295450104607476</v>
      </c>
      <c r="E19" s="69">
        <v>0.06631269856727381</v>
      </c>
      <c r="F19" s="69">
        <v>34.42612626817491</v>
      </c>
      <c r="G19" s="69">
        <v>0.4282627934687384</v>
      </c>
      <c r="H19" s="69">
        <v>4.343587557474772</v>
      </c>
      <c r="I19" s="69">
        <v>0.03871323669522159</v>
      </c>
      <c r="J19" s="69">
        <v>58.51344005266825</v>
      </c>
      <c r="K19" s="69">
        <v>0.5028465517206592</v>
      </c>
      <c r="L19" s="69">
        <v>0.421396017074585</v>
      </c>
      <c r="M19" s="69">
        <v>0.008900618573971066</v>
      </c>
      <c r="N19" s="69">
        <v>17.51704088841316</v>
      </c>
      <c r="O19" s="69">
        <v>0.4284161099858332</v>
      </c>
      <c r="P19" s="69">
        <v>1.514206764885002</v>
      </c>
      <c r="Q19" s="69">
        <v>0.006161040803262902</v>
      </c>
      <c r="R19" s="69">
        <v>1.276121201714737</v>
      </c>
      <c r="S19" s="69">
        <v>0.02600638204280174</v>
      </c>
    </row>
    <row r="20" ht="15.75" customHeight="1"/>
    <row r="21" ht="15.75" customHeight="1"/>
    <row r="22" ht="15.75" customHeight="1"/>
    <row r="23" ht="15.75" customHeight="1">
      <c r="A23" s="79" t="s">
        <v>98</v>
      </c>
      <c r="B23" s="79" t="s">
        <v>92</v>
      </c>
      <c r="C23" s="79" t="s">
        <v>141</v>
      </c>
      <c r="D23" s="79" t="s">
        <v>142</v>
      </c>
      <c r="E23" s="79" t="s">
        <v>143</v>
      </c>
      <c r="F23" s="79" t="s">
        <v>144</v>
      </c>
    </row>
    <row r="24" ht="15.75" customHeight="1">
      <c r="A24" s="17" t="s">
        <v>145</v>
      </c>
      <c r="B24" s="17">
        <v>0.0</v>
      </c>
      <c r="C24" s="69">
        <v>6.923333333333333</v>
      </c>
      <c r="D24" s="69">
        <v>0.04041451884327382</v>
      </c>
      <c r="E24" s="69">
        <v>0.0</v>
      </c>
      <c r="F24" s="69">
        <v>0.0</v>
      </c>
    </row>
    <row r="25" ht="15.75" customHeight="1">
      <c r="A25" s="17" t="s">
        <v>145</v>
      </c>
      <c r="B25" s="17">
        <v>2.0</v>
      </c>
      <c r="C25" s="69">
        <v>7.16</v>
      </c>
      <c r="D25" s="69">
        <v>0.03000000000000025</v>
      </c>
      <c r="E25" s="69">
        <v>0.0</v>
      </c>
      <c r="F25" s="69">
        <v>0.0</v>
      </c>
    </row>
    <row r="26" ht="15.75" customHeight="1">
      <c r="A26" s="17" t="s">
        <v>145</v>
      </c>
      <c r="B26" s="17">
        <v>4.0</v>
      </c>
      <c r="C26" s="69">
        <v>7.286666666666667</v>
      </c>
      <c r="D26" s="69">
        <v>0.15502687938978</v>
      </c>
      <c r="E26" s="69">
        <v>73.4981684981685</v>
      </c>
      <c r="F26" s="69">
        <v>7.647106862621536</v>
      </c>
    </row>
    <row r="27" ht="15.75" customHeight="1">
      <c r="A27" s="17" t="s">
        <v>35</v>
      </c>
      <c r="B27" s="17">
        <v>0.0</v>
      </c>
      <c r="C27" s="69">
        <v>7.026666666666666</v>
      </c>
      <c r="D27" s="69">
        <v>0.03785938897200204</v>
      </c>
      <c r="E27" s="69">
        <v>0.0</v>
      </c>
      <c r="F27" s="69">
        <v>0.0</v>
      </c>
    </row>
    <row r="28" ht="15.75" customHeight="1">
      <c r="A28" s="17" t="s">
        <v>39</v>
      </c>
      <c r="B28" s="17">
        <v>0.0</v>
      </c>
      <c r="C28" s="69">
        <v>7.06</v>
      </c>
      <c r="D28" s="69">
        <v>0.1153256259467077</v>
      </c>
      <c r="E28" s="69">
        <v>0.0</v>
      </c>
      <c r="F28" s="69">
        <v>0.0</v>
      </c>
    </row>
    <row r="29" ht="15.75" customHeight="1">
      <c r="A29" s="17" t="s">
        <v>146</v>
      </c>
      <c r="B29" s="17">
        <v>2.0</v>
      </c>
      <c r="C29" s="69">
        <v>7.16</v>
      </c>
      <c r="D29" s="69">
        <v>0.1299999999999999</v>
      </c>
      <c r="E29" s="69">
        <v>0.0</v>
      </c>
      <c r="F29" s="69">
        <v>0.0</v>
      </c>
    </row>
    <row r="30" ht="15.75" customHeight="1">
      <c r="A30" s="17" t="s">
        <v>146</v>
      </c>
      <c r="B30" s="17">
        <v>4.0</v>
      </c>
      <c r="C30" s="69">
        <v>7.44</v>
      </c>
      <c r="D30" s="69">
        <v>0.4543126676640218</v>
      </c>
      <c r="E30" s="69">
        <v>0.0</v>
      </c>
      <c r="F30" s="69">
        <v>0.0</v>
      </c>
    </row>
    <row r="31" ht="15.75" customHeight="1">
      <c r="A31" s="17" t="s">
        <v>146</v>
      </c>
      <c r="B31" s="17">
        <v>10.0</v>
      </c>
      <c r="C31" s="69">
        <v>7.3</v>
      </c>
      <c r="D31" s="69">
        <v>0.07549834435270765</v>
      </c>
      <c r="E31" s="69">
        <v>46.35061728395062</v>
      </c>
      <c r="F31" s="69">
        <v>19.54114133941061</v>
      </c>
    </row>
    <row r="32" ht="15.75" customHeight="1">
      <c r="A32" s="17" t="s">
        <v>146</v>
      </c>
      <c r="B32" s="17">
        <v>15.0</v>
      </c>
      <c r="C32" s="69">
        <v>7.253333333333333</v>
      </c>
      <c r="D32" s="69">
        <v>0.05773502691896288</v>
      </c>
      <c r="E32" s="69">
        <v>50.19949666733735</v>
      </c>
      <c r="F32" s="69">
        <v>17.83593467323504</v>
      </c>
    </row>
    <row r="33" ht="15.75" customHeight="1"/>
    <row r="34" ht="15.75" customHeight="1"/>
    <row r="35" ht="15.75" customHeight="1">
      <c r="A35" s="81" t="s">
        <v>147</v>
      </c>
    </row>
    <row r="36" ht="15.75" customHeight="1">
      <c r="A36" s="40" t="s">
        <v>98</v>
      </c>
      <c r="B36" s="40" t="s">
        <v>92</v>
      </c>
      <c r="C36" s="79" t="s">
        <v>117</v>
      </c>
      <c r="D36" s="40" t="s">
        <v>148</v>
      </c>
      <c r="E36" s="40" t="s">
        <v>149</v>
      </c>
      <c r="F36" s="40" t="s">
        <v>150</v>
      </c>
      <c r="G36" s="40" t="s">
        <v>151</v>
      </c>
      <c r="H36" s="40" t="s">
        <v>152</v>
      </c>
      <c r="I36" s="40" t="s">
        <v>153</v>
      </c>
      <c r="J36" s="40" t="s">
        <v>154</v>
      </c>
      <c r="K36" s="40" t="s">
        <v>155</v>
      </c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 ht="15.75" customHeight="1">
      <c r="A37" s="17" t="s">
        <v>94</v>
      </c>
      <c r="B37" s="17" t="s">
        <v>134</v>
      </c>
      <c r="C37" s="17" t="s">
        <v>135</v>
      </c>
      <c r="D37" s="69">
        <v>2.323594390021431</v>
      </c>
      <c r="E37" s="69">
        <v>0.1122589381130772</v>
      </c>
      <c r="F37" s="69">
        <v>35.42001953831425</v>
      </c>
      <c r="G37" s="69">
        <v>2.693596676303216</v>
      </c>
      <c r="H37" s="69">
        <v>6.358347221362738</v>
      </c>
      <c r="I37" s="69">
        <v>0.1395530062433028</v>
      </c>
      <c r="J37" s="69">
        <v>17.76718189057983</v>
      </c>
      <c r="K37" s="69">
        <v>0.5618301990983416</v>
      </c>
      <c r="L37" s="69"/>
      <c r="M37" s="69"/>
      <c r="P37" s="69"/>
      <c r="Q37" s="69"/>
      <c r="R37" s="69"/>
      <c r="S37" s="69"/>
    </row>
    <row r="38" ht="15.75" customHeight="1">
      <c r="A38" s="17" t="s">
        <v>94</v>
      </c>
      <c r="B38" s="17" t="s">
        <v>134</v>
      </c>
      <c r="C38" s="17" t="s">
        <v>136</v>
      </c>
      <c r="D38" s="69">
        <v>2.368734320004781</v>
      </c>
      <c r="E38" s="69">
        <v>0.164604159632147</v>
      </c>
      <c r="F38" s="69">
        <v>34.94089592827692</v>
      </c>
      <c r="G38" s="69">
        <v>1.678561022820713</v>
      </c>
      <c r="H38" s="69">
        <v>4.333291477627225</v>
      </c>
      <c r="I38" s="69">
        <v>0.1953911067940876</v>
      </c>
      <c r="J38" s="69">
        <v>17.33346204872688</v>
      </c>
      <c r="K38" s="69">
        <v>2.117196104537955</v>
      </c>
      <c r="L38" s="69"/>
      <c r="M38" s="69"/>
      <c r="P38" s="69"/>
      <c r="Q38" s="69"/>
      <c r="R38" s="69"/>
      <c r="S38" s="69"/>
    </row>
    <row r="39" ht="15.75" customHeight="1">
      <c r="A39" s="17" t="s">
        <v>94</v>
      </c>
      <c r="B39" s="17" t="s">
        <v>137</v>
      </c>
      <c r="C39" s="17" t="s">
        <v>135</v>
      </c>
      <c r="D39" s="69">
        <v>2.291356033749051</v>
      </c>
      <c r="E39" s="69">
        <v>0.05247945432267135</v>
      </c>
      <c r="F39" s="69">
        <v>34.98912574626782</v>
      </c>
      <c r="G39" s="69">
        <v>0.6515083476477551</v>
      </c>
      <c r="H39" s="69">
        <v>6.237973548453531</v>
      </c>
      <c r="I39" s="69">
        <v>0.1629632475643778</v>
      </c>
      <c r="J39" s="69">
        <v>17.81214714918927</v>
      </c>
      <c r="K39" s="69">
        <v>0.1010511738049552</v>
      </c>
      <c r="L39" s="69"/>
      <c r="M39" s="69"/>
      <c r="P39" s="69"/>
      <c r="Q39" s="69"/>
      <c r="R39" s="69"/>
      <c r="S39" s="69"/>
    </row>
    <row r="40" ht="15.75" customHeight="1">
      <c r="A40" s="17" t="s">
        <v>94</v>
      </c>
      <c r="B40" s="17" t="s">
        <v>137</v>
      </c>
      <c r="C40" s="17" t="s">
        <v>136</v>
      </c>
      <c r="D40" s="69">
        <v>2.405005693435669</v>
      </c>
      <c r="E40" s="69">
        <v>0.07257401285247322</v>
      </c>
      <c r="F40" s="69">
        <v>34.9091871049669</v>
      </c>
      <c r="G40" s="69">
        <v>2.471592909678739</v>
      </c>
      <c r="H40" s="69">
        <v>4.361289766099718</v>
      </c>
      <c r="I40" s="69">
        <v>0.2202843110210726</v>
      </c>
      <c r="J40" s="69">
        <v>16.96694453529721</v>
      </c>
      <c r="K40" s="69">
        <v>0.7954151614904831</v>
      </c>
      <c r="L40" s="69"/>
      <c r="M40" s="69"/>
      <c r="P40" s="69"/>
      <c r="Q40" s="69"/>
      <c r="R40" s="69"/>
      <c r="S40" s="69"/>
    </row>
    <row r="41" ht="15.75" customHeight="1">
      <c r="A41" s="17" t="s">
        <v>94</v>
      </c>
      <c r="B41" s="17" t="s">
        <v>138</v>
      </c>
      <c r="C41" s="17" t="s">
        <v>135</v>
      </c>
      <c r="D41" s="69">
        <v>2.087106787496143</v>
      </c>
      <c r="E41" s="69">
        <v>0.1556393279909529</v>
      </c>
      <c r="F41" s="69">
        <v>33.15767268781309</v>
      </c>
      <c r="G41" s="69">
        <v>2.355121496557719</v>
      </c>
      <c r="H41" s="69">
        <v>6.177668946466328</v>
      </c>
      <c r="I41" s="69">
        <v>0.3676587219592135</v>
      </c>
      <c r="J41" s="69">
        <v>18.49818783494599</v>
      </c>
      <c r="K41" s="69">
        <v>0.2054629499683724</v>
      </c>
      <c r="L41" s="69"/>
      <c r="M41" s="69"/>
      <c r="P41" s="69"/>
      <c r="Q41" s="69"/>
      <c r="R41" s="69"/>
      <c r="S41" s="69"/>
    </row>
    <row r="42" ht="15.75" customHeight="1">
      <c r="A42" s="17" t="s">
        <v>94</v>
      </c>
      <c r="B42" s="17" t="s">
        <v>138</v>
      </c>
      <c r="C42" s="17" t="s">
        <v>136</v>
      </c>
      <c r="D42" s="69">
        <v>2.429954051971436</v>
      </c>
      <c r="E42" s="69">
        <v>0.1146331289053017</v>
      </c>
      <c r="F42" s="69">
        <v>35.41608471340604</v>
      </c>
      <c r="G42" s="69">
        <v>1.307660361594411</v>
      </c>
      <c r="H42" s="69">
        <v>4.379148165384929</v>
      </c>
      <c r="I42" s="69">
        <v>0.09078595449766474</v>
      </c>
      <c r="J42" s="69">
        <v>17.10878065303179</v>
      </c>
      <c r="K42" s="69">
        <v>0.4688053184791469</v>
      </c>
      <c r="L42" s="69"/>
      <c r="M42" s="69"/>
      <c r="P42" s="69"/>
      <c r="Q42" s="69"/>
      <c r="R42" s="69"/>
      <c r="S42" s="69"/>
    </row>
    <row r="43" ht="15.75" customHeight="1">
      <c r="A43" s="17" t="s">
        <v>94</v>
      </c>
      <c r="B43" s="17" t="s">
        <v>139</v>
      </c>
      <c r="C43" s="17" t="s">
        <v>135</v>
      </c>
      <c r="D43" s="69">
        <v>2.189661370383369</v>
      </c>
      <c r="E43" s="69">
        <v>0.08056059887007253</v>
      </c>
      <c r="F43" s="69">
        <v>35.06752286133943</v>
      </c>
      <c r="G43" s="69">
        <v>2.177121058396859</v>
      </c>
      <c r="H43" s="69">
        <v>6.469203701431368</v>
      </c>
      <c r="I43" s="69">
        <v>0.07314666697276648</v>
      </c>
      <c r="J43" s="69">
        <v>18.61545412432487</v>
      </c>
      <c r="K43" s="69">
        <v>0.3946120217994936</v>
      </c>
      <c r="L43" s="69"/>
      <c r="M43" s="69"/>
      <c r="P43" s="69"/>
      <c r="Q43" s="69"/>
      <c r="R43" s="69"/>
      <c r="S43" s="69"/>
    </row>
    <row r="44" ht="15.75" customHeight="1">
      <c r="A44" s="17" t="s">
        <v>94</v>
      </c>
      <c r="B44" s="17" t="s">
        <v>139</v>
      </c>
      <c r="C44" s="17" t="s">
        <v>136</v>
      </c>
      <c r="D44" s="69">
        <v>2.283941745758057</v>
      </c>
      <c r="E44" s="69">
        <v>0.1334766624285235</v>
      </c>
      <c r="F44" s="69">
        <v>33.69505649142795</v>
      </c>
      <c r="G44" s="69">
        <v>1.250226976936164</v>
      </c>
      <c r="H44" s="69">
        <v>4.525731235080295</v>
      </c>
      <c r="I44" s="69">
        <v>0.08263692523346496</v>
      </c>
      <c r="J44" s="69">
        <v>17.26155668677822</v>
      </c>
      <c r="K44" s="69">
        <v>0.9333756725542646</v>
      </c>
      <c r="L44" s="69"/>
      <c r="M44" s="69"/>
      <c r="P44" s="69"/>
      <c r="Q44" s="69"/>
      <c r="R44" s="69"/>
      <c r="S44" s="69"/>
    </row>
    <row r="45" ht="15.75" customHeight="1">
      <c r="A45" s="17" t="s">
        <v>95</v>
      </c>
      <c r="B45" s="17" t="s">
        <v>140</v>
      </c>
      <c r="C45" s="17" t="s">
        <v>135</v>
      </c>
      <c r="D45" s="69">
        <v>2.371046490139431</v>
      </c>
      <c r="E45" s="69">
        <v>0.03965062814829301</v>
      </c>
      <c r="F45" s="69">
        <v>36.5202354501795</v>
      </c>
      <c r="G45" s="69">
        <v>0.4575552727218611</v>
      </c>
      <c r="H45" s="69">
        <v>6.579156098248046</v>
      </c>
      <c r="I45" s="69">
        <v>0.03628588911239537</v>
      </c>
      <c r="J45" s="69">
        <v>17.93674412636645</v>
      </c>
      <c r="K45" s="69">
        <v>0.1601687564946579</v>
      </c>
      <c r="L45" s="69"/>
      <c r="M45" s="69"/>
      <c r="P45" s="69"/>
      <c r="Q45" s="69"/>
      <c r="R45" s="69"/>
      <c r="S45" s="69"/>
    </row>
    <row r="46" ht="15.75" customHeight="1">
      <c r="A46" s="17" t="s">
        <v>95</v>
      </c>
      <c r="B46" s="17" t="s">
        <v>140</v>
      </c>
      <c r="C46" s="17" t="s">
        <v>136</v>
      </c>
      <c r="D46" s="69">
        <v>2.321808867984348</v>
      </c>
      <c r="E46" s="69">
        <v>0.06763265740901463</v>
      </c>
      <c r="F46" s="69">
        <v>34.27463065253364</v>
      </c>
      <c r="G46" s="69">
        <v>0.5102628612960937</v>
      </c>
      <c r="H46" s="69">
        <v>4.416428089141846</v>
      </c>
      <c r="I46" s="69">
        <v>0.1061112404473609</v>
      </c>
      <c r="J46" s="69">
        <v>17.2278380229484</v>
      </c>
      <c r="K46" s="69">
        <v>0.40583451236692</v>
      </c>
      <c r="L46" s="69"/>
      <c r="M46" s="69"/>
      <c r="P46" s="69"/>
      <c r="Q46" s="69"/>
      <c r="R46" s="69"/>
      <c r="S46" s="69"/>
    </row>
    <row r="47" ht="15.75" customHeight="1">
      <c r="A47" s="17" t="s">
        <v>95</v>
      </c>
      <c r="B47" s="17" t="s">
        <v>134</v>
      </c>
      <c r="C47" s="17" t="s">
        <v>135</v>
      </c>
      <c r="D47" s="69">
        <v>2.241936789618598</v>
      </c>
      <c r="E47" s="69">
        <v>0.1101992963286562</v>
      </c>
      <c r="F47" s="69">
        <v>34.42450180760137</v>
      </c>
      <c r="G47" s="69">
        <v>1.860435118072072</v>
      </c>
      <c r="H47" s="69">
        <v>6.314790319219047</v>
      </c>
      <c r="I47" s="69">
        <v>0.2398974887148675</v>
      </c>
      <c r="J47" s="69">
        <v>17.90654820691968</v>
      </c>
      <c r="K47" s="69">
        <v>0.07373885049659935</v>
      </c>
      <c r="L47" s="69"/>
      <c r="M47" s="69"/>
      <c r="P47" s="69"/>
      <c r="Q47" s="69"/>
      <c r="R47" s="69"/>
      <c r="S47" s="69"/>
    </row>
    <row r="48" ht="15.75" customHeight="1">
      <c r="A48" s="17" t="s">
        <v>95</v>
      </c>
      <c r="B48" s="17" t="s">
        <v>134</v>
      </c>
      <c r="C48" s="17" t="s">
        <v>136</v>
      </c>
      <c r="D48" s="69">
        <v>2.4314108159807</v>
      </c>
      <c r="E48" s="69">
        <v>0.09121536877342604</v>
      </c>
      <c r="F48" s="69">
        <v>34.42563162909614</v>
      </c>
      <c r="G48" s="69">
        <v>0.8586852026305264</v>
      </c>
      <c r="H48" s="69">
        <v>4.434699636035496</v>
      </c>
      <c r="I48" s="69">
        <v>0.2925995371121454</v>
      </c>
      <c r="J48" s="69">
        <v>16.58010142564469</v>
      </c>
      <c r="K48" s="69">
        <v>0.9412164518917367</v>
      </c>
      <c r="L48" s="69"/>
      <c r="M48" s="69"/>
      <c r="P48" s="69"/>
      <c r="Q48" s="69"/>
      <c r="R48" s="69"/>
      <c r="S48" s="69"/>
    </row>
    <row r="49" ht="15.75" customHeight="1">
      <c r="A49" s="17" t="s">
        <v>95</v>
      </c>
      <c r="B49" s="17" t="s">
        <v>137</v>
      </c>
      <c r="C49" s="17" t="s">
        <v>135</v>
      </c>
      <c r="D49" s="69">
        <v>2.315502961476644</v>
      </c>
      <c r="E49" s="69">
        <v>0.2889734605134655</v>
      </c>
      <c r="F49" s="69">
        <v>37.77698915976065</v>
      </c>
      <c r="G49" s="69">
        <v>5.495659232983767</v>
      </c>
      <c r="H49" s="69">
        <v>6.610079729704209</v>
      </c>
      <c r="I49" s="69">
        <v>0.5225190198603011</v>
      </c>
      <c r="J49" s="69">
        <v>18.94610049734475</v>
      </c>
      <c r="K49" s="69">
        <v>0.4078811087583412</v>
      </c>
      <c r="L49" s="69"/>
      <c r="M49" s="69"/>
      <c r="P49" s="69"/>
      <c r="Q49" s="69"/>
      <c r="R49" s="69"/>
      <c r="S49" s="69"/>
    </row>
    <row r="50" ht="15.75" customHeight="1">
      <c r="A50" s="17" t="s">
        <v>95</v>
      </c>
      <c r="B50" s="17" t="s">
        <v>137</v>
      </c>
      <c r="C50" s="17" t="s">
        <v>136</v>
      </c>
      <c r="D50" s="69">
        <v>2.340674718221029</v>
      </c>
      <c r="E50" s="69">
        <v>0.07240334845280208</v>
      </c>
      <c r="F50" s="69">
        <v>35.21374850802951</v>
      </c>
      <c r="G50" s="69">
        <v>2.010553793987939</v>
      </c>
      <c r="H50" s="69">
        <v>4.564945326911078</v>
      </c>
      <c r="I50" s="69">
        <v>0.1414414266673148</v>
      </c>
      <c r="J50" s="69">
        <v>17.56590793319847</v>
      </c>
      <c r="K50" s="69">
        <v>0.4238820158754258</v>
      </c>
      <c r="L50" s="69"/>
      <c r="M50" s="69"/>
      <c r="P50" s="69"/>
      <c r="Q50" s="69"/>
      <c r="R50" s="69"/>
      <c r="S50" s="69"/>
    </row>
    <row r="51" ht="15.75" customHeight="1">
      <c r="A51" s="17" t="s">
        <v>96</v>
      </c>
      <c r="B51" s="17" t="s">
        <v>140</v>
      </c>
      <c r="C51" s="17" t="s">
        <v>135</v>
      </c>
      <c r="D51" s="69">
        <v>2.126733066079883</v>
      </c>
      <c r="E51" s="69">
        <v>0.3435632331224674</v>
      </c>
      <c r="F51" s="69">
        <v>32.29265580391213</v>
      </c>
      <c r="G51" s="69">
        <v>5.278362718832902</v>
      </c>
      <c r="H51" s="69">
        <v>6.004045260099717</v>
      </c>
      <c r="I51" s="69">
        <v>0.7596847830219083</v>
      </c>
      <c r="J51" s="69">
        <v>17.76958827366261</v>
      </c>
      <c r="K51" s="69">
        <v>0.1440502031613023</v>
      </c>
      <c r="L51" s="69"/>
      <c r="M51" s="69"/>
      <c r="P51" s="69"/>
      <c r="Q51" s="69"/>
      <c r="R51" s="69"/>
      <c r="S51" s="69"/>
    </row>
    <row r="52" ht="15.75" customHeight="1">
      <c r="A52" s="17" t="s">
        <v>96</v>
      </c>
      <c r="B52" s="17" t="s">
        <v>140</v>
      </c>
      <c r="C52" s="17" t="s">
        <v>136</v>
      </c>
      <c r="D52" s="69">
        <v>2.409314976798163</v>
      </c>
      <c r="E52" s="69">
        <v>0.05226767813583289</v>
      </c>
      <c r="F52" s="69">
        <v>35.20610088772244</v>
      </c>
      <c r="G52" s="69">
        <v>0.3589466915037869</v>
      </c>
      <c r="H52" s="69">
        <v>4.416198359595405</v>
      </c>
      <c r="I52" s="69">
        <v>0.109218540111863</v>
      </c>
      <c r="J52" s="69">
        <v>17.08267972156304</v>
      </c>
      <c r="K52" s="69">
        <v>0.2564989618527202</v>
      </c>
      <c r="L52" s="69"/>
      <c r="M52" s="69"/>
      <c r="P52" s="69"/>
      <c r="Q52" s="69"/>
      <c r="R52" s="69"/>
      <c r="S52" s="69"/>
    </row>
    <row r="53" ht="15.75" customHeight="1">
      <c r="A53" s="17" t="s">
        <v>97</v>
      </c>
      <c r="B53" s="17" t="s">
        <v>140</v>
      </c>
      <c r="C53" s="17" t="s">
        <v>135</v>
      </c>
      <c r="D53" s="69">
        <v>2.324297236548531</v>
      </c>
      <c r="E53" s="69">
        <v>0.1539232909117479</v>
      </c>
      <c r="F53" s="69">
        <v>35.16462657363326</v>
      </c>
      <c r="G53" s="69">
        <v>2.242235177060692</v>
      </c>
      <c r="H53" s="69">
        <v>6.512952217937987</v>
      </c>
      <c r="I53" s="69">
        <v>0.1815401976567725</v>
      </c>
      <c r="J53" s="69">
        <v>17.65891033462759</v>
      </c>
      <c r="K53" s="69">
        <v>0.07281543568930669</v>
      </c>
      <c r="L53" s="69"/>
      <c r="M53" s="69"/>
      <c r="P53" s="69"/>
      <c r="Q53" s="69"/>
      <c r="R53" s="69"/>
      <c r="S53" s="69"/>
    </row>
    <row r="54" ht="15.75" customHeight="1">
      <c r="A54" s="17" t="s">
        <v>97</v>
      </c>
      <c r="B54" s="17" t="s">
        <v>140</v>
      </c>
      <c r="C54" s="17" t="s">
        <v>136</v>
      </c>
      <c r="D54" s="69">
        <v>2.295450104607476</v>
      </c>
      <c r="E54" s="69">
        <v>0.06631269856727381</v>
      </c>
      <c r="F54" s="69">
        <v>34.42612626817491</v>
      </c>
      <c r="G54" s="69">
        <v>0.4282627934687384</v>
      </c>
      <c r="H54" s="69">
        <v>4.343587557474772</v>
      </c>
      <c r="I54" s="69">
        <v>0.03871323669522159</v>
      </c>
      <c r="J54" s="69">
        <v>17.51704088841316</v>
      </c>
      <c r="K54" s="69">
        <v>0.4284161099858332</v>
      </c>
      <c r="L54" s="69"/>
      <c r="M54" s="69"/>
      <c r="P54" s="69"/>
      <c r="Q54" s="69"/>
      <c r="R54" s="69"/>
      <c r="S54" s="69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2.11"/>
    <col customWidth="1" min="2" max="26" width="8.56"/>
  </cols>
  <sheetData>
    <row r="1" ht="15.75" customHeight="1">
      <c r="A1" s="82" t="s">
        <v>156</v>
      </c>
    </row>
    <row r="2" ht="103.5" customHeight="1">
      <c r="A2" s="82" t="s">
        <v>157</v>
      </c>
    </row>
    <row r="3" ht="15.75" customHeight="1">
      <c r="A3" s="82" t="s">
        <v>158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2021-11-03T15:56:34Z</dcterms:created>
  <dc:creator>Gustavs Loris</dc:creator>
</cp:coreProperties>
</file>