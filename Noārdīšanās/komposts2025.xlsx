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etotajs\Documents\Mikus\4SemDarbini\MD\"/>
    </mc:Choice>
  </mc:AlternateContent>
  <xr:revisionPtr revIDLastSave="0" documentId="13_ncr:1_{4757D2B7-4EAB-4F77-B8F0-E203ED6FE61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komposts" sheetId="1" r:id="rId1"/>
    <sheet name="Vizuālais_novērtējums" sheetId="2" r:id="rId2"/>
    <sheet name="vizuālais_statistikai" sheetId="3" r:id="rId3"/>
    <sheet name="pH_Mitrums_masa" sheetId="4" r:id="rId4"/>
    <sheet name="CHNS_pirms" sheetId="5" r:id="rId5"/>
    <sheet name="CHNS_pe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+B/02BN3+g6mZOoQ7Ac1bpIbznz9EPPawBXR0tBhBkU="/>
    </ext>
  </extLst>
</workbook>
</file>

<file path=xl/calcChain.xml><?xml version="1.0" encoding="utf-8"?>
<calcChain xmlns="http://schemas.openxmlformats.org/spreadsheetml/2006/main">
  <c r="K57" i="1" l="1"/>
  <c r="C57" i="1"/>
  <c r="D57" i="1"/>
  <c r="E57" i="1"/>
  <c r="F57" i="1"/>
  <c r="G57" i="1"/>
  <c r="H57" i="1"/>
  <c r="I57" i="1"/>
  <c r="J57" i="1"/>
  <c r="B57" i="1"/>
  <c r="D5" i="1"/>
  <c r="C5" i="1"/>
  <c r="B5" i="1"/>
  <c r="N90" i="6"/>
  <c r="P90" i="6" s="1"/>
  <c r="M90" i="6"/>
  <c r="L90" i="6"/>
  <c r="O90" i="6" s="1"/>
  <c r="K90" i="6"/>
  <c r="J90" i="6"/>
  <c r="H90" i="6"/>
  <c r="N89" i="6"/>
  <c r="P89" i="6" s="1"/>
  <c r="M89" i="6"/>
  <c r="L89" i="6"/>
  <c r="O89" i="6" s="1"/>
  <c r="K89" i="6"/>
  <c r="J89" i="6"/>
  <c r="H89" i="6"/>
  <c r="N88" i="6"/>
  <c r="P88" i="6" s="1"/>
  <c r="M88" i="6"/>
  <c r="L88" i="6"/>
  <c r="O88" i="6" s="1"/>
  <c r="K88" i="6"/>
  <c r="J88" i="6"/>
  <c r="H88" i="6"/>
  <c r="N87" i="6"/>
  <c r="P87" i="6" s="1"/>
  <c r="M87" i="6"/>
  <c r="L87" i="6"/>
  <c r="O87" i="6" s="1"/>
  <c r="K87" i="6"/>
  <c r="J87" i="6"/>
  <c r="H87" i="6"/>
  <c r="N86" i="6"/>
  <c r="P86" i="6" s="1"/>
  <c r="M86" i="6"/>
  <c r="L86" i="6"/>
  <c r="O86" i="6" s="1"/>
  <c r="K86" i="6"/>
  <c r="J86" i="6"/>
  <c r="H86" i="6"/>
  <c r="N85" i="6"/>
  <c r="P85" i="6" s="1"/>
  <c r="M85" i="6"/>
  <c r="L85" i="6"/>
  <c r="O85" i="6" s="1"/>
  <c r="K85" i="6"/>
  <c r="J85" i="6"/>
  <c r="H85" i="6"/>
  <c r="N84" i="6"/>
  <c r="P84" i="6" s="1"/>
  <c r="M84" i="6"/>
  <c r="L84" i="6"/>
  <c r="O84" i="6" s="1"/>
  <c r="K84" i="6"/>
  <c r="J84" i="6"/>
  <c r="H84" i="6"/>
  <c r="N83" i="6"/>
  <c r="P83" i="6" s="1"/>
  <c r="M83" i="6"/>
  <c r="L83" i="6"/>
  <c r="O83" i="6" s="1"/>
  <c r="K83" i="6"/>
  <c r="J83" i="6"/>
  <c r="H83" i="6"/>
  <c r="N82" i="6"/>
  <c r="P82" i="6" s="1"/>
  <c r="M82" i="6"/>
  <c r="L82" i="6"/>
  <c r="O82" i="6" s="1"/>
  <c r="K82" i="6"/>
  <c r="J82" i="6"/>
  <c r="H82" i="6"/>
  <c r="N81" i="6"/>
  <c r="P81" i="6" s="1"/>
  <c r="M81" i="6"/>
  <c r="L81" i="6"/>
  <c r="O81" i="6" s="1"/>
  <c r="K81" i="6"/>
  <c r="J81" i="6"/>
  <c r="H81" i="6"/>
  <c r="N80" i="6"/>
  <c r="P80" i="6" s="1"/>
  <c r="M80" i="6"/>
  <c r="L80" i="6"/>
  <c r="O80" i="6" s="1"/>
  <c r="K80" i="6"/>
  <c r="J80" i="6"/>
  <c r="H80" i="6"/>
  <c r="N79" i="6"/>
  <c r="P79" i="6" s="1"/>
  <c r="M79" i="6"/>
  <c r="L79" i="6"/>
  <c r="O79" i="6" s="1"/>
  <c r="K79" i="6"/>
  <c r="J79" i="6"/>
  <c r="H79" i="6"/>
  <c r="N78" i="6"/>
  <c r="P78" i="6" s="1"/>
  <c r="M78" i="6"/>
  <c r="L78" i="6"/>
  <c r="O78" i="6" s="1"/>
  <c r="K78" i="6"/>
  <c r="J78" i="6"/>
  <c r="H78" i="6"/>
  <c r="N77" i="6"/>
  <c r="P77" i="6" s="1"/>
  <c r="M77" i="6"/>
  <c r="L77" i="6"/>
  <c r="O77" i="6" s="1"/>
  <c r="K77" i="6"/>
  <c r="J77" i="6"/>
  <c r="H77" i="6"/>
  <c r="N76" i="6"/>
  <c r="P76" i="6" s="1"/>
  <c r="M76" i="6"/>
  <c r="L76" i="6"/>
  <c r="O76" i="6" s="1"/>
  <c r="K76" i="6"/>
  <c r="J76" i="6"/>
  <c r="H76" i="6"/>
  <c r="N75" i="6"/>
  <c r="P75" i="6" s="1"/>
  <c r="M75" i="6"/>
  <c r="L75" i="6"/>
  <c r="O75" i="6" s="1"/>
  <c r="K75" i="6"/>
  <c r="J75" i="6"/>
  <c r="H75" i="6"/>
  <c r="N74" i="6"/>
  <c r="P74" i="6" s="1"/>
  <c r="M74" i="6"/>
  <c r="L74" i="6"/>
  <c r="O74" i="6" s="1"/>
  <c r="K74" i="6"/>
  <c r="J74" i="6"/>
  <c r="H74" i="6"/>
  <c r="N73" i="6"/>
  <c r="P73" i="6" s="1"/>
  <c r="M73" i="6"/>
  <c r="L73" i="6"/>
  <c r="O73" i="6" s="1"/>
  <c r="K73" i="6"/>
  <c r="J73" i="6"/>
  <c r="H73" i="6"/>
  <c r="N72" i="6"/>
  <c r="P72" i="6" s="1"/>
  <c r="M72" i="6"/>
  <c r="L72" i="6"/>
  <c r="O72" i="6" s="1"/>
  <c r="K72" i="6"/>
  <c r="J72" i="6"/>
  <c r="H72" i="6"/>
  <c r="O71" i="6"/>
  <c r="N71" i="6"/>
  <c r="P71" i="6" s="1"/>
  <c r="M71" i="6"/>
  <c r="L71" i="6"/>
  <c r="K71" i="6"/>
  <c r="J71" i="6"/>
  <c r="H71" i="6"/>
  <c r="O70" i="6"/>
  <c r="N70" i="6"/>
  <c r="P70" i="6" s="1"/>
  <c r="M70" i="6"/>
  <c r="L70" i="6"/>
  <c r="K70" i="6"/>
  <c r="J70" i="6"/>
  <c r="H70" i="6"/>
  <c r="O69" i="6"/>
  <c r="N69" i="6"/>
  <c r="P69" i="6" s="1"/>
  <c r="M69" i="6"/>
  <c r="L69" i="6"/>
  <c r="K69" i="6"/>
  <c r="J69" i="6"/>
  <c r="H69" i="6"/>
  <c r="O68" i="6"/>
  <c r="N68" i="6"/>
  <c r="P68" i="6" s="1"/>
  <c r="M68" i="6"/>
  <c r="L68" i="6"/>
  <c r="K68" i="6"/>
  <c r="J68" i="6"/>
  <c r="H68" i="6"/>
  <c r="O67" i="6"/>
  <c r="N67" i="6"/>
  <c r="P67" i="6" s="1"/>
  <c r="M67" i="6"/>
  <c r="L67" i="6"/>
  <c r="K67" i="6"/>
  <c r="J67" i="6"/>
  <c r="H67" i="6"/>
  <c r="O66" i="6"/>
  <c r="N66" i="6"/>
  <c r="P66" i="6" s="1"/>
  <c r="M66" i="6"/>
  <c r="L66" i="6"/>
  <c r="K66" i="6"/>
  <c r="J66" i="6"/>
  <c r="H66" i="6"/>
  <c r="O65" i="6"/>
  <c r="N65" i="6"/>
  <c r="P65" i="6" s="1"/>
  <c r="M65" i="6"/>
  <c r="L65" i="6"/>
  <c r="K65" i="6"/>
  <c r="J65" i="6"/>
  <c r="H65" i="6"/>
  <c r="O64" i="6"/>
  <c r="N64" i="6"/>
  <c r="P64" i="6" s="1"/>
  <c r="M64" i="6"/>
  <c r="L64" i="6"/>
  <c r="K64" i="6"/>
  <c r="J64" i="6"/>
  <c r="H64" i="6"/>
  <c r="O63" i="6"/>
  <c r="N63" i="6"/>
  <c r="P63" i="6" s="1"/>
  <c r="M63" i="6"/>
  <c r="L63" i="6"/>
  <c r="K63" i="6"/>
  <c r="J63" i="6"/>
  <c r="H63" i="6"/>
  <c r="O62" i="6"/>
  <c r="N62" i="6"/>
  <c r="P62" i="6" s="1"/>
  <c r="M62" i="6"/>
  <c r="L62" i="6"/>
  <c r="K62" i="6"/>
  <c r="J62" i="6"/>
  <c r="H62" i="6"/>
  <c r="O61" i="6"/>
  <c r="N61" i="6"/>
  <c r="P61" i="6" s="1"/>
  <c r="M61" i="6"/>
  <c r="L61" i="6"/>
  <c r="K61" i="6"/>
  <c r="J61" i="6"/>
  <c r="H61" i="6"/>
  <c r="O60" i="6"/>
  <c r="N60" i="6"/>
  <c r="P60" i="6" s="1"/>
  <c r="M60" i="6"/>
  <c r="L60" i="6"/>
  <c r="K60" i="6"/>
  <c r="J60" i="6"/>
  <c r="H60" i="6"/>
  <c r="O59" i="6"/>
  <c r="N59" i="6"/>
  <c r="P59" i="6" s="1"/>
  <c r="M59" i="6"/>
  <c r="L59" i="6"/>
  <c r="K59" i="6"/>
  <c r="J59" i="6"/>
  <c r="H59" i="6"/>
  <c r="O58" i="6"/>
  <c r="N58" i="6"/>
  <c r="P58" i="6" s="1"/>
  <c r="M58" i="6"/>
  <c r="L58" i="6"/>
  <c r="K58" i="6"/>
  <c r="J58" i="6"/>
  <c r="H58" i="6"/>
  <c r="O57" i="6"/>
  <c r="N57" i="6"/>
  <c r="P57" i="6" s="1"/>
  <c r="M57" i="6"/>
  <c r="L57" i="6"/>
  <c r="K57" i="6"/>
  <c r="J57" i="6"/>
  <c r="H57" i="6"/>
  <c r="O56" i="6"/>
  <c r="N56" i="6"/>
  <c r="P56" i="6" s="1"/>
  <c r="M56" i="6"/>
  <c r="L56" i="6"/>
  <c r="K56" i="6"/>
  <c r="J56" i="6"/>
  <c r="H56" i="6"/>
  <c r="O55" i="6"/>
  <c r="N55" i="6"/>
  <c r="P55" i="6" s="1"/>
  <c r="M55" i="6"/>
  <c r="L55" i="6"/>
  <c r="K55" i="6"/>
  <c r="J55" i="6"/>
  <c r="H55" i="6"/>
  <c r="O54" i="6"/>
  <c r="N54" i="6"/>
  <c r="P54" i="6" s="1"/>
  <c r="M54" i="6"/>
  <c r="L54" i="6"/>
  <c r="K54" i="6"/>
  <c r="J54" i="6"/>
  <c r="H54" i="6"/>
  <c r="O53" i="6"/>
  <c r="N53" i="6"/>
  <c r="P53" i="6" s="1"/>
  <c r="M53" i="6"/>
  <c r="L53" i="6"/>
  <c r="K53" i="6"/>
  <c r="J53" i="6"/>
  <c r="H53" i="6"/>
  <c r="O52" i="6"/>
  <c r="N52" i="6"/>
  <c r="P52" i="6" s="1"/>
  <c r="M52" i="6"/>
  <c r="L52" i="6"/>
  <c r="K52" i="6"/>
  <c r="J52" i="6"/>
  <c r="H52" i="6"/>
  <c r="O51" i="6"/>
  <c r="N51" i="6"/>
  <c r="P51" i="6" s="1"/>
  <c r="M51" i="6"/>
  <c r="L51" i="6"/>
  <c r="K51" i="6"/>
  <c r="J51" i="6"/>
  <c r="H51" i="6"/>
  <c r="O50" i="6"/>
  <c r="N50" i="6"/>
  <c r="P50" i="6" s="1"/>
  <c r="M50" i="6"/>
  <c r="L50" i="6"/>
  <c r="K50" i="6"/>
  <c r="J50" i="6"/>
  <c r="H50" i="6"/>
  <c r="O49" i="6"/>
  <c r="N49" i="6"/>
  <c r="P49" i="6" s="1"/>
  <c r="M49" i="6"/>
  <c r="L49" i="6"/>
  <c r="K49" i="6"/>
  <c r="J49" i="6"/>
  <c r="H49" i="6"/>
  <c r="N48" i="6"/>
  <c r="P48" i="6" s="1"/>
  <c r="M48" i="6"/>
  <c r="L48" i="6"/>
  <c r="O48" i="6" s="1"/>
  <c r="K48" i="6"/>
  <c r="J48" i="6"/>
  <c r="H48" i="6"/>
  <c r="N47" i="6"/>
  <c r="P47" i="6" s="1"/>
  <c r="M47" i="6"/>
  <c r="L47" i="6"/>
  <c r="O47" i="6" s="1"/>
  <c r="K47" i="6"/>
  <c r="J47" i="6"/>
  <c r="H47" i="6"/>
  <c r="N46" i="6"/>
  <c r="P46" i="6" s="1"/>
  <c r="M46" i="6"/>
  <c r="L46" i="6"/>
  <c r="O46" i="6" s="1"/>
  <c r="K46" i="6"/>
  <c r="J46" i="6"/>
  <c r="H46" i="6"/>
  <c r="N45" i="6"/>
  <c r="P45" i="6" s="1"/>
  <c r="M45" i="6"/>
  <c r="L45" i="6"/>
  <c r="O45" i="6" s="1"/>
  <c r="K45" i="6"/>
  <c r="J45" i="6"/>
  <c r="H45" i="6"/>
  <c r="N44" i="6"/>
  <c r="P44" i="6" s="1"/>
  <c r="M44" i="6"/>
  <c r="L44" i="6"/>
  <c r="O44" i="6" s="1"/>
  <c r="K44" i="6"/>
  <c r="J44" i="6"/>
  <c r="H44" i="6"/>
  <c r="N43" i="6"/>
  <c r="P43" i="6" s="1"/>
  <c r="M43" i="6"/>
  <c r="L43" i="6"/>
  <c r="O43" i="6" s="1"/>
  <c r="K43" i="6"/>
  <c r="J43" i="6"/>
  <c r="H43" i="6"/>
  <c r="N42" i="6"/>
  <c r="P42" i="6" s="1"/>
  <c r="M42" i="6"/>
  <c r="L42" i="6"/>
  <c r="O42" i="6" s="1"/>
  <c r="K42" i="6"/>
  <c r="J42" i="6"/>
  <c r="H42" i="6"/>
  <c r="N41" i="6"/>
  <c r="P41" i="6" s="1"/>
  <c r="M41" i="6"/>
  <c r="L41" i="6"/>
  <c r="O41" i="6" s="1"/>
  <c r="K41" i="6"/>
  <c r="J41" i="6"/>
  <c r="H41" i="6"/>
  <c r="N40" i="6"/>
  <c r="P40" i="6" s="1"/>
  <c r="M40" i="6"/>
  <c r="L40" i="6"/>
  <c r="O40" i="6" s="1"/>
  <c r="K40" i="6"/>
  <c r="J40" i="6"/>
  <c r="H40" i="6"/>
  <c r="N39" i="6"/>
  <c r="P39" i="6" s="1"/>
  <c r="M39" i="6"/>
  <c r="L39" i="6"/>
  <c r="O39" i="6" s="1"/>
  <c r="K39" i="6"/>
  <c r="J39" i="6"/>
  <c r="H39" i="6"/>
  <c r="N38" i="6"/>
  <c r="P38" i="6" s="1"/>
  <c r="M38" i="6"/>
  <c r="L38" i="6"/>
  <c r="O38" i="6" s="1"/>
  <c r="K38" i="6"/>
  <c r="J38" i="6"/>
  <c r="H38" i="6"/>
  <c r="N37" i="6"/>
  <c r="P37" i="6" s="1"/>
  <c r="M37" i="6"/>
  <c r="L37" i="6"/>
  <c r="O37" i="6" s="1"/>
  <c r="K37" i="6"/>
  <c r="J37" i="6"/>
  <c r="H37" i="6"/>
  <c r="N36" i="6"/>
  <c r="P36" i="6" s="1"/>
  <c r="M36" i="6"/>
  <c r="L36" i="6"/>
  <c r="O36" i="6" s="1"/>
  <c r="K36" i="6"/>
  <c r="J36" i="6"/>
  <c r="H36" i="6"/>
  <c r="N35" i="6"/>
  <c r="P35" i="6" s="1"/>
  <c r="M35" i="6"/>
  <c r="L35" i="6"/>
  <c r="O35" i="6" s="1"/>
  <c r="K35" i="6"/>
  <c r="J35" i="6"/>
  <c r="H35" i="6"/>
  <c r="N34" i="6"/>
  <c r="P34" i="6" s="1"/>
  <c r="M34" i="6"/>
  <c r="L34" i="6"/>
  <c r="O34" i="6" s="1"/>
  <c r="K34" i="6"/>
  <c r="J34" i="6"/>
  <c r="H34" i="6"/>
  <c r="N33" i="6"/>
  <c r="P33" i="6" s="1"/>
  <c r="M33" i="6"/>
  <c r="L33" i="6"/>
  <c r="O33" i="6" s="1"/>
  <c r="K33" i="6"/>
  <c r="J33" i="6"/>
  <c r="H33" i="6"/>
  <c r="N32" i="6"/>
  <c r="P32" i="6" s="1"/>
  <c r="M32" i="6"/>
  <c r="L32" i="6"/>
  <c r="O32" i="6" s="1"/>
  <c r="K32" i="6"/>
  <c r="J32" i="6"/>
  <c r="H32" i="6"/>
  <c r="N31" i="6"/>
  <c r="P31" i="6" s="1"/>
  <c r="M31" i="6"/>
  <c r="L31" i="6"/>
  <c r="O31" i="6" s="1"/>
  <c r="K31" i="6"/>
  <c r="J31" i="6"/>
  <c r="H31" i="6"/>
  <c r="N30" i="6"/>
  <c r="P30" i="6" s="1"/>
  <c r="M30" i="6"/>
  <c r="L30" i="6"/>
  <c r="O30" i="6" s="1"/>
  <c r="K30" i="6"/>
  <c r="J30" i="6"/>
  <c r="H30" i="6"/>
  <c r="N29" i="6"/>
  <c r="P29" i="6" s="1"/>
  <c r="M29" i="6"/>
  <c r="L29" i="6"/>
  <c r="O29" i="6" s="1"/>
  <c r="K29" i="6"/>
  <c r="J29" i="6"/>
  <c r="H29" i="6"/>
  <c r="N28" i="6"/>
  <c r="P28" i="6" s="1"/>
  <c r="M28" i="6"/>
  <c r="L28" i="6"/>
  <c r="O28" i="6" s="1"/>
  <c r="K28" i="6"/>
  <c r="J28" i="6"/>
  <c r="H28" i="6"/>
  <c r="N27" i="6"/>
  <c r="P27" i="6" s="1"/>
  <c r="M27" i="6"/>
  <c r="L27" i="6"/>
  <c r="O27" i="6" s="1"/>
  <c r="K27" i="6"/>
  <c r="J27" i="6"/>
  <c r="H27" i="6"/>
  <c r="N26" i="6"/>
  <c r="P26" i="6" s="1"/>
  <c r="M26" i="6"/>
  <c r="L26" i="6"/>
  <c r="O26" i="6" s="1"/>
  <c r="K26" i="6"/>
  <c r="J26" i="6"/>
  <c r="H26" i="6"/>
  <c r="N25" i="6"/>
  <c r="P25" i="6" s="1"/>
  <c r="M25" i="6"/>
  <c r="L25" i="6"/>
  <c r="O25" i="6" s="1"/>
  <c r="K25" i="6"/>
  <c r="J25" i="6"/>
  <c r="H25" i="6"/>
  <c r="N24" i="6"/>
  <c r="P24" i="6" s="1"/>
  <c r="M24" i="6"/>
  <c r="L24" i="6"/>
  <c r="O24" i="6" s="1"/>
  <c r="K24" i="6"/>
  <c r="J24" i="6"/>
  <c r="H24" i="6"/>
  <c r="N23" i="6"/>
  <c r="P23" i="6" s="1"/>
  <c r="M23" i="6"/>
  <c r="L23" i="6"/>
  <c r="O23" i="6" s="1"/>
  <c r="K23" i="6"/>
  <c r="J23" i="6"/>
  <c r="H23" i="6"/>
  <c r="N22" i="6"/>
  <c r="P22" i="6" s="1"/>
  <c r="M22" i="6"/>
  <c r="L22" i="6"/>
  <c r="O22" i="6" s="1"/>
  <c r="K22" i="6"/>
  <c r="J22" i="6"/>
  <c r="H22" i="6"/>
  <c r="N21" i="6"/>
  <c r="P21" i="6" s="1"/>
  <c r="M21" i="6"/>
  <c r="L21" i="6"/>
  <c r="O21" i="6" s="1"/>
  <c r="K21" i="6"/>
  <c r="J21" i="6"/>
  <c r="H21" i="6"/>
  <c r="N20" i="6"/>
  <c r="P20" i="6" s="1"/>
  <c r="M20" i="6"/>
  <c r="L20" i="6"/>
  <c r="O20" i="6" s="1"/>
  <c r="K20" i="6"/>
  <c r="J20" i="6"/>
  <c r="H20" i="6"/>
  <c r="N19" i="6"/>
  <c r="P19" i="6" s="1"/>
  <c r="M19" i="6"/>
  <c r="L19" i="6"/>
  <c r="O19" i="6" s="1"/>
  <c r="K19" i="6"/>
  <c r="J19" i="6"/>
  <c r="H19" i="6"/>
  <c r="N18" i="6"/>
  <c r="P18" i="6" s="1"/>
  <c r="M18" i="6"/>
  <c r="L18" i="6"/>
  <c r="O18" i="6" s="1"/>
  <c r="K18" i="6"/>
  <c r="J18" i="6"/>
  <c r="H18" i="6"/>
  <c r="N17" i="6"/>
  <c r="P17" i="6" s="1"/>
  <c r="M17" i="6"/>
  <c r="L17" i="6"/>
  <c r="O17" i="6" s="1"/>
  <c r="K17" i="6"/>
  <c r="J17" i="6"/>
  <c r="H17" i="6"/>
  <c r="N16" i="6"/>
  <c r="P16" i="6" s="1"/>
  <c r="M16" i="6"/>
  <c r="L16" i="6"/>
  <c r="O16" i="6" s="1"/>
  <c r="K16" i="6"/>
  <c r="J16" i="6"/>
  <c r="H16" i="6"/>
  <c r="N15" i="6"/>
  <c r="P15" i="6" s="1"/>
  <c r="M15" i="6"/>
  <c r="L15" i="6"/>
  <c r="O15" i="6" s="1"/>
  <c r="K15" i="6"/>
  <c r="J15" i="6"/>
  <c r="H15" i="6"/>
  <c r="O14" i="6"/>
  <c r="N14" i="6"/>
  <c r="P14" i="6" s="1"/>
  <c r="M14" i="6"/>
  <c r="L14" i="6"/>
  <c r="K14" i="6"/>
  <c r="J14" i="6"/>
  <c r="H14" i="6"/>
  <c r="N13" i="6"/>
  <c r="P13" i="6" s="1"/>
  <c r="M13" i="6"/>
  <c r="L13" i="6"/>
  <c r="O13" i="6" s="1"/>
  <c r="K13" i="6"/>
  <c r="J13" i="6"/>
  <c r="H13" i="6"/>
  <c r="N12" i="6"/>
  <c r="P12" i="6" s="1"/>
  <c r="M12" i="6"/>
  <c r="L12" i="6"/>
  <c r="O12" i="6" s="1"/>
  <c r="K12" i="6"/>
  <c r="J12" i="6"/>
  <c r="H12" i="6"/>
  <c r="N11" i="6"/>
  <c r="P11" i="6" s="1"/>
  <c r="M11" i="6"/>
  <c r="L11" i="6"/>
  <c r="O11" i="6" s="1"/>
  <c r="K11" i="6"/>
  <c r="J11" i="6"/>
  <c r="H11" i="6"/>
  <c r="N10" i="6"/>
  <c r="P10" i="6" s="1"/>
  <c r="M10" i="6"/>
  <c r="L10" i="6"/>
  <c r="O10" i="6" s="1"/>
  <c r="K10" i="6"/>
  <c r="J10" i="6"/>
  <c r="H10" i="6"/>
  <c r="N9" i="6"/>
  <c r="P9" i="6" s="1"/>
  <c r="M9" i="6"/>
  <c r="L9" i="6"/>
  <c r="O9" i="6" s="1"/>
  <c r="K9" i="6"/>
  <c r="J9" i="6"/>
  <c r="H9" i="6"/>
  <c r="N8" i="6"/>
  <c r="P8" i="6" s="1"/>
  <c r="M8" i="6"/>
  <c r="L8" i="6"/>
  <c r="O8" i="6" s="1"/>
  <c r="K8" i="6"/>
  <c r="J8" i="6"/>
  <c r="H8" i="6"/>
  <c r="N7" i="6"/>
  <c r="P7" i="6" s="1"/>
  <c r="M7" i="6"/>
  <c r="L7" i="6"/>
  <c r="O7" i="6" s="1"/>
  <c r="K7" i="6"/>
  <c r="J7" i="6"/>
  <c r="H7" i="6"/>
  <c r="N6" i="6"/>
  <c r="P6" i="6" s="1"/>
  <c r="M6" i="6"/>
  <c r="L6" i="6"/>
  <c r="O6" i="6" s="1"/>
  <c r="K6" i="6"/>
  <c r="J6" i="6"/>
  <c r="H6" i="6"/>
  <c r="N5" i="6"/>
  <c r="P5" i="6" s="1"/>
  <c r="M5" i="6"/>
  <c r="L5" i="6"/>
  <c r="O5" i="6" s="1"/>
  <c r="K5" i="6"/>
  <c r="J5" i="6"/>
  <c r="H5" i="6"/>
  <c r="P4" i="6"/>
  <c r="N4" i="6"/>
  <c r="M4" i="6"/>
  <c r="L4" i="6"/>
  <c r="O4" i="6" s="1"/>
  <c r="K4" i="6"/>
  <c r="J4" i="6"/>
  <c r="H4" i="6"/>
  <c r="N3" i="6"/>
  <c r="P3" i="6" s="1"/>
  <c r="M3" i="6"/>
  <c r="L3" i="6"/>
  <c r="O3" i="6" s="1"/>
  <c r="K3" i="6"/>
  <c r="H3" i="6"/>
  <c r="N2" i="6"/>
  <c r="M2" i="6"/>
  <c r="L2" i="6"/>
  <c r="O2" i="6" s="1"/>
  <c r="K2" i="6"/>
  <c r="H2" i="6"/>
  <c r="N79" i="5"/>
  <c r="M79" i="5"/>
  <c r="L79" i="5"/>
  <c r="O79" i="5" s="1"/>
  <c r="K79" i="5"/>
  <c r="H79" i="5"/>
  <c r="N78" i="5"/>
  <c r="M78" i="5"/>
  <c r="L78" i="5"/>
  <c r="O78" i="5" s="1"/>
  <c r="K78" i="5"/>
  <c r="H78" i="5"/>
  <c r="N77" i="5"/>
  <c r="M77" i="5"/>
  <c r="L77" i="5"/>
  <c r="O77" i="5" s="1"/>
  <c r="K77" i="5"/>
  <c r="H77" i="5"/>
  <c r="N76" i="5"/>
  <c r="M76" i="5"/>
  <c r="L76" i="5"/>
  <c r="O76" i="5" s="1"/>
  <c r="K76" i="5"/>
  <c r="H76" i="5"/>
  <c r="N75" i="5"/>
  <c r="M75" i="5"/>
  <c r="L75" i="5"/>
  <c r="O75" i="5" s="1"/>
  <c r="K75" i="5"/>
  <c r="H75" i="5"/>
  <c r="N74" i="5"/>
  <c r="M74" i="5"/>
  <c r="L74" i="5"/>
  <c r="O74" i="5" s="1"/>
  <c r="K74" i="5"/>
  <c r="H74" i="5"/>
  <c r="N73" i="5"/>
  <c r="M73" i="5"/>
  <c r="L73" i="5"/>
  <c r="O73" i="5" s="1"/>
  <c r="K73" i="5"/>
  <c r="H73" i="5"/>
  <c r="N72" i="5"/>
  <c r="M72" i="5"/>
  <c r="L72" i="5"/>
  <c r="O72" i="5" s="1"/>
  <c r="K72" i="5"/>
  <c r="H72" i="5"/>
  <c r="N71" i="5"/>
  <c r="M71" i="5"/>
  <c r="L71" i="5"/>
  <c r="O71" i="5" s="1"/>
  <c r="K71" i="5"/>
  <c r="H71" i="5"/>
  <c r="N70" i="5"/>
  <c r="M70" i="5"/>
  <c r="L70" i="5"/>
  <c r="O70" i="5" s="1"/>
  <c r="K70" i="5"/>
  <c r="H70" i="5"/>
  <c r="N69" i="5"/>
  <c r="M69" i="5"/>
  <c r="L69" i="5"/>
  <c r="O69" i="5" s="1"/>
  <c r="K69" i="5"/>
  <c r="H69" i="5"/>
  <c r="N68" i="5"/>
  <c r="M68" i="5"/>
  <c r="L68" i="5"/>
  <c r="O68" i="5" s="1"/>
  <c r="K68" i="5"/>
  <c r="H68" i="5"/>
  <c r="N67" i="5"/>
  <c r="M67" i="5"/>
  <c r="L67" i="5"/>
  <c r="O67" i="5" s="1"/>
  <c r="K67" i="5"/>
  <c r="H67" i="5"/>
  <c r="N66" i="5"/>
  <c r="M66" i="5"/>
  <c r="L66" i="5"/>
  <c r="O66" i="5" s="1"/>
  <c r="K66" i="5"/>
  <c r="H66" i="5"/>
  <c r="N65" i="5"/>
  <c r="M65" i="5"/>
  <c r="L65" i="5"/>
  <c r="O65" i="5" s="1"/>
  <c r="K65" i="5"/>
  <c r="H65" i="5"/>
  <c r="N64" i="5"/>
  <c r="M64" i="5"/>
  <c r="L64" i="5"/>
  <c r="O64" i="5" s="1"/>
  <c r="K64" i="5"/>
  <c r="H64" i="5"/>
  <c r="N63" i="5"/>
  <c r="M63" i="5"/>
  <c r="L63" i="5"/>
  <c r="O63" i="5" s="1"/>
  <c r="K63" i="5"/>
  <c r="H63" i="5"/>
  <c r="N62" i="5"/>
  <c r="M62" i="5"/>
  <c r="L62" i="5"/>
  <c r="O62" i="5" s="1"/>
  <c r="K62" i="5"/>
  <c r="H62" i="5"/>
  <c r="N61" i="5"/>
  <c r="M61" i="5"/>
  <c r="L61" i="5"/>
  <c r="O61" i="5" s="1"/>
  <c r="K61" i="5"/>
  <c r="H61" i="5"/>
  <c r="N60" i="5"/>
  <c r="M60" i="5"/>
  <c r="L60" i="5"/>
  <c r="O60" i="5" s="1"/>
  <c r="K60" i="5"/>
  <c r="H60" i="5"/>
  <c r="N59" i="5"/>
  <c r="M59" i="5"/>
  <c r="L59" i="5"/>
  <c r="O59" i="5" s="1"/>
  <c r="K59" i="5"/>
  <c r="H59" i="5"/>
  <c r="N58" i="5"/>
  <c r="M58" i="5"/>
  <c r="L58" i="5"/>
  <c r="O58" i="5" s="1"/>
  <c r="K58" i="5"/>
  <c r="H58" i="5"/>
  <c r="N57" i="5"/>
  <c r="M57" i="5"/>
  <c r="L57" i="5"/>
  <c r="O57" i="5" s="1"/>
  <c r="K57" i="5"/>
  <c r="H57" i="5"/>
  <c r="N56" i="5"/>
  <c r="M56" i="5"/>
  <c r="L56" i="5"/>
  <c r="O56" i="5" s="1"/>
  <c r="K56" i="5"/>
  <c r="H56" i="5"/>
  <c r="N55" i="5"/>
  <c r="M55" i="5"/>
  <c r="L55" i="5"/>
  <c r="O55" i="5" s="1"/>
  <c r="K55" i="5"/>
  <c r="H55" i="5"/>
  <c r="P54" i="5"/>
  <c r="N54" i="5"/>
  <c r="M54" i="5"/>
  <c r="L54" i="5"/>
  <c r="O54" i="5" s="1"/>
  <c r="K54" i="5"/>
  <c r="H54" i="5"/>
  <c r="P53" i="5"/>
  <c r="N53" i="5"/>
  <c r="M53" i="5"/>
  <c r="L53" i="5"/>
  <c r="O53" i="5" s="1"/>
  <c r="K53" i="5"/>
  <c r="H53" i="5"/>
  <c r="N52" i="5"/>
  <c r="M52" i="5"/>
  <c r="L52" i="5"/>
  <c r="O52" i="5" s="1"/>
  <c r="K52" i="5"/>
  <c r="H52" i="5"/>
  <c r="N51" i="5"/>
  <c r="M51" i="5"/>
  <c r="L51" i="5"/>
  <c r="O51" i="5" s="1"/>
  <c r="K51" i="5"/>
  <c r="H51" i="5"/>
  <c r="N50" i="5"/>
  <c r="M50" i="5"/>
  <c r="L50" i="5"/>
  <c r="O50" i="5" s="1"/>
  <c r="K50" i="5"/>
  <c r="H50" i="5"/>
  <c r="N49" i="5"/>
  <c r="M49" i="5"/>
  <c r="L49" i="5"/>
  <c r="O49" i="5" s="1"/>
  <c r="K49" i="5"/>
  <c r="H49" i="5"/>
  <c r="N48" i="5"/>
  <c r="M48" i="5"/>
  <c r="L48" i="5"/>
  <c r="O48" i="5" s="1"/>
  <c r="K48" i="5"/>
  <c r="H48" i="5"/>
  <c r="P47" i="5"/>
  <c r="N47" i="5"/>
  <c r="M47" i="5"/>
  <c r="L47" i="5"/>
  <c r="O47" i="5" s="1"/>
  <c r="K47" i="5"/>
  <c r="H47" i="5"/>
  <c r="N46" i="5"/>
  <c r="M46" i="5"/>
  <c r="L46" i="5"/>
  <c r="O46" i="5" s="1"/>
  <c r="K46" i="5"/>
  <c r="H46" i="5"/>
  <c r="N45" i="5"/>
  <c r="M45" i="5"/>
  <c r="L45" i="5"/>
  <c r="O45" i="5" s="1"/>
  <c r="K45" i="5"/>
  <c r="H45" i="5"/>
  <c r="P44" i="5"/>
  <c r="N44" i="5"/>
  <c r="M44" i="5"/>
  <c r="L44" i="5"/>
  <c r="O44" i="5" s="1"/>
  <c r="K44" i="5"/>
  <c r="H44" i="5"/>
  <c r="N43" i="5"/>
  <c r="M43" i="5"/>
  <c r="L43" i="5"/>
  <c r="O43" i="5" s="1"/>
  <c r="K43" i="5"/>
  <c r="H43" i="5"/>
  <c r="N42" i="5"/>
  <c r="M42" i="5"/>
  <c r="L42" i="5"/>
  <c r="O42" i="5" s="1"/>
  <c r="K42" i="5"/>
  <c r="H42" i="5"/>
  <c r="N41" i="5"/>
  <c r="M41" i="5"/>
  <c r="L41" i="5"/>
  <c r="O41" i="5" s="1"/>
  <c r="K41" i="5"/>
  <c r="H41" i="5"/>
  <c r="N40" i="5"/>
  <c r="M40" i="5"/>
  <c r="L40" i="5"/>
  <c r="O40" i="5" s="1"/>
  <c r="K40" i="5"/>
  <c r="H40" i="5"/>
  <c r="N39" i="5"/>
  <c r="M39" i="5"/>
  <c r="L39" i="5"/>
  <c r="O39" i="5" s="1"/>
  <c r="K39" i="5"/>
  <c r="H39" i="5"/>
  <c r="N38" i="5"/>
  <c r="M38" i="5"/>
  <c r="L38" i="5"/>
  <c r="O38" i="5" s="1"/>
  <c r="K38" i="5"/>
  <c r="H38" i="5"/>
  <c r="N37" i="5"/>
  <c r="M37" i="5"/>
  <c r="L37" i="5"/>
  <c r="O37" i="5" s="1"/>
  <c r="K37" i="5"/>
  <c r="H37" i="5"/>
  <c r="N36" i="5"/>
  <c r="M36" i="5"/>
  <c r="L36" i="5"/>
  <c r="O36" i="5" s="1"/>
  <c r="K36" i="5"/>
  <c r="H36" i="5"/>
  <c r="N35" i="5"/>
  <c r="M35" i="5"/>
  <c r="L35" i="5"/>
  <c r="O35" i="5" s="1"/>
  <c r="K35" i="5"/>
  <c r="H35" i="5"/>
  <c r="N34" i="5"/>
  <c r="M34" i="5"/>
  <c r="L34" i="5"/>
  <c r="O34" i="5" s="1"/>
  <c r="K34" i="5"/>
  <c r="H34" i="5"/>
  <c r="N33" i="5"/>
  <c r="M33" i="5"/>
  <c r="L33" i="5"/>
  <c r="O33" i="5" s="1"/>
  <c r="K33" i="5"/>
  <c r="H33" i="5"/>
  <c r="N32" i="5"/>
  <c r="M32" i="5"/>
  <c r="L32" i="5"/>
  <c r="O32" i="5" s="1"/>
  <c r="K32" i="5"/>
  <c r="H32" i="5"/>
  <c r="N31" i="5"/>
  <c r="M31" i="5"/>
  <c r="L31" i="5"/>
  <c r="O31" i="5" s="1"/>
  <c r="K31" i="5"/>
  <c r="H31" i="5"/>
  <c r="N30" i="5"/>
  <c r="M30" i="5"/>
  <c r="L30" i="5"/>
  <c r="O30" i="5" s="1"/>
  <c r="K30" i="5"/>
  <c r="H30" i="5"/>
  <c r="P29" i="5"/>
  <c r="N29" i="5"/>
  <c r="M29" i="5"/>
  <c r="L29" i="5"/>
  <c r="O29" i="5" s="1"/>
  <c r="K29" i="5"/>
  <c r="H29" i="5"/>
  <c r="N28" i="5"/>
  <c r="M28" i="5"/>
  <c r="L28" i="5"/>
  <c r="O28" i="5" s="1"/>
  <c r="K28" i="5"/>
  <c r="H28" i="5"/>
  <c r="N27" i="5"/>
  <c r="M27" i="5"/>
  <c r="L27" i="5"/>
  <c r="O27" i="5" s="1"/>
  <c r="K27" i="5"/>
  <c r="H27" i="5"/>
  <c r="P26" i="5"/>
  <c r="N26" i="5"/>
  <c r="M26" i="5"/>
  <c r="L26" i="5"/>
  <c r="O26" i="5" s="1"/>
  <c r="K26" i="5"/>
  <c r="H26" i="5"/>
  <c r="N25" i="5"/>
  <c r="M25" i="5"/>
  <c r="L25" i="5"/>
  <c r="O25" i="5" s="1"/>
  <c r="K25" i="5"/>
  <c r="H25" i="5"/>
  <c r="N24" i="5"/>
  <c r="M24" i="5"/>
  <c r="L24" i="5"/>
  <c r="O24" i="5" s="1"/>
  <c r="K24" i="5"/>
  <c r="H24" i="5"/>
  <c r="P23" i="5"/>
  <c r="N23" i="5"/>
  <c r="M23" i="5"/>
  <c r="L23" i="5"/>
  <c r="O23" i="5" s="1"/>
  <c r="K23" i="5"/>
  <c r="H23" i="5"/>
  <c r="N22" i="5"/>
  <c r="M22" i="5"/>
  <c r="L22" i="5"/>
  <c r="O22" i="5" s="1"/>
  <c r="K22" i="5"/>
  <c r="H22" i="5"/>
  <c r="N21" i="5"/>
  <c r="M21" i="5"/>
  <c r="L21" i="5"/>
  <c r="O21" i="5" s="1"/>
  <c r="K21" i="5"/>
  <c r="H21" i="5"/>
  <c r="N20" i="5"/>
  <c r="M20" i="5"/>
  <c r="L20" i="5"/>
  <c r="O20" i="5" s="1"/>
  <c r="K20" i="5"/>
  <c r="H20" i="5"/>
  <c r="N19" i="5"/>
  <c r="M19" i="5"/>
  <c r="L19" i="5"/>
  <c r="O19" i="5" s="1"/>
  <c r="K19" i="5"/>
  <c r="H19" i="5"/>
  <c r="N18" i="5"/>
  <c r="M18" i="5"/>
  <c r="L18" i="5"/>
  <c r="O18" i="5" s="1"/>
  <c r="K18" i="5"/>
  <c r="H18" i="5"/>
  <c r="N17" i="5"/>
  <c r="M17" i="5"/>
  <c r="L17" i="5"/>
  <c r="O17" i="5" s="1"/>
  <c r="K17" i="5"/>
  <c r="H17" i="5"/>
  <c r="N16" i="5"/>
  <c r="M16" i="5"/>
  <c r="L16" i="5"/>
  <c r="O16" i="5" s="1"/>
  <c r="K16" i="5"/>
  <c r="H16" i="5"/>
  <c r="N15" i="5"/>
  <c r="M15" i="5"/>
  <c r="L15" i="5"/>
  <c r="O15" i="5" s="1"/>
  <c r="K15" i="5"/>
  <c r="H15" i="5"/>
  <c r="N14" i="5"/>
  <c r="M14" i="5"/>
  <c r="L14" i="5"/>
  <c r="O14" i="5" s="1"/>
  <c r="K14" i="5"/>
  <c r="H14" i="5"/>
  <c r="N13" i="5"/>
  <c r="M13" i="5"/>
  <c r="L13" i="5"/>
  <c r="O13" i="5" s="1"/>
  <c r="K13" i="5"/>
  <c r="H13" i="5"/>
  <c r="N12" i="5"/>
  <c r="M12" i="5"/>
  <c r="L12" i="5"/>
  <c r="O12" i="5" s="1"/>
  <c r="K12" i="5"/>
  <c r="H12" i="5"/>
  <c r="N11" i="5"/>
  <c r="M11" i="5"/>
  <c r="L11" i="5"/>
  <c r="O11" i="5" s="1"/>
  <c r="K11" i="5"/>
  <c r="H11" i="5"/>
  <c r="N10" i="5"/>
  <c r="M10" i="5"/>
  <c r="L10" i="5"/>
  <c r="O10" i="5" s="1"/>
  <c r="K10" i="5"/>
  <c r="H10" i="5"/>
  <c r="P9" i="5"/>
  <c r="N9" i="5"/>
  <c r="M9" i="5"/>
  <c r="L9" i="5"/>
  <c r="O9" i="5" s="1"/>
  <c r="K9" i="5"/>
  <c r="H9" i="5"/>
  <c r="N8" i="5"/>
  <c r="M8" i="5"/>
  <c r="L8" i="5"/>
  <c r="O8" i="5" s="1"/>
  <c r="K8" i="5"/>
  <c r="H8" i="5"/>
  <c r="N7" i="5"/>
  <c r="M7" i="5"/>
  <c r="L7" i="5"/>
  <c r="O7" i="5" s="1"/>
  <c r="K7" i="5"/>
  <c r="H7" i="5"/>
  <c r="N6" i="5"/>
  <c r="M6" i="5"/>
  <c r="L6" i="5"/>
  <c r="O6" i="5" s="1"/>
  <c r="K6" i="5"/>
  <c r="H6" i="5"/>
  <c r="N5" i="5"/>
  <c r="M5" i="5"/>
  <c r="L5" i="5"/>
  <c r="O5" i="5" s="1"/>
  <c r="K5" i="5"/>
  <c r="H5" i="5"/>
  <c r="N4" i="5"/>
  <c r="M4" i="5"/>
  <c r="L4" i="5"/>
  <c r="O4" i="5" s="1"/>
  <c r="K4" i="5"/>
  <c r="H4" i="5"/>
  <c r="N3" i="5"/>
  <c r="M3" i="5"/>
  <c r="L3" i="5"/>
  <c r="O3" i="5" s="1"/>
  <c r="K3" i="5"/>
  <c r="H3" i="5"/>
  <c r="N2" i="5"/>
  <c r="M2" i="5"/>
  <c r="L2" i="5"/>
  <c r="K2" i="5"/>
  <c r="H2" i="5"/>
  <c r="M28" i="4"/>
  <c r="L28" i="4"/>
  <c r="H28" i="4"/>
  <c r="L27" i="4"/>
  <c r="M27" i="4" s="1"/>
  <c r="H27" i="4"/>
  <c r="M26" i="4"/>
  <c r="L26" i="4"/>
  <c r="H26" i="4"/>
  <c r="M25" i="4"/>
  <c r="L25" i="4"/>
  <c r="H25" i="4"/>
  <c r="L24" i="4"/>
  <c r="M24" i="4" s="1"/>
  <c r="H24" i="4"/>
  <c r="L23" i="4"/>
  <c r="M23" i="4" s="1"/>
  <c r="H23" i="4"/>
  <c r="M22" i="4"/>
  <c r="L22" i="4"/>
  <c r="H22" i="4"/>
  <c r="L21" i="4"/>
  <c r="M21" i="4" s="1"/>
  <c r="H21" i="4"/>
  <c r="M20" i="4"/>
  <c r="L20" i="4"/>
  <c r="H20" i="4"/>
  <c r="L19" i="4"/>
  <c r="M19" i="4" s="1"/>
  <c r="H19" i="4"/>
  <c r="M18" i="4"/>
  <c r="L18" i="4"/>
  <c r="H18" i="4"/>
  <c r="M17" i="4"/>
  <c r="L17" i="4"/>
  <c r="H17" i="4"/>
  <c r="L16" i="4"/>
  <c r="H16" i="4"/>
  <c r="L15" i="4"/>
  <c r="H15" i="4"/>
  <c r="L14" i="4"/>
  <c r="H14" i="4"/>
  <c r="M13" i="4"/>
  <c r="L13" i="4"/>
  <c r="H13" i="4"/>
  <c r="M12" i="4"/>
  <c r="L12" i="4"/>
  <c r="H12" i="4"/>
  <c r="M11" i="4"/>
  <c r="L11" i="4"/>
  <c r="H11" i="4"/>
  <c r="M10" i="4"/>
  <c r="L10" i="4"/>
  <c r="H10" i="4"/>
  <c r="M9" i="4"/>
  <c r="L9" i="4"/>
  <c r="H9" i="4"/>
  <c r="M8" i="4"/>
  <c r="L8" i="4"/>
  <c r="H8" i="4"/>
  <c r="M7" i="4"/>
  <c r="L7" i="4"/>
  <c r="H7" i="4"/>
  <c r="M6" i="4"/>
  <c r="L6" i="4"/>
  <c r="H6" i="4"/>
  <c r="M5" i="4"/>
  <c r="L5" i="4"/>
  <c r="H5" i="4"/>
  <c r="M4" i="4"/>
  <c r="L4" i="4"/>
  <c r="H4" i="4"/>
  <c r="M3" i="4"/>
  <c r="L3" i="4"/>
  <c r="H3" i="4"/>
  <c r="L2" i="4"/>
  <c r="M2" i="4" s="1"/>
  <c r="H2" i="4"/>
  <c r="O2" i="5" l="1"/>
  <c r="J2" i="5"/>
  <c r="P2" i="5"/>
  <c r="P3" i="5"/>
  <c r="P6" i="5"/>
  <c r="P10" i="5"/>
  <c r="P13" i="5"/>
  <c r="P15" i="5"/>
  <c r="P19" i="5"/>
  <c r="P24" i="5"/>
  <c r="P25" i="5"/>
  <c r="P28" i="5"/>
  <c r="P32" i="5"/>
  <c r="P33" i="5"/>
  <c r="P34" i="5"/>
  <c r="P35" i="5"/>
  <c r="P39" i="5"/>
  <c r="P40" i="5"/>
  <c r="P43" i="5"/>
  <c r="P48" i="5"/>
  <c r="P50" i="5"/>
  <c r="P51" i="5"/>
  <c r="P52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2" i="6"/>
  <c r="P4" i="5"/>
  <c r="P7" i="5"/>
  <c r="P11" i="5"/>
  <c r="P18" i="5"/>
  <c r="P20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2" i="6"/>
  <c r="J3" i="6"/>
  <c r="P5" i="5"/>
  <c r="P8" i="5"/>
  <c r="P12" i="5"/>
  <c r="P14" i="5"/>
  <c r="P16" i="5"/>
  <c r="P17" i="5"/>
  <c r="P21" i="5"/>
  <c r="P22" i="5"/>
  <c r="P27" i="5"/>
  <c r="P30" i="5"/>
  <c r="P31" i="5"/>
  <c r="P36" i="5"/>
  <c r="P37" i="5"/>
  <c r="P38" i="5"/>
  <c r="P41" i="5"/>
  <c r="P42" i="5"/>
  <c r="P45" i="5"/>
  <c r="P46" i="5"/>
  <c r="P49" i="5"/>
</calcChain>
</file>

<file path=xl/sharedStrings.xml><?xml version="1.0" encoding="utf-8"?>
<sst xmlns="http://schemas.openxmlformats.org/spreadsheetml/2006/main" count="1099" uniqueCount="117">
  <si>
    <t xml:space="preserve"> S1 0% un S2, S3 ir rez.</t>
  </si>
  <si>
    <t>DATUMS</t>
  </si>
  <si>
    <t>temp. telpā, oC</t>
  </si>
  <si>
    <t>gaisa relat. mitrums, RH %</t>
  </si>
  <si>
    <t>temp. kastē, oC</t>
  </si>
  <si>
    <t>paraugu kārtība kastē</t>
  </si>
  <si>
    <t>komentāri</t>
  </si>
  <si>
    <t>Nr</t>
  </si>
  <si>
    <t>MK paraugi (slīpputekļi/ hito)</t>
  </si>
  <si>
    <t>parauga masa gaisa sausa, g</t>
  </si>
  <si>
    <t>Nr.</t>
  </si>
  <si>
    <t>MK paraugi (salmi/hito)</t>
  </si>
  <si>
    <t>07.10(uzlikšana)</t>
  </si>
  <si>
    <t>cba</t>
  </si>
  <si>
    <t>Sl1 sub</t>
  </si>
  <si>
    <t>Sa1 sub</t>
  </si>
  <si>
    <t>acb</t>
  </si>
  <si>
    <t>bac</t>
  </si>
  <si>
    <t>28.10.</t>
  </si>
  <si>
    <t>Sl2 sub</t>
  </si>
  <si>
    <t>Sa2 sub</t>
  </si>
  <si>
    <t>Sl3 sub</t>
  </si>
  <si>
    <t>Sa3 sub</t>
  </si>
  <si>
    <t>29.12 (noņemšana)</t>
  </si>
  <si>
    <t>augsnes pH sāk</t>
  </si>
  <si>
    <t>Sl4 sub</t>
  </si>
  <si>
    <t>Sa4 sub</t>
  </si>
  <si>
    <t>pH pēc 13 ned.</t>
  </si>
  <si>
    <t xml:space="preserve">27 paraugi, katrā kastītē pa vienam paraugam </t>
  </si>
  <si>
    <t>Kastītes 3 kārtās komposta kastē. Pie katras pārbaudes un apmaisīšanas kārtu secība mainās- augša, vidus, apakša.</t>
  </si>
  <si>
    <t>Sa4</t>
  </si>
  <si>
    <t>5 cm komposta starp kastīšu kārtām</t>
  </si>
  <si>
    <t>(1) Paraugu izņemšana no kastes un komposta apmaisīšana, un (2) mitruma paraugu noņemšana notiek- pirmās 4 nedēļas- 1x nedēļā, pārējās 8 nedēļas – 1x divās nedēļās.</t>
  </si>
  <si>
    <t>Mitrumu mēra 3 slāņos, kur kastītes:</t>
  </si>
  <si>
    <t>1. - augšējais slānis:... ; 2. -vidējais:.... ;  3. - apakšējais: ....</t>
  </si>
  <si>
    <t>numurus raksta uz kastītēm arī</t>
  </si>
  <si>
    <t>Vizuāli novērtē paraugu sadalīšanās pakāpi ballēs</t>
  </si>
  <si>
    <t>a</t>
  </si>
  <si>
    <t>b</t>
  </si>
  <si>
    <t>c</t>
  </si>
  <si>
    <t>pēc testa:</t>
  </si>
  <si>
    <t>* ŽĀVĒŠANA: MK kastes tika žāvēti 2-3 dienas žāvskapī ar ieslēgtu ventilatrou pie 40 oC</t>
  </si>
  <si>
    <t>* SIJĀŠANA: papīra paraugu kastes tika sijātas 10 minūtes, MK kastes 8 minūtes; izmantotie sieti 6,7 mm un 2,0 mm, visiem paraugiem iekārtas svārst. ampl. 60</t>
  </si>
  <si>
    <t>* iekārta - Vibrējošais sietu kratītājs Reisch AS200 (Vācija)</t>
  </si>
  <si>
    <t>Sijāšanas rezultāti:</t>
  </si>
  <si>
    <t>Nepilnīgi sadalītais MK paraugs</t>
  </si>
  <si>
    <t>Sākotnējā masa gaisa sauss, g</t>
  </si>
  <si>
    <t>Nesadalīto gabalu masa g. sausa, g</t>
  </si>
  <si>
    <t>Nesadalītā daļa, %</t>
  </si>
  <si>
    <t xml:space="preserve">Komposts iekārtots  130 l plastmasas kastē ar vāku, izejas mitrums 75%. </t>
  </si>
  <si>
    <t>Kastes apakšā izurbti caurumi, liekā mitruma notecināsanai, ja tāds rastos kompostu laistot. Papildus mitrināšana nebija nepieciešama.</t>
  </si>
  <si>
    <t>katrs MK  paraugs ielikts 0,5 l plastmasas kastītē, kuras apakšā izdurti caurumi.</t>
  </si>
  <si>
    <t>w% kopostam pa slāņiem</t>
  </si>
  <si>
    <t>datums/slānis</t>
  </si>
  <si>
    <t>augša</t>
  </si>
  <si>
    <t xml:space="preserve">vidus </t>
  </si>
  <si>
    <t>apakša</t>
  </si>
  <si>
    <t xml:space="preserve">Kompostēšana notiek pēc LVS EN 14045: 2003 standarta metodes </t>
  </si>
  <si>
    <t xml:space="preserve">laboratorijas apstākļos kontrolētā temperatūras un gaisa mitruma vidē. Tiek izmantots ekoloģiski tīrs, </t>
  </si>
  <si>
    <t xml:space="preserve">trihodermīnu saturošs komposts, kas iegādāts no SIA ‘’Zeltābele,’’ Jaunauce, Latvija. Pārbaudes ilgums </t>
  </si>
  <si>
    <t xml:space="preserve">ir 12 nedēļas, kuru laikā kompostējamie paraugi tiek regulāri pārbaudīti un veikti komposta mitruma </t>
  </si>
  <si>
    <t xml:space="preserve">mērījumi. </t>
  </si>
  <si>
    <t>Ir foto.</t>
  </si>
  <si>
    <t>30.12.25 masas izžāvētajai augsnei no kastēm</t>
  </si>
  <si>
    <t>m, g</t>
  </si>
  <si>
    <t>id</t>
  </si>
  <si>
    <t>substrāts</t>
  </si>
  <si>
    <t>Vērtējums (balles)</t>
  </si>
  <si>
    <t>apstrade</t>
  </si>
  <si>
    <t>substrate</t>
  </si>
  <si>
    <t>date</t>
  </si>
  <si>
    <t>Vērtējums</t>
  </si>
  <si>
    <t>sub</t>
  </si>
  <si>
    <t>BSD1</t>
  </si>
  <si>
    <t>BSD2</t>
  </si>
  <si>
    <t>BSD3</t>
  </si>
  <si>
    <t>BSD4</t>
  </si>
  <si>
    <t>WS1</t>
  </si>
  <si>
    <t>WS2</t>
  </si>
  <si>
    <t>WS3</t>
  </si>
  <si>
    <t>WS4</t>
  </si>
  <si>
    <t>control</t>
  </si>
  <si>
    <t>apstrāde</t>
  </si>
  <si>
    <t>pH</t>
  </si>
  <si>
    <t>FW + T</t>
  </si>
  <si>
    <t>DW + T</t>
  </si>
  <si>
    <t>T</t>
  </si>
  <si>
    <t>mitrums</t>
  </si>
  <si>
    <t>start_mass</t>
  </si>
  <si>
    <t>end_mass_Wet</t>
  </si>
  <si>
    <t>end_mass_dry</t>
  </si>
  <si>
    <t>end_mass%Wet</t>
  </si>
  <si>
    <t>end_mass%corected</t>
  </si>
  <si>
    <t>Weight</t>
  </si>
  <si>
    <t>N, %</t>
  </si>
  <si>
    <t>C, %</t>
  </si>
  <si>
    <t>H, %</t>
  </si>
  <si>
    <t>O%</t>
  </si>
  <si>
    <t>S, %</t>
  </si>
  <si>
    <t>C/N</t>
  </si>
  <si>
    <t>N</t>
  </si>
  <si>
    <t>C</t>
  </si>
  <si>
    <t>H</t>
  </si>
  <si>
    <t>O</t>
  </si>
  <si>
    <t>H/C</t>
  </si>
  <si>
    <t>O/C</t>
  </si>
  <si>
    <t>Blank</t>
  </si>
  <si>
    <t>A</t>
  </si>
  <si>
    <t>B</t>
  </si>
  <si>
    <t>Substrate</t>
  </si>
  <si>
    <t>Apraksts</t>
  </si>
  <si>
    <t>Pilnīgi vesels (nav novērojamas izmaiņas, izņemot, nosmērējies)</t>
  </si>
  <si>
    <t>Nelielas sadalīšanās pazīmes (pelējums, bezmugurkaulnieku aktivitāte)</t>
  </si>
  <si>
    <t>Zaudē formu (apdrupušas malas, krīt nost substrāta daļas, bezmugurkaulnieku izalots)</t>
  </si>
  <si>
    <t>Palicis tikai kodols (paraugs ievērojami samazinājies izmērā. &lt;50% no sāk., mīksts)</t>
  </si>
  <si>
    <t>Palikušas tikai drupačas (paraugs neturas kopā, bet redzami substrāta pārpalikumi)</t>
  </si>
  <si>
    <t>Pilnīgi sadalījies (nav redzamas paliekas no parauga)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</si>
</sst>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.d\.m"/>
  </numFmts>
  <fonts count="12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</font>
    <font>
      <sz val="12"/>
      <color rgb="FFFF0000"/>
      <name val="Calibri"/>
    </font>
    <font>
      <strike/>
      <sz val="12"/>
      <color theme="1"/>
      <name val="Calibri"/>
    </font>
    <font>
      <sz val="12"/>
      <color rgb="FF000000"/>
      <name val="Aptos"/>
    </font>
    <font>
      <sz val="12"/>
      <color rgb="FF222222"/>
      <name val="Arial"/>
    </font>
    <font>
      <sz val="12"/>
      <name val="Calibri"/>
    </font>
    <font>
      <sz val="12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14" fontId="1" fillId="0" borderId="1" xfId="0" applyNumberFormat="1" applyFont="1" applyBorder="1"/>
    <xf numFmtId="0" fontId="2" fillId="0" borderId="0" xfId="0" applyFont="1"/>
    <xf numFmtId="0" fontId="2" fillId="2" borderId="2" xfId="0" applyFont="1" applyFill="1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2" fontId="2" fillId="0" borderId="6" xfId="0" applyNumberFormat="1" applyFont="1" applyBorder="1" applyAlignment="1">
      <alignment horizontal="left"/>
    </xf>
    <xf numFmtId="0" fontId="2" fillId="0" borderId="7" xfId="0" applyFont="1" applyBorder="1"/>
    <xf numFmtId="9" fontId="2" fillId="0" borderId="6" xfId="0" applyNumberFormat="1" applyFont="1" applyBorder="1"/>
    <xf numFmtId="0" fontId="2" fillId="0" borderId="6" xfId="0" applyFont="1" applyBorder="1"/>
    <xf numFmtId="0" fontId="2" fillId="3" borderId="5" xfId="0" applyFont="1" applyFill="1" applyBorder="1"/>
    <xf numFmtId="0" fontId="2" fillId="0" borderId="5" xfId="0" applyFont="1" applyBorder="1"/>
    <xf numFmtId="0" fontId="2" fillId="0" borderId="8" xfId="0" applyFont="1" applyBorder="1"/>
    <xf numFmtId="0" fontId="2" fillId="4" borderId="5" xfId="0" applyFont="1" applyFill="1" applyBorder="1"/>
    <xf numFmtId="2" fontId="2" fillId="0" borderId="5" xfId="0" applyNumberFormat="1" applyFont="1" applyBorder="1" applyAlignment="1">
      <alignment horizontal="left"/>
    </xf>
    <xf numFmtId="0" fontId="2" fillId="0" borderId="9" xfId="0" applyFont="1" applyBorder="1"/>
    <xf numFmtId="9" fontId="2" fillId="0" borderId="5" xfId="0" applyNumberFormat="1" applyFont="1" applyBorder="1"/>
    <xf numFmtId="0" fontId="2" fillId="0" borderId="5" xfId="0" applyFont="1" applyBorder="1" applyAlignment="1">
      <alignment horizontal="left"/>
    </xf>
    <xf numFmtId="0" fontId="2" fillId="5" borderId="5" xfId="0" applyFont="1" applyFill="1" applyBorder="1"/>
    <xf numFmtId="0" fontId="3" fillId="0" borderId="0" xfId="0" applyFont="1"/>
    <xf numFmtId="2" fontId="2" fillId="0" borderId="5" xfId="0" applyNumberFormat="1" applyFont="1" applyBorder="1"/>
    <xf numFmtId="2" fontId="4" fillId="0" borderId="0" xfId="0" applyNumberFormat="1" applyFont="1"/>
    <xf numFmtId="0" fontId="4" fillId="0" borderId="0" xfId="0" applyFont="1"/>
    <xf numFmtId="0" fontId="5" fillId="0" borderId="0" xfId="0" applyFont="1"/>
    <xf numFmtId="0" fontId="2" fillId="3" borderId="10" xfId="0" applyFont="1" applyFill="1" applyBorder="1"/>
    <xf numFmtId="0" fontId="2" fillId="4" borderId="10" xfId="0" applyFont="1" applyFill="1" applyBorder="1"/>
    <xf numFmtId="0" fontId="2" fillId="5" borderId="10" xfId="0" applyFont="1" applyFill="1" applyBorder="1"/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1" xfId="0" applyFont="1" applyBorder="1"/>
    <xf numFmtId="2" fontId="2" fillId="0" borderId="12" xfId="0" applyNumberFormat="1" applyFont="1" applyBorder="1"/>
    <xf numFmtId="0" fontId="2" fillId="0" borderId="13" xfId="0" applyFont="1" applyBorder="1"/>
    <xf numFmtId="2" fontId="2" fillId="0" borderId="14" xfId="0" applyNumberFormat="1" applyFont="1" applyBorder="1"/>
    <xf numFmtId="0" fontId="2" fillId="0" borderId="15" xfId="0" applyFont="1" applyBorder="1"/>
    <xf numFmtId="0" fontId="2" fillId="0" borderId="16" xfId="0" applyFont="1" applyBorder="1"/>
    <xf numFmtId="2" fontId="2" fillId="0" borderId="17" xfId="0" applyNumberFormat="1" applyFont="1" applyBorder="1"/>
    <xf numFmtId="0" fontId="1" fillId="0" borderId="0" xfId="0" applyFont="1"/>
    <xf numFmtId="0" fontId="1" fillId="0" borderId="18" xfId="0" applyFont="1" applyBorder="1"/>
    <xf numFmtId="2" fontId="2" fillId="0" borderId="3" xfId="0" applyNumberFormat="1" applyFont="1" applyBorder="1" applyAlignment="1">
      <alignment horizontal="left"/>
    </xf>
    <xf numFmtId="2" fontId="2" fillId="0" borderId="19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20" xfId="0" applyFont="1" applyBorder="1"/>
    <xf numFmtId="164" fontId="2" fillId="0" borderId="6" xfId="0" applyNumberFormat="1" applyFont="1" applyBorder="1"/>
    <xf numFmtId="2" fontId="2" fillId="0" borderId="7" xfId="0" applyNumberFormat="1" applyFont="1" applyBorder="1"/>
    <xf numFmtId="2" fontId="2" fillId="0" borderId="6" xfId="0" applyNumberFormat="1" applyFont="1" applyBorder="1"/>
    <xf numFmtId="2" fontId="2" fillId="0" borderId="21" xfId="0" applyNumberFormat="1" applyFont="1" applyBorder="1"/>
    <xf numFmtId="0" fontId="1" fillId="0" borderId="22" xfId="0" applyFont="1" applyBorder="1"/>
    <xf numFmtId="164" fontId="2" fillId="0" borderId="5" xfId="0" applyNumberFormat="1" applyFont="1" applyBorder="1"/>
    <xf numFmtId="2" fontId="2" fillId="0" borderId="9" xfId="0" applyNumberFormat="1" applyFont="1" applyBorder="1"/>
    <xf numFmtId="2" fontId="2" fillId="0" borderId="8" xfId="0" applyNumberFormat="1" applyFont="1" applyBorder="1"/>
    <xf numFmtId="0" fontId="1" fillId="0" borderId="23" xfId="0" applyFont="1" applyBorder="1"/>
    <xf numFmtId="164" fontId="2" fillId="0" borderId="16" xfId="0" applyNumberFormat="1" applyFont="1" applyBorder="1"/>
    <xf numFmtId="2" fontId="2" fillId="0" borderId="24" xfId="0" applyNumberFormat="1" applyFont="1" applyBorder="1"/>
    <xf numFmtId="2" fontId="2" fillId="0" borderId="16" xfId="0" applyNumberFormat="1" applyFont="1" applyBorder="1"/>
    <xf numFmtId="2" fontId="2" fillId="0" borderId="25" xfId="0" applyNumberFormat="1" applyFont="1" applyBorder="1"/>
    <xf numFmtId="0" fontId="2" fillId="6" borderId="10" xfId="0" applyFont="1" applyFill="1" applyBorder="1"/>
    <xf numFmtId="0" fontId="2" fillId="7" borderId="10" xfId="0" applyFont="1" applyFill="1" applyBorder="1"/>
    <xf numFmtId="0" fontId="6" fillId="7" borderId="10" xfId="0" applyFont="1" applyFill="1" applyBorder="1" applyAlignment="1">
      <alignment vertical="center"/>
    </xf>
    <xf numFmtId="0" fontId="7" fillId="7" borderId="10" xfId="0" applyFont="1" applyFill="1" applyBorder="1"/>
    <xf numFmtId="0" fontId="6" fillId="7" borderId="10" xfId="0" applyFont="1" applyFill="1" applyBorder="1" applyAlignment="1">
      <alignment wrapText="1"/>
    </xf>
    <xf numFmtId="2" fontId="2" fillId="0" borderId="24" xfId="0" applyNumberFormat="1" applyFont="1" applyBorder="1" applyAlignment="1">
      <alignment horizontal="left"/>
    </xf>
    <xf numFmtId="2" fontId="2" fillId="0" borderId="16" xfId="0" applyNumberFormat="1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3" borderId="34" xfId="0" applyFont="1" applyFill="1" applyBorder="1"/>
    <xf numFmtId="0" fontId="2" fillId="0" borderId="12" xfId="0" applyFont="1" applyBorder="1"/>
    <xf numFmtId="0" fontId="2" fillId="3" borderId="13" xfId="0" applyFont="1" applyFill="1" applyBorder="1"/>
    <xf numFmtId="0" fontId="2" fillId="0" borderId="14" xfId="0" applyFont="1" applyBorder="1"/>
    <xf numFmtId="0" fontId="2" fillId="4" borderId="13" xfId="0" applyFont="1" applyFill="1" applyBorder="1"/>
    <xf numFmtId="0" fontId="2" fillId="5" borderId="13" xfId="0" applyFont="1" applyFill="1" applyBorder="1"/>
    <xf numFmtId="0" fontId="2" fillId="5" borderId="15" xfId="0" applyFont="1" applyFill="1" applyBorder="1"/>
    <xf numFmtId="0" fontId="2" fillId="0" borderId="17" xfId="0" applyFont="1" applyBorder="1"/>
    <xf numFmtId="165" fontId="3" fillId="0" borderId="0" xfId="0" applyNumberFormat="1" applyFont="1"/>
    <xf numFmtId="0" fontId="2" fillId="2" borderId="10" xfId="0" applyFont="1" applyFill="1" applyBorder="1"/>
    <xf numFmtId="0" fontId="3" fillId="8" borderId="0" xfId="0" applyFont="1" applyFill="1"/>
    <xf numFmtId="2" fontId="3" fillId="0" borderId="0" xfId="0" applyNumberFormat="1" applyFont="1"/>
    <xf numFmtId="0" fontId="2" fillId="0" borderId="0" xfId="0" applyFont="1" applyAlignment="1">
      <alignment horizontal="right"/>
    </xf>
    <xf numFmtId="2" fontId="3" fillId="2" borderId="0" xfId="0" applyNumberFormat="1" applyFont="1" applyFill="1"/>
    <xf numFmtId="2" fontId="3" fillId="8" borderId="0" xfId="0" applyNumberFormat="1" applyFont="1" applyFill="1"/>
    <xf numFmtId="0" fontId="3" fillId="2" borderId="0" xfId="0" applyFont="1" applyFill="1"/>
    <xf numFmtId="0" fontId="2" fillId="7" borderId="10" xfId="0" applyFont="1" applyFill="1" applyBorder="1" applyAlignment="1">
      <alignment horizontal="right"/>
    </xf>
    <xf numFmtId="2" fontId="2" fillId="7" borderId="10" xfId="0" applyNumberFormat="1" applyFont="1" applyFill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applyFont="1"/>
    <xf numFmtId="0" fontId="10" fillId="0" borderId="0" xfId="0" quotePrefix="1" applyFont="1"/>
    <xf numFmtId="0" fontId="10" fillId="0" borderId="0" xfId="0" quotePrefix="1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10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35" xfId="0" applyBorder="1"/>
    <xf numFmtId="0" fontId="2" fillId="0" borderId="35" xfId="0" applyFont="1" applyBorder="1"/>
    <xf numFmtId="49" fontId="2" fillId="0" borderId="35" xfId="0" applyNumberFormat="1" applyFont="1" applyBorder="1" applyAlignment="1">
      <alignment horizontal="right"/>
    </xf>
    <xf numFmtId="0" fontId="2" fillId="0" borderId="28" xfId="0" applyFont="1" applyBorder="1" applyAlignment="1">
      <alignment horizontal="center"/>
    </xf>
    <xf numFmtId="0" fontId="8" fillId="0" borderId="32" xfId="0" applyFont="1" applyBorder="1"/>
    <xf numFmtId="0" fontId="2" fillId="0" borderId="29" xfId="0" applyFont="1" applyBorder="1" applyAlignment="1">
      <alignment horizontal="center"/>
    </xf>
    <xf numFmtId="0" fontId="8" fillId="0" borderId="33" xfId="0" applyFont="1" applyBorder="1"/>
    <xf numFmtId="0" fontId="2" fillId="0" borderId="30" xfId="0" applyFont="1" applyBorder="1" applyAlignment="1">
      <alignment horizontal="center"/>
    </xf>
    <xf numFmtId="0" fontId="8" fillId="0" borderId="30" xfId="0" applyFont="1" applyBorder="1"/>
    <xf numFmtId="0" fontId="8" fillId="0" borderId="31" xfId="0" applyFont="1" applyBorder="1"/>
    <xf numFmtId="0" fontId="6" fillId="7" borderId="26" xfId="0" applyFont="1" applyFill="1" applyBorder="1" applyAlignment="1">
      <alignment vertical="center"/>
    </xf>
    <xf numFmtId="0" fontId="8" fillId="0" borderId="27" xfId="0" applyFont="1" applyBorder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4"/>
  <sheetViews>
    <sheetView topLeftCell="A2" zoomScale="70" zoomScaleNormal="70" workbookViewId="0">
      <selection activeCell="F5" sqref="F5"/>
    </sheetView>
  </sheetViews>
  <sheetFormatPr defaultColWidth="11.25" defaultRowHeight="15" customHeight="1" x14ac:dyDescent="0.35"/>
  <cols>
    <col min="1" max="1" width="19.33203125" customWidth="1"/>
    <col min="2" max="2" width="21.08203125" customWidth="1"/>
    <col min="3" max="3" width="14.08203125" customWidth="1"/>
    <col min="4" max="4" width="11.4140625" customWidth="1"/>
    <col min="5" max="5" width="16.33203125" customWidth="1"/>
    <col min="6" max="6" width="41.08203125" customWidth="1"/>
    <col min="7" max="7" width="16.4140625" customWidth="1"/>
    <col min="8" max="8" width="9.6640625" customWidth="1"/>
    <col min="9" max="9" width="9.25" customWidth="1"/>
    <col min="10" max="10" width="18.6640625" customWidth="1"/>
    <col min="11" max="11" width="5" customWidth="1"/>
    <col min="12" max="12" width="16.33203125" customWidth="1"/>
    <col min="13" max="13" width="19.4140625" customWidth="1"/>
    <col min="14" max="26" width="11" customWidth="1"/>
  </cols>
  <sheetData>
    <row r="1" spans="1:13" ht="15.75" customHeight="1" x14ac:dyDescent="0.35"/>
    <row r="2" spans="1:13" ht="15.75" customHeight="1" x14ac:dyDescent="0.35"/>
    <row r="3" spans="1:13" ht="15.75" customHeight="1" x14ac:dyDescent="0.35"/>
    <row r="4" spans="1:13" ht="15.75" customHeight="1" x14ac:dyDescent="0.35"/>
    <row r="5" spans="1:13" ht="15.75" customHeight="1" x14ac:dyDescent="0.35">
      <c r="A5" s="1">
        <v>45818</v>
      </c>
      <c r="B5" s="2">
        <f>AVERAGE(B7:B15)</f>
        <v>20.177777777777781</v>
      </c>
      <c r="C5" s="2">
        <f>AVERAGE(C7:C15)</f>
        <v>0.60555555555555562</v>
      </c>
      <c r="D5" s="2">
        <f>AVERAGE(D7:D15)</f>
        <v>17.75</v>
      </c>
      <c r="E5" s="2"/>
      <c r="F5" s="2"/>
      <c r="I5" s="2" t="s">
        <v>0</v>
      </c>
    </row>
    <row r="6" spans="1:13" ht="15.75" customHeight="1" x14ac:dyDescent="0.35">
      <c r="A6" s="3" t="s">
        <v>1</v>
      </c>
      <c r="B6" s="4" t="s">
        <v>2</v>
      </c>
      <c r="C6" s="5" t="s">
        <v>3</v>
      </c>
      <c r="D6" s="5" t="s">
        <v>4</v>
      </c>
      <c r="E6" s="5" t="s">
        <v>5</v>
      </c>
      <c r="F6" s="6" t="s">
        <v>6</v>
      </c>
      <c r="G6" s="2"/>
      <c r="H6" s="7" t="s">
        <v>7</v>
      </c>
      <c r="I6" s="8" t="s">
        <v>8</v>
      </c>
      <c r="J6" s="7" t="s">
        <v>9</v>
      </c>
      <c r="K6" s="9" t="s">
        <v>10</v>
      </c>
      <c r="L6" s="10" t="s">
        <v>11</v>
      </c>
      <c r="M6" s="11" t="s">
        <v>9</v>
      </c>
    </row>
    <row r="7" spans="1:13" ht="15.75" customHeight="1" x14ac:dyDescent="0.35">
      <c r="A7" s="12" t="s">
        <v>12</v>
      </c>
      <c r="B7" s="13">
        <v>20</v>
      </c>
      <c r="C7" s="14">
        <v>0.69</v>
      </c>
      <c r="D7" s="15"/>
      <c r="E7" s="15" t="s">
        <v>13</v>
      </c>
      <c r="F7" s="15"/>
      <c r="G7" s="2"/>
      <c r="H7" s="16">
        <v>4</v>
      </c>
      <c r="I7" s="17" t="s">
        <v>14</v>
      </c>
      <c r="J7" s="18">
        <v>7.6</v>
      </c>
      <c r="K7" s="19">
        <v>281</v>
      </c>
      <c r="L7" s="17" t="s">
        <v>15</v>
      </c>
      <c r="M7" s="17">
        <v>4.2</v>
      </c>
    </row>
    <row r="8" spans="1:13" ht="15.75" customHeight="1" x14ac:dyDescent="0.35">
      <c r="A8" s="20">
        <v>14.1</v>
      </c>
      <c r="B8" s="21">
        <v>20.100000000000001</v>
      </c>
      <c r="C8" s="22">
        <v>0.62</v>
      </c>
      <c r="D8" s="17">
        <v>18</v>
      </c>
      <c r="E8" s="17" t="s">
        <v>16</v>
      </c>
      <c r="F8" s="17"/>
      <c r="G8" s="2"/>
      <c r="H8" s="16">
        <v>8</v>
      </c>
      <c r="I8" s="17" t="s">
        <v>14</v>
      </c>
      <c r="J8" s="18">
        <v>7.3</v>
      </c>
      <c r="K8" s="19">
        <v>283</v>
      </c>
      <c r="L8" s="17" t="s">
        <v>15</v>
      </c>
      <c r="M8" s="17">
        <v>3.9</v>
      </c>
    </row>
    <row r="9" spans="1:13" ht="15.75" customHeight="1" x14ac:dyDescent="0.35">
      <c r="A9" s="20">
        <v>21.1</v>
      </c>
      <c r="B9" s="21">
        <v>21.2</v>
      </c>
      <c r="C9" s="22">
        <v>0.63</v>
      </c>
      <c r="D9" s="17">
        <v>19</v>
      </c>
      <c r="E9" s="17" t="s">
        <v>17</v>
      </c>
      <c r="F9" s="17"/>
      <c r="G9" s="2"/>
      <c r="H9" s="16">
        <v>12</v>
      </c>
      <c r="I9" s="17" t="s">
        <v>14</v>
      </c>
      <c r="J9" s="18">
        <v>7.2</v>
      </c>
      <c r="K9" s="19">
        <v>284</v>
      </c>
      <c r="L9" s="17" t="s">
        <v>15</v>
      </c>
      <c r="M9" s="17">
        <v>3.9</v>
      </c>
    </row>
    <row r="10" spans="1:13" ht="15.75" customHeight="1" x14ac:dyDescent="0.35">
      <c r="A10" s="23" t="s">
        <v>18</v>
      </c>
      <c r="B10" s="21">
        <v>21.5</v>
      </c>
      <c r="C10" s="22">
        <v>0.64</v>
      </c>
      <c r="D10" s="17">
        <v>18</v>
      </c>
      <c r="E10" s="15" t="s">
        <v>13</v>
      </c>
      <c r="F10" s="17"/>
      <c r="G10" s="2"/>
      <c r="H10" s="16">
        <v>46</v>
      </c>
      <c r="I10" s="17" t="s">
        <v>19</v>
      </c>
      <c r="J10" s="18">
        <v>6.3</v>
      </c>
      <c r="K10" s="19">
        <v>271</v>
      </c>
      <c r="L10" s="17" t="s">
        <v>20</v>
      </c>
      <c r="M10" s="17">
        <v>5.2</v>
      </c>
    </row>
    <row r="11" spans="1:13" ht="15.75" customHeight="1" x14ac:dyDescent="0.35">
      <c r="A11" s="23">
        <v>4.1100000000000003</v>
      </c>
      <c r="B11" s="21">
        <v>21.6</v>
      </c>
      <c r="C11" s="22">
        <v>0.63</v>
      </c>
      <c r="D11" s="17">
        <v>19</v>
      </c>
      <c r="E11" s="17" t="s">
        <v>16</v>
      </c>
      <c r="F11" s="17"/>
      <c r="G11" s="2"/>
      <c r="H11" s="16">
        <v>51</v>
      </c>
      <c r="I11" s="17" t="s">
        <v>19</v>
      </c>
      <c r="J11" s="18">
        <v>6.5</v>
      </c>
      <c r="K11" s="19">
        <v>272</v>
      </c>
      <c r="L11" s="17" t="s">
        <v>20</v>
      </c>
      <c r="M11" s="17">
        <v>5.3</v>
      </c>
    </row>
    <row r="12" spans="1:13" ht="15.75" customHeight="1" x14ac:dyDescent="0.35">
      <c r="A12" s="23">
        <v>19.11</v>
      </c>
      <c r="B12" s="21">
        <v>20.100000000000001</v>
      </c>
      <c r="C12" s="22">
        <v>0.6</v>
      </c>
      <c r="D12" s="17">
        <v>18</v>
      </c>
      <c r="E12" s="17" t="s">
        <v>17</v>
      </c>
      <c r="F12" s="17"/>
      <c r="G12" s="2"/>
      <c r="H12" s="16">
        <v>61</v>
      </c>
      <c r="I12" s="17" t="s">
        <v>19</v>
      </c>
      <c r="J12" s="18">
        <v>6.3</v>
      </c>
      <c r="K12" s="19">
        <v>273</v>
      </c>
      <c r="L12" s="17" t="s">
        <v>20</v>
      </c>
      <c r="M12" s="17">
        <v>5.2</v>
      </c>
    </row>
    <row r="13" spans="1:13" ht="15.75" customHeight="1" x14ac:dyDescent="0.35">
      <c r="A13" s="23">
        <v>2.12</v>
      </c>
      <c r="B13" s="21">
        <v>18.8</v>
      </c>
      <c r="C13" s="22">
        <v>0.53</v>
      </c>
      <c r="D13" s="17">
        <v>15</v>
      </c>
      <c r="E13" s="15" t="s">
        <v>13</v>
      </c>
      <c r="F13" s="17"/>
      <c r="G13" s="2"/>
      <c r="H13" s="16">
        <v>69</v>
      </c>
      <c r="I13" s="17" t="s">
        <v>21</v>
      </c>
      <c r="J13" s="18">
        <v>7.5</v>
      </c>
      <c r="K13" s="24">
        <v>341</v>
      </c>
      <c r="L13" s="17" t="s">
        <v>22</v>
      </c>
      <c r="M13" s="17">
        <v>5.6</v>
      </c>
    </row>
    <row r="14" spans="1:13" ht="15.75" customHeight="1" x14ac:dyDescent="0.35">
      <c r="A14" s="23">
        <v>16.12</v>
      </c>
      <c r="B14" s="21">
        <v>19.399999999999999</v>
      </c>
      <c r="C14" s="22">
        <v>0.56000000000000005</v>
      </c>
      <c r="D14" s="17">
        <v>18</v>
      </c>
      <c r="E14" s="17" t="s">
        <v>16</v>
      </c>
      <c r="F14" s="17"/>
      <c r="G14" s="2"/>
      <c r="H14" s="16">
        <v>144</v>
      </c>
      <c r="I14" s="17" t="s">
        <v>21</v>
      </c>
      <c r="J14" s="18">
        <v>8</v>
      </c>
      <c r="K14" s="24">
        <v>322</v>
      </c>
      <c r="L14" s="17" t="s">
        <v>22</v>
      </c>
      <c r="M14" s="17">
        <v>5.8</v>
      </c>
    </row>
    <row r="15" spans="1:13" ht="15.75" customHeight="1" x14ac:dyDescent="0.35">
      <c r="A15" s="23" t="s">
        <v>23</v>
      </c>
      <c r="B15" s="21">
        <v>18.899999999999999</v>
      </c>
      <c r="C15" s="22">
        <v>0.55000000000000004</v>
      </c>
      <c r="D15" s="17">
        <v>17</v>
      </c>
      <c r="E15" s="17" t="s">
        <v>17</v>
      </c>
      <c r="F15" s="17"/>
      <c r="G15" s="2"/>
      <c r="H15" s="16">
        <v>149</v>
      </c>
      <c r="I15" s="17" t="s">
        <v>21</v>
      </c>
      <c r="J15" s="18">
        <v>7.8</v>
      </c>
      <c r="K15" s="24">
        <v>343</v>
      </c>
      <c r="L15" s="17" t="s">
        <v>22</v>
      </c>
      <c r="M15" s="17">
        <v>5.9</v>
      </c>
    </row>
    <row r="16" spans="1:13" ht="15.75" customHeight="1" x14ac:dyDescent="0.35">
      <c r="A16" s="2" t="s">
        <v>24</v>
      </c>
      <c r="B16" s="2">
        <v>6.92</v>
      </c>
      <c r="C16" s="25">
        <v>6.91</v>
      </c>
      <c r="D16" s="25">
        <v>6.96</v>
      </c>
      <c r="H16" s="19">
        <v>96</v>
      </c>
      <c r="I16" s="17" t="s">
        <v>25</v>
      </c>
      <c r="J16" s="18">
        <v>8.3000000000000007</v>
      </c>
      <c r="K16" s="24">
        <v>246</v>
      </c>
      <c r="L16" s="17" t="s">
        <v>26</v>
      </c>
      <c r="M16" s="17">
        <v>4.3</v>
      </c>
    </row>
    <row r="17" spans="1:16" ht="15.75" customHeight="1" x14ac:dyDescent="0.35">
      <c r="A17" s="2" t="s">
        <v>27</v>
      </c>
      <c r="B17" s="2">
        <v>6.62</v>
      </c>
      <c r="C17" s="25">
        <v>6.69</v>
      </c>
      <c r="D17" s="25">
        <v>6.72</v>
      </c>
      <c r="H17" s="19">
        <v>97</v>
      </c>
      <c r="I17" s="17" t="s">
        <v>25</v>
      </c>
      <c r="J17" s="18">
        <v>8.1999999999999993</v>
      </c>
      <c r="K17" s="24">
        <v>247</v>
      </c>
      <c r="L17" s="17" t="s">
        <v>26</v>
      </c>
      <c r="M17" s="17">
        <v>3.7</v>
      </c>
    </row>
    <row r="18" spans="1:16" ht="15.75" customHeight="1" x14ac:dyDescent="0.35">
      <c r="A18" s="2" t="s">
        <v>28</v>
      </c>
      <c r="H18" s="19">
        <v>154</v>
      </c>
      <c r="I18" s="17" t="s">
        <v>25</v>
      </c>
      <c r="J18" s="18">
        <v>7.9</v>
      </c>
      <c r="K18" s="24">
        <v>248</v>
      </c>
      <c r="L18" s="17" t="s">
        <v>26</v>
      </c>
      <c r="M18" s="17">
        <v>4</v>
      </c>
    </row>
    <row r="19" spans="1:16" ht="15.75" customHeight="1" x14ac:dyDescent="0.35">
      <c r="A19" s="2" t="s">
        <v>29</v>
      </c>
      <c r="H19" s="17"/>
      <c r="I19" s="17"/>
      <c r="J19" s="18"/>
      <c r="K19" s="24">
        <v>87</v>
      </c>
      <c r="L19" s="17" t="s">
        <v>30</v>
      </c>
      <c r="M19" s="17">
        <v>2.1</v>
      </c>
    </row>
    <row r="20" spans="1:16" ht="15.75" customHeight="1" x14ac:dyDescent="0.35">
      <c r="A20" s="2" t="s">
        <v>31</v>
      </c>
      <c r="H20" s="17"/>
      <c r="I20" s="17"/>
      <c r="J20" s="18"/>
      <c r="K20" s="24">
        <v>199</v>
      </c>
      <c r="L20" s="17" t="s">
        <v>30</v>
      </c>
      <c r="M20" s="17">
        <v>2.2000000000000002</v>
      </c>
    </row>
    <row r="21" spans="1:16" ht="15.75" customHeight="1" x14ac:dyDescent="0.35">
      <c r="A21" s="2" t="s">
        <v>32</v>
      </c>
      <c r="H21" s="26"/>
      <c r="I21" s="17"/>
      <c r="J21" s="18"/>
      <c r="K21" s="24">
        <v>200</v>
      </c>
      <c r="L21" s="17" t="s">
        <v>30</v>
      </c>
      <c r="M21" s="17">
        <v>2.2000000000000002</v>
      </c>
    </row>
    <row r="22" spans="1:16" ht="15.75" customHeight="1" x14ac:dyDescent="0.35">
      <c r="A22" s="2" t="s">
        <v>33</v>
      </c>
      <c r="C22" s="2" t="s">
        <v>34</v>
      </c>
      <c r="H22" s="27" t="s">
        <v>35</v>
      </c>
      <c r="I22" s="28"/>
      <c r="J22" s="28"/>
      <c r="K22" s="2"/>
      <c r="L22" s="29"/>
      <c r="M22" s="2"/>
    </row>
    <row r="23" spans="1:16" ht="15.75" customHeight="1" x14ac:dyDescent="0.35">
      <c r="A23" s="2" t="s">
        <v>36</v>
      </c>
      <c r="K23" s="2"/>
      <c r="L23" s="29"/>
      <c r="M23" s="2"/>
    </row>
    <row r="24" spans="1:16" ht="15.75" customHeight="1" x14ac:dyDescent="0.35">
      <c r="H24" s="30"/>
      <c r="I24" s="31"/>
      <c r="J24" s="32"/>
      <c r="K24" s="2"/>
      <c r="L24" s="29"/>
      <c r="M24" s="2"/>
      <c r="P24" s="2"/>
    </row>
    <row r="25" spans="1:16" ht="15.75" customHeight="1" x14ac:dyDescent="0.35">
      <c r="H25" s="30" t="s">
        <v>37</v>
      </c>
      <c r="I25" s="31" t="s">
        <v>38</v>
      </c>
      <c r="J25" s="32" t="s">
        <v>39</v>
      </c>
      <c r="K25" s="2"/>
      <c r="L25" s="29"/>
      <c r="M25" s="2"/>
      <c r="P25" s="2"/>
    </row>
    <row r="26" spans="1:16" ht="15.75" customHeight="1" x14ac:dyDescent="0.35">
      <c r="K26" s="2"/>
      <c r="L26" s="29"/>
      <c r="M26" s="2"/>
      <c r="P26" s="2"/>
    </row>
    <row r="27" spans="1:16" ht="15.75" customHeight="1" x14ac:dyDescent="0.35">
      <c r="A27" s="2" t="s">
        <v>40</v>
      </c>
      <c r="K27" s="2"/>
      <c r="L27" s="29"/>
      <c r="M27" s="2"/>
      <c r="P27" s="2"/>
    </row>
    <row r="28" spans="1:16" ht="15.75" customHeight="1" x14ac:dyDescent="0.35">
      <c r="A28" s="2" t="s">
        <v>41</v>
      </c>
      <c r="P28" s="2"/>
    </row>
    <row r="29" spans="1:16" ht="15.75" customHeight="1" x14ac:dyDescent="0.35">
      <c r="A29" s="2" t="s">
        <v>42</v>
      </c>
    </row>
    <row r="30" spans="1:16" ht="15.75" customHeight="1" x14ac:dyDescent="0.35">
      <c r="A30" s="2" t="s">
        <v>43</v>
      </c>
    </row>
    <row r="31" spans="1:16" ht="15.75" customHeight="1" x14ac:dyDescent="0.35"/>
    <row r="32" spans="1:16" ht="15.75" customHeight="1" x14ac:dyDescent="0.35">
      <c r="A32" s="2" t="s">
        <v>44</v>
      </c>
    </row>
    <row r="33" spans="1:4" ht="15.75" customHeight="1" x14ac:dyDescent="0.35"/>
    <row r="34" spans="1:4" ht="15.75" customHeight="1" x14ac:dyDescent="0.35"/>
    <row r="35" spans="1:4" ht="15.75" customHeight="1" x14ac:dyDescent="0.35"/>
    <row r="36" spans="1:4" ht="15.75" customHeight="1" x14ac:dyDescent="0.35">
      <c r="A36" s="33" t="s">
        <v>45</v>
      </c>
      <c r="B36" s="5" t="s">
        <v>46</v>
      </c>
      <c r="C36" s="5" t="s">
        <v>47</v>
      </c>
      <c r="D36" s="34" t="s">
        <v>48</v>
      </c>
    </row>
    <row r="37" spans="1:4" ht="15.75" customHeight="1" x14ac:dyDescent="0.35">
      <c r="A37" s="35"/>
      <c r="B37" s="15"/>
      <c r="C37" s="15"/>
      <c r="D37" s="36"/>
    </row>
    <row r="38" spans="1:4" ht="15.75" customHeight="1" x14ac:dyDescent="0.35">
      <c r="A38" s="37"/>
      <c r="B38" s="17"/>
      <c r="C38" s="17"/>
      <c r="D38" s="38"/>
    </row>
    <row r="39" spans="1:4" ht="15.75" customHeight="1" x14ac:dyDescent="0.35">
      <c r="A39" s="37"/>
      <c r="B39" s="17"/>
      <c r="C39" s="17"/>
      <c r="D39" s="38"/>
    </row>
    <row r="40" spans="1:4" ht="15.75" customHeight="1" x14ac:dyDescent="0.35">
      <c r="A40" s="37"/>
      <c r="B40" s="17"/>
      <c r="C40" s="17"/>
      <c r="D40" s="38"/>
    </row>
    <row r="41" spans="1:4" ht="15.75" customHeight="1" x14ac:dyDescent="0.35">
      <c r="A41" s="37"/>
      <c r="B41" s="17"/>
      <c r="C41" s="17"/>
      <c r="D41" s="38"/>
    </row>
    <row r="42" spans="1:4" ht="15.75" customHeight="1" x14ac:dyDescent="0.35">
      <c r="A42" s="37"/>
      <c r="B42" s="17"/>
      <c r="C42" s="17"/>
      <c r="D42" s="38"/>
    </row>
    <row r="43" spans="1:4" ht="15.75" customHeight="1" x14ac:dyDescent="0.35">
      <c r="A43" s="37"/>
      <c r="B43" s="17"/>
      <c r="C43" s="17"/>
      <c r="D43" s="38"/>
    </row>
    <row r="44" spans="1:4" ht="15.75" customHeight="1" x14ac:dyDescent="0.35">
      <c r="A44" s="37"/>
      <c r="B44" s="17"/>
      <c r="C44" s="17"/>
      <c r="D44" s="38"/>
    </row>
    <row r="45" spans="1:4" ht="15.75" customHeight="1" x14ac:dyDescent="0.35">
      <c r="A45" s="39"/>
      <c r="B45" s="40"/>
      <c r="C45" s="40"/>
      <c r="D45" s="41"/>
    </row>
    <row r="46" spans="1:4" ht="15.75" customHeight="1" x14ac:dyDescent="0.35"/>
    <row r="47" spans="1:4" ht="15.75" customHeight="1" x14ac:dyDescent="0.35">
      <c r="A47" s="2" t="s">
        <v>49</v>
      </c>
    </row>
    <row r="48" spans="1:4" ht="15.75" customHeight="1" x14ac:dyDescent="0.35">
      <c r="A48" s="2" t="s">
        <v>50</v>
      </c>
    </row>
    <row r="49" spans="1:11" ht="15.75" customHeight="1" x14ac:dyDescent="0.35">
      <c r="A49" s="2" t="s">
        <v>51</v>
      </c>
    </row>
    <row r="50" spans="1:11" ht="15.75" customHeight="1" x14ac:dyDescent="0.35"/>
    <row r="51" spans="1:11" ht="15.75" customHeight="1" x14ac:dyDescent="0.35"/>
    <row r="52" spans="1:11" ht="15.75" customHeight="1" x14ac:dyDescent="0.35">
      <c r="A52" s="42" t="s">
        <v>52</v>
      </c>
    </row>
    <row r="53" spans="1:11" ht="15.75" customHeight="1" x14ac:dyDescent="0.35">
      <c r="A53" s="43" t="s">
        <v>53</v>
      </c>
      <c r="B53" s="44">
        <v>7.1</v>
      </c>
      <c r="C53" s="45">
        <v>14.1</v>
      </c>
      <c r="D53" s="44">
        <v>21.1</v>
      </c>
      <c r="E53" s="46" t="s">
        <v>18</v>
      </c>
      <c r="F53" s="46">
        <v>4.1100000000000003</v>
      </c>
      <c r="G53" s="46">
        <v>19.11</v>
      </c>
      <c r="H53" s="46">
        <v>2.12</v>
      </c>
      <c r="I53" s="46">
        <v>16.12</v>
      </c>
      <c r="J53" s="47">
        <v>29.12</v>
      </c>
    </row>
    <row r="54" spans="1:11" ht="15.75" customHeight="1" x14ac:dyDescent="0.35">
      <c r="A54" s="48" t="s">
        <v>54</v>
      </c>
      <c r="B54" s="49">
        <v>73.455793299999996</v>
      </c>
      <c r="C54" s="50">
        <v>72.266928361138383</v>
      </c>
      <c r="D54" s="51">
        <v>69.976770020000004</v>
      </c>
      <c r="E54" s="51">
        <v>71.003564569999995</v>
      </c>
      <c r="F54" s="51">
        <v>70.022096730000001</v>
      </c>
      <c r="G54" s="51">
        <v>68.649919199999999</v>
      </c>
      <c r="H54" s="51">
        <v>69.758788811906598</v>
      </c>
      <c r="I54" s="52">
        <v>71.250192690000006</v>
      </c>
      <c r="J54" s="36">
        <v>67.639192800000004</v>
      </c>
    </row>
    <row r="55" spans="1:11" ht="15.75" customHeight="1" x14ac:dyDescent="0.35">
      <c r="A55" s="53" t="s">
        <v>55</v>
      </c>
      <c r="B55" s="54">
        <v>68.75</v>
      </c>
      <c r="C55" s="55">
        <v>69.624197983501389</v>
      </c>
      <c r="D55" s="26">
        <v>71.119547940000004</v>
      </c>
      <c r="E55" s="26">
        <v>68.545632019999999</v>
      </c>
      <c r="F55" s="26">
        <v>70.031510740000002</v>
      </c>
      <c r="G55" s="26">
        <v>70.833927750000001</v>
      </c>
      <c r="H55" s="26">
        <v>65.77165538174178</v>
      </c>
      <c r="I55" s="56">
        <v>71.435476080000001</v>
      </c>
      <c r="J55" s="38">
        <v>72.364103299999996</v>
      </c>
    </row>
    <row r="56" spans="1:11" ht="15.75" customHeight="1" x14ac:dyDescent="0.35">
      <c r="A56" s="57" t="s">
        <v>56</v>
      </c>
      <c r="B56" s="58">
        <v>72.4427953</v>
      </c>
      <c r="C56" s="59">
        <v>73.068322981366478</v>
      </c>
      <c r="D56" s="60">
        <v>72.736414960000005</v>
      </c>
      <c r="E56" s="60">
        <v>69.511253640000007</v>
      </c>
      <c r="F56" s="60">
        <v>71.626533390000006</v>
      </c>
      <c r="G56" s="60">
        <v>65.560521640000005</v>
      </c>
      <c r="H56" s="60">
        <v>70.694549583648751</v>
      </c>
      <c r="I56" s="61">
        <v>71.476975199999998</v>
      </c>
      <c r="J56" s="41">
        <v>72.163279990000007</v>
      </c>
    </row>
    <row r="57" spans="1:11" ht="15.75" customHeight="1" x14ac:dyDescent="0.35">
      <c r="B57" s="99">
        <f>AVERAGE(B54:B56)</f>
        <v>71.549529533333327</v>
      </c>
      <c r="C57" s="99">
        <f t="shared" ref="C57:J57" si="0">AVERAGE(C54:C56)</f>
        <v>71.653149775335407</v>
      </c>
      <c r="D57" s="99">
        <f t="shared" si="0"/>
        <v>71.277577640000004</v>
      </c>
      <c r="E57" s="99">
        <f t="shared" si="0"/>
        <v>69.686816743333338</v>
      </c>
      <c r="F57" s="99">
        <f t="shared" si="0"/>
        <v>70.560046953333327</v>
      </c>
      <c r="G57" s="99">
        <f t="shared" si="0"/>
        <v>68.34812286333333</v>
      </c>
      <c r="H57" s="99">
        <f t="shared" si="0"/>
        <v>68.741664592432372</v>
      </c>
      <c r="I57" s="99">
        <f t="shared" si="0"/>
        <v>71.387547990000002</v>
      </c>
      <c r="J57" s="99">
        <f t="shared" si="0"/>
        <v>70.722192030000002</v>
      </c>
      <c r="K57" s="99">
        <f>AVERAGE(B57:J57)</f>
        <v>70.436294235677892</v>
      </c>
    </row>
    <row r="58" spans="1:11" ht="15.75" customHeight="1" x14ac:dyDescent="0.35"/>
    <row r="59" spans="1:11" ht="15.75" customHeight="1" x14ac:dyDescent="0.35">
      <c r="A59" s="2" t="s">
        <v>57</v>
      </c>
    </row>
    <row r="60" spans="1:11" ht="15.75" customHeight="1" x14ac:dyDescent="0.35">
      <c r="A60" s="2" t="s">
        <v>58</v>
      </c>
    </row>
    <row r="61" spans="1:11" ht="15.75" customHeight="1" x14ac:dyDescent="0.35">
      <c r="A61" s="2" t="s">
        <v>59</v>
      </c>
    </row>
    <row r="62" spans="1:11" ht="15.75" customHeight="1" x14ac:dyDescent="0.35">
      <c r="A62" s="2" t="s">
        <v>60</v>
      </c>
    </row>
    <row r="63" spans="1:11" ht="15.75" customHeight="1" x14ac:dyDescent="0.35">
      <c r="A63" s="2" t="s">
        <v>61</v>
      </c>
    </row>
    <row r="64" spans="1:11" ht="15.75" customHeight="1" x14ac:dyDescent="0.35"/>
    <row r="65" spans="1:5" ht="15.75" customHeight="1" x14ac:dyDescent="0.35">
      <c r="A65" s="62" t="s">
        <v>62</v>
      </c>
    </row>
    <row r="66" spans="1:5" ht="15.75" customHeight="1" x14ac:dyDescent="0.35"/>
    <row r="67" spans="1:5" ht="15.75" customHeight="1" x14ac:dyDescent="0.35">
      <c r="A67" s="63"/>
      <c r="B67" s="63"/>
      <c r="C67" s="63"/>
      <c r="D67" s="63"/>
      <c r="E67" s="63"/>
    </row>
    <row r="68" spans="1:5" ht="15.75" customHeight="1" x14ac:dyDescent="0.35">
      <c r="A68" s="64"/>
      <c r="B68" s="64"/>
      <c r="C68" s="65"/>
      <c r="D68" s="65"/>
      <c r="E68" s="65"/>
    </row>
    <row r="69" spans="1:5" ht="15.75" customHeight="1" x14ac:dyDescent="0.4">
      <c r="A69" s="66"/>
      <c r="B69" s="110"/>
      <c r="C69" s="111"/>
      <c r="D69" s="111"/>
      <c r="E69" s="111"/>
    </row>
    <row r="70" spans="1:5" ht="15.75" customHeight="1" x14ac:dyDescent="0.35">
      <c r="A70" s="64" t="s">
        <v>63</v>
      </c>
      <c r="B70" s="64"/>
      <c r="C70" s="65"/>
      <c r="D70" s="65"/>
      <c r="E70" s="65"/>
    </row>
    <row r="71" spans="1:5" ht="15.75" customHeight="1" x14ac:dyDescent="0.35">
      <c r="A71" s="64" t="s">
        <v>7</v>
      </c>
      <c r="B71" s="64" t="s">
        <v>64</v>
      </c>
      <c r="C71" s="65"/>
      <c r="D71" s="65"/>
      <c r="E71" s="65"/>
    </row>
    <row r="72" spans="1:5" ht="15.75" customHeight="1" x14ac:dyDescent="0.35">
      <c r="A72" s="64"/>
      <c r="B72" s="64"/>
      <c r="C72" s="65"/>
      <c r="D72" s="65"/>
      <c r="E72" s="65"/>
    </row>
    <row r="73" spans="1:5" ht="15.75" customHeight="1" x14ac:dyDescent="0.35">
      <c r="A73" s="64"/>
      <c r="B73" s="64"/>
      <c r="C73" s="65"/>
      <c r="D73" s="65"/>
      <c r="E73" s="65"/>
    </row>
    <row r="74" spans="1:5" ht="15.75" customHeight="1" x14ac:dyDescent="0.35">
      <c r="A74" s="65"/>
      <c r="B74" s="63"/>
      <c r="C74" s="63"/>
      <c r="D74" s="63"/>
      <c r="E74" s="63"/>
    </row>
    <row r="75" spans="1:5" ht="15.75" customHeight="1" x14ac:dyDescent="0.35"/>
    <row r="76" spans="1:5" ht="15.75" customHeight="1" x14ac:dyDescent="0.35"/>
    <row r="77" spans="1:5" ht="15.75" customHeight="1" x14ac:dyDescent="0.35"/>
    <row r="78" spans="1:5" ht="15.75" customHeight="1" x14ac:dyDescent="0.35"/>
    <row r="79" spans="1:5" ht="15.75" customHeight="1" x14ac:dyDescent="0.35"/>
    <row r="80" spans="1:5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</sheetData>
  <mergeCells count="1">
    <mergeCell ref="B69:E69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topLeftCell="A9" zoomScale="70" zoomScaleNormal="70" workbookViewId="0">
      <selection activeCell="M16" sqref="M16"/>
    </sheetView>
  </sheetViews>
  <sheetFormatPr defaultColWidth="11.25" defaultRowHeight="15" customHeight="1" x14ac:dyDescent="0.35"/>
  <cols>
    <col min="1" max="2" width="8.58203125" customWidth="1"/>
    <col min="3" max="3" width="5.4140625" customWidth="1"/>
    <col min="4" max="4" width="5.83203125" customWidth="1"/>
    <col min="5" max="5" width="5.58203125" customWidth="1"/>
    <col min="6" max="6" width="5.6640625" customWidth="1"/>
    <col min="7" max="7" width="5" customWidth="1"/>
    <col min="8" max="8" width="5.75" customWidth="1"/>
    <col min="9" max="9" width="5.25" customWidth="1"/>
    <col min="10" max="10" width="5.75" customWidth="1"/>
    <col min="11" max="11" width="5.08203125" customWidth="1"/>
    <col min="12" max="12" width="8.58203125" customWidth="1"/>
    <col min="13" max="13" width="9.08203125" customWidth="1"/>
    <col min="14" max="14" width="73.75" customWidth="1"/>
    <col min="15" max="26" width="8.58203125" customWidth="1"/>
  </cols>
  <sheetData>
    <row r="1" spans="1:14" ht="15.75" customHeight="1" x14ac:dyDescent="0.35">
      <c r="A1" s="103" t="s">
        <v>65</v>
      </c>
      <c r="B1" s="105" t="s">
        <v>66</v>
      </c>
      <c r="C1" s="107" t="s">
        <v>67</v>
      </c>
      <c r="D1" s="108"/>
      <c r="E1" s="108"/>
      <c r="F1" s="108"/>
      <c r="G1" s="108"/>
      <c r="H1" s="108"/>
      <c r="I1" s="108"/>
      <c r="J1" s="108"/>
      <c r="K1" s="109"/>
      <c r="M1" s="100" t="s">
        <v>71</v>
      </c>
      <c r="N1" s="100" t="s">
        <v>110</v>
      </c>
    </row>
    <row r="2" spans="1:14" ht="15.75" customHeight="1" x14ac:dyDescent="0.35">
      <c r="A2" s="104"/>
      <c r="B2" s="106"/>
      <c r="C2" s="67">
        <v>7.1</v>
      </c>
      <c r="D2" s="68">
        <v>14.1</v>
      </c>
      <c r="E2" s="68">
        <v>21.1</v>
      </c>
      <c r="F2" s="69">
        <v>28.1</v>
      </c>
      <c r="G2" s="69">
        <v>4.1100000000000003</v>
      </c>
      <c r="H2" s="69">
        <v>19.11</v>
      </c>
      <c r="I2" s="69">
        <v>2.12</v>
      </c>
      <c r="J2" s="69">
        <v>16.12</v>
      </c>
      <c r="K2" s="70">
        <v>29.12</v>
      </c>
      <c r="M2" s="100">
        <v>5</v>
      </c>
      <c r="N2" s="101" t="s">
        <v>111</v>
      </c>
    </row>
    <row r="3" spans="1:14" ht="15.75" customHeight="1" x14ac:dyDescent="0.35">
      <c r="A3" s="71">
        <v>4</v>
      </c>
      <c r="B3" s="72" t="s">
        <v>14</v>
      </c>
      <c r="C3" s="13">
        <v>5</v>
      </c>
      <c r="D3" s="15">
        <v>4</v>
      </c>
      <c r="E3" s="15">
        <v>4</v>
      </c>
      <c r="F3" s="15">
        <v>4</v>
      </c>
      <c r="G3" s="15">
        <v>4</v>
      </c>
      <c r="H3" s="15">
        <v>4</v>
      </c>
      <c r="I3" s="15">
        <v>4</v>
      </c>
      <c r="J3" s="15">
        <v>4</v>
      </c>
      <c r="K3" s="72">
        <v>3</v>
      </c>
      <c r="M3" s="102">
        <v>4</v>
      </c>
      <c r="N3" s="101" t="s">
        <v>112</v>
      </c>
    </row>
    <row r="4" spans="1:14" ht="15.75" customHeight="1" x14ac:dyDescent="0.35">
      <c r="A4" s="73">
        <v>8</v>
      </c>
      <c r="B4" s="74" t="s">
        <v>14</v>
      </c>
      <c r="C4" s="21">
        <v>5</v>
      </c>
      <c r="D4" s="17">
        <v>4</v>
      </c>
      <c r="E4" s="17">
        <v>4</v>
      </c>
      <c r="F4" s="17">
        <v>4</v>
      </c>
      <c r="G4" s="17">
        <v>4</v>
      </c>
      <c r="H4" s="17">
        <v>4</v>
      </c>
      <c r="I4" s="17">
        <v>4</v>
      </c>
      <c r="J4" s="17">
        <v>4</v>
      </c>
      <c r="K4" s="74">
        <v>4</v>
      </c>
      <c r="M4" s="101">
        <v>3</v>
      </c>
      <c r="N4" s="101" t="s">
        <v>113</v>
      </c>
    </row>
    <row r="5" spans="1:14" ht="15.75" customHeight="1" x14ac:dyDescent="0.35">
      <c r="A5" s="73">
        <v>12</v>
      </c>
      <c r="B5" s="74" t="s">
        <v>14</v>
      </c>
      <c r="C5" s="13">
        <v>5</v>
      </c>
      <c r="D5" s="17">
        <v>5</v>
      </c>
      <c r="E5" s="17">
        <v>4</v>
      </c>
      <c r="F5" s="17">
        <v>4</v>
      </c>
      <c r="G5" s="17">
        <v>4</v>
      </c>
      <c r="H5" s="17">
        <v>4</v>
      </c>
      <c r="I5" s="17">
        <v>4</v>
      </c>
      <c r="J5" s="17">
        <v>4</v>
      </c>
      <c r="K5" s="74">
        <v>3</v>
      </c>
      <c r="M5" s="101">
        <v>2</v>
      </c>
      <c r="N5" s="101" t="s">
        <v>114</v>
      </c>
    </row>
    <row r="6" spans="1:14" ht="15.75" customHeight="1" x14ac:dyDescent="0.35">
      <c r="A6" s="73">
        <v>46</v>
      </c>
      <c r="B6" s="74" t="s">
        <v>19</v>
      </c>
      <c r="C6" s="21">
        <v>5</v>
      </c>
      <c r="D6" s="17">
        <v>4</v>
      </c>
      <c r="E6" s="17">
        <v>4</v>
      </c>
      <c r="F6" s="17">
        <v>4</v>
      </c>
      <c r="G6" s="17">
        <v>4</v>
      </c>
      <c r="H6" s="17">
        <v>4</v>
      </c>
      <c r="I6" s="17">
        <v>4</v>
      </c>
      <c r="J6" s="17">
        <v>4</v>
      </c>
      <c r="K6" s="74">
        <v>3</v>
      </c>
      <c r="M6" s="101">
        <v>1</v>
      </c>
      <c r="N6" s="101" t="s">
        <v>115</v>
      </c>
    </row>
    <row r="7" spans="1:14" ht="15.75" customHeight="1" x14ac:dyDescent="0.35">
      <c r="A7" s="73">
        <v>51</v>
      </c>
      <c r="B7" s="74" t="s">
        <v>19</v>
      </c>
      <c r="C7" s="13">
        <v>5</v>
      </c>
      <c r="D7" s="17">
        <v>4</v>
      </c>
      <c r="E7" s="17">
        <v>4</v>
      </c>
      <c r="F7" s="17">
        <v>4</v>
      </c>
      <c r="G7" s="17">
        <v>4</v>
      </c>
      <c r="H7" s="17">
        <v>4</v>
      </c>
      <c r="I7" s="17">
        <v>4</v>
      </c>
      <c r="J7" s="17">
        <v>4</v>
      </c>
      <c r="K7" s="74">
        <v>3</v>
      </c>
      <c r="M7" s="101">
        <v>0</v>
      </c>
      <c r="N7" s="101" t="s">
        <v>116</v>
      </c>
    </row>
    <row r="8" spans="1:14" ht="15.75" customHeight="1" x14ac:dyDescent="0.35">
      <c r="A8" s="73">
        <v>61</v>
      </c>
      <c r="B8" s="74" t="s">
        <v>19</v>
      </c>
      <c r="C8" s="21">
        <v>5</v>
      </c>
      <c r="D8" s="17">
        <v>5</v>
      </c>
      <c r="E8" s="17">
        <v>4</v>
      </c>
      <c r="F8" s="17">
        <v>4</v>
      </c>
      <c r="G8" s="17">
        <v>4</v>
      </c>
      <c r="H8" s="17">
        <v>4</v>
      </c>
      <c r="I8" s="17">
        <v>4</v>
      </c>
      <c r="J8" s="17">
        <v>4</v>
      </c>
      <c r="K8" s="74">
        <v>3</v>
      </c>
    </row>
    <row r="9" spans="1:14" ht="15.75" customHeight="1" x14ac:dyDescent="0.35">
      <c r="A9" s="73">
        <v>69</v>
      </c>
      <c r="B9" s="74" t="s">
        <v>21</v>
      </c>
      <c r="C9" s="13">
        <v>5</v>
      </c>
      <c r="D9" s="17">
        <v>4</v>
      </c>
      <c r="E9" s="17">
        <v>4</v>
      </c>
      <c r="F9" s="17">
        <v>4</v>
      </c>
      <c r="G9" s="17">
        <v>4</v>
      </c>
      <c r="H9" s="17">
        <v>4</v>
      </c>
      <c r="I9" s="17">
        <v>4</v>
      </c>
      <c r="J9" s="17">
        <v>4</v>
      </c>
      <c r="K9" s="74">
        <v>3</v>
      </c>
    </row>
    <row r="10" spans="1:14" ht="15.75" customHeight="1" x14ac:dyDescent="0.35">
      <c r="A10" s="73">
        <v>144</v>
      </c>
      <c r="B10" s="74" t="s">
        <v>21</v>
      </c>
      <c r="C10" s="21">
        <v>5</v>
      </c>
      <c r="D10" s="17">
        <v>5</v>
      </c>
      <c r="E10" s="17">
        <v>4</v>
      </c>
      <c r="F10" s="17">
        <v>4</v>
      </c>
      <c r="G10" s="17">
        <v>4</v>
      </c>
      <c r="H10" s="17">
        <v>4</v>
      </c>
      <c r="I10" s="17">
        <v>4</v>
      </c>
      <c r="J10" s="17">
        <v>4</v>
      </c>
      <c r="K10" s="74">
        <v>3</v>
      </c>
    </row>
    <row r="11" spans="1:14" ht="15.75" customHeight="1" x14ac:dyDescent="0.35">
      <c r="A11" s="73">
        <v>149</v>
      </c>
      <c r="B11" s="74" t="s">
        <v>21</v>
      </c>
      <c r="C11" s="13">
        <v>5</v>
      </c>
      <c r="D11" s="17">
        <v>5</v>
      </c>
      <c r="E11" s="17">
        <v>4</v>
      </c>
      <c r="F11" s="17">
        <v>4</v>
      </c>
      <c r="G11" s="17">
        <v>4</v>
      </c>
      <c r="H11" s="17">
        <v>4</v>
      </c>
      <c r="I11" s="17">
        <v>4</v>
      </c>
      <c r="J11" s="17">
        <v>4</v>
      </c>
      <c r="K11" s="74">
        <v>3</v>
      </c>
    </row>
    <row r="12" spans="1:14" ht="15.75" customHeight="1" x14ac:dyDescent="0.35">
      <c r="A12" s="75">
        <v>96</v>
      </c>
      <c r="B12" s="74" t="s">
        <v>25</v>
      </c>
      <c r="C12" s="21">
        <v>5</v>
      </c>
      <c r="D12" s="17">
        <v>5</v>
      </c>
      <c r="E12" s="17">
        <v>4</v>
      </c>
      <c r="F12" s="17">
        <v>4</v>
      </c>
      <c r="G12" s="17">
        <v>4</v>
      </c>
      <c r="H12" s="17">
        <v>4</v>
      </c>
      <c r="I12" s="17">
        <v>4</v>
      </c>
      <c r="J12" s="17">
        <v>4</v>
      </c>
      <c r="K12" s="74">
        <v>4</v>
      </c>
    </row>
    <row r="13" spans="1:14" ht="15.75" customHeight="1" x14ac:dyDescent="0.35">
      <c r="A13" s="75">
        <v>97</v>
      </c>
      <c r="B13" s="74" t="s">
        <v>25</v>
      </c>
      <c r="C13" s="13">
        <v>5</v>
      </c>
      <c r="D13" s="17">
        <v>5</v>
      </c>
      <c r="E13" s="17">
        <v>4</v>
      </c>
      <c r="F13" s="17">
        <v>4</v>
      </c>
      <c r="G13" s="17">
        <v>4</v>
      </c>
      <c r="H13" s="17">
        <v>4</v>
      </c>
      <c r="I13" s="17">
        <v>4</v>
      </c>
      <c r="J13" s="17">
        <v>4</v>
      </c>
      <c r="K13" s="74">
        <v>4</v>
      </c>
    </row>
    <row r="14" spans="1:14" ht="15.75" customHeight="1" x14ac:dyDescent="0.35">
      <c r="A14" s="75">
        <v>154</v>
      </c>
      <c r="B14" s="74" t="s">
        <v>25</v>
      </c>
      <c r="C14" s="21">
        <v>5</v>
      </c>
      <c r="D14" s="17">
        <v>5</v>
      </c>
      <c r="E14" s="17">
        <v>4</v>
      </c>
      <c r="F14" s="17">
        <v>4</v>
      </c>
      <c r="G14" s="17">
        <v>4</v>
      </c>
      <c r="H14" s="17">
        <v>4</v>
      </c>
      <c r="I14" s="17">
        <v>4</v>
      </c>
      <c r="J14" s="17">
        <v>4</v>
      </c>
      <c r="K14" s="74">
        <v>4</v>
      </c>
    </row>
    <row r="15" spans="1:14" ht="15.75" customHeight="1" x14ac:dyDescent="0.35">
      <c r="A15" s="75">
        <v>281</v>
      </c>
      <c r="B15" s="74" t="s">
        <v>15</v>
      </c>
      <c r="C15" s="13">
        <v>5</v>
      </c>
      <c r="D15" s="17">
        <v>5</v>
      </c>
      <c r="E15" s="17">
        <v>4</v>
      </c>
      <c r="F15" s="17">
        <v>4</v>
      </c>
      <c r="G15" s="17">
        <v>3</v>
      </c>
      <c r="H15" s="17">
        <v>3</v>
      </c>
      <c r="I15" s="17">
        <v>3</v>
      </c>
      <c r="J15" s="17">
        <v>2</v>
      </c>
      <c r="K15" s="74">
        <v>0</v>
      </c>
    </row>
    <row r="16" spans="1:14" ht="15.75" customHeight="1" x14ac:dyDescent="0.35">
      <c r="A16" s="75">
        <v>283</v>
      </c>
      <c r="B16" s="74" t="s">
        <v>15</v>
      </c>
      <c r="C16" s="21">
        <v>5</v>
      </c>
      <c r="D16" s="17">
        <v>5</v>
      </c>
      <c r="E16" s="17">
        <v>3</v>
      </c>
      <c r="F16" s="17">
        <v>3</v>
      </c>
      <c r="G16" s="17">
        <v>2</v>
      </c>
      <c r="H16" s="17">
        <v>1</v>
      </c>
      <c r="I16" s="17">
        <v>1</v>
      </c>
      <c r="J16" s="17">
        <v>1</v>
      </c>
      <c r="K16" s="74">
        <v>0</v>
      </c>
    </row>
    <row r="17" spans="1:11" ht="15.75" customHeight="1" x14ac:dyDescent="0.35">
      <c r="A17" s="75">
        <v>284</v>
      </c>
      <c r="B17" s="74" t="s">
        <v>15</v>
      </c>
      <c r="C17" s="13">
        <v>5</v>
      </c>
      <c r="D17" s="17">
        <v>4</v>
      </c>
      <c r="E17" s="17">
        <v>3</v>
      </c>
      <c r="F17" s="17">
        <v>3</v>
      </c>
      <c r="G17" s="17">
        <v>3</v>
      </c>
      <c r="H17" s="17">
        <v>3</v>
      </c>
      <c r="I17" s="17">
        <v>3</v>
      </c>
      <c r="J17" s="17">
        <v>2</v>
      </c>
      <c r="K17" s="74">
        <v>0</v>
      </c>
    </row>
    <row r="18" spans="1:11" ht="15.75" customHeight="1" x14ac:dyDescent="0.35">
      <c r="A18" s="75">
        <v>271</v>
      </c>
      <c r="B18" s="74" t="s">
        <v>20</v>
      </c>
      <c r="C18" s="21">
        <v>5</v>
      </c>
      <c r="D18" s="17">
        <v>5</v>
      </c>
      <c r="E18" s="17">
        <v>4</v>
      </c>
      <c r="F18" s="17">
        <v>4</v>
      </c>
      <c r="G18" s="17">
        <v>4</v>
      </c>
      <c r="H18" s="17">
        <v>4</v>
      </c>
      <c r="I18" s="17">
        <v>4</v>
      </c>
      <c r="J18" s="17">
        <v>3</v>
      </c>
      <c r="K18" s="74">
        <v>3</v>
      </c>
    </row>
    <row r="19" spans="1:11" ht="15.75" customHeight="1" x14ac:dyDescent="0.35">
      <c r="A19" s="75">
        <v>272</v>
      </c>
      <c r="B19" s="74" t="s">
        <v>20</v>
      </c>
      <c r="C19" s="13">
        <v>5</v>
      </c>
      <c r="D19" s="17">
        <v>5</v>
      </c>
      <c r="E19" s="17">
        <v>4</v>
      </c>
      <c r="F19" s="17">
        <v>4</v>
      </c>
      <c r="G19" s="17">
        <v>4</v>
      </c>
      <c r="H19" s="17">
        <v>4</v>
      </c>
      <c r="I19" s="17">
        <v>4</v>
      </c>
      <c r="J19" s="17">
        <v>4</v>
      </c>
      <c r="K19" s="74">
        <v>3</v>
      </c>
    </row>
    <row r="20" spans="1:11" ht="15.75" customHeight="1" x14ac:dyDescent="0.35">
      <c r="A20" s="75">
        <v>273</v>
      </c>
      <c r="B20" s="74" t="s">
        <v>20</v>
      </c>
      <c r="C20" s="21">
        <v>5</v>
      </c>
      <c r="D20" s="17">
        <v>5</v>
      </c>
      <c r="E20" s="17">
        <v>4</v>
      </c>
      <c r="F20" s="17">
        <v>4</v>
      </c>
      <c r="G20" s="17">
        <v>4</v>
      </c>
      <c r="H20" s="17">
        <v>4</v>
      </c>
      <c r="I20" s="17">
        <v>4</v>
      </c>
      <c r="J20" s="17">
        <v>4</v>
      </c>
      <c r="K20" s="74">
        <v>3</v>
      </c>
    </row>
    <row r="21" spans="1:11" ht="15.75" customHeight="1" x14ac:dyDescent="0.35">
      <c r="A21" s="76">
        <v>341</v>
      </c>
      <c r="B21" s="74" t="s">
        <v>22</v>
      </c>
      <c r="C21" s="13">
        <v>5</v>
      </c>
      <c r="D21" s="17">
        <v>4</v>
      </c>
      <c r="E21" s="17">
        <v>4</v>
      </c>
      <c r="F21" s="17">
        <v>4</v>
      </c>
      <c r="G21" s="17">
        <v>4</v>
      </c>
      <c r="H21" s="17">
        <v>4</v>
      </c>
      <c r="I21" s="17">
        <v>4</v>
      </c>
      <c r="J21" s="17">
        <v>4</v>
      </c>
      <c r="K21" s="74">
        <v>3</v>
      </c>
    </row>
    <row r="22" spans="1:11" ht="15.75" customHeight="1" x14ac:dyDescent="0.35">
      <c r="A22" s="76">
        <v>322</v>
      </c>
      <c r="B22" s="74" t="s">
        <v>22</v>
      </c>
      <c r="C22" s="21">
        <v>5</v>
      </c>
      <c r="D22" s="17">
        <v>5</v>
      </c>
      <c r="E22" s="17">
        <v>4</v>
      </c>
      <c r="F22" s="17">
        <v>4</v>
      </c>
      <c r="G22" s="17">
        <v>4</v>
      </c>
      <c r="H22" s="17">
        <v>4</v>
      </c>
      <c r="I22" s="17">
        <v>4</v>
      </c>
      <c r="J22" s="17">
        <v>3</v>
      </c>
      <c r="K22" s="74">
        <v>3</v>
      </c>
    </row>
    <row r="23" spans="1:11" ht="15.75" customHeight="1" x14ac:dyDescent="0.35">
      <c r="A23" s="76">
        <v>343</v>
      </c>
      <c r="B23" s="74" t="s">
        <v>22</v>
      </c>
      <c r="C23" s="13">
        <v>5</v>
      </c>
      <c r="D23" s="17">
        <v>4</v>
      </c>
      <c r="E23" s="17">
        <v>4</v>
      </c>
      <c r="F23" s="17">
        <v>4</v>
      </c>
      <c r="G23" s="17">
        <v>4</v>
      </c>
      <c r="H23" s="17">
        <v>4</v>
      </c>
      <c r="I23" s="17">
        <v>4</v>
      </c>
      <c r="J23" s="17">
        <v>4</v>
      </c>
      <c r="K23" s="74">
        <v>3</v>
      </c>
    </row>
    <row r="24" spans="1:11" ht="15.75" customHeight="1" x14ac:dyDescent="0.35">
      <c r="A24" s="76">
        <v>246</v>
      </c>
      <c r="B24" s="74" t="s">
        <v>26</v>
      </c>
      <c r="C24" s="21">
        <v>5</v>
      </c>
      <c r="D24" s="17">
        <v>5</v>
      </c>
      <c r="E24" s="17">
        <v>4</v>
      </c>
      <c r="F24" s="17">
        <v>4</v>
      </c>
      <c r="G24" s="17">
        <v>4</v>
      </c>
      <c r="H24" s="17">
        <v>3</v>
      </c>
      <c r="I24" s="17">
        <v>3</v>
      </c>
      <c r="J24" s="17">
        <v>2</v>
      </c>
      <c r="K24" s="74">
        <v>1</v>
      </c>
    </row>
    <row r="25" spans="1:11" ht="15.75" customHeight="1" x14ac:dyDescent="0.35">
      <c r="A25" s="76">
        <v>247</v>
      </c>
      <c r="B25" s="74" t="s">
        <v>26</v>
      </c>
      <c r="C25" s="13">
        <v>5</v>
      </c>
      <c r="D25" s="17">
        <v>5</v>
      </c>
      <c r="E25" s="17">
        <v>4</v>
      </c>
      <c r="F25" s="17">
        <v>3</v>
      </c>
      <c r="G25" s="17">
        <v>3</v>
      </c>
      <c r="H25" s="17">
        <v>2</v>
      </c>
      <c r="I25" s="17">
        <v>2</v>
      </c>
      <c r="J25" s="17">
        <v>1</v>
      </c>
      <c r="K25" s="74">
        <v>1</v>
      </c>
    </row>
    <row r="26" spans="1:11" ht="15.75" customHeight="1" x14ac:dyDescent="0.35">
      <c r="A26" s="76">
        <v>248</v>
      </c>
      <c r="B26" s="74" t="s">
        <v>26</v>
      </c>
      <c r="C26" s="21">
        <v>5</v>
      </c>
      <c r="D26" s="17">
        <v>5</v>
      </c>
      <c r="E26" s="17">
        <v>4</v>
      </c>
      <c r="F26" s="17">
        <v>4</v>
      </c>
      <c r="G26" s="17">
        <v>4</v>
      </c>
      <c r="H26" s="17">
        <v>3</v>
      </c>
      <c r="I26" s="17">
        <v>3</v>
      </c>
      <c r="J26" s="17">
        <v>2</v>
      </c>
      <c r="K26" s="74">
        <v>1</v>
      </c>
    </row>
    <row r="27" spans="1:11" ht="15.75" customHeight="1" x14ac:dyDescent="0.35">
      <c r="A27" s="76">
        <v>87</v>
      </c>
      <c r="B27" s="74" t="s">
        <v>30</v>
      </c>
      <c r="C27" s="13">
        <v>5</v>
      </c>
      <c r="D27" s="17">
        <v>5</v>
      </c>
      <c r="E27" s="17">
        <v>3</v>
      </c>
      <c r="F27" s="17">
        <v>3</v>
      </c>
      <c r="G27" s="17">
        <v>3</v>
      </c>
      <c r="H27" s="17">
        <v>2</v>
      </c>
      <c r="I27" s="17">
        <v>2</v>
      </c>
      <c r="J27" s="17">
        <v>0</v>
      </c>
      <c r="K27" s="74">
        <v>0</v>
      </c>
    </row>
    <row r="28" spans="1:11" ht="15.75" customHeight="1" x14ac:dyDescent="0.35">
      <c r="A28" s="76">
        <v>199</v>
      </c>
      <c r="B28" s="74" t="s">
        <v>30</v>
      </c>
      <c r="C28" s="21">
        <v>5</v>
      </c>
      <c r="D28" s="17">
        <v>4</v>
      </c>
      <c r="E28" s="17">
        <v>3</v>
      </c>
      <c r="F28" s="17">
        <v>3</v>
      </c>
      <c r="G28" s="17">
        <v>2</v>
      </c>
      <c r="H28" s="17">
        <v>1</v>
      </c>
      <c r="I28" s="17">
        <v>0</v>
      </c>
      <c r="J28" s="17">
        <v>0</v>
      </c>
      <c r="K28" s="74">
        <v>0</v>
      </c>
    </row>
    <row r="29" spans="1:11" ht="15.75" customHeight="1" x14ac:dyDescent="0.35">
      <c r="A29" s="77">
        <v>200</v>
      </c>
      <c r="B29" s="78" t="s">
        <v>30</v>
      </c>
      <c r="C29" s="13">
        <v>5</v>
      </c>
      <c r="D29" s="40">
        <v>4</v>
      </c>
      <c r="E29" s="40">
        <v>3</v>
      </c>
      <c r="F29" s="40">
        <v>3</v>
      </c>
      <c r="G29" s="40">
        <v>2</v>
      </c>
      <c r="H29" s="40">
        <v>1</v>
      </c>
      <c r="I29" s="40">
        <v>0</v>
      </c>
      <c r="J29" s="40">
        <v>0</v>
      </c>
      <c r="K29" s="78">
        <v>0</v>
      </c>
    </row>
    <row r="30" spans="1:11" ht="15.75" customHeight="1" x14ac:dyDescent="0.35"/>
    <row r="31" spans="1:11" ht="15.75" customHeight="1" x14ac:dyDescent="0.35"/>
    <row r="32" spans="1:11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A2"/>
    <mergeCell ref="B1:B2"/>
    <mergeCell ref="C1:K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44"/>
  <sheetViews>
    <sheetView workbookViewId="0">
      <selection activeCell="G7" sqref="G7"/>
    </sheetView>
  </sheetViews>
  <sheetFormatPr defaultColWidth="11.25" defaultRowHeight="15" customHeight="1" x14ac:dyDescent="0.35"/>
  <sheetData>
    <row r="1" spans="1:11" x14ac:dyDescent="0.35">
      <c r="A1" s="25" t="s">
        <v>65</v>
      </c>
      <c r="B1" s="25" t="s">
        <v>68</v>
      </c>
      <c r="C1" s="25" t="s">
        <v>69</v>
      </c>
      <c r="D1" s="25" t="s">
        <v>70</v>
      </c>
      <c r="E1" s="25" t="s">
        <v>71</v>
      </c>
    </row>
    <row r="2" spans="1:11" x14ac:dyDescent="0.35">
      <c r="A2" s="25">
        <v>4</v>
      </c>
      <c r="B2" s="25" t="s">
        <v>72</v>
      </c>
      <c r="C2" s="25" t="s">
        <v>73</v>
      </c>
      <c r="D2" s="79">
        <v>45937</v>
      </c>
      <c r="E2" s="25">
        <v>5</v>
      </c>
      <c r="K2" s="25"/>
    </row>
    <row r="3" spans="1:11" x14ac:dyDescent="0.35">
      <c r="A3" s="25">
        <v>8</v>
      </c>
      <c r="B3" s="25" t="s">
        <v>72</v>
      </c>
      <c r="C3" s="25" t="s">
        <v>73</v>
      </c>
      <c r="D3" s="79">
        <v>45937</v>
      </c>
      <c r="E3" s="25">
        <v>5</v>
      </c>
    </row>
    <row r="4" spans="1:11" x14ac:dyDescent="0.35">
      <c r="A4" s="25">
        <v>12</v>
      </c>
      <c r="B4" s="25" t="s">
        <v>72</v>
      </c>
      <c r="C4" s="25" t="s">
        <v>73</v>
      </c>
      <c r="D4" s="79">
        <v>45937</v>
      </c>
      <c r="E4" s="25">
        <v>5</v>
      </c>
    </row>
    <row r="5" spans="1:11" x14ac:dyDescent="0.35">
      <c r="A5" s="25">
        <v>46</v>
      </c>
      <c r="B5" s="25" t="s">
        <v>72</v>
      </c>
      <c r="C5" s="25" t="s">
        <v>74</v>
      </c>
      <c r="D5" s="79">
        <v>45937</v>
      </c>
      <c r="E5" s="25">
        <v>5</v>
      </c>
    </row>
    <row r="6" spans="1:11" x14ac:dyDescent="0.35">
      <c r="A6" s="25">
        <v>51</v>
      </c>
      <c r="B6" s="25" t="s">
        <v>72</v>
      </c>
      <c r="C6" s="25" t="s">
        <v>74</v>
      </c>
      <c r="D6" s="79">
        <v>45937</v>
      </c>
      <c r="E6" s="25">
        <v>5</v>
      </c>
    </row>
    <row r="7" spans="1:11" x14ac:dyDescent="0.35">
      <c r="A7" s="25">
        <v>61</v>
      </c>
      <c r="B7" s="25" t="s">
        <v>72</v>
      </c>
      <c r="C7" s="25" t="s">
        <v>74</v>
      </c>
      <c r="D7" s="79">
        <v>45937</v>
      </c>
      <c r="E7" s="25">
        <v>5</v>
      </c>
    </row>
    <row r="8" spans="1:11" x14ac:dyDescent="0.35">
      <c r="A8" s="25">
        <v>69</v>
      </c>
      <c r="B8" s="25" t="s">
        <v>72</v>
      </c>
      <c r="C8" s="25" t="s">
        <v>75</v>
      </c>
      <c r="D8" s="79">
        <v>45937</v>
      </c>
      <c r="E8" s="25">
        <v>5</v>
      </c>
    </row>
    <row r="9" spans="1:11" x14ac:dyDescent="0.35">
      <c r="A9" s="25">
        <v>144</v>
      </c>
      <c r="B9" s="25" t="s">
        <v>72</v>
      </c>
      <c r="C9" s="25" t="s">
        <v>75</v>
      </c>
      <c r="D9" s="79">
        <v>45937</v>
      </c>
      <c r="E9" s="25">
        <v>5</v>
      </c>
    </row>
    <row r="10" spans="1:11" x14ac:dyDescent="0.35">
      <c r="A10" s="25">
        <v>149</v>
      </c>
      <c r="B10" s="25" t="s">
        <v>72</v>
      </c>
      <c r="C10" s="25" t="s">
        <v>75</v>
      </c>
      <c r="D10" s="79">
        <v>45937</v>
      </c>
      <c r="E10" s="25">
        <v>5</v>
      </c>
    </row>
    <row r="11" spans="1:11" x14ac:dyDescent="0.35">
      <c r="A11" s="25">
        <v>96</v>
      </c>
      <c r="B11" s="25" t="s">
        <v>72</v>
      </c>
      <c r="C11" s="25" t="s">
        <v>76</v>
      </c>
      <c r="D11" s="79">
        <v>45937</v>
      </c>
      <c r="E11" s="25">
        <v>5</v>
      </c>
    </row>
    <row r="12" spans="1:11" x14ac:dyDescent="0.35">
      <c r="A12" s="25">
        <v>97</v>
      </c>
      <c r="B12" s="25" t="s">
        <v>72</v>
      </c>
      <c r="C12" s="25" t="s">
        <v>76</v>
      </c>
      <c r="D12" s="79">
        <v>45937</v>
      </c>
      <c r="E12" s="25">
        <v>5</v>
      </c>
    </row>
    <row r="13" spans="1:11" x14ac:dyDescent="0.35">
      <c r="A13" s="25">
        <v>154</v>
      </c>
      <c r="B13" s="25" t="s">
        <v>72</v>
      </c>
      <c r="C13" s="25" t="s">
        <v>76</v>
      </c>
      <c r="D13" s="79">
        <v>45937</v>
      </c>
      <c r="E13" s="25">
        <v>5</v>
      </c>
    </row>
    <row r="14" spans="1:11" x14ac:dyDescent="0.35">
      <c r="A14" s="25">
        <v>281</v>
      </c>
      <c r="B14" s="25" t="s">
        <v>72</v>
      </c>
      <c r="C14" s="25" t="s">
        <v>77</v>
      </c>
      <c r="D14" s="79">
        <v>45937</v>
      </c>
      <c r="E14" s="25">
        <v>5</v>
      </c>
    </row>
    <row r="15" spans="1:11" x14ac:dyDescent="0.35">
      <c r="A15" s="25">
        <v>283</v>
      </c>
      <c r="B15" s="25" t="s">
        <v>72</v>
      </c>
      <c r="C15" s="25" t="s">
        <v>77</v>
      </c>
      <c r="D15" s="79">
        <v>45937</v>
      </c>
      <c r="E15" s="25">
        <v>5</v>
      </c>
    </row>
    <row r="16" spans="1:11" x14ac:dyDescent="0.35">
      <c r="A16" s="25">
        <v>284</v>
      </c>
      <c r="B16" s="25" t="s">
        <v>72</v>
      </c>
      <c r="C16" s="25" t="s">
        <v>77</v>
      </c>
      <c r="D16" s="79">
        <v>45937</v>
      </c>
      <c r="E16" s="25">
        <v>5</v>
      </c>
    </row>
    <row r="17" spans="1:5" x14ac:dyDescent="0.35">
      <c r="A17" s="25">
        <v>271</v>
      </c>
      <c r="B17" s="25" t="s">
        <v>72</v>
      </c>
      <c r="C17" s="25" t="s">
        <v>78</v>
      </c>
      <c r="D17" s="79">
        <v>45937</v>
      </c>
      <c r="E17" s="25">
        <v>5</v>
      </c>
    </row>
    <row r="18" spans="1:5" x14ac:dyDescent="0.35">
      <c r="A18" s="25">
        <v>272</v>
      </c>
      <c r="B18" s="25" t="s">
        <v>72</v>
      </c>
      <c r="C18" s="25" t="s">
        <v>78</v>
      </c>
      <c r="D18" s="79">
        <v>45937</v>
      </c>
      <c r="E18" s="25">
        <v>5</v>
      </c>
    </row>
    <row r="19" spans="1:5" x14ac:dyDescent="0.35">
      <c r="A19" s="25">
        <v>273</v>
      </c>
      <c r="B19" s="25" t="s">
        <v>72</v>
      </c>
      <c r="C19" s="25" t="s">
        <v>78</v>
      </c>
      <c r="D19" s="79">
        <v>45937</v>
      </c>
      <c r="E19" s="25">
        <v>5</v>
      </c>
    </row>
    <row r="20" spans="1:5" x14ac:dyDescent="0.35">
      <c r="A20" s="25">
        <v>341</v>
      </c>
      <c r="B20" s="25" t="s">
        <v>72</v>
      </c>
      <c r="C20" s="25" t="s">
        <v>79</v>
      </c>
      <c r="D20" s="79">
        <v>45937</v>
      </c>
      <c r="E20" s="25">
        <v>5</v>
      </c>
    </row>
    <row r="21" spans="1:5" x14ac:dyDescent="0.35">
      <c r="A21" s="25">
        <v>322</v>
      </c>
      <c r="B21" s="25" t="s">
        <v>72</v>
      </c>
      <c r="C21" s="25" t="s">
        <v>79</v>
      </c>
      <c r="D21" s="79">
        <v>45937</v>
      </c>
      <c r="E21" s="25">
        <v>5</v>
      </c>
    </row>
    <row r="22" spans="1:5" x14ac:dyDescent="0.35">
      <c r="A22" s="25">
        <v>343</v>
      </c>
      <c r="B22" s="25" t="s">
        <v>72</v>
      </c>
      <c r="C22" s="25" t="s">
        <v>79</v>
      </c>
      <c r="D22" s="79">
        <v>45937</v>
      </c>
      <c r="E22" s="25">
        <v>5</v>
      </c>
    </row>
    <row r="23" spans="1:5" x14ac:dyDescent="0.35">
      <c r="A23" s="25">
        <v>246</v>
      </c>
      <c r="B23" s="25" t="s">
        <v>72</v>
      </c>
      <c r="C23" s="25" t="s">
        <v>80</v>
      </c>
      <c r="D23" s="79">
        <v>45937</v>
      </c>
      <c r="E23" s="25">
        <v>5</v>
      </c>
    </row>
    <row r="24" spans="1:5" x14ac:dyDescent="0.35">
      <c r="A24" s="25">
        <v>247</v>
      </c>
      <c r="B24" s="25" t="s">
        <v>72</v>
      </c>
      <c r="C24" s="25" t="s">
        <v>80</v>
      </c>
      <c r="D24" s="79">
        <v>45937</v>
      </c>
      <c r="E24" s="25">
        <v>5</v>
      </c>
    </row>
    <row r="25" spans="1:5" x14ac:dyDescent="0.35">
      <c r="A25" s="25">
        <v>248</v>
      </c>
      <c r="B25" s="25" t="s">
        <v>72</v>
      </c>
      <c r="C25" s="25" t="s">
        <v>80</v>
      </c>
      <c r="D25" s="79">
        <v>45937</v>
      </c>
      <c r="E25" s="25">
        <v>5</v>
      </c>
    </row>
    <row r="26" spans="1:5" x14ac:dyDescent="0.35">
      <c r="A26" s="25">
        <v>87</v>
      </c>
      <c r="B26" s="25" t="s">
        <v>81</v>
      </c>
      <c r="C26" s="25" t="s">
        <v>80</v>
      </c>
      <c r="D26" s="79">
        <v>45937</v>
      </c>
      <c r="E26" s="25">
        <v>5</v>
      </c>
    </row>
    <row r="27" spans="1:5" x14ac:dyDescent="0.35">
      <c r="A27" s="25">
        <v>199</v>
      </c>
      <c r="B27" s="25" t="s">
        <v>81</v>
      </c>
      <c r="C27" s="25" t="s">
        <v>80</v>
      </c>
      <c r="D27" s="79">
        <v>45937</v>
      </c>
      <c r="E27" s="25">
        <v>5</v>
      </c>
    </row>
    <row r="28" spans="1:5" x14ac:dyDescent="0.35">
      <c r="A28" s="25">
        <v>200</v>
      </c>
      <c r="B28" s="25" t="s">
        <v>81</v>
      </c>
      <c r="C28" s="25" t="s">
        <v>80</v>
      </c>
      <c r="D28" s="79">
        <v>45937</v>
      </c>
      <c r="E28" s="25">
        <v>5</v>
      </c>
    </row>
    <row r="29" spans="1:5" x14ac:dyDescent="0.35">
      <c r="A29" s="25">
        <v>4</v>
      </c>
      <c r="B29" s="25" t="s">
        <v>72</v>
      </c>
      <c r="C29" s="25" t="s">
        <v>73</v>
      </c>
      <c r="D29" s="79">
        <v>45944</v>
      </c>
      <c r="E29" s="25">
        <v>4</v>
      </c>
    </row>
    <row r="30" spans="1:5" x14ac:dyDescent="0.35">
      <c r="A30" s="25">
        <v>8</v>
      </c>
      <c r="B30" s="25" t="s">
        <v>72</v>
      </c>
      <c r="C30" s="25" t="s">
        <v>73</v>
      </c>
      <c r="D30" s="79">
        <v>45944</v>
      </c>
      <c r="E30" s="25">
        <v>4</v>
      </c>
    </row>
    <row r="31" spans="1:5" x14ac:dyDescent="0.35">
      <c r="A31" s="25">
        <v>12</v>
      </c>
      <c r="B31" s="25" t="s">
        <v>72</v>
      </c>
      <c r="C31" s="25" t="s">
        <v>73</v>
      </c>
      <c r="D31" s="79">
        <v>45944</v>
      </c>
      <c r="E31" s="25">
        <v>5</v>
      </c>
    </row>
    <row r="32" spans="1:5" x14ac:dyDescent="0.35">
      <c r="A32" s="25">
        <v>46</v>
      </c>
      <c r="B32" s="25" t="s">
        <v>72</v>
      </c>
      <c r="C32" s="25" t="s">
        <v>74</v>
      </c>
      <c r="D32" s="79">
        <v>45944</v>
      </c>
      <c r="E32" s="25">
        <v>4</v>
      </c>
    </row>
    <row r="33" spans="1:5" x14ac:dyDescent="0.35">
      <c r="A33" s="25">
        <v>51</v>
      </c>
      <c r="B33" s="25" t="s">
        <v>72</v>
      </c>
      <c r="C33" s="25" t="s">
        <v>74</v>
      </c>
      <c r="D33" s="79">
        <v>45944</v>
      </c>
      <c r="E33" s="25">
        <v>4</v>
      </c>
    </row>
    <row r="34" spans="1:5" x14ac:dyDescent="0.35">
      <c r="A34" s="25">
        <v>61</v>
      </c>
      <c r="B34" s="25" t="s">
        <v>72</v>
      </c>
      <c r="C34" s="25" t="s">
        <v>74</v>
      </c>
      <c r="D34" s="79">
        <v>45944</v>
      </c>
      <c r="E34" s="25">
        <v>5</v>
      </c>
    </row>
    <row r="35" spans="1:5" x14ac:dyDescent="0.35">
      <c r="A35" s="25">
        <v>69</v>
      </c>
      <c r="B35" s="25" t="s">
        <v>72</v>
      </c>
      <c r="C35" s="25" t="s">
        <v>75</v>
      </c>
      <c r="D35" s="79">
        <v>45944</v>
      </c>
      <c r="E35" s="25">
        <v>4</v>
      </c>
    </row>
    <row r="36" spans="1:5" x14ac:dyDescent="0.35">
      <c r="A36" s="25">
        <v>144</v>
      </c>
      <c r="B36" s="25" t="s">
        <v>72</v>
      </c>
      <c r="C36" s="25" t="s">
        <v>75</v>
      </c>
      <c r="D36" s="79">
        <v>45944</v>
      </c>
      <c r="E36" s="25">
        <v>5</v>
      </c>
    </row>
    <row r="37" spans="1:5" x14ac:dyDescent="0.35">
      <c r="A37" s="25">
        <v>149</v>
      </c>
      <c r="B37" s="25" t="s">
        <v>72</v>
      </c>
      <c r="C37" s="25" t="s">
        <v>75</v>
      </c>
      <c r="D37" s="79">
        <v>45944</v>
      </c>
      <c r="E37" s="25">
        <v>5</v>
      </c>
    </row>
    <row r="38" spans="1:5" x14ac:dyDescent="0.35">
      <c r="A38" s="25">
        <v>96</v>
      </c>
      <c r="B38" s="25" t="s">
        <v>72</v>
      </c>
      <c r="C38" s="25" t="s">
        <v>76</v>
      </c>
      <c r="D38" s="79">
        <v>45944</v>
      </c>
      <c r="E38" s="25">
        <v>5</v>
      </c>
    </row>
    <row r="39" spans="1:5" x14ac:dyDescent="0.35">
      <c r="A39" s="25">
        <v>97</v>
      </c>
      <c r="B39" s="25" t="s">
        <v>72</v>
      </c>
      <c r="C39" s="25" t="s">
        <v>76</v>
      </c>
      <c r="D39" s="79">
        <v>45944</v>
      </c>
      <c r="E39" s="25">
        <v>5</v>
      </c>
    </row>
    <row r="40" spans="1:5" x14ac:dyDescent="0.35">
      <c r="A40" s="25">
        <v>154</v>
      </c>
      <c r="B40" s="25" t="s">
        <v>72</v>
      </c>
      <c r="C40" s="25" t="s">
        <v>76</v>
      </c>
      <c r="D40" s="79">
        <v>45944</v>
      </c>
      <c r="E40" s="25">
        <v>5</v>
      </c>
    </row>
    <row r="41" spans="1:5" x14ac:dyDescent="0.35">
      <c r="A41" s="25">
        <v>281</v>
      </c>
      <c r="B41" s="25" t="s">
        <v>72</v>
      </c>
      <c r="C41" s="25" t="s">
        <v>77</v>
      </c>
      <c r="D41" s="79">
        <v>45944</v>
      </c>
      <c r="E41" s="25">
        <v>5</v>
      </c>
    </row>
    <row r="42" spans="1:5" x14ac:dyDescent="0.35">
      <c r="A42" s="25">
        <v>283</v>
      </c>
      <c r="B42" s="25" t="s">
        <v>72</v>
      </c>
      <c r="C42" s="25" t="s">
        <v>77</v>
      </c>
      <c r="D42" s="79">
        <v>45944</v>
      </c>
      <c r="E42" s="25">
        <v>5</v>
      </c>
    </row>
    <row r="43" spans="1:5" x14ac:dyDescent="0.35">
      <c r="A43" s="25">
        <v>284</v>
      </c>
      <c r="B43" s="25" t="s">
        <v>72</v>
      </c>
      <c r="C43" s="25" t="s">
        <v>77</v>
      </c>
      <c r="D43" s="79">
        <v>45944</v>
      </c>
      <c r="E43" s="25">
        <v>4</v>
      </c>
    </row>
    <row r="44" spans="1:5" x14ac:dyDescent="0.35">
      <c r="A44" s="25">
        <v>271</v>
      </c>
      <c r="B44" s="25" t="s">
        <v>72</v>
      </c>
      <c r="C44" s="25" t="s">
        <v>78</v>
      </c>
      <c r="D44" s="79">
        <v>45944</v>
      </c>
      <c r="E44" s="25">
        <v>5</v>
      </c>
    </row>
    <row r="45" spans="1:5" x14ac:dyDescent="0.35">
      <c r="A45" s="25">
        <v>272</v>
      </c>
      <c r="B45" s="25" t="s">
        <v>72</v>
      </c>
      <c r="C45" s="25" t="s">
        <v>78</v>
      </c>
      <c r="D45" s="79">
        <v>45944</v>
      </c>
      <c r="E45" s="25">
        <v>5</v>
      </c>
    </row>
    <row r="46" spans="1:5" x14ac:dyDescent="0.35">
      <c r="A46" s="25">
        <v>273</v>
      </c>
      <c r="B46" s="25" t="s">
        <v>72</v>
      </c>
      <c r="C46" s="25" t="s">
        <v>78</v>
      </c>
      <c r="D46" s="79">
        <v>45944</v>
      </c>
      <c r="E46" s="25">
        <v>5</v>
      </c>
    </row>
    <row r="47" spans="1:5" x14ac:dyDescent="0.35">
      <c r="A47" s="25">
        <v>341</v>
      </c>
      <c r="B47" s="25" t="s">
        <v>72</v>
      </c>
      <c r="C47" s="25" t="s">
        <v>79</v>
      </c>
      <c r="D47" s="79">
        <v>45944</v>
      </c>
      <c r="E47" s="25">
        <v>4</v>
      </c>
    </row>
    <row r="48" spans="1:5" x14ac:dyDescent="0.35">
      <c r="A48" s="25">
        <v>322</v>
      </c>
      <c r="B48" s="25" t="s">
        <v>72</v>
      </c>
      <c r="C48" s="25" t="s">
        <v>79</v>
      </c>
      <c r="D48" s="79">
        <v>45944</v>
      </c>
      <c r="E48" s="25">
        <v>5</v>
      </c>
    </row>
    <row r="49" spans="1:5" x14ac:dyDescent="0.35">
      <c r="A49" s="25">
        <v>343</v>
      </c>
      <c r="B49" s="25" t="s">
        <v>72</v>
      </c>
      <c r="C49" s="25" t="s">
        <v>79</v>
      </c>
      <c r="D49" s="79">
        <v>45944</v>
      </c>
      <c r="E49" s="25">
        <v>4</v>
      </c>
    </row>
    <row r="50" spans="1:5" x14ac:dyDescent="0.35">
      <c r="A50" s="25">
        <v>246</v>
      </c>
      <c r="B50" s="25" t="s">
        <v>72</v>
      </c>
      <c r="C50" s="25" t="s">
        <v>80</v>
      </c>
      <c r="D50" s="79">
        <v>45944</v>
      </c>
      <c r="E50" s="25">
        <v>5</v>
      </c>
    </row>
    <row r="51" spans="1:5" x14ac:dyDescent="0.35">
      <c r="A51" s="25">
        <v>247</v>
      </c>
      <c r="B51" s="25" t="s">
        <v>72</v>
      </c>
      <c r="C51" s="25" t="s">
        <v>80</v>
      </c>
      <c r="D51" s="79">
        <v>45944</v>
      </c>
      <c r="E51" s="25">
        <v>5</v>
      </c>
    </row>
    <row r="52" spans="1:5" x14ac:dyDescent="0.35">
      <c r="A52" s="25">
        <v>248</v>
      </c>
      <c r="B52" s="25" t="s">
        <v>72</v>
      </c>
      <c r="C52" s="25" t="s">
        <v>80</v>
      </c>
      <c r="D52" s="79">
        <v>45944</v>
      </c>
      <c r="E52" s="25">
        <v>5</v>
      </c>
    </row>
    <row r="53" spans="1:5" x14ac:dyDescent="0.35">
      <c r="A53" s="25">
        <v>87</v>
      </c>
      <c r="B53" s="25" t="s">
        <v>81</v>
      </c>
      <c r="C53" s="25" t="s">
        <v>80</v>
      </c>
      <c r="D53" s="79">
        <v>45944</v>
      </c>
      <c r="E53" s="25">
        <v>5</v>
      </c>
    </row>
    <row r="54" spans="1:5" x14ac:dyDescent="0.35">
      <c r="A54" s="25">
        <v>199</v>
      </c>
      <c r="B54" s="25" t="s">
        <v>81</v>
      </c>
      <c r="C54" s="25" t="s">
        <v>80</v>
      </c>
      <c r="D54" s="79">
        <v>45944</v>
      </c>
      <c r="E54" s="25">
        <v>4</v>
      </c>
    </row>
    <row r="55" spans="1:5" x14ac:dyDescent="0.35">
      <c r="A55" s="25">
        <v>200</v>
      </c>
      <c r="B55" s="25" t="s">
        <v>81</v>
      </c>
      <c r="C55" s="25" t="s">
        <v>80</v>
      </c>
      <c r="D55" s="79">
        <v>45944</v>
      </c>
      <c r="E55" s="25">
        <v>4</v>
      </c>
    </row>
    <row r="56" spans="1:5" x14ac:dyDescent="0.35">
      <c r="A56" s="25">
        <v>4</v>
      </c>
      <c r="B56" s="25" t="s">
        <v>72</v>
      </c>
      <c r="C56" s="25" t="s">
        <v>73</v>
      </c>
      <c r="D56" s="79">
        <v>45951</v>
      </c>
      <c r="E56" s="25">
        <v>4</v>
      </c>
    </row>
    <row r="57" spans="1:5" x14ac:dyDescent="0.35">
      <c r="A57" s="25">
        <v>8</v>
      </c>
      <c r="B57" s="25" t="s">
        <v>72</v>
      </c>
      <c r="C57" s="25" t="s">
        <v>73</v>
      </c>
      <c r="D57" s="79">
        <v>45951</v>
      </c>
      <c r="E57" s="25">
        <v>4</v>
      </c>
    </row>
    <row r="58" spans="1:5" x14ac:dyDescent="0.35">
      <c r="A58" s="25">
        <v>12</v>
      </c>
      <c r="B58" s="25" t="s">
        <v>72</v>
      </c>
      <c r="C58" s="25" t="s">
        <v>73</v>
      </c>
      <c r="D58" s="79">
        <v>45951</v>
      </c>
      <c r="E58" s="25">
        <v>4</v>
      </c>
    </row>
    <row r="59" spans="1:5" x14ac:dyDescent="0.35">
      <c r="A59" s="25">
        <v>46</v>
      </c>
      <c r="B59" s="25" t="s">
        <v>72</v>
      </c>
      <c r="C59" s="25" t="s">
        <v>74</v>
      </c>
      <c r="D59" s="79">
        <v>45951</v>
      </c>
      <c r="E59" s="25">
        <v>4</v>
      </c>
    </row>
    <row r="60" spans="1:5" x14ac:dyDescent="0.35">
      <c r="A60" s="25">
        <v>51</v>
      </c>
      <c r="B60" s="25" t="s">
        <v>72</v>
      </c>
      <c r="C60" s="25" t="s">
        <v>74</v>
      </c>
      <c r="D60" s="79">
        <v>45951</v>
      </c>
      <c r="E60" s="25">
        <v>4</v>
      </c>
    </row>
    <row r="61" spans="1:5" x14ac:dyDescent="0.35">
      <c r="A61" s="25">
        <v>61</v>
      </c>
      <c r="B61" s="25" t="s">
        <v>72</v>
      </c>
      <c r="C61" s="25" t="s">
        <v>74</v>
      </c>
      <c r="D61" s="79">
        <v>45951</v>
      </c>
      <c r="E61" s="25">
        <v>4</v>
      </c>
    </row>
    <row r="62" spans="1:5" x14ac:dyDescent="0.35">
      <c r="A62" s="25">
        <v>69</v>
      </c>
      <c r="B62" s="25" t="s">
        <v>72</v>
      </c>
      <c r="C62" s="25" t="s">
        <v>75</v>
      </c>
      <c r="D62" s="79">
        <v>45951</v>
      </c>
      <c r="E62" s="25">
        <v>4</v>
      </c>
    </row>
    <row r="63" spans="1:5" x14ac:dyDescent="0.35">
      <c r="A63" s="25">
        <v>144</v>
      </c>
      <c r="B63" s="25" t="s">
        <v>72</v>
      </c>
      <c r="C63" s="25" t="s">
        <v>75</v>
      </c>
      <c r="D63" s="79">
        <v>45951</v>
      </c>
      <c r="E63" s="25">
        <v>4</v>
      </c>
    </row>
    <row r="64" spans="1:5" x14ac:dyDescent="0.35">
      <c r="A64" s="25">
        <v>149</v>
      </c>
      <c r="B64" s="25" t="s">
        <v>72</v>
      </c>
      <c r="C64" s="25" t="s">
        <v>75</v>
      </c>
      <c r="D64" s="79">
        <v>45951</v>
      </c>
      <c r="E64" s="25">
        <v>4</v>
      </c>
    </row>
    <row r="65" spans="1:5" x14ac:dyDescent="0.35">
      <c r="A65" s="25">
        <v>96</v>
      </c>
      <c r="B65" s="25" t="s">
        <v>72</v>
      </c>
      <c r="C65" s="25" t="s">
        <v>76</v>
      </c>
      <c r="D65" s="79">
        <v>45951</v>
      </c>
      <c r="E65" s="25">
        <v>4</v>
      </c>
    </row>
    <row r="66" spans="1:5" x14ac:dyDescent="0.35">
      <c r="A66" s="25">
        <v>97</v>
      </c>
      <c r="B66" s="25" t="s">
        <v>72</v>
      </c>
      <c r="C66" s="25" t="s">
        <v>76</v>
      </c>
      <c r="D66" s="79">
        <v>45951</v>
      </c>
      <c r="E66" s="25">
        <v>4</v>
      </c>
    </row>
    <row r="67" spans="1:5" x14ac:dyDescent="0.35">
      <c r="A67" s="25">
        <v>154</v>
      </c>
      <c r="B67" s="25" t="s">
        <v>72</v>
      </c>
      <c r="C67" s="25" t="s">
        <v>76</v>
      </c>
      <c r="D67" s="79">
        <v>45951</v>
      </c>
      <c r="E67" s="25">
        <v>4</v>
      </c>
    </row>
    <row r="68" spans="1:5" x14ac:dyDescent="0.35">
      <c r="A68" s="25">
        <v>281</v>
      </c>
      <c r="B68" s="25" t="s">
        <v>72</v>
      </c>
      <c r="C68" s="25" t="s">
        <v>77</v>
      </c>
      <c r="D68" s="79">
        <v>45951</v>
      </c>
      <c r="E68" s="25">
        <v>4</v>
      </c>
    </row>
    <row r="69" spans="1:5" x14ac:dyDescent="0.35">
      <c r="A69" s="25">
        <v>283</v>
      </c>
      <c r="B69" s="25" t="s">
        <v>72</v>
      </c>
      <c r="C69" s="25" t="s">
        <v>77</v>
      </c>
      <c r="D69" s="79">
        <v>45951</v>
      </c>
      <c r="E69" s="25">
        <v>3</v>
      </c>
    </row>
    <row r="70" spans="1:5" x14ac:dyDescent="0.35">
      <c r="A70" s="25">
        <v>284</v>
      </c>
      <c r="B70" s="25" t="s">
        <v>72</v>
      </c>
      <c r="C70" s="25" t="s">
        <v>77</v>
      </c>
      <c r="D70" s="79">
        <v>45951</v>
      </c>
      <c r="E70" s="25">
        <v>3</v>
      </c>
    </row>
    <row r="71" spans="1:5" x14ac:dyDescent="0.35">
      <c r="A71" s="25">
        <v>271</v>
      </c>
      <c r="B71" s="25" t="s">
        <v>72</v>
      </c>
      <c r="C71" s="25" t="s">
        <v>78</v>
      </c>
      <c r="D71" s="79">
        <v>45951</v>
      </c>
      <c r="E71" s="25">
        <v>4</v>
      </c>
    </row>
    <row r="72" spans="1:5" x14ac:dyDescent="0.35">
      <c r="A72" s="25">
        <v>272</v>
      </c>
      <c r="B72" s="25" t="s">
        <v>72</v>
      </c>
      <c r="C72" s="25" t="s">
        <v>78</v>
      </c>
      <c r="D72" s="79">
        <v>45951</v>
      </c>
      <c r="E72" s="25">
        <v>4</v>
      </c>
    </row>
    <row r="73" spans="1:5" x14ac:dyDescent="0.35">
      <c r="A73" s="25">
        <v>273</v>
      </c>
      <c r="B73" s="25" t="s">
        <v>72</v>
      </c>
      <c r="C73" s="25" t="s">
        <v>78</v>
      </c>
      <c r="D73" s="79">
        <v>45951</v>
      </c>
      <c r="E73" s="25">
        <v>4</v>
      </c>
    </row>
    <row r="74" spans="1:5" x14ac:dyDescent="0.35">
      <c r="A74" s="25">
        <v>341</v>
      </c>
      <c r="B74" s="25" t="s">
        <v>72</v>
      </c>
      <c r="C74" s="25" t="s">
        <v>79</v>
      </c>
      <c r="D74" s="79">
        <v>45951</v>
      </c>
      <c r="E74" s="25">
        <v>4</v>
      </c>
    </row>
    <row r="75" spans="1:5" x14ac:dyDescent="0.35">
      <c r="A75" s="25">
        <v>322</v>
      </c>
      <c r="B75" s="25" t="s">
        <v>72</v>
      </c>
      <c r="C75" s="25" t="s">
        <v>79</v>
      </c>
      <c r="D75" s="79">
        <v>45951</v>
      </c>
      <c r="E75" s="25">
        <v>4</v>
      </c>
    </row>
    <row r="76" spans="1:5" x14ac:dyDescent="0.35">
      <c r="A76" s="25">
        <v>343</v>
      </c>
      <c r="B76" s="25" t="s">
        <v>72</v>
      </c>
      <c r="C76" s="25" t="s">
        <v>79</v>
      </c>
      <c r="D76" s="79">
        <v>45951</v>
      </c>
      <c r="E76" s="25">
        <v>4</v>
      </c>
    </row>
    <row r="77" spans="1:5" x14ac:dyDescent="0.35">
      <c r="A77" s="25">
        <v>246</v>
      </c>
      <c r="B77" s="25" t="s">
        <v>72</v>
      </c>
      <c r="C77" s="25" t="s">
        <v>80</v>
      </c>
      <c r="D77" s="79">
        <v>45951</v>
      </c>
      <c r="E77" s="25">
        <v>4</v>
      </c>
    </row>
    <row r="78" spans="1:5" x14ac:dyDescent="0.35">
      <c r="A78" s="25">
        <v>247</v>
      </c>
      <c r="B78" s="25" t="s">
        <v>72</v>
      </c>
      <c r="C78" s="25" t="s">
        <v>80</v>
      </c>
      <c r="D78" s="79">
        <v>45951</v>
      </c>
      <c r="E78" s="25">
        <v>4</v>
      </c>
    </row>
    <row r="79" spans="1:5" x14ac:dyDescent="0.35">
      <c r="A79" s="25">
        <v>248</v>
      </c>
      <c r="B79" s="25" t="s">
        <v>72</v>
      </c>
      <c r="C79" s="25" t="s">
        <v>80</v>
      </c>
      <c r="D79" s="79">
        <v>45951</v>
      </c>
      <c r="E79" s="25">
        <v>4</v>
      </c>
    </row>
    <row r="80" spans="1:5" x14ac:dyDescent="0.35">
      <c r="A80" s="25">
        <v>87</v>
      </c>
      <c r="B80" s="25" t="s">
        <v>81</v>
      </c>
      <c r="C80" s="25" t="s">
        <v>80</v>
      </c>
      <c r="D80" s="79">
        <v>45951</v>
      </c>
      <c r="E80" s="25">
        <v>3</v>
      </c>
    </row>
    <row r="81" spans="1:5" x14ac:dyDescent="0.35">
      <c r="A81" s="25">
        <v>199</v>
      </c>
      <c r="B81" s="25" t="s">
        <v>81</v>
      </c>
      <c r="C81" s="25" t="s">
        <v>80</v>
      </c>
      <c r="D81" s="79">
        <v>45951</v>
      </c>
      <c r="E81" s="25">
        <v>3</v>
      </c>
    </row>
    <row r="82" spans="1:5" x14ac:dyDescent="0.35">
      <c r="A82" s="25">
        <v>200</v>
      </c>
      <c r="B82" s="25" t="s">
        <v>81</v>
      </c>
      <c r="C82" s="25" t="s">
        <v>80</v>
      </c>
      <c r="D82" s="79">
        <v>45951</v>
      </c>
      <c r="E82" s="25">
        <v>3</v>
      </c>
    </row>
    <row r="83" spans="1:5" x14ac:dyDescent="0.35">
      <c r="A83" s="25">
        <v>4</v>
      </c>
      <c r="B83" s="25" t="s">
        <v>72</v>
      </c>
      <c r="C83" s="25" t="s">
        <v>73</v>
      </c>
      <c r="D83" s="79">
        <v>45958</v>
      </c>
      <c r="E83" s="25">
        <v>4</v>
      </c>
    </row>
    <row r="84" spans="1:5" x14ac:dyDescent="0.35">
      <c r="A84" s="25">
        <v>8</v>
      </c>
      <c r="B84" s="25" t="s">
        <v>72</v>
      </c>
      <c r="C84" s="25" t="s">
        <v>73</v>
      </c>
      <c r="D84" s="79">
        <v>45958</v>
      </c>
      <c r="E84" s="25">
        <v>4</v>
      </c>
    </row>
    <row r="85" spans="1:5" x14ac:dyDescent="0.35">
      <c r="A85" s="25">
        <v>12</v>
      </c>
      <c r="B85" s="25" t="s">
        <v>72</v>
      </c>
      <c r="C85" s="25" t="s">
        <v>73</v>
      </c>
      <c r="D85" s="79">
        <v>45958</v>
      </c>
      <c r="E85" s="25">
        <v>4</v>
      </c>
    </row>
    <row r="86" spans="1:5" x14ac:dyDescent="0.35">
      <c r="A86" s="25">
        <v>46</v>
      </c>
      <c r="B86" s="25" t="s">
        <v>72</v>
      </c>
      <c r="C86" s="25" t="s">
        <v>74</v>
      </c>
      <c r="D86" s="79">
        <v>45958</v>
      </c>
      <c r="E86" s="25">
        <v>4</v>
      </c>
    </row>
    <row r="87" spans="1:5" x14ac:dyDescent="0.35">
      <c r="A87" s="25">
        <v>51</v>
      </c>
      <c r="B87" s="25" t="s">
        <v>72</v>
      </c>
      <c r="C87" s="25" t="s">
        <v>74</v>
      </c>
      <c r="D87" s="79">
        <v>45958</v>
      </c>
      <c r="E87" s="25">
        <v>4</v>
      </c>
    </row>
    <row r="88" spans="1:5" x14ac:dyDescent="0.35">
      <c r="A88" s="25">
        <v>61</v>
      </c>
      <c r="B88" s="25" t="s">
        <v>72</v>
      </c>
      <c r="C88" s="25" t="s">
        <v>74</v>
      </c>
      <c r="D88" s="79">
        <v>45958</v>
      </c>
      <c r="E88" s="25">
        <v>4</v>
      </c>
    </row>
    <row r="89" spans="1:5" x14ac:dyDescent="0.35">
      <c r="A89" s="25">
        <v>69</v>
      </c>
      <c r="B89" s="25" t="s">
        <v>72</v>
      </c>
      <c r="C89" s="25" t="s">
        <v>75</v>
      </c>
      <c r="D89" s="79">
        <v>45958</v>
      </c>
      <c r="E89" s="25">
        <v>4</v>
      </c>
    </row>
    <row r="90" spans="1:5" x14ac:dyDescent="0.35">
      <c r="A90" s="25">
        <v>144</v>
      </c>
      <c r="B90" s="25" t="s">
        <v>72</v>
      </c>
      <c r="C90" s="25" t="s">
        <v>75</v>
      </c>
      <c r="D90" s="79">
        <v>45958</v>
      </c>
      <c r="E90" s="25">
        <v>4</v>
      </c>
    </row>
    <row r="91" spans="1:5" x14ac:dyDescent="0.35">
      <c r="A91" s="25">
        <v>149</v>
      </c>
      <c r="B91" s="25" t="s">
        <v>72</v>
      </c>
      <c r="C91" s="25" t="s">
        <v>75</v>
      </c>
      <c r="D91" s="79">
        <v>45958</v>
      </c>
      <c r="E91" s="25">
        <v>4</v>
      </c>
    </row>
    <row r="92" spans="1:5" x14ac:dyDescent="0.35">
      <c r="A92" s="25">
        <v>96</v>
      </c>
      <c r="B92" s="25" t="s">
        <v>72</v>
      </c>
      <c r="C92" s="25" t="s">
        <v>76</v>
      </c>
      <c r="D92" s="79">
        <v>45958</v>
      </c>
      <c r="E92" s="25">
        <v>4</v>
      </c>
    </row>
    <row r="93" spans="1:5" x14ac:dyDescent="0.35">
      <c r="A93" s="25">
        <v>97</v>
      </c>
      <c r="B93" s="25" t="s">
        <v>72</v>
      </c>
      <c r="C93" s="25" t="s">
        <v>76</v>
      </c>
      <c r="D93" s="79">
        <v>45958</v>
      </c>
      <c r="E93" s="25">
        <v>4</v>
      </c>
    </row>
    <row r="94" spans="1:5" x14ac:dyDescent="0.35">
      <c r="A94" s="25">
        <v>154</v>
      </c>
      <c r="B94" s="25" t="s">
        <v>72</v>
      </c>
      <c r="C94" s="25" t="s">
        <v>76</v>
      </c>
      <c r="D94" s="79">
        <v>45958</v>
      </c>
      <c r="E94" s="25">
        <v>4</v>
      </c>
    </row>
    <row r="95" spans="1:5" x14ac:dyDescent="0.35">
      <c r="A95" s="25">
        <v>281</v>
      </c>
      <c r="B95" s="25" t="s">
        <v>72</v>
      </c>
      <c r="C95" s="25" t="s">
        <v>77</v>
      </c>
      <c r="D95" s="79">
        <v>45958</v>
      </c>
      <c r="E95" s="25">
        <v>4</v>
      </c>
    </row>
    <row r="96" spans="1:5" x14ac:dyDescent="0.35">
      <c r="A96" s="25">
        <v>283</v>
      </c>
      <c r="B96" s="25" t="s">
        <v>72</v>
      </c>
      <c r="C96" s="25" t="s">
        <v>77</v>
      </c>
      <c r="D96" s="79">
        <v>45958</v>
      </c>
      <c r="E96" s="25">
        <v>3</v>
      </c>
    </row>
    <row r="97" spans="1:5" x14ac:dyDescent="0.35">
      <c r="A97" s="25">
        <v>284</v>
      </c>
      <c r="B97" s="25" t="s">
        <v>72</v>
      </c>
      <c r="C97" s="25" t="s">
        <v>77</v>
      </c>
      <c r="D97" s="79">
        <v>45958</v>
      </c>
      <c r="E97" s="25">
        <v>3</v>
      </c>
    </row>
    <row r="98" spans="1:5" x14ac:dyDescent="0.35">
      <c r="A98" s="25">
        <v>271</v>
      </c>
      <c r="B98" s="25" t="s">
        <v>72</v>
      </c>
      <c r="C98" s="25" t="s">
        <v>78</v>
      </c>
      <c r="D98" s="79">
        <v>45958</v>
      </c>
      <c r="E98" s="25">
        <v>4</v>
      </c>
    </row>
    <row r="99" spans="1:5" x14ac:dyDescent="0.35">
      <c r="A99" s="25">
        <v>272</v>
      </c>
      <c r="B99" s="25" t="s">
        <v>72</v>
      </c>
      <c r="C99" s="25" t="s">
        <v>78</v>
      </c>
      <c r="D99" s="79">
        <v>45958</v>
      </c>
      <c r="E99" s="25">
        <v>4</v>
      </c>
    </row>
    <row r="100" spans="1:5" x14ac:dyDescent="0.35">
      <c r="A100" s="25">
        <v>273</v>
      </c>
      <c r="B100" s="25" t="s">
        <v>72</v>
      </c>
      <c r="C100" s="25" t="s">
        <v>78</v>
      </c>
      <c r="D100" s="79">
        <v>45958</v>
      </c>
      <c r="E100" s="25">
        <v>4</v>
      </c>
    </row>
    <row r="101" spans="1:5" x14ac:dyDescent="0.35">
      <c r="A101" s="25">
        <v>341</v>
      </c>
      <c r="B101" s="25" t="s">
        <v>72</v>
      </c>
      <c r="C101" s="25" t="s">
        <v>79</v>
      </c>
      <c r="D101" s="79">
        <v>45958</v>
      </c>
      <c r="E101" s="25">
        <v>4</v>
      </c>
    </row>
    <row r="102" spans="1:5" x14ac:dyDescent="0.35">
      <c r="A102" s="25">
        <v>322</v>
      </c>
      <c r="B102" s="25" t="s">
        <v>72</v>
      </c>
      <c r="C102" s="25" t="s">
        <v>79</v>
      </c>
      <c r="D102" s="79">
        <v>45958</v>
      </c>
      <c r="E102" s="25">
        <v>4</v>
      </c>
    </row>
    <row r="103" spans="1:5" x14ac:dyDescent="0.35">
      <c r="A103" s="25">
        <v>343</v>
      </c>
      <c r="B103" s="25" t="s">
        <v>72</v>
      </c>
      <c r="C103" s="25" t="s">
        <v>79</v>
      </c>
      <c r="D103" s="79">
        <v>45958</v>
      </c>
      <c r="E103" s="25">
        <v>4</v>
      </c>
    </row>
    <row r="104" spans="1:5" x14ac:dyDescent="0.35">
      <c r="A104" s="25">
        <v>246</v>
      </c>
      <c r="B104" s="25" t="s">
        <v>72</v>
      </c>
      <c r="C104" s="25" t="s">
        <v>80</v>
      </c>
      <c r="D104" s="79">
        <v>45958</v>
      </c>
      <c r="E104" s="25">
        <v>4</v>
      </c>
    </row>
    <row r="105" spans="1:5" x14ac:dyDescent="0.35">
      <c r="A105" s="25">
        <v>247</v>
      </c>
      <c r="B105" s="25" t="s">
        <v>72</v>
      </c>
      <c r="C105" s="25" t="s">
        <v>80</v>
      </c>
      <c r="D105" s="79">
        <v>45958</v>
      </c>
      <c r="E105" s="25">
        <v>3</v>
      </c>
    </row>
    <row r="106" spans="1:5" x14ac:dyDescent="0.35">
      <c r="A106" s="25">
        <v>248</v>
      </c>
      <c r="B106" s="25" t="s">
        <v>72</v>
      </c>
      <c r="C106" s="25" t="s">
        <v>80</v>
      </c>
      <c r="D106" s="79">
        <v>45958</v>
      </c>
      <c r="E106" s="25">
        <v>4</v>
      </c>
    </row>
    <row r="107" spans="1:5" x14ac:dyDescent="0.35">
      <c r="A107" s="25">
        <v>87</v>
      </c>
      <c r="B107" s="25" t="s">
        <v>81</v>
      </c>
      <c r="C107" s="25" t="s">
        <v>80</v>
      </c>
      <c r="D107" s="79">
        <v>45958</v>
      </c>
      <c r="E107" s="25">
        <v>3</v>
      </c>
    </row>
    <row r="108" spans="1:5" x14ac:dyDescent="0.35">
      <c r="A108" s="25">
        <v>199</v>
      </c>
      <c r="B108" s="25" t="s">
        <v>81</v>
      </c>
      <c r="C108" s="25" t="s">
        <v>80</v>
      </c>
      <c r="D108" s="79">
        <v>45958</v>
      </c>
      <c r="E108" s="25">
        <v>3</v>
      </c>
    </row>
    <row r="109" spans="1:5" x14ac:dyDescent="0.35">
      <c r="A109" s="25">
        <v>200</v>
      </c>
      <c r="B109" s="25" t="s">
        <v>81</v>
      </c>
      <c r="C109" s="25" t="s">
        <v>80</v>
      </c>
      <c r="D109" s="79">
        <v>45958</v>
      </c>
      <c r="E109" s="25">
        <v>3</v>
      </c>
    </row>
    <row r="110" spans="1:5" x14ac:dyDescent="0.35">
      <c r="A110" s="25">
        <v>4</v>
      </c>
      <c r="B110" s="25" t="s">
        <v>72</v>
      </c>
      <c r="C110" s="25" t="s">
        <v>73</v>
      </c>
      <c r="D110" s="79">
        <v>45965</v>
      </c>
      <c r="E110" s="25">
        <v>4</v>
      </c>
    </row>
    <row r="111" spans="1:5" x14ac:dyDescent="0.35">
      <c r="A111" s="25">
        <v>8</v>
      </c>
      <c r="B111" s="25" t="s">
        <v>72</v>
      </c>
      <c r="C111" s="25" t="s">
        <v>73</v>
      </c>
      <c r="D111" s="79">
        <v>45965</v>
      </c>
      <c r="E111" s="25">
        <v>4</v>
      </c>
    </row>
    <row r="112" spans="1:5" x14ac:dyDescent="0.35">
      <c r="A112" s="25">
        <v>12</v>
      </c>
      <c r="B112" s="25" t="s">
        <v>72</v>
      </c>
      <c r="C112" s="25" t="s">
        <v>73</v>
      </c>
      <c r="D112" s="79">
        <v>45965</v>
      </c>
      <c r="E112" s="25">
        <v>4</v>
      </c>
    </row>
    <row r="113" spans="1:5" x14ac:dyDescent="0.35">
      <c r="A113" s="25">
        <v>46</v>
      </c>
      <c r="B113" s="25" t="s">
        <v>72</v>
      </c>
      <c r="C113" s="25" t="s">
        <v>74</v>
      </c>
      <c r="D113" s="79">
        <v>45965</v>
      </c>
      <c r="E113" s="25">
        <v>4</v>
      </c>
    </row>
    <row r="114" spans="1:5" x14ac:dyDescent="0.35">
      <c r="A114" s="25">
        <v>51</v>
      </c>
      <c r="B114" s="25" t="s">
        <v>72</v>
      </c>
      <c r="C114" s="25" t="s">
        <v>74</v>
      </c>
      <c r="D114" s="79">
        <v>45965</v>
      </c>
      <c r="E114" s="25">
        <v>4</v>
      </c>
    </row>
    <row r="115" spans="1:5" x14ac:dyDescent="0.35">
      <c r="A115" s="25">
        <v>61</v>
      </c>
      <c r="B115" s="25" t="s">
        <v>72</v>
      </c>
      <c r="C115" s="25" t="s">
        <v>74</v>
      </c>
      <c r="D115" s="79">
        <v>45965</v>
      </c>
      <c r="E115" s="25">
        <v>4</v>
      </c>
    </row>
    <row r="116" spans="1:5" x14ac:dyDescent="0.35">
      <c r="A116" s="25">
        <v>69</v>
      </c>
      <c r="B116" s="25" t="s">
        <v>72</v>
      </c>
      <c r="C116" s="25" t="s">
        <v>75</v>
      </c>
      <c r="D116" s="79">
        <v>45965</v>
      </c>
      <c r="E116" s="25">
        <v>4</v>
      </c>
    </row>
    <row r="117" spans="1:5" x14ac:dyDescent="0.35">
      <c r="A117" s="25">
        <v>144</v>
      </c>
      <c r="B117" s="25" t="s">
        <v>72</v>
      </c>
      <c r="C117" s="25" t="s">
        <v>75</v>
      </c>
      <c r="D117" s="79">
        <v>45965</v>
      </c>
      <c r="E117" s="25">
        <v>4</v>
      </c>
    </row>
    <row r="118" spans="1:5" x14ac:dyDescent="0.35">
      <c r="A118" s="25">
        <v>149</v>
      </c>
      <c r="B118" s="25" t="s">
        <v>72</v>
      </c>
      <c r="C118" s="25" t="s">
        <v>75</v>
      </c>
      <c r="D118" s="79">
        <v>45965</v>
      </c>
      <c r="E118" s="25">
        <v>4</v>
      </c>
    </row>
    <row r="119" spans="1:5" x14ac:dyDescent="0.35">
      <c r="A119" s="25">
        <v>96</v>
      </c>
      <c r="B119" s="25" t="s">
        <v>72</v>
      </c>
      <c r="C119" s="25" t="s">
        <v>76</v>
      </c>
      <c r="D119" s="79">
        <v>45965</v>
      </c>
      <c r="E119" s="25">
        <v>4</v>
      </c>
    </row>
    <row r="120" spans="1:5" x14ac:dyDescent="0.35">
      <c r="A120" s="25">
        <v>97</v>
      </c>
      <c r="B120" s="25" t="s">
        <v>72</v>
      </c>
      <c r="C120" s="25" t="s">
        <v>76</v>
      </c>
      <c r="D120" s="79">
        <v>45965</v>
      </c>
      <c r="E120" s="25">
        <v>4</v>
      </c>
    </row>
    <row r="121" spans="1:5" x14ac:dyDescent="0.35">
      <c r="A121" s="25">
        <v>154</v>
      </c>
      <c r="B121" s="25" t="s">
        <v>72</v>
      </c>
      <c r="C121" s="25" t="s">
        <v>76</v>
      </c>
      <c r="D121" s="79">
        <v>45965</v>
      </c>
      <c r="E121" s="25">
        <v>4</v>
      </c>
    </row>
    <row r="122" spans="1:5" x14ac:dyDescent="0.35">
      <c r="A122" s="25">
        <v>281</v>
      </c>
      <c r="B122" s="25" t="s">
        <v>72</v>
      </c>
      <c r="C122" s="25" t="s">
        <v>77</v>
      </c>
      <c r="D122" s="79">
        <v>45965</v>
      </c>
      <c r="E122" s="25">
        <v>3</v>
      </c>
    </row>
    <row r="123" spans="1:5" x14ac:dyDescent="0.35">
      <c r="A123" s="25">
        <v>283</v>
      </c>
      <c r="B123" s="25" t="s">
        <v>72</v>
      </c>
      <c r="C123" s="25" t="s">
        <v>77</v>
      </c>
      <c r="D123" s="79">
        <v>45965</v>
      </c>
      <c r="E123" s="25">
        <v>2</v>
      </c>
    </row>
    <row r="124" spans="1:5" x14ac:dyDescent="0.35">
      <c r="A124" s="25">
        <v>284</v>
      </c>
      <c r="B124" s="25" t="s">
        <v>72</v>
      </c>
      <c r="C124" s="25" t="s">
        <v>77</v>
      </c>
      <c r="D124" s="79">
        <v>45965</v>
      </c>
      <c r="E124" s="25">
        <v>3</v>
      </c>
    </row>
    <row r="125" spans="1:5" x14ac:dyDescent="0.35">
      <c r="A125" s="25">
        <v>271</v>
      </c>
      <c r="B125" s="25" t="s">
        <v>72</v>
      </c>
      <c r="C125" s="25" t="s">
        <v>78</v>
      </c>
      <c r="D125" s="79">
        <v>45965</v>
      </c>
      <c r="E125" s="25">
        <v>4</v>
      </c>
    </row>
    <row r="126" spans="1:5" x14ac:dyDescent="0.35">
      <c r="A126" s="25">
        <v>272</v>
      </c>
      <c r="B126" s="25" t="s">
        <v>72</v>
      </c>
      <c r="C126" s="25" t="s">
        <v>78</v>
      </c>
      <c r="D126" s="79">
        <v>45965</v>
      </c>
      <c r="E126" s="25">
        <v>4</v>
      </c>
    </row>
    <row r="127" spans="1:5" x14ac:dyDescent="0.35">
      <c r="A127" s="25">
        <v>273</v>
      </c>
      <c r="B127" s="25" t="s">
        <v>72</v>
      </c>
      <c r="C127" s="25" t="s">
        <v>78</v>
      </c>
      <c r="D127" s="79">
        <v>45965</v>
      </c>
      <c r="E127" s="25">
        <v>4</v>
      </c>
    </row>
    <row r="128" spans="1:5" x14ac:dyDescent="0.35">
      <c r="A128" s="25">
        <v>341</v>
      </c>
      <c r="B128" s="25" t="s">
        <v>72</v>
      </c>
      <c r="C128" s="25" t="s">
        <v>79</v>
      </c>
      <c r="D128" s="79">
        <v>45965</v>
      </c>
      <c r="E128" s="25">
        <v>4</v>
      </c>
    </row>
    <row r="129" spans="1:5" x14ac:dyDescent="0.35">
      <c r="A129" s="25">
        <v>322</v>
      </c>
      <c r="B129" s="25" t="s">
        <v>72</v>
      </c>
      <c r="C129" s="25" t="s">
        <v>79</v>
      </c>
      <c r="D129" s="79">
        <v>45965</v>
      </c>
      <c r="E129" s="25">
        <v>4</v>
      </c>
    </row>
    <row r="130" spans="1:5" x14ac:dyDescent="0.35">
      <c r="A130" s="25">
        <v>343</v>
      </c>
      <c r="B130" s="25" t="s">
        <v>72</v>
      </c>
      <c r="C130" s="25" t="s">
        <v>79</v>
      </c>
      <c r="D130" s="79">
        <v>45965</v>
      </c>
      <c r="E130" s="25">
        <v>4</v>
      </c>
    </row>
    <row r="131" spans="1:5" x14ac:dyDescent="0.35">
      <c r="A131" s="25">
        <v>246</v>
      </c>
      <c r="B131" s="25" t="s">
        <v>72</v>
      </c>
      <c r="C131" s="25" t="s">
        <v>80</v>
      </c>
      <c r="D131" s="79">
        <v>45965</v>
      </c>
      <c r="E131" s="25">
        <v>4</v>
      </c>
    </row>
    <row r="132" spans="1:5" x14ac:dyDescent="0.35">
      <c r="A132" s="25">
        <v>247</v>
      </c>
      <c r="B132" s="25" t="s">
        <v>72</v>
      </c>
      <c r="C132" s="25" t="s">
        <v>80</v>
      </c>
      <c r="D132" s="79">
        <v>45965</v>
      </c>
      <c r="E132" s="25">
        <v>3</v>
      </c>
    </row>
    <row r="133" spans="1:5" x14ac:dyDescent="0.35">
      <c r="A133" s="25">
        <v>248</v>
      </c>
      <c r="B133" s="25" t="s">
        <v>72</v>
      </c>
      <c r="C133" s="25" t="s">
        <v>80</v>
      </c>
      <c r="D133" s="79">
        <v>45965</v>
      </c>
      <c r="E133" s="25">
        <v>4</v>
      </c>
    </row>
    <row r="134" spans="1:5" x14ac:dyDescent="0.35">
      <c r="A134" s="25">
        <v>87</v>
      </c>
      <c r="B134" s="25" t="s">
        <v>81</v>
      </c>
      <c r="C134" s="25" t="s">
        <v>80</v>
      </c>
      <c r="D134" s="79">
        <v>45965</v>
      </c>
      <c r="E134" s="25">
        <v>3</v>
      </c>
    </row>
    <row r="135" spans="1:5" x14ac:dyDescent="0.35">
      <c r="A135" s="25">
        <v>199</v>
      </c>
      <c r="B135" s="25" t="s">
        <v>81</v>
      </c>
      <c r="C135" s="25" t="s">
        <v>80</v>
      </c>
      <c r="D135" s="79">
        <v>45965</v>
      </c>
      <c r="E135" s="25">
        <v>2</v>
      </c>
    </row>
    <row r="136" spans="1:5" x14ac:dyDescent="0.35">
      <c r="A136" s="25">
        <v>200</v>
      </c>
      <c r="B136" s="25" t="s">
        <v>81</v>
      </c>
      <c r="C136" s="25" t="s">
        <v>80</v>
      </c>
      <c r="D136" s="79">
        <v>45965</v>
      </c>
      <c r="E136" s="25">
        <v>2</v>
      </c>
    </row>
    <row r="137" spans="1:5" x14ac:dyDescent="0.35">
      <c r="A137" s="25">
        <v>4</v>
      </c>
      <c r="B137" s="25" t="s">
        <v>72</v>
      </c>
      <c r="C137" s="25" t="s">
        <v>73</v>
      </c>
      <c r="D137" s="79">
        <v>45980</v>
      </c>
      <c r="E137" s="25">
        <v>4</v>
      </c>
    </row>
    <row r="138" spans="1:5" x14ac:dyDescent="0.35">
      <c r="A138" s="25">
        <v>8</v>
      </c>
      <c r="B138" s="25" t="s">
        <v>72</v>
      </c>
      <c r="C138" s="25" t="s">
        <v>73</v>
      </c>
      <c r="D138" s="79">
        <v>45980</v>
      </c>
      <c r="E138" s="25">
        <v>4</v>
      </c>
    </row>
    <row r="139" spans="1:5" x14ac:dyDescent="0.35">
      <c r="A139" s="25">
        <v>12</v>
      </c>
      <c r="B139" s="25" t="s">
        <v>72</v>
      </c>
      <c r="C139" s="25" t="s">
        <v>73</v>
      </c>
      <c r="D139" s="79">
        <v>45980</v>
      </c>
      <c r="E139" s="25">
        <v>4</v>
      </c>
    </row>
    <row r="140" spans="1:5" x14ac:dyDescent="0.35">
      <c r="A140" s="25">
        <v>46</v>
      </c>
      <c r="B140" s="25" t="s">
        <v>72</v>
      </c>
      <c r="C140" s="25" t="s">
        <v>74</v>
      </c>
      <c r="D140" s="79">
        <v>45980</v>
      </c>
      <c r="E140" s="25">
        <v>4</v>
      </c>
    </row>
    <row r="141" spans="1:5" x14ac:dyDescent="0.35">
      <c r="A141" s="25">
        <v>51</v>
      </c>
      <c r="B141" s="25" t="s">
        <v>72</v>
      </c>
      <c r="C141" s="25" t="s">
        <v>74</v>
      </c>
      <c r="D141" s="79">
        <v>45980</v>
      </c>
      <c r="E141" s="25">
        <v>4</v>
      </c>
    </row>
    <row r="142" spans="1:5" x14ac:dyDescent="0.35">
      <c r="A142" s="25">
        <v>61</v>
      </c>
      <c r="B142" s="25" t="s">
        <v>72</v>
      </c>
      <c r="C142" s="25" t="s">
        <v>74</v>
      </c>
      <c r="D142" s="79">
        <v>45980</v>
      </c>
      <c r="E142" s="25">
        <v>4</v>
      </c>
    </row>
    <row r="143" spans="1:5" x14ac:dyDescent="0.35">
      <c r="A143" s="25">
        <v>69</v>
      </c>
      <c r="B143" s="25" t="s">
        <v>72</v>
      </c>
      <c r="C143" s="25" t="s">
        <v>75</v>
      </c>
      <c r="D143" s="79">
        <v>45980</v>
      </c>
      <c r="E143" s="25">
        <v>4</v>
      </c>
    </row>
    <row r="144" spans="1:5" x14ac:dyDescent="0.35">
      <c r="A144" s="25">
        <v>144</v>
      </c>
      <c r="B144" s="25" t="s">
        <v>72</v>
      </c>
      <c r="C144" s="25" t="s">
        <v>75</v>
      </c>
      <c r="D144" s="79">
        <v>45980</v>
      </c>
      <c r="E144" s="25">
        <v>4</v>
      </c>
    </row>
    <row r="145" spans="1:5" x14ac:dyDescent="0.35">
      <c r="A145" s="25">
        <v>149</v>
      </c>
      <c r="B145" s="25" t="s">
        <v>72</v>
      </c>
      <c r="C145" s="25" t="s">
        <v>75</v>
      </c>
      <c r="D145" s="79">
        <v>45980</v>
      </c>
      <c r="E145" s="25">
        <v>4</v>
      </c>
    </row>
    <row r="146" spans="1:5" x14ac:dyDescent="0.35">
      <c r="A146" s="25">
        <v>96</v>
      </c>
      <c r="B146" s="25" t="s">
        <v>72</v>
      </c>
      <c r="C146" s="25" t="s">
        <v>76</v>
      </c>
      <c r="D146" s="79">
        <v>45980</v>
      </c>
      <c r="E146" s="25">
        <v>4</v>
      </c>
    </row>
    <row r="147" spans="1:5" x14ac:dyDescent="0.35">
      <c r="A147" s="25">
        <v>97</v>
      </c>
      <c r="B147" s="25" t="s">
        <v>72</v>
      </c>
      <c r="C147" s="25" t="s">
        <v>76</v>
      </c>
      <c r="D147" s="79">
        <v>45980</v>
      </c>
      <c r="E147" s="25">
        <v>4</v>
      </c>
    </row>
    <row r="148" spans="1:5" x14ac:dyDescent="0.35">
      <c r="A148" s="25">
        <v>154</v>
      </c>
      <c r="B148" s="25" t="s">
        <v>72</v>
      </c>
      <c r="C148" s="25" t="s">
        <v>76</v>
      </c>
      <c r="D148" s="79">
        <v>45980</v>
      </c>
      <c r="E148" s="25">
        <v>4</v>
      </c>
    </row>
    <row r="149" spans="1:5" x14ac:dyDescent="0.35">
      <c r="A149" s="25">
        <v>281</v>
      </c>
      <c r="B149" s="25" t="s">
        <v>72</v>
      </c>
      <c r="C149" s="25" t="s">
        <v>77</v>
      </c>
      <c r="D149" s="79">
        <v>45980</v>
      </c>
      <c r="E149" s="25">
        <v>3</v>
      </c>
    </row>
    <row r="150" spans="1:5" x14ac:dyDescent="0.35">
      <c r="A150" s="25">
        <v>283</v>
      </c>
      <c r="B150" s="25" t="s">
        <v>72</v>
      </c>
      <c r="C150" s="25" t="s">
        <v>77</v>
      </c>
      <c r="D150" s="79">
        <v>45980</v>
      </c>
      <c r="E150" s="25">
        <v>1</v>
      </c>
    </row>
    <row r="151" spans="1:5" x14ac:dyDescent="0.35">
      <c r="A151" s="25">
        <v>284</v>
      </c>
      <c r="B151" s="25" t="s">
        <v>72</v>
      </c>
      <c r="C151" s="25" t="s">
        <v>77</v>
      </c>
      <c r="D151" s="79">
        <v>45980</v>
      </c>
      <c r="E151" s="25">
        <v>3</v>
      </c>
    </row>
    <row r="152" spans="1:5" x14ac:dyDescent="0.35">
      <c r="A152" s="25">
        <v>271</v>
      </c>
      <c r="B152" s="25" t="s">
        <v>72</v>
      </c>
      <c r="C152" s="25" t="s">
        <v>78</v>
      </c>
      <c r="D152" s="79">
        <v>45980</v>
      </c>
      <c r="E152" s="25">
        <v>4</v>
      </c>
    </row>
    <row r="153" spans="1:5" x14ac:dyDescent="0.35">
      <c r="A153" s="25">
        <v>272</v>
      </c>
      <c r="B153" s="25" t="s">
        <v>72</v>
      </c>
      <c r="C153" s="25" t="s">
        <v>78</v>
      </c>
      <c r="D153" s="79">
        <v>45980</v>
      </c>
      <c r="E153" s="25">
        <v>4</v>
      </c>
    </row>
    <row r="154" spans="1:5" x14ac:dyDescent="0.35">
      <c r="A154" s="25">
        <v>273</v>
      </c>
      <c r="B154" s="25" t="s">
        <v>72</v>
      </c>
      <c r="C154" s="25" t="s">
        <v>78</v>
      </c>
      <c r="D154" s="79">
        <v>45980</v>
      </c>
      <c r="E154" s="25">
        <v>4</v>
      </c>
    </row>
    <row r="155" spans="1:5" x14ac:dyDescent="0.35">
      <c r="A155" s="25">
        <v>341</v>
      </c>
      <c r="B155" s="25" t="s">
        <v>72</v>
      </c>
      <c r="C155" s="25" t="s">
        <v>79</v>
      </c>
      <c r="D155" s="79">
        <v>45980</v>
      </c>
      <c r="E155" s="25">
        <v>4</v>
      </c>
    </row>
    <row r="156" spans="1:5" x14ac:dyDescent="0.35">
      <c r="A156" s="25">
        <v>322</v>
      </c>
      <c r="B156" s="25" t="s">
        <v>72</v>
      </c>
      <c r="C156" s="25" t="s">
        <v>79</v>
      </c>
      <c r="D156" s="79">
        <v>45980</v>
      </c>
      <c r="E156" s="25">
        <v>4</v>
      </c>
    </row>
    <row r="157" spans="1:5" x14ac:dyDescent="0.35">
      <c r="A157" s="25">
        <v>343</v>
      </c>
      <c r="B157" s="25" t="s">
        <v>72</v>
      </c>
      <c r="C157" s="25" t="s">
        <v>79</v>
      </c>
      <c r="D157" s="79">
        <v>45980</v>
      </c>
      <c r="E157" s="25">
        <v>4</v>
      </c>
    </row>
    <row r="158" spans="1:5" x14ac:dyDescent="0.35">
      <c r="A158" s="25">
        <v>246</v>
      </c>
      <c r="B158" s="25" t="s">
        <v>72</v>
      </c>
      <c r="C158" s="25" t="s">
        <v>80</v>
      </c>
      <c r="D158" s="79">
        <v>45980</v>
      </c>
      <c r="E158" s="25">
        <v>3</v>
      </c>
    </row>
    <row r="159" spans="1:5" x14ac:dyDescent="0.35">
      <c r="A159" s="25">
        <v>247</v>
      </c>
      <c r="B159" s="25" t="s">
        <v>72</v>
      </c>
      <c r="C159" s="25" t="s">
        <v>80</v>
      </c>
      <c r="D159" s="79">
        <v>45980</v>
      </c>
      <c r="E159" s="25">
        <v>2</v>
      </c>
    </row>
    <row r="160" spans="1:5" x14ac:dyDescent="0.35">
      <c r="A160" s="25">
        <v>248</v>
      </c>
      <c r="B160" s="25" t="s">
        <v>72</v>
      </c>
      <c r="C160" s="25" t="s">
        <v>80</v>
      </c>
      <c r="D160" s="79">
        <v>45980</v>
      </c>
      <c r="E160" s="25">
        <v>3</v>
      </c>
    </row>
    <row r="161" spans="1:5" x14ac:dyDescent="0.35">
      <c r="A161" s="25">
        <v>87</v>
      </c>
      <c r="B161" s="25" t="s">
        <v>81</v>
      </c>
      <c r="C161" s="25" t="s">
        <v>80</v>
      </c>
      <c r="D161" s="79">
        <v>45980</v>
      </c>
      <c r="E161" s="25">
        <v>2</v>
      </c>
    </row>
    <row r="162" spans="1:5" x14ac:dyDescent="0.35">
      <c r="A162" s="25">
        <v>199</v>
      </c>
      <c r="B162" s="25" t="s">
        <v>81</v>
      </c>
      <c r="C162" s="25" t="s">
        <v>80</v>
      </c>
      <c r="D162" s="79">
        <v>45980</v>
      </c>
      <c r="E162" s="25">
        <v>1</v>
      </c>
    </row>
    <row r="163" spans="1:5" x14ac:dyDescent="0.35">
      <c r="A163" s="25">
        <v>200</v>
      </c>
      <c r="B163" s="25" t="s">
        <v>81</v>
      </c>
      <c r="C163" s="25" t="s">
        <v>80</v>
      </c>
      <c r="D163" s="79">
        <v>45980</v>
      </c>
      <c r="E163" s="25">
        <v>1</v>
      </c>
    </row>
    <row r="164" spans="1:5" x14ac:dyDescent="0.35">
      <c r="A164" s="25">
        <v>4</v>
      </c>
      <c r="B164" s="25" t="s">
        <v>72</v>
      </c>
      <c r="C164" s="25" t="s">
        <v>73</v>
      </c>
      <c r="D164" s="79">
        <v>45993</v>
      </c>
      <c r="E164" s="25">
        <v>4</v>
      </c>
    </row>
    <row r="165" spans="1:5" x14ac:dyDescent="0.35">
      <c r="A165" s="25">
        <v>8</v>
      </c>
      <c r="B165" s="25" t="s">
        <v>72</v>
      </c>
      <c r="C165" s="25" t="s">
        <v>73</v>
      </c>
      <c r="D165" s="79">
        <v>45993</v>
      </c>
      <c r="E165" s="25">
        <v>4</v>
      </c>
    </row>
    <row r="166" spans="1:5" x14ac:dyDescent="0.35">
      <c r="A166" s="25">
        <v>12</v>
      </c>
      <c r="B166" s="25" t="s">
        <v>72</v>
      </c>
      <c r="C166" s="25" t="s">
        <v>73</v>
      </c>
      <c r="D166" s="79">
        <v>45993</v>
      </c>
      <c r="E166" s="25">
        <v>4</v>
      </c>
    </row>
    <row r="167" spans="1:5" x14ac:dyDescent="0.35">
      <c r="A167" s="25">
        <v>46</v>
      </c>
      <c r="B167" s="25" t="s">
        <v>72</v>
      </c>
      <c r="C167" s="25" t="s">
        <v>74</v>
      </c>
      <c r="D167" s="79">
        <v>45993</v>
      </c>
      <c r="E167" s="25">
        <v>4</v>
      </c>
    </row>
    <row r="168" spans="1:5" x14ac:dyDescent="0.35">
      <c r="A168" s="25">
        <v>51</v>
      </c>
      <c r="B168" s="25" t="s">
        <v>72</v>
      </c>
      <c r="C168" s="25" t="s">
        <v>74</v>
      </c>
      <c r="D168" s="79">
        <v>45993</v>
      </c>
      <c r="E168" s="25">
        <v>4</v>
      </c>
    </row>
    <row r="169" spans="1:5" x14ac:dyDescent="0.35">
      <c r="A169" s="25">
        <v>61</v>
      </c>
      <c r="B169" s="25" t="s">
        <v>72</v>
      </c>
      <c r="C169" s="25" t="s">
        <v>74</v>
      </c>
      <c r="D169" s="79">
        <v>45993</v>
      </c>
      <c r="E169" s="25">
        <v>4</v>
      </c>
    </row>
    <row r="170" spans="1:5" x14ac:dyDescent="0.35">
      <c r="A170" s="25">
        <v>69</v>
      </c>
      <c r="B170" s="25" t="s">
        <v>72</v>
      </c>
      <c r="C170" s="25" t="s">
        <v>75</v>
      </c>
      <c r="D170" s="79">
        <v>45993</v>
      </c>
      <c r="E170" s="25">
        <v>4</v>
      </c>
    </row>
    <row r="171" spans="1:5" x14ac:dyDescent="0.35">
      <c r="A171" s="25">
        <v>144</v>
      </c>
      <c r="B171" s="25" t="s">
        <v>72</v>
      </c>
      <c r="C171" s="25" t="s">
        <v>75</v>
      </c>
      <c r="D171" s="79">
        <v>45993</v>
      </c>
      <c r="E171" s="25">
        <v>4</v>
      </c>
    </row>
    <row r="172" spans="1:5" x14ac:dyDescent="0.35">
      <c r="A172" s="25">
        <v>149</v>
      </c>
      <c r="B172" s="25" t="s">
        <v>72</v>
      </c>
      <c r="C172" s="25" t="s">
        <v>75</v>
      </c>
      <c r="D172" s="79">
        <v>45993</v>
      </c>
      <c r="E172" s="25">
        <v>4</v>
      </c>
    </row>
    <row r="173" spans="1:5" x14ac:dyDescent="0.35">
      <c r="A173" s="25">
        <v>96</v>
      </c>
      <c r="B173" s="25" t="s">
        <v>72</v>
      </c>
      <c r="C173" s="25" t="s">
        <v>76</v>
      </c>
      <c r="D173" s="79">
        <v>45993</v>
      </c>
      <c r="E173" s="25">
        <v>4</v>
      </c>
    </row>
    <row r="174" spans="1:5" x14ac:dyDescent="0.35">
      <c r="A174" s="25">
        <v>97</v>
      </c>
      <c r="B174" s="25" t="s">
        <v>72</v>
      </c>
      <c r="C174" s="25" t="s">
        <v>76</v>
      </c>
      <c r="D174" s="79">
        <v>45993</v>
      </c>
      <c r="E174" s="25">
        <v>4</v>
      </c>
    </row>
    <row r="175" spans="1:5" x14ac:dyDescent="0.35">
      <c r="A175" s="25">
        <v>154</v>
      </c>
      <c r="B175" s="25" t="s">
        <v>72</v>
      </c>
      <c r="C175" s="25" t="s">
        <v>76</v>
      </c>
      <c r="D175" s="79">
        <v>45993</v>
      </c>
      <c r="E175" s="25">
        <v>4</v>
      </c>
    </row>
    <row r="176" spans="1:5" x14ac:dyDescent="0.35">
      <c r="A176" s="25">
        <v>281</v>
      </c>
      <c r="B176" s="25" t="s">
        <v>72</v>
      </c>
      <c r="C176" s="25" t="s">
        <v>77</v>
      </c>
      <c r="D176" s="79">
        <v>45993</v>
      </c>
      <c r="E176" s="25">
        <v>3</v>
      </c>
    </row>
    <row r="177" spans="1:5" x14ac:dyDescent="0.35">
      <c r="A177" s="25">
        <v>283</v>
      </c>
      <c r="B177" s="25" t="s">
        <v>72</v>
      </c>
      <c r="C177" s="25" t="s">
        <v>77</v>
      </c>
      <c r="D177" s="79">
        <v>45993</v>
      </c>
      <c r="E177" s="25">
        <v>1</v>
      </c>
    </row>
    <row r="178" spans="1:5" x14ac:dyDescent="0.35">
      <c r="A178" s="25">
        <v>284</v>
      </c>
      <c r="B178" s="25" t="s">
        <v>72</v>
      </c>
      <c r="C178" s="25" t="s">
        <v>77</v>
      </c>
      <c r="D178" s="79">
        <v>45993</v>
      </c>
      <c r="E178" s="25">
        <v>3</v>
      </c>
    </row>
    <row r="179" spans="1:5" x14ac:dyDescent="0.35">
      <c r="A179" s="25">
        <v>271</v>
      </c>
      <c r="B179" s="25" t="s">
        <v>72</v>
      </c>
      <c r="C179" s="25" t="s">
        <v>78</v>
      </c>
      <c r="D179" s="79">
        <v>45993</v>
      </c>
      <c r="E179" s="25">
        <v>4</v>
      </c>
    </row>
    <row r="180" spans="1:5" x14ac:dyDescent="0.35">
      <c r="A180" s="25">
        <v>272</v>
      </c>
      <c r="B180" s="25" t="s">
        <v>72</v>
      </c>
      <c r="C180" s="25" t="s">
        <v>78</v>
      </c>
      <c r="D180" s="79">
        <v>45993</v>
      </c>
      <c r="E180" s="25">
        <v>4</v>
      </c>
    </row>
    <row r="181" spans="1:5" x14ac:dyDescent="0.35">
      <c r="A181" s="25">
        <v>273</v>
      </c>
      <c r="B181" s="25" t="s">
        <v>72</v>
      </c>
      <c r="C181" s="25" t="s">
        <v>78</v>
      </c>
      <c r="D181" s="79">
        <v>45993</v>
      </c>
      <c r="E181" s="25">
        <v>4</v>
      </c>
    </row>
    <row r="182" spans="1:5" x14ac:dyDescent="0.35">
      <c r="A182" s="25">
        <v>341</v>
      </c>
      <c r="B182" s="25" t="s">
        <v>72</v>
      </c>
      <c r="C182" s="25" t="s">
        <v>79</v>
      </c>
      <c r="D182" s="79">
        <v>45993</v>
      </c>
      <c r="E182" s="25">
        <v>4</v>
      </c>
    </row>
    <row r="183" spans="1:5" x14ac:dyDescent="0.35">
      <c r="A183" s="25">
        <v>322</v>
      </c>
      <c r="B183" s="25" t="s">
        <v>72</v>
      </c>
      <c r="C183" s="25" t="s">
        <v>79</v>
      </c>
      <c r="D183" s="79">
        <v>45993</v>
      </c>
      <c r="E183" s="25">
        <v>4</v>
      </c>
    </row>
    <row r="184" spans="1:5" x14ac:dyDescent="0.35">
      <c r="A184" s="25">
        <v>343</v>
      </c>
      <c r="B184" s="25" t="s">
        <v>72</v>
      </c>
      <c r="C184" s="25" t="s">
        <v>79</v>
      </c>
      <c r="D184" s="79">
        <v>45993</v>
      </c>
      <c r="E184" s="25">
        <v>4</v>
      </c>
    </row>
    <row r="185" spans="1:5" x14ac:dyDescent="0.35">
      <c r="A185" s="25">
        <v>246</v>
      </c>
      <c r="B185" s="25" t="s">
        <v>72</v>
      </c>
      <c r="C185" s="25" t="s">
        <v>80</v>
      </c>
      <c r="D185" s="79">
        <v>45993</v>
      </c>
      <c r="E185" s="25">
        <v>3</v>
      </c>
    </row>
    <row r="186" spans="1:5" x14ac:dyDescent="0.35">
      <c r="A186" s="25">
        <v>247</v>
      </c>
      <c r="B186" s="25" t="s">
        <v>72</v>
      </c>
      <c r="C186" s="25" t="s">
        <v>80</v>
      </c>
      <c r="D186" s="79">
        <v>45993</v>
      </c>
      <c r="E186" s="25">
        <v>2</v>
      </c>
    </row>
    <row r="187" spans="1:5" x14ac:dyDescent="0.35">
      <c r="A187" s="25">
        <v>248</v>
      </c>
      <c r="B187" s="25" t="s">
        <v>72</v>
      </c>
      <c r="C187" s="25" t="s">
        <v>80</v>
      </c>
      <c r="D187" s="79">
        <v>45993</v>
      </c>
      <c r="E187" s="25">
        <v>3</v>
      </c>
    </row>
    <row r="188" spans="1:5" x14ac:dyDescent="0.35">
      <c r="A188" s="25">
        <v>87</v>
      </c>
      <c r="B188" s="25" t="s">
        <v>81</v>
      </c>
      <c r="C188" s="25" t="s">
        <v>80</v>
      </c>
      <c r="D188" s="79">
        <v>45993</v>
      </c>
      <c r="E188" s="25">
        <v>2</v>
      </c>
    </row>
    <row r="189" spans="1:5" x14ac:dyDescent="0.35">
      <c r="A189" s="25">
        <v>199</v>
      </c>
      <c r="B189" s="25" t="s">
        <v>81</v>
      </c>
      <c r="C189" s="25" t="s">
        <v>80</v>
      </c>
      <c r="D189" s="79">
        <v>45993</v>
      </c>
      <c r="E189" s="25">
        <v>0</v>
      </c>
    </row>
    <row r="190" spans="1:5" x14ac:dyDescent="0.35">
      <c r="A190" s="25">
        <v>200</v>
      </c>
      <c r="B190" s="25" t="s">
        <v>81</v>
      </c>
      <c r="C190" s="25" t="s">
        <v>80</v>
      </c>
      <c r="D190" s="79">
        <v>45993</v>
      </c>
      <c r="E190" s="25">
        <v>0</v>
      </c>
    </row>
    <row r="191" spans="1:5" x14ac:dyDescent="0.35">
      <c r="A191" s="25">
        <v>4</v>
      </c>
      <c r="B191" s="25" t="s">
        <v>72</v>
      </c>
      <c r="C191" s="25" t="s">
        <v>73</v>
      </c>
      <c r="D191" s="79">
        <v>46007</v>
      </c>
      <c r="E191" s="25">
        <v>4</v>
      </c>
    </row>
    <row r="192" spans="1:5" x14ac:dyDescent="0.35">
      <c r="A192" s="25">
        <v>8</v>
      </c>
      <c r="B192" s="25" t="s">
        <v>72</v>
      </c>
      <c r="C192" s="25" t="s">
        <v>73</v>
      </c>
      <c r="D192" s="79">
        <v>46007</v>
      </c>
      <c r="E192" s="25">
        <v>4</v>
      </c>
    </row>
    <row r="193" spans="1:5" x14ac:dyDescent="0.35">
      <c r="A193" s="25">
        <v>12</v>
      </c>
      <c r="B193" s="25" t="s">
        <v>72</v>
      </c>
      <c r="C193" s="25" t="s">
        <v>73</v>
      </c>
      <c r="D193" s="79">
        <v>46007</v>
      </c>
      <c r="E193" s="25">
        <v>4</v>
      </c>
    </row>
    <row r="194" spans="1:5" x14ac:dyDescent="0.35">
      <c r="A194" s="25">
        <v>46</v>
      </c>
      <c r="B194" s="25" t="s">
        <v>72</v>
      </c>
      <c r="C194" s="25" t="s">
        <v>74</v>
      </c>
      <c r="D194" s="79">
        <v>46007</v>
      </c>
      <c r="E194" s="25">
        <v>4</v>
      </c>
    </row>
    <row r="195" spans="1:5" x14ac:dyDescent="0.35">
      <c r="A195" s="25">
        <v>51</v>
      </c>
      <c r="B195" s="25" t="s">
        <v>72</v>
      </c>
      <c r="C195" s="25" t="s">
        <v>74</v>
      </c>
      <c r="D195" s="79">
        <v>46007</v>
      </c>
      <c r="E195" s="25">
        <v>4</v>
      </c>
    </row>
    <row r="196" spans="1:5" x14ac:dyDescent="0.35">
      <c r="A196" s="25">
        <v>61</v>
      </c>
      <c r="B196" s="25" t="s">
        <v>72</v>
      </c>
      <c r="C196" s="25" t="s">
        <v>74</v>
      </c>
      <c r="D196" s="79">
        <v>46007</v>
      </c>
      <c r="E196" s="25">
        <v>4</v>
      </c>
    </row>
    <row r="197" spans="1:5" x14ac:dyDescent="0.35">
      <c r="A197" s="25">
        <v>69</v>
      </c>
      <c r="B197" s="25" t="s">
        <v>72</v>
      </c>
      <c r="C197" s="25" t="s">
        <v>75</v>
      </c>
      <c r="D197" s="79">
        <v>46007</v>
      </c>
      <c r="E197" s="25">
        <v>4</v>
      </c>
    </row>
    <row r="198" spans="1:5" x14ac:dyDescent="0.35">
      <c r="A198" s="25">
        <v>144</v>
      </c>
      <c r="B198" s="25" t="s">
        <v>72</v>
      </c>
      <c r="C198" s="25" t="s">
        <v>75</v>
      </c>
      <c r="D198" s="79">
        <v>46007</v>
      </c>
      <c r="E198" s="25">
        <v>4</v>
      </c>
    </row>
    <row r="199" spans="1:5" x14ac:dyDescent="0.35">
      <c r="A199" s="25">
        <v>149</v>
      </c>
      <c r="B199" s="25" t="s">
        <v>72</v>
      </c>
      <c r="C199" s="25" t="s">
        <v>75</v>
      </c>
      <c r="D199" s="79">
        <v>46007</v>
      </c>
      <c r="E199" s="25">
        <v>4</v>
      </c>
    </row>
    <row r="200" spans="1:5" x14ac:dyDescent="0.35">
      <c r="A200" s="25">
        <v>96</v>
      </c>
      <c r="B200" s="25" t="s">
        <v>72</v>
      </c>
      <c r="C200" s="25" t="s">
        <v>76</v>
      </c>
      <c r="D200" s="79">
        <v>46007</v>
      </c>
      <c r="E200" s="25">
        <v>4</v>
      </c>
    </row>
    <row r="201" spans="1:5" x14ac:dyDescent="0.35">
      <c r="A201" s="25">
        <v>97</v>
      </c>
      <c r="B201" s="25" t="s">
        <v>72</v>
      </c>
      <c r="C201" s="25" t="s">
        <v>76</v>
      </c>
      <c r="D201" s="79">
        <v>46007</v>
      </c>
      <c r="E201" s="25">
        <v>4</v>
      </c>
    </row>
    <row r="202" spans="1:5" x14ac:dyDescent="0.35">
      <c r="A202" s="25">
        <v>154</v>
      </c>
      <c r="B202" s="25" t="s">
        <v>72</v>
      </c>
      <c r="C202" s="25" t="s">
        <v>76</v>
      </c>
      <c r="D202" s="79">
        <v>46007</v>
      </c>
      <c r="E202" s="25">
        <v>4</v>
      </c>
    </row>
    <row r="203" spans="1:5" x14ac:dyDescent="0.35">
      <c r="A203" s="25">
        <v>281</v>
      </c>
      <c r="B203" s="25" t="s">
        <v>72</v>
      </c>
      <c r="C203" s="25" t="s">
        <v>77</v>
      </c>
      <c r="D203" s="79">
        <v>46007</v>
      </c>
      <c r="E203" s="25">
        <v>2</v>
      </c>
    </row>
    <row r="204" spans="1:5" x14ac:dyDescent="0.35">
      <c r="A204" s="25">
        <v>283</v>
      </c>
      <c r="B204" s="25" t="s">
        <v>72</v>
      </c>
      <c r="C204" s="25" t="s">
        <v>77</v>
      </c>
      <c r="D204" s="79">
        <v>46007</v>
      </c>
      <c r="E204" s="25">
        <v>1</v>
      </c>
    </row>
    <row r="205" spans="1:5" x14ac:dyDescent="0.35">
      <c r="A205" s="25">
        <v>284</v>
      </c>
      <c r="B205" s="25" t="s">
        <v>72</v>
      </c>
      <c r="C205" s="25" t="s">
        <v>77</v>
      </c>
      <c r="D205" s="79">
        <v>46007</v>
      </c>
      <c r="E205" s="25">
        <v>2</v>
      </c>
    </row>
    <row r="206" spans="1:5" x14ac:dyDescent="0.35">
      <c r="A206" s="25">
        <v>271</v>
      </c>
      <c r="B206" s="25" t="s">
        <v>72</v>
      </c>
      <c r="C206" s="25" t="s">
        <v>78</v>
      </c>
      <c r="D206" s="79">
        <v>46007</v>
      </c>
      <c r="E206" s="25">
        <v>3</v>
      </c>
    </row>
    <row r="207" spans="1:5" x14ac:dyDescent="0.35">
      <c r="A207" s="25">
        <v>272</v>
      </c>
      <c r="B207" s="25" t="s">
        <v>72</v>
      </c>
      <c r="C207" s="25" t="s">
        <v>78</v>
      </c>
      <c r="D207" s="79">
        <v>46007</v>
      </c>
      <c r="E207" s="25">
        <v>4</v>
      </c>
    </row>
    <row r="208" spans="1:5" x14ac:dyDescent="0.35">
      <c r="A208" s="25">
        <v>273</v>
      </c>
      <c r="B208" s="25" t="s">
        <v>72</v>
      </c>
      <c r="C208" s="25" t="s">
        <v>78</v>
      </c>
      <c r="D208" s="79">
        <v>46007</v>
      </c>
      <c r="E208" s="25">
        <v>4</v>
      </c>
    </row>
    <row r="209" spans="1:5" x14ac:dyDescent="0.35">
      <c r="A209" s="25">
        <v>341</v>
      </c>
      <c r="B209" s="25" t="s">
        <v>72</v>
      </c>
      <c r="C209" s="25" t="s">
        <v>79</v>
      </c>
      <c r="D209" s="79">
        <v>46007</v>
      </c>
      <c r="E209" s="25">
        <v>4</v>
      </c>
    </row>
    <row r="210" spans="1:5" x14ac:dyDescent="0.35">
      <c r="A210" s="25">
        <v>322</v>
      </c>
      <c r="B210" s="25" t="s">
        <v>72</v>
      </c>
      <c r="C210" s="25" t="s">
        <v>79</v>
      </c>
      <c r="D210" s="79">
        <v>46007</v>
      </c>
      <c r="E210" s="25">
        <v>3</v>
      </c>
    </row>
    <row r="211" spans="1:5" x14ac:dyDescent="0.35">
      <c r="A211" s="25">
        <v>343</v>
      </c>
      <c r="B211" s="25" t="s">
        <v>72</v>
      </c>
      <c r="C211" s="25" t="s">
        <v>79</v>
      </c>
      <c r="D211" s="79">
        <v>46007</v>
      </c>
      <c r="E211" s="25">
        <v>4</v>
      </c>
    </row>
    <row r="212" spans="1:5" x14ac:dyDescent="0.35">
      <c r="A212" s="25">
        <v>246</v>
      </c>
      <c r="B212" s="25" t="s">
        <v>72</v>
      </c>
      <c r="C212" s="25" t="s">
        <v>80</v>
      </c>
      <c r="D212" s="79">
        <v>46007</v>
      </c>
      <c r="E212" s="25">
        <v>2</v>
      </c>
    </row>
    <row r="213" spans="1:5" x14ac:dyDescent="0.35">
      <c r="A213" s="25">
        <v>247</v>
      </c>
      <c r="B213" s="25" t="s">
        <v>72</v>
      </c>
      <c r="C213" s="25" t="s">
        <v>80</v>
      </c>
      <c r="D213" s="79">
        <v>46007</v>
      </c>
      <c r="E213" s="25">
        <v>1</v>
      </c>
    </row>
    <row r="214" spans="1:5" x14ac:dyDescent="0.35">
      <c r="A214" s="25">
        <v>248</v>
      </c>
      <c r="B214" s="25" t="s">
        <v>72</v>
      </c>
      <c r="C214" s="25" t="s">
        <v>80</v>
      </c>
      <c r="D214" s="79">
        <v>46007</v>
      </c>
      <c r="E214" s="25">
        <v>2</v>
      </c>
    </row>
    <row r="215" spans="1:5" x14ac:dyDescent="0.35">
      <c r="A215" s="25">
        <v>87</v>
      </c>
      <c r="B215" s="25" t="s">
        <v>81</v>
      </c>
      <c r="C215" s="25" t="s">
        <v>80</v>
      </c>
      <c r="D215" s="79">
        <v>46007</v>
      </c>
      <c r="E215" s="25">
        <v>0</v>
      </c>
    </row>
    <row r="216" spans="1:5" x14ac:dyDescent="0.35">
      <c r="A216" s="25">
        <v>199</v>
      </c>
      <c r="B216" s="25" t="s">
        <v>81</v>
      </c>
      <c r="C216" s="25" t="s">
        <v>80</v>
      </c>
      <c r="D216" s="79">
        <v>46007</v>
      </c>
      <c r="E216" s="25">
        <v>0</v>
      </c>
    </row>
    <row r="217" spans="1:5" x14ac:dyDescent="0.35">
      <c r="A217" s="25">
        <v>200</v>
      </c>
      <c r="B217" s="25" t="s">
        <v>81</v>
      </c>
      <c r="C217" s="25" t="s">
        <v>80</v>
      </c>
      <c r="D217" s="79">
        <v>46007</v>
      </c>
      <c r="E217" s="25">
        <v>0</v>
      </c>
    </row>
    <row r="218" spans="1:5" x14ac:dyDescent="0.35">
      <c r="A218" s="25">
        <v>4</v>
      </c>
      <c r="B218" s="25" t="s">
        <v>72</v>
      </c>
      <c r="C218" s="25" t="s">
        <v>73</v>
      </c>
      <c r="D218" s="79">
        <v>46020</v>
      </c>
      <c r="E218" s="25">
        <v>3</v>
      </c>
    </row>
    <row r="219" spans="1:5" x14ac:dyDescent="0.35">
      <c r="A219" s="25">
        <v>8</v>
      </c>
      <c r="B219" s="25" t="s">
        <v>72</v>
      </c>
      <c r="C219" s="25" t="s">
        <v>73</v>
      </c>
      <c r="D219" s="79">
        <v>46020</v>
      </c>
      <c r="E219" s="25">
        <v>4</v>
      </c>
    </row>
    <row r="220" spans="1:5" x14ac:dyDescent="0.35">
      <c r="A220" s="25">
        <v>12</v>
      </c>
      <c r="B220" s="25" t="s">
        <v>72</v>
      </c>
      <c r="C220" s="25" t="s">
        <v>73</v>
      </c>
      <c r="D220" s="79">
        <v>46020</v>
      </c>
      <c r="E220" s="25">
        <v>3</v>
      </c>
    </row>
    <row r="221" spans="1:5" x14ac:dyDescent="0.35">
      <c r="A221" s="25">
        <v>46</v>
      </c>
      <c r="B221" s="25" t="s">
        <v>72</v>
      </c>
      <c r="C221" s="25" t="s">
        <v>74</v>
      </c>
      <c r="D221" s="79">
        <v>46020</v>
      </c>
      <c r="E221" s="25">
        <v>3</v>
      </c>
    </row>
    <row r="222" spans="1:5" x14ac:dyDescent="0.35">
      <c r="A222" s="25">
        <v>51</v>
      </c>
      <c r="B222" s="25" t="s">
        <v>72</v>
      </c>
      <c r="C222" s="25" t="s">
        <v>74</v>
      </c>
      <c r="D222" s="79">
        <v>46020</v>
      </c>
      <c r="E222" s="25">
        <v>3</v>
      </c>
    </row>
    <row r="223" spans="1:5" x14ac:dyDescent="0.35">
      <c r="A223" s="25">
        <v>61</v>
      </c>
      <c r="B223" s="25" t="s">
        <v>72</v>
      </c>
      <c r="C223" s="25" t="s">
        <v>74</v>
      </c>
      <c r="D223" s="79">
        <v>46020</v>
      </c>
      <c r="E223" s="25">
        <v>3</v>
      </c>
    </row>
    <row r="224" spans="1:5" x14ac:dyDescent="0.35">
      <c r="A224" s="25">
        <v>69</v>
      </c>
      <c r="B224" s="25" t="s">
        <v>72</v>
      </c>
      <c r="C224" s="25" t="s">
        <v>75</v>
      </c>
      <c r="D224" s="79">
        <v>46020</v>
      </c>
      <c r="E224" s="25">
        <v>3</v>
      </c>
    </row>
    <row r="225" spans="1:5" x14ac:dyDescent="0.35">
      <c r="A225" s="25">
        <v>144</v>
      </c>
      <c r="B225" s="25" t="s">
        <v>72</v>
      </c>
      <c r="C225" s="25" t="s">
        <v>75</v>
      </c>
      <c r="D225" s="79">
        <v>46020</v>
      </c>
      <c r="E225" s="25">
        <v>3</v>
      </c>
    </row>
    <row r="226" spans="1:5" x14ac:dyDescent="0.35">
      <c r="A226" s="25">
        <v>149</v>
      </c>
      <c r="B226" s="25" t="s">
        <v>72</v>
      </c>
      <c r="C226" s="25" t="s">
        <v>75</v>
      </c>
      <c r="D226" s="79">
        <v>46020</v>
      </c>
      <c r="E226" s="25">
        <v>3</v>
      </c>
    </row>
    <row r="227" spans="1:5" x14ac:dyDescent="0.35">
      <c r="A227" s="25">
        <v>96</v>
      </c>
      <c r="B227" s="25" t="s">
        <v>72</v>
      </c>
      <c r="C227" s="25" t="s">
        <v>76</v>
      </c>
      <c r="D227" s="79">
        <v>46020</v>
      </c>
      <c r="E227" s="25">
        <v>4</v>
      </c>
    </row>
    <row r="228" spans="1:5" x14ac:dyDescent="0.35">
      <c r="A228" s="25">
        <v>97</v>
      </c>
      <c r="B228" s="25" t="s">
        <v>72</v>
      </c>
      <c r="C228" s="25" t="s">
        <v>76</v>
      </c>
      <c r="D228" s="79">
        <v>46020</v>
      </c>
      <c r="E228" s="25">
        <v>4</v>
      </c>
    </row>
    <row r="229" spans="1:5" x14ac:dyDescent="0.35">
      <c r="A229" s="25">
        <v>154</v>
      </c>
      <c r="B229" s="25" t="s">
        <v>72</v>
      </c>
      <c r="C229" s="25" t="s">
        <v>76</v>
      </c>
      <c r="D229" s="79">
        <v>46020</v>
      </c>
      <c r="E229" s="25">
        <v>4</v>
      </c>
    </row>
    <row r="230" spans="1:5" x14ac:dyDescent="0.35">
      <c r="A230" s="25">
        <v>281</v>
      </c>
      <c r="B230" s="25" t="s">
        <v>72</v>
      </c>
      <c r="C230" s="25" t="s">
        <v>77</v>
      </c>
      <c r="D230" s="79">
        <v>46020</v>
      </c>
      <c r="E230" s="25">
        <v>0</v>
      </c>
    </row>
    <row r="231" spans="1:5" x14ac:dyDescent="0.35">
      <c r="A231" s="25">
        <v>283</v>
      </c>
      <c r="B231" s="25" t="s">
        <v>72</v>
      </c>
      <c r="C231" s="25" t="s">
        <v>77</v>
      </c>
      <c r="D231" s="79">
        <v>46020</v>
      </c>
      <c r="E231" s="25">
        <v>0</v>
      </c>
    </row>
    <row r="232" spans="1:5" x14ac:dyDescent="0.35">
      <c r="A232" s="25">
        <v>284</v>
      </c>
      <c r="B232" s="25" t="s">
        <v>72</v>
      </c>
      <c r="C232" s="25" t="s">
        <v>77</v>
      </c>
      <c r="D232" s="79">
        <v>46020</v>
      </c>
      <c r="E232" s="25">
        <v>0</v>
      </c>
    </row>
    <row r="233" spans="1:5" x14ac:dyDescent="0.35">
      <c r="A233" s="25">
        <v>271</v>
      </c>
      <c r="B233" s="25" t="s">
        <v>72</v>
      </c>
      <c r="C233" s="25" t="s">
        <v>78</v>
      </c>
      <c r="D233" s="79">
        <v>46020</v>
      </c>
      <c r="E233" s="25">
        <v>3</v>
      </c>
    </row>
    <row r="234" spans="1:5" x14ac:dyDescent="0.35">
      <c r="A234" s="25">
        <v>272</v>
      </c>
      <c r="B234" s="25" t="s">
        <v>72</v>
      </c>
      <c r="C234" s="25" t="s">
        <v>78</v>
      </c>
      <c r="D234" s="79">
        <v>46020</v>
      </c>
      <c r="E234" s="25">
        <v>3</v>
      </c>
    </row>
    <row r="235" spans="1:5" x14ac:dyDescent="0.35">
      <c r="A235" s="25">
        <v>273</v>
      </c>
      <c r="B235" s="25" t="s">
        <v>72</v>
      </c>
      <c r="C235" s="25" t="s">
        <v>78</v>
      </c>
      <c r="D235" s="79">
        <v>46020</v>
      </c>
      <c r="E235" s="25">
        <v>3</v>
      </c>
    </row>
    <row r="236" spans="1:5" x14ac:dyDescent="0.35">
      <c r="A236" s="25">
        <v>341</v>
      </c>
      <c r="B236" s="25" t="s">
        <v>72</v>
      </c>
      <c r="C236" s="25" t="s">
        <v>79</v>
      </c>
      <c r="D236" s="79">
        <v>46020</v>
      </c>
      <c r="E236" s="25">
        <v>3</v>
      </c>
    </row>
    <row r="237" spans="1:5" x14ac:dyDescent="0.35">
      <c r="A237" s="25">
        <v>322</v>
      </c>
      <c r="B237" s="25" t="s">
        <v>72</v>
      </c>
      <c r="C237" s="25" t="s">
        <v>79</v>
      </c>
      <c r="D237" s="79">
        <v>46020</v>
      </c>
      <c r="E237" s="25">
        <v>3</v>
      </c>
    </row>
    <row r="238" spans="1:5" x14ac:dyDescent="0.35">
      <c r="A238" s="25">
        <v>343</v>
      </c>
      <c r="B238" s="25" t="s">
        <v>72</v>
      </c>
      <c r="C238" s="25" t="s">
        <v>79</v>
      </c>
      <c r="D238" s="79">
        <v>46020</v>
      </c>
      <c r="E238" s="25">
        <v>3</v>
      </c>
    </row>
    <row r="239" spans="1:5" x14ac:dyDescent="0.35">
      <c r="A239" s="25">
        <v>246</v>
      </c>
      <c r="B239" s="25" t="s">
        <v>72</v>
      </c>
      <c r="C239" s="25" t="s">
        <v>80</v>
      </c>
      <c r="D239" s="79">
        <v>46020</v>
      </c>
      <c r="E239" s="25">
        <v>1</v>
      </c>
    </row>
    <row r="240" spans="1:5" x14ac:dyDescent="0.35">
      <c r="A240" s="25">
        <v>247</v>
      </c>
      <c r="B240" s="25" t="s">
        <v>72</v>
      </c>
      <c r="C240" s="25" t="s">
        <v>80</v>
      </c>
      <c r="D240" s="79">
        <v>46020</v>
      </c>
      <c r="E240" s="25">
        <v>1</v>
      </c>
    </row>
    <row r="241" spans="1:5" x14ac:dyDescent="0.35">
      <c r="A241" s="25">
        <v>248</v>
      </c>
      <c r="B241" s="25" t="s">
        <v>72</v>
      </c>
      <c r="C241" s="25" t="s">
        <v>80</v>
      </c>
      <c r="D241" s="79">
        <v>46020</v>
      </c>
      <c r="E241" s="25">
        <v>1</v>
      </c>
    </row>
    <row r="242" spans="1:5" x14ac:dyDescent="0.35">
      <c r="A242" s="25">
        <v>87</v>
      </c>
      <c r="B242" s="25" t="s">
        <v>81</v>
      </c>
      <c r="C242" s="25" t="s">
        <v>80</v>
      </c>
      <c r="D242" s="79">
        <v>46020</v>
      </c>
      <c r="E242" s="25">
        <v>0</v>
      </c>
    </row>
    <row r="243" spans="1:5" x14ac:dyDescent="0.35">
      <c r="A243" s="25">
        <v>199</v>
      </c>
      <c r="B243" s="25" t="s">
        <v>81</v>
      </c>
      <c r="C243" s="25" t="s">
        <v>80</v>
      </c>
      <c r="D243" s="79">
        <v>46020</v>
      </c>
      <c r="E243" s="25">
        <v>0</v>
      </c>
    </row>
    <row r="244" spans="1:5" x14ac:dyDescent="0.35">
      <c r="A244" s="25">
        <v>200</v>
      </c>
      <c r="B244" s="25" t="s">
        <v>81</v>
      </c>
      <c r="C244" s="25" t="s">
        <v>80</v>
      </c>
      <c r="D244" s="79">
        <v>46020</v>
      </c>
      <c r="E244" s="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998"/>
  <sheetViews>
    <sheetView workbookViewId="0"/>
  </sheetViews>
  <sheetFormatPr defaultColWidth="11.25" defaultRowHeight="15" customHeight="1" x14ac:dyDescent="0.35"/>
  <cols>
    <col min="4" max="4" width="5.58203125" customWidth="1"/>
    <col min="5" max="5" width="6.58203125" customWidth="1"/>
    <col min="6" max="6" width="6.4140625" customWidth="1"/>
    <col min="7" max="7" width="4" customWidth="1"/>
    <col min="8" max="8" width="6.9140625" customWidth="1"/>
    <col min="12" max="12" width="15.08203125" customWidth="1"/>
    <col min="13" max="13" width="16.25" customWidth="1"/>
  </cols>
  <sheetData>
    <row r="1" spans="1:16" x14ac:dyDescent="0.35">
      <c r="A1" s="25" t="s">
        <v>65</v>
      </c>
      <c r="B1" s="25" t="s">
        <v>82</v>
      </c>
      <c r="C1" s="25" t="s">
        <v>69</v>
      </c>
      <c r="D1" s="25" t="s">
        <v>83</v>
      </c>
      <c r="E1" s="25" t="s">
        <v>84</v>
      </c>
      <c r="F1" s="25" t="s">
        <v>85</v>
      </c>
      <c r="G1" s="25" t="s">
        <v>86</v>
      </c>
      <c r="H1" s="25" t="s">
        <v>87</v>
      </c>
      <c r="I1" s="25" t="s">
        <v>88</v>
      </c>
      <c r="J1" s="80" t="s">
        <v>89</v>
      </c>
      <c r="K1" s="25" t="s">
        <v>90</v>
      </c>
      <c r="L1" s="25" t="s">
        <v>91</v>
      </c>
      <c r="M1" s="81" t="s">
        <v>92</v>
      </c>
    </row>
    <row r="2" spans="1:16" x14ac:dyDescent="0.35">
      <c r="A2" s="25">
        <v>4</v>
      </c>
      <c r="B2" s="25" t="s">
        <v>72</v>
      </c>
      <c r="C2" s="25" t="s">
        <v>73</v>
      </c>
      <c r="D2" s="25">
        <v>6.9</v>
      </c>
      <c r="E2" s="25">
        <v>448</v>
      </c>
      <c r="F2" s="25">
        <v>349.6</v>
      </c>
      <c r="G2" s="25">
        <v>9.1</v>
      </c>
      <c r="H2" s="82">
        <f t="shared" ref="H2:H28" si="0">((E2-G2)-(F2-G2))/(E2-G2)*100</f>
        <v>22.41968557758031</v>
      </c>
      <c r="I2" s="25">
        <v>7.6</v>
      </c>
      <c r="J2" s="83">
        <v>3.8</v>
      </c>
      <c r="L2" s="84">
        <f t="shared" ref="L2:L28" si="1">J2/I2*100</f>
        <v>50</v>
      </c>
      <c r="M2" s="85">
        <f>L2*0.76</f>
        <v>38</v>
      </c>
    </row>
    <row r="3" spans="1:16" x14ac:dyDescent="0.35">
      <c r="A3" s="25">
        <v>8</v>
      </c>
      <c r="B3" s="25" t="s">
        <v>72</v>
      </c>
      <c r="C3" s="25" t="s">
        <v>73</v>
      </c>
      <c r="D3" s="25">
        <v>6.86</v>
      </c>
      <c r="E3" s="25">
        <v>434.4</v>
      </c>
      <c r="F3" s="25">
        <v>333.8</v>
      </c>
      <c r="G3" s="25">
        <v>9.1</v>
      </c>
      <c r="H3" s="82">
        <f t="shared" si="0"/>
        <v>23.65389137079708</v>
      </c>
      <c r="I3" s="25">
        <v>7.3</v>
      </c>
      <c r="J3" s="83">
        <v>7.56</v>
      </c>
      <c r="K3" s="25">
        <v>5.34</v>
      </c>
      <c r="L3" s="84">
        <f t="shared" si="1"/>
        <v>103.56164383561644</v>
      </c>
      <c r="M3" s="85">
        <f>K3/I3*100</f>
        <v>73.150684931506845</v>
      </c>
      <c r="O3" s="86"/>
      <c r="P3" s="86"/>
    </row>
    <row r="4" spans="1:16" x14ac:dyDescent="0.35">
      <c r="A4" s="25">
        <v>12</v>
      </c>
      <c r="B4" s="25" t="s">
        <v>72</v>
      </c>
      <c r="C4" s="25" t="s">
        <v>73</v>
      </c>
      <c r="D4" s="25">
        <v>6.77</v>
      </c>
      <c r="E4" s="25">
        <v>386.6</v>
      </c>
      <c r="F4" s="25">
        <v>275.10000000000002</v>
      </c>
      <c r="G4" s="25">
        <v>9.1</v>
      </c>
      <c r="H4" s="82">
        <f t="shared" si="0"/>
        <v>29.536423841059602</v>
      </c>
      <c r="I4" s="25">
        <v>7.2</v>
      </c>
      <c r="J4" s="83">
        <v>4.25</v>
      </c>
      <c r="L4" s="84">
        <f t="shared" si="1"/>
        <v>59.027777777777779</v>
      </c>
      <c r="M4" s="85">
        <f>L4*0.76</f>
        <v>44.861111111111114</v>
      </c>
    </row>
    <row r="5" spans="1:16" x14ac:dyDescent="0.35">
      <c r="A5" s="25">
        <v>46</v>
      </c>
      <c r="B5" s="25" t="s">
        <v>72</v>
      </c>
      <c r="C5" s="25" t="s">
        <v>74</v>
      </c>
      <c r="D5" s="25">
        <v>6.82</v>
      </c>
      <c r="E5" s="25">
        <v>399.5</v>
      </c>
      <c r="F5" s="25">
        <v>293.3</v>
      </c>
      <c r="G5" s="25">
        <v>9.1</v>
      </c>
      <c r="H5" s="82">
        <f t="shared" si="0"/>
        <v>27.202868852459016</v>
      </c>
      <c r="I5" s="25">
        <v>6.3</v>
      </c>
      <c r="J5" s="83">
        <v>7.32</v>
      </c>
      <c r="K5" s="25">
        <v>4.2300000000000004</v>
      </c>
      <c r="L5" s="84">
        <f t="shared" si="1"/>
        <v>116.1904761904762</v>
      </c>
      <c r="M5" s="85">
        <f t="shared" ref="M5:M8" si="2">K5/I5*100</f>
        <v>67.142857142857153</v>
      </c>
    </row>
    <row r="6" spans="1:16" x14ac:dyDescent="0.35">
      <c r="A6" s="25">
        <v>51</v>
      </c>
      <c r="B6" s="25" t="s">
        <v>72</v>
      </c>
      <c r="C6" s="25" t="s">
        <v>74</v>
      </c>
      <c r="D6" s="25">
        <v>6.88</v>
      </c>
      <c r="E6" s="25">
        <v>419.6</v>
      </c>
      <c r="F6" s="25">
        <v>319.2</v>
      </c>
      <c r="G6" s="25">
        <v>9.1</v>
      </c>
      <c r="H6" s="82">
        <f t="shared" si="0"/>
        <v>24.457978075517669</v>
      </c>
      <c r="I6" s="25">
        <v>6.5</v>
      </c>
      <c r="J6" s="83">
        <v>4.5</v>
      </c>
      <c r="K6" s="25">
        <v>3.77</v>
      </c>
      <c r="L6" s="84">
        <f t="shared" si="1"/>
        <v>69.230769230769226</v>
      </c>
      <c r="M6" s="85">
        <f t="shared" si="2"/>
        <v>57.999999999999993</v>
      </c>
    </row>
    <row r="7" spans="1:16" x14ac:dyDescent="0.35">
      <c r="A7" s="25">
        <v>61</v>
      </c>
      <c r="B7" s="25" t="s">
        <v>72</v>
      </c>
      <c r="C7" s="25" t="s">
        <v>74</v>
      </c>
      <c r="D7" s="25">
        <v>6.9</v>
      </c>
      <c r="E7" s="25">
        <v>434</v>
      </c>
      <c r="F7" s="25">
        <v>323.10000000000002</v>
      </c>
      <c r="G7" s="25">
        <v>9.1</v>
      </c>
      <c r="H7" s="82">
        <f t="shared" si="0"/>
        <v>26.100258884443395</v>
      </c>
      <c r="I7" s="25">
        <v>6.3</v>
      </c>
      <c r="J7" s="83">
        <v>5.85</v>
      </c>
      <c r="K7" s="25">
        <v>4.0599999999999996</v>
      </c>
      <c r="L7" s="84">
        <f t="shared" si="1"/>
        <v>92.857142857142847</v>
      </c>
      <c r="M7" s="85">
        <f t="shared" si="2"/>
        <v>64.444444444444443</v>
      </c>
    </row>
    <row r="8" spans="1:16" x14ac:dyDescent="0.35">
      <c r="A8" s="25">
        <v>69</v>
      </c>
      <c r="B8" s="25" t="s">
        <v>72</v>
      </c>
      <c r="C8" s="25" t="s">
        <v>75</v>
      </c>
      <c r="D8" s="25">
        <v>6.87</v>
      </c>
      <c r="E8" s="25">
        <v>427.7</v>
      </c>
      <c r="F8" s="25">
        <v>347.5</v>
      </c>
      <c r="G8" s="25">
        <v>9.1</v>
      </c>
      <c r="H8" s="82">
        <f t="shared" si="0"/>
        <v>19.159101767797416</v>
      </c>
      <c r="I8" s="25">
        <v>7.5</v>
      </c>
      <c r="J8" s="83">
        <v>5.28</v>
      </c>
      <c r="K8" s="25">
        <v>5.04</v>
      </c>
      <c r="L8" s="84">
        <f t="shared" si="1"/>
        <v>70.400000000000006</v>
      </c>
      <c r="M8" s="85">
        <f t="shared" si="2"/>
        <v>67.2</v>
      </c>
    </row>
    <row r="9" spans="1:16" x14ac:dyDescent="0.35">
      <c r="A9" s="25">
        <v>144</v>
      </c>
      <c r="B9" s="25" t="s">
        <v>72</v>
      </c>
      <c r="C9" s="25" t="s">
        <v>75</v>
      </c>
      <c r="D9" s="25">
        <v>6.83</v>
      </c>
      <c r="E9" s="25">
        <v>413.4</v>
      </c>
      <c r="F9" s="25">
        <v>339.9</v>
      </c>
      <c r="G9" s="25">
        <v>9.1</v>
      </c>
      <c r="H9" s="82">
        <f t="shared" si="0"/>
        <v>18.179569626514965</v>
      </c>
      <c r="I9" s="25">
        <v>8</v>
      </c>
      <c r="J9" s="83">
        <v>10.4</v>
      </c>
      <c r="L9" s="84">
        <f t="shared" si="1"/>
        <v>130</v>
      </c>
      <c r="M9" s="85">
        <f>L9*0.76</f>
        <v>98.8</v>
      </c>
    </row>
    <row r="10" spans="1:16" x14ac:dyDescent="0.35">
      <c r="A10" s="25">
        <v>149</v>
      </c>
      <c r="B10" s="25" t="s">
        <v>72</v>
      </c>
      <c r="C10" s="25" t="s">
        <v>75</v>
      </c>
      <c r="D10" s="25">
        <v>6.96</v>
      </c>
      <c r="E10" s="25">
        <v>427.3</v>
      </c>
      <c r="F10" s="25">
        <v>360.6</v>
      </c>
      <c r="G10" s="25">
        <v>9.1</v>
      </c>
      <c r="H10" s="82">
        <f t="shared" si="0"/>
        <v>15.949306551889045</v>
      </c>
      <c r="I10" s="25">
        <v>7.8</v>
      </c>
      <c r="J10" s="83">
        <v>5.92</v>
      </c>
      <c r="K10" s="25">
        <v>5.1100000000000003</v>
      </c>
      <c r="L10" s="84">
        <f t="shared" si="1"/>
        <v>75.897435897435898</v>
      </c>
      <c r="M10" s="85">
        <f t="shared" ref="M10:M13" si="3">K10/I10*100</f>
        <v>65.512820512820511</v>
      </c>
    </row>
    <row r="11" spans="1:16" x14ac:dyDescent="0.35">
      <c r="A11" s="25">
        <v>96</v>
      </c>
      <c r="B11" s="25" t="s">
        <v>72</v>
      </c>
      <c r="C11" s="25" t="s">
        <v>76</v>
      </c>
      <c r="D11" s="25">
        <v>6.92</v>
      </c>
      <c r="E11" s="25">
        <v>467.1</v>
      </c>
      <c r="F11" s="25">
        <v>381.9</v>
      </c>
      <c r="G11" s="25">
        <v>9.1</v>
      </c>
      <c r="H11" s="82">
        <f t="shared" si="0"/>
        <v>18.602620087336255</v>
      </c>
      <c r="I11" s="25">
        <v>8.3000000000000007</v>
      </c>
      <c r="J11" s="83">
        <v>10.99</v>
      </c>
      <c r="K11" s="25">
        <v>5.51</v>
      </c>
      <c r="L11" s="84">
        <f t="shared" si="1"/>
        <v>132.40963855421685</v>
      </c>
      <c r="M11" s="85">
        <f t="shared" si="3"/>
        <v>66.385542168674689</v>
      </c>
    </row>
    <row r="12" spans="1:16" x14ac:dyDescent="0.35">
      <c r="A12" s="25">
        <v>97</v>
      </c>
      <c r="B12" s="25" t="s">
        <v>72</v>
      </c>
      <c r="C12" s="25" t="s">
        <v>76</v>
      </c>
      <c r="D12" s="25">
        <v>6.96</v>
      </c>
      <c r="E12" s="25">
        <v>425.7</v>
      </c>
      <c r="F12" s="25">
        <v>357.9</v>
      </c>
      <c r="G12" s="25">
        <v>9.1</v>
      </c>
      <c r="H12" s="82">
        <f t="shared" si="0"/>
        <v>16.274603936629862</v>
      </c>
      <c r="I12" s="25">
        <v>8.1999999999999993</v>
      </c>
      <c r="J12" s="83">
        <v>8.1</v>
      </c>
      <c r="K12" s="25">
        <v>6.35</v>
      </c>
      <c r="L12" s="84">
        <f t="shared" si="1"/>
        <v>98.780487804878049</v>
      </c>
      <c r="M12" s="85">
        <f t="shared" si="3"/>
        <v>77.439024390243901</v>
      </c>
    </row>
    <row r="13" spans="1:16" x14ac:dyDescent="0.35">
      <c r="A13" s="25">
        <v>154</v>
      </c>
      <c r="B13" s="25" t="s">
        <v>72</v>
      </c>
      <c r="C13" s="25" t="s">
        <v>76</v>
      </c>
      <c r="D13" s="25">
        <v>6.98</v>
      </c>
      <c r="E13" s="25">
        <v>435.7</v>
      </c>
      <c r="F13" s="25">
        <v>340.7</v>
      </c>
      <c r="G13" s="25">
        <v>9.1</v>
      </c>
      <c r="H13" s="82">
        <f t="shared" si="0"/>
        <v>22.26910454758556</v>
      </c>
      <c r="I13" s="25">
        <v>7.9</v>
      </c>
      <c r="J13" s="83">
        <v>6.85</v>
      </c>
      <c r="K13" s="25">
        <v>6.28</v>
      </c>
      <c r="L13" s="84">
        <f t="shared" si="1"/>
        <v>86.70886075949366</v>
      </c>
      <c r="M13" s="85">
        <f t="shared" si="3"/>
        <v>79.493670886075947</v>
      </c>
    </row>
    <row r="14" spans="1:16" x14ac:dyDescent="0.35">
      <c r="A14" s="25">
        <v>281</v>
      </c>
      <c r="B14" s="25" t="s">
        <v>72</v>
      </c>
      <c r="C14" s="25" t="s">
        <v>77</v>
      </c>
      <c r="D14" s="25">
        <v>6.99</v>
      </c>
      <c r="E14" s="25">
        <v>464.8</v>
      </c>
      <c r="F14" s="25">
        <v>387.4</v>
      </c>
      <c r="G14" s="25">
        <v>9.1</v>
      </c>
      <c r="H14" s="82">
        <f t="shared" si="0"/>
        <v>16.984858459512843</v>
      </c>
      <c r="I14" s="25">
        <v>4.2</v>
      </c>
      <c r="J14" s="83">
        <v>0</v>
      </c>
      <c r="L14" s="84">
        <f t="shared" si="1"/>
        <v>0</v>
      </c>
      <c r="M14" s="85">
        <v>0</v>
      </c>
    </row>
    <row r="15" spans="1:16" x14ac:dyDescent="0.35">
      <c r="A15" s="25">
        <v>283</v>
      </c>
      <c r="B15" s="25" t="s">
        <v>72</v>
      </c>
      <c r="C15" s="25" t="s">
        <v>77</v>
      </c>
      <c r="D15" s="25">
        <v>6.89</v>
      </c>
      <c r="E15" s="25">
        <v>437.4</v>
      </c>
      <c r="F15" s="25">
        <v>300.5</v>
      </c>
      <c r="G15" s="25">
        <v>9.1</v>
      </c>
      <c r="H15" s="82">
        <f t="shared" si="0"/>
        <v>31.96357693205697</v>
      </c>
      <c r="I15" s="25">
        <v>3.9</v>
      </c>
      <c r="J15" s="83">
        <v>0</v>
      </c>
      <c r="L15" s="84">
        <f t="shared" si="1"/>
        <v>0</v>
      </c>
      <c r="M15" s="85">
        <v>0</v>
      </c>
    </row>
    <row r="16" spans="1:16" x14ac:dyDescent="0.35">
      <c r="A16" s="25">
        <v>284</v>
      </c>
      <c r="B16" s="25" t="s">
        <v>72</v>
      </c>
      <c r="C16" s="25" t="s">
        <v>77</v>
      </c>
      <c r="D16" s="25">
        <v>6.9</v>
      </c>
      <c r="E16" s="25">
        <v>457.9</v>
      </c>
      <c r="F16" s="25">
        <v>355.8</v>
      </c>
      <c r="G16" s="25">
        <v>9.1</v>
      </c>
      <c r="H16" s="82">
        <f t="shared" si="0"/>
        <v>22.749554367201423</v>
      </c>
      <c r="I16" s="25">
        <v>3.9</v>
      </c>
      <c r="J16" s="83">
        <v>0</v>
      </c>
      <c r="L16" s="84">
        <f t="shared" si="1"/>
        <v>0</v>
      </c>
      <c r="M16" s="85">
        <v>0</v>
      </c>
    </row>
    <row r="17" spans="1:13" x14ac:dyDescent="0.35">
      <c r="A17" s="25">
        <v>271</v>
      </c>
      <c r="B17" s="25" t="s">
        <v>72</v>
      </c>
      <c r="C17" s="25" t="s">
        <v>78</v>
      </c>
      <c r="D17" s="25">
        <v>6.94</v>
      </c>
      <c r="E17" s="25">
        <v>433.3</v>
      </c>
      <c r="F17" s="25">
        <v>345.3</v>
      </c>
      <c r="G17" s="25">
        <v>9.1</v>
      </c>
      <c r="H17" s="82">
        <f t="shared" si="0"/>
        <v>20.744931636020745</v>
      </c>
      <c r="I17" s="25">
        <v>5.2</v>
      </c>
      <c r="J17" s="83">
        <v>2.19</v>
      </c>
      <c r="L17" s="84">
        <f t="shared" si="1"/>
        <v>42.115384615384613</v>
      </c>
      <c r="M17" s="85">
        <f t="shared" ref="M17:M28" si="4">L17*0.76</f>
        <v>32.007692307692309</v>
      </c>
    </row>
    <row r="18" spans="1:13" x14ac:dyDescent="0.35">
      <c r="A18" s="25">
        <v>272</v>
      </c>
      <c r="B18" s="25" t="s">
        <v>72</v>
      </c>
      <c r="C18" s="25" t="s">
        <v>78</v>
      </c>
      <c r="D18" s="25">
        <v>6.95</v>
      </c>
      <c r="E18" s="25">
        <v>417.8</v>
      </c>
      <c r="F18" s="25">
        <v>336.6</v>
      </c>
      <c r="G18" s="25">
        <v>9.1</v>
      </c>
      <c r="H18" s="82">
        <f t="shared" si="0"/>
        <v>19.867873746023974</v>
      </c>
      <c r="I18" s="25">
        <v>5.3</v>
      </c>
      <c r="J18" s="83">
        <v>2.1800000000000002</v>
      </c>
      <c r="L18" s="84">
        <f t="shared" si="1"/>
        <v>41.132075471698116</v>
      </c>
      <c r="M18" s="85">
        <f t="shared" si="4"/>
        <v>31.260377358490569</v>
      </c>
    </row>
    <row r="19" spans="1:13" x14ac:dyDescent="0.35">
      <c r="A19" s="25">
        <v>273</v>
      </c>
      <c r="B19" s="25" t="s">
        <v>72</v>
      </c>
      <c r="C19" s="25" t="s">
        <v>78</v>
      </c>
      <c r="D19" s="25">
        <v>6.92</v>
      </c>
      <c r="E19" s="25">
        <v>447.1</v>
      </c>
      <c r="F19" s="25">
        <v>359.9</v>
      </c>
      <c r="G19" s="25">
        <v>9.1</v>
      </c>
      <c r="H19" s="82">
        <f t="shared" si="0"/>
        <v>19.908675799086769</v>
      </c>
      <c r="I19" s="25">
        <v>5.2</v>
      </c>
      <c r="J19" s="83">
        <v>3.61</v>
      </c>
      <c r="L19" s="84">
        <f t="shared" si="1"/>
        <v>69.42307692307692</v>
      </c>
      <c r="M19" s="85">
        <f t="shared" si="4"/>
        <v>52.761538461538457</v>
      </c>
    </row>
    <row r="20" spans="1:13" x14ac:dyDescent="0.35">
      <c r="A20" s="25">
        <v>341</v>
      </c>
      <c r="B20" s="25" t="s">
        <v>72</v>
      </c>
      <c r="C20" s="25" t="s">
        <v>79</v>
      </c>
      <c r="D20" s="25">
        <v>6.86</v>
      </c>
      <c r="E20" s="25">
        <v>438</v>
      </c>
      <c r="F20" s="25">
        <v>323.39999999999998</v>
      </c>
      <c r="G20" s="25">
        <v>9.1</v>
      </c>
      <c r="H20" s="82">
        <f t="shared" si="0"/>
        <v>26.719515038470515</v>
      </c>
      <c r="I20" s="25">
        <v>5.6</v>
      </c>
      <c r="J20" s="83">
        <v>2.81</v>
      </c>
      <c r="L20" s="84">
        <f t="shared" si="1"/>
        <v>50.178571428571431</v>
      </c>
      <c r="M20" s="85">
        <f t="shared" si="4"/>
        <v>38.135714285714286</v>
      </c>
    </row>
    <row r="21" spans="1:13" x14ac:dyDescent="0.35">
      <c r="A21" s="25">
        <v>322</v>
      </c>
      <c r="B21" s="25" t="s">
        <v>72</v>
      </c>
      <c r="C21" s="25" t="s">
        <v>79</v>
      </c>
      <c r="D21" s="25">
        <v>6.85</v>
      </c>
      <c r="E21" s="25">
        <v>432.6</v>
      </c>
      <c r="F21" s="25">
        <v>340</v>
      </c>
      <c r="G21" s="25">
        <v>9.1</v>
      </c>
      <c r="H21" s="82">
        <f t="shared" si="0"/>
        <v>21.86540731995278</v>
      </c>
      <c r="I21" s="25">
        <v>5.8</v>
      </c>
      <c r="J21" s="87">
        <v>3.33</v>
      </c>
      <c r="L21" s="84">
        <f t="shared" si="1"/>
        <v>57.41379310344827</v>
      </c>
      <c r="M21" s="85">
        <f t="shared" si="4"/>
        <v>43.634482758620685</v>
      </c>
    </row>
    <row r="22" spans="1:13" x14ac:dyDescent="0.35">
      <c r="A22" s="25">
        <v>343</v>
      </c>
      <c r="B22" s="25" t="s">
        <v>72</v>
      </c>
      <c r="C22" s="25" t="s">
        <v>79</v>
      </c>
      <c r="D22" s="25">
        <v>6.91</v>
      </c>
      <c r="E22" s="25">
        <v>409.1</v>
      </c>
      <c r="F22" s="25">
        <v>304.3</v>
      </c>
      <c r="G22" s="25">
        <v>9.1</v>
      </c>
      <c r="H22" s="82">
        <f t="shared" si="0"/>
        <v>26.200000000000003</v>
      </c>
      <c r="I22" s="25">
        <v>5.9</v>
      </c>
      <c r="J22" s="87">
        <v>2.3199999999999998</v>
      </c>
      <c r="L22" s="84">
        <f t="shared" si="1"/>
        <v>39.322033898305079</v>
      </c>
      <c r="M22" s="85">
        <f t="shared" si="4"/>
        <v>29.884745762711862</v>
      </c>
    </row>
    <row r="23" spans="1:13" x14ac:dyDescent="0.35">
      <c r="A23" s="25">
        <v>246</v>
      </c>
      <c r="B23" s="25" t="s">
        <v>72</v>
      </c>
      <c r="C23" s="25" t="s">
        <v>80</v>
      </c>
      <c r="D23" s="25">
        <v>6.91</v>
      </c>
      <c r="E23" s="25">
        <v>433.5</v>
      </c>
      <c r="F23" s="25">
        <v>305.2</v>
      </c>
      <c r="G23" s="25">
        <v>9.1</v>
      </c>
      <c r="H23" s="82">
        <f t="shared" si="0"/>
        <v>30.230914231856744</v>
      </c>
      <c r="I23" s="25">
        <v>4.3</v>
      </c>
      <c r="J23" s="83">
        <v>0</v>
      </c>
      <c r="L23" s="84">
        <f t="shared" si="1"/>
        <v>0</v>
      </c>
      <c r="M23" s="85">
        <f t="shared" si="4"/>
        <v>0</v>
      </c>
    </row>
    <row r="24" spans="1:13" x14ac:dyDescent="0.35">
      <c r="A24" s="25">
        <v>247</v>
      </c>
      <c r="B24" s="25" t="s">
        <v>72</v>
      </c>
      <c r="C24" s="25" t="s">
        <v>80</v>
      </c>
      <c r="D24" s="25">
        <v>6.92</v>
      </c>
      <c r="E24" s="25">
        <v>424.2</v>
      </c>
      <c r="F24" s="25">
        <v>332</v>
      </c>
      <c r="G24" s="25">
        <v>9.1</v>
      </c>
      <c r="H24" s="82">
        <f t="shared" si="0"/>
        <v>22.21151529751867</v>
      </c>
      <c r="I24" s="25">
        <v>3.7</v>
      </c>
      <c r="J24" s="83">
        <v>0</v>
      </c>
      <c r="L24" s="84">
        <f t="shared" si="1"/>
        <v>0</v>
      </c>
      <c r="M24" s="85">
        <f t="shared" si="4"/>
        <v>0</v>
      </c>
    </row>
    <row r="25" spans="1:13" x14ac:dyDescent="0.35">
      <c r="A25" s="25">
        <v>248</v>
      </c>
      <c r="B25" s="25" t="s">
        <v>72</v>
      </c>
      <c r="C25" s="25" t="s">
        <v>80</v>
      </c>
      <c r="D25" s="25">
        <v>6.93</v>
      </c>
      <c r="E25" s="25">
        <v>426.1</v>
      </c>
      <c r="F25" s="25">
        <v>311.3</v>
      </c>
      <c r="G25" s="25">
        <v>9.1</v>
      </c>
      <c r="H25" s="82">
        <f t="shared" si="0"/>
        <v>27.529976019184655</v>
      </c>
      <c r="I25" s="25">
        <v>4</v>
      </c>
      <c r="J25" s="83">
        <v>0</v>
      </c>
      <c r="L25" s="84">
        <f t="shared" si="1"/>
        <v>0</v>
      </c>
      <c r="M25" s="85">
        <f t="shared" si="4"/>
        <v>0</v>
      </c>
    </row>
    <row r="26" spans="1:13" x14ac:dyDescent="0.35">
      <c r="A26" s="25">
        <v>87</v>
      </c>
      <c r="B26" s="25" t="s">
        <v>81</v>
      </c>
      <c r="C26" s="25" t="s">
        <v>80</v>
      </c>
      <c r="D26" s="25">
        <v>6.95</v>
      </c>
      <c r="E26" s="25">
        <v>384</v>
      </c>
      <c r="F26" s="25">
        <v>270.8</v>
      </c>
      <c r="G26" s="25">
        <v>9.1</v>
      </c>
      <c r="H26" s="82">
        <f t="shared" si="0"/>
        <v>30.194718591624429</v>
      </c>
      <c r="I26" s="25">
        <v>2.1</v>
      </c>
      <c r="J26" s="83">
        <v>0</v>
      </c>
      <c r="L26" s="84">
        <f t="shared" si="1"/>
        <v>0</v>
      </c>
      <c r="M26" s="85">
        <f t="shared" si="4"/>
        <v>0</v>
      </c>
    </row>
    <row r="27" spans="1:13" x14ac:dyDescent="0.35">
      <c r="A27" s="25">
        <v>199</v>
      </c>
      <c r="B27" s="25" t="s">
        <v>81</v>
      </c>
      <c r="C27" s="25" t="s">
        <v>80</v>
      </c>
      <c r="D27" s="25">
        <v>6.92</v>
      </c>
      <c r="E27" s="25">
        <v>398.3</v>
      </c>
      <c r="F27" s="25">
        <v>271.3</v>
      </c>
      <c r="G27" s="25">
        <v>9.1</v>
      </c>
      <c r="H27" s="82">
        <f t="shared" si="0"/>
        <v>32.631038026721484</v>
      </c>
      <c r="I27" s="25">
        <v>2.2000000000000002</v>
      </c>
      <c r="J27" s="83">
        <v>0</v>
      </c>
      <c r="L27" s="84">
        <f t="shared" si="1"/>
        <v>0</v>
      </c>
      <c r="M27" s="85">
        <f t="shared" si="4"/>
        <v>0</v>
      </c>
    </row>
    <row r="28" spans="1:13" x14ac:dyDescent="0.35">
      <c r="A28" s="25">
        <v>200</v>
      </c>
      <c r="B28" s="25" t="s">
        <v>81</v>
      </c>
      <c r="C28" s="25" t="s">
        <v>80</v>
      </c>
      <c r="D28" s="25">
        <v>6.95</v>
      </c>
      <c r="E28" s="25">
        <v>398.2</v>
      </c>
      <c r="F28" s="25">
        <v>281</v>
      </c>
      <c r="G28" s="25">
        <v>9.1</v>
      </c>
      <c r="H28" s="82">
        <f t="shared" si="0"/>
        <v>30.120791570290411</v>
      </c>
      <c r="I28" s="25">
        <v>2.2000000000000002</v>
      </c>
      <c r="J28" s="83">
        <v>0</v>
      </c>
      <c r="L28" s="84">
        <f t="shared" si="1"/>
        <v>0</v>
      </c>
      <c r="M28" s="85">
        <f t="shared" si="4"/>
        <v>0</v>
      </c>
    </row>
    <row r="29" spans="1:13" x14ac:dyDescent="0.35">
      <c r="A29" s="87">
        <v>385</v>
      </c>
      <c r="B29" s="25" t="s">
        <v>81</v>
      </c>
      <c r="C29" s="2" t="s">
        <v>77</v>
      </c>
      <c r="D29" s="87">
        <v>6.93</v>
      </c>
      <c r="K29" s="25">
        <v>0</v>
      </c>
      <c r="M29" s="88">
        <v>0</v>
      </c>
    </row>
    <row r="30" spans="1:13" x14ac:dyDescent="0.35">
      <c r="A30" s="87">
        <v>390</v>
      </c>
      <c r="B30" s="25" t="s">
        <v>81</v>
      </c>
      <c r="C30" s="2" t="s">
        <v>77</v>
      </c>
      <c r="D30" s="87">
        <v>6.96</v>
      </c>
      <c r="K30" s="25">
        <v>0</v>
      </c>
      <c r="M30" s="88">
        <v>0</v>
      </c>
    </row>
    <row r="31" spans="1:13" x14ac:dyDescent="0.35">
      <c r="A31" s="87">
        <v>394</v>
      </c>
      <c r="B31" s="25" t="s">
        <v>81</v>
      </c>
      <c r="C31" s="2" t="s">
        <v>77</v>
      </c>
      <c r="D31" s="87">
        <v>6.88</v>
      </c>
      <c r="K31" s="25">
        <v>0</v>
      </c>
      <c r="M31" s="88">
        <v>0</v>
      </c>
    </row>
    <row r="32" spans="1:13" x14ac:dyDescent="0.35">
      <c r="A32" s="87">
        <v>400</v>
      </c>
      <c r="B32" s="25" t="s">
        <v>81</v>
      </c>
      <c r="C32" s="2" t="s">
        <v>78</v>
      </c>
      <c r="D32" s="87">
        <v>7.01</v>
      </c>
      <c r="K32" s="25">
        <v>0</v>
      </c>
      <c r="M32" s="88">
        <v>0</v>
      </c>
    </row>
    <row r="33" spans="1:13" x14ac:dyDescent="0.35">
      <c r="A33" s="87">
        <v>406</v>
      </c>
      <c r="B33" s="25" t="s">
        <v>81</v>
      </c>
      <c r="C33" s="2" t="s">
        <v>78</v>
      </c>
      <c r="D33" s="87">
        <v>7</v>
      </c>
      <c r="K33" s="25">
        <v>0</v>
      </c>
      <c r="M33" s="88">
        <v>0</v>
      </c>
    </row>
    <row r="34" spans="1:13" x14ac:dyDescent="0.35">
      <c r="A34" s="87">
        <v>411</v>
      </c>
      <c r="B34" s="25" t="s">
        <v>81</v>
      </c>
      <c r="C34" s="2" t="s">
        <v>78</v>
      </c>
      <c r="D34" s="87">
        <v>7.07</v>
      </c>
      <c r="K34" s="25">
        <v>0</v>
      </c>
      <c r="M34" s="88">
        <v>0</v>
      </c>
    </row>
    <row r="35" spans="1:13" x14ac:dyDescent="0.35">
      <c r="A35" s="87">
        <v>420</v>
      </c>
      <c r="B35" s="25" t="s">
        <v>81</v>
      </c>
      <c r="C35" s="2" t="s">
        <v>79</v>
      </c>
      <c r="D35" s="87">
        <v>7.18</v>
      </c>
      <c r="K35" s="25">
        <v>0</v>
      </c>
      <c r="M35" s="88">
        <v>0</v>
      </c>
    </row>
    <row r="36" spans="1:13" x14ac:dyDescent="0.35">
      <c r="A36" s="87">
        <v>426</v>
      </c>
      <c r="B36" s="25" t="s">
        <v>81</v>
      </c>
      <c r="C36" s="2" t="s">
        <v>79</v>
      </c>
      <c r="D36" s="87">
        <v>6.95</v>
      </c>
      <c r="K36" s="25">
        <v>0</v>
      </c>
      <c r="M36" s="88">
        <v>0</v>
      </c>
    </row>
    <row r="37" spans="1:13" x14ac:dyDescent="0.35">
      <c r="A37" s="87">
        <v>431</v>
      </c>
      <c r="B37" s="25" t="s">
        <v>81</v>
      </c>
      <c r="C37" s="2" t="s">
        <v>79</v>
      </c>
      <c r="D37" s="87">
        <v>7.05</v>
      </c>
      <c r="K37" s="25">
        <v>0</v>
      </c>
      <c r="M37" s="88">
        <v>0</v>
      </c>
    </row>
    <row r="38" spans="1:13" x14ac:dyDescent="0.35">
      <c r="A38" s="83">
        <v>25</v>
      </c>
      <c r="B38" s="25" t="s">
        <v>81</v>
      </c>
      <c r="C38" s="2" t="s">
        <v>73</v>
      </c>
      <c r="M38" s="83">
        <v>0</v>
      </c>
    </row>
    <row r="39" spans="1:13" x14ac:dyDescent="0.35">
      <c r="A39" s="83">
        <v>26</v>
      </c>
      <c r="B39" s="25" t="s">
        <v>81</v>
      </c>
      <c r="C39" s="2" t="s">
        <v>73</v>
      </c>
      <c r="M39" s="83">
        <v>0</v>
      </c>
    </row>
    <row r="40" spans="1:13" x14ac:dyDescent="0.35">
      <c r="A40" s="83">
        <v>28</v>
      </c>
      <c r="B40" s="25" t="s">
        <v>81</v>
      </c>
      <c r="C40" s="2" t="s">
        <v>73</v>
      </c>
      <c r="M40" s="83">
        <v>0</v>
      </c>
    </row>
    <row r="41" spans="1:13" x14ac:dyDescent="0.35">
      <c r="A41" s="83">
        <v>30</v>
      </c>
      <c r="B41" s="25" t="s">
        <v>81</v>
      </c>
      <c r="C41" s="2" t="s">
        <v>74</v>
      </c>
      <c r="M41" s="83">
        <v>0</v>
      </c>
    </row>
    <row r="42" spans="1:13" x14ac:dyDescent="0.35">
      <c r="A42" s="83">
        <v>33</v>
      </c>
      <c r="B42" s="25" t="s">
        <v>81</v>
      </c>
      <c r="C42" s="2" t="s">
        <v>74</v>
      </c>
      <c r="M42" s="83">
        <v>0</v>
      </c>
    </row>
    <row r="43" spans="1:13" x14ac:dyDescent="0.35">
      <c r="A43" s="83">
        <v>37</v>
      </c>
      <c r="B43" s="25" t="s">
        <v>81</v>
      </c>
      <c r="C43" s="2" t="s">
        <v>74</v>
      </c>
      <c r="M43" s="83">
        <v>0</v>
      </c>
    </row>
    <row r="44" spans="1:13" x14ac:dyDescent="0.35">
      <c r="A44" s="83">
        <v>68</v>
      </c>
      <c r="B44" s="25" t="s">
        <v>81</v>
      </c>
      <c r="C44" s="2" t="s">
        <v>75</v>
      </c>
      <c r="M44" s="83">
        <v>0</v>
      </c>
    </row>
    <row r="45" spans="1:13" x14ac:dyDescent="0.35">
      <c r="A45" s="83">
        <v>69</v>
      </c>
      <c r="B45" s="25" t="s">
        <v>81</v>
      </c>
      <c r="C45" s="2" t="s">
        <v>75</v>
      </c>
      <c r="M45" s="89">
        <v>3.1340425531914891</v>
      </c>
    </row>
    <row r="46" spans="1:13" x14ac:dyDescent="0.35">
      <c r="A46" s="83">
        <v>70</v>
      </c>
      <c r="B46" s="25" t="s">
        <v>81</v>
      </c>
      <c r="C46" s="2" t="s">
        <v>75</v>
      </c>
      <c r="M46" s="83">
        <v>0</v>
      </c>
    </row>
    <row r="47" spans="1:13" x14ac:dyDescent="0.35">
      <c r="M47" s="81"/>
    </row>
    <row r="48" spans="1:13" x14ac:dyDescent="0.35">
      <c r="M48" s="81"/>
    </row>
    <row r="49" spans="13:13" x14ac:dyDescent="0.35">
      <c r="M49" s="81"/>
    </row>
    <row r="50" spans="13:13" x14ac:dyDescent="0.35">
      <c r="M50" s="81"/>
    </row>
    <row r="51" spans="13:13" x14ac:dyDescent="0.35">
      <c r="M51" s="81"/>
    </row>
    <row r="52" spans="13:13" x14ac:dyDescent="0.35">
      <c r="M52" s="81"/>
    </row>
    <row r="53" spans="13:13" x14ac:dyDescent="0.35">
      <c r="M53" s="81"/>
    </row>
    <row r="54" spans="13:13" x14ac:dyDescent="0.35">
      <c r="M54" s="81"/>
    </row>
    <row r="55" spans="13:13" x14ac:dyDescent="0.35">
      <c r="M55" s="81"/>
    </row>
    <row r="56" spans="13:13" x14ac:dyDescent="0.35">
      <c r="M56" s="81"/>
    </row>
    <row r="57" spans="13:13" x14ac:dyDescent="0.35">
      <c r="M57" s="81"/>
    </row>
    <row r="58" spans="13:13" x14ac:dyDescent="0.35">
      <c r="M58" s="81"/>
    </row>
    <row r="59" spans="13:13" x14ac:dyDescent="0.35">
      <c r="M59" s="81"/>
    </row>
    <row r="60" spans="13:13" x14ac:dyDescent="0.35">
      <c r="M60" s="81"/>
    </row>
    <row r="61" spans="13:13" x14ac:dyDescent="0.35">
      <c r="M61" s="81"/>
    </row>
    <row r="62" spans="13:13" x14ac:dyDescent="0.35">
      <c r="M62" s="81"/>
    </row>
    <row r="63" spans="13:13" x14ac:dyDescent="0.35">
      <c r="M63" s="81"/>
    </row>
    <row r="64" spans="13:13" x14ac:dyDescent="0.35">
      <c r="M64" s="81"/>
    </row>
    <row r="65" spans="13:13" x14ac:dyDescent="0.35">
      <c r="M65" s="81"/>
    </row>
    <row r="66" spans="13:13" x14ac:dyDescent="0.35">
      <c r="M66" s="81"/>
    </row>
    <row r="67" spans="13:13" x14ac:dyDescent="0.35">
      <c r="M67" s="81"/>
    </row>
    <row r="68" spans="13:13" x14ac:dyDescent="0.35">
      <c r="M68" s="81"/>
    </row>
    <row r="69" spans="13:13" x14ac:dyDescent="0.35">
      <c r="M69" s="81"/>
    </row>
    <row r="70" spans="13:13" x14ac:dyDescent="0.35">
      <c r="M70" s="81"/>
    </row>
    <row r="71" spans="13:13" x14ac:dyDescent="0.35">
      <c r="M71" s="81"/>
    </row>
    <row r="72" spans="13:13" x14ac:dyDescent="0.35">
      <c r="M72" s="81"/>
    </row>
    <row r="73" spans="13:13" x14ac:dyDescent="0.35">
      <c r="M73" s="81"/>
    </row>
    <row r="74" spans="13:13" x14ac:dyDescent="0.35">
      <c r="M74" s="81"/>
    </row>
    <row r="75" spans="13:13" x14ac:dyDescent="0.35">
      <c r="M75" s="81"/>
    </row>
    <row r="76" spans="13:13" x14ac:dyDescent="0.35">
      <c r="M76" s="81"/>
    </row>
    <row r="77" spans="13:13" x14ac:dyDescent="0.35">
      <c r="M77" s="81"/>
    </row>
    <row r="78" spans="13:13" x14ac:dyDescent="0.35">
      <c r="M78" s="81"/>
    </row>
    <row r="79" spans="13:13" x14ac:dyDescent="0.35">
      <c r="M79" s="81"/>
    </row>
    <row r="80" spans="13:13" x14ac:dyDescent="0.35">
      <c r="M80" s="81"/>
    </row>
    <row r="81" spans="13:13" x14ac:dyDescent="0.35">
      <c r="M81" s="81"/>
    </row>
    <row r="82" spans="13:13" x14ac:dyDescent="0.35">
      <c r="M82" s="81"/>
    </row>
    <row r="83" spans="13:13" x14ac:dyDescent="0.35">
      <c r="M83" s="81"/>
    </row>
    <row r="84" spans="13:13" x14ac:dyDescent="0.35">
      <c r="M84" s="81"/>
    </row>
    <row r="85" spans="13:13" x14ac:dyDescent="0.35">
      <c r="M85" s="81"/>
    </row>
    <row r="86" spans="13:13" x14ac:dyDescent="0.35">
      <c r="M86" s="81"/>
    </row>
    <row r="87" spans="13:13" x14ac:dyDescent="0.35">
      <c r="M87" s="81"/>
    </row>
    <row r="88" spans="13:13" x14ac:dyDescent="0.35">
      <c r="M88" s="81"/>
    </row>
    <row r="89" spans="13:13" x14ac:dyDescent="0.35">
      <c r="M89" s="81"/>
    </row>
    <row r="90" spans="13:13" x14ac:dyDescent="0.35">
      <c r="M90" s="81"/>
    </row>
    <row r="91" spans="13:13" x14ac:dyDescent="0.35">
      <c r="M91" s="81"/>
    </row>
    <row r="92" spans="13:13" x14ac:dyDescent="0.35">
      <c r="M92" s="81"/>
    </row>
    <row r="93" spans="13:13" x14ac:dyDescent="0.35">
      <c r="M93" s="81"/>
    </row>
    <row r="94" spans="13:13" x14ac:dyDescent="0.35">
      <c r="M94" s="81"/>
    </row>
    <row r="95" spans="13:13" x14ac:dyDescent="0.35">
      <c r="M95" s="81"/>
    </row>
    <row r="96" spans="13:13" x14ac:dyDescent="0.35">
      <c r="M96" s="81"/>
    </row>
    <row r="97" spans="13:13" x14ac:dyDescent="0.35">
      <c r="M97" s="81"/>
    </row>
    <row r="98" spans="13:13" x14ac:dyDescent="0.35">
      <c r="M98" s="81"/>
    </row>
    <row r="99" spans="13:13" x14ac:dyDescent="0.35">
      <c r="M99" s="81"/>
    </row>
    <row r="100" spans="13:13" x14ac:dyDescent="0.35">
      <c r="M100" s="81"/>
    </row>
    <row r="101" spans="13:13" x14ac:dyDescent="0.35">
      <c r="M101" s="81"/>
    </row>
    <row r="102" spans="13:13" x14ac:dyDescent="0.35">
      <c r="M102" s="81"/>
    </row>
    <row r="103" spans="13:13" x14ac:dyDescent="0.35">
      <c r="M103" s="81"/>
    </row>
    <row r="104" spans="13:13" x14ac:dyDescent="0.35">
      <c r="M104" s="81"/>
    </row>
    <row r="105" spans="13:13" x14ac:dyDescent="0.35">
      <c r="M105" s="81"/>
    </row>
    <row r="106" spans="13:13" x14ac:dyDescent="0.35">
      <c r="M106" s="81"/>
    </row>
    <row r="107" spans="13:13" x14ac:dyDescent="0.35">
      <c r="M107" s="81"/>
    </row>
    <row r="108" spans="13:13" x14ac:dyDescent="0.35">
      <c r="M108" s="81"/>
    </row>
    <row r="109" spans="13:13" x14ac:dyDescent="0.35">
      <c r="M109" s="81"/>
    </row>
    <row r="110" spans="13:13" x14ac:dyDescent="0.35">
      <c r="M110" s="81"/>
    </row>
    <row r="111" spans="13:13" x14ac:dyDescent="0.35">
      <c r="M111" s="81"/>
    </row>
    <row r="112" spans="13:13" x14ac:dyDescent="0.35">
      <c r="M112" s="81"/>
    </row>
    <row r="113" spans="13:13" x14ac:dyDescent="0.35">
      <c r="M113" s="81"/>
    </row>
    <row r="114" spans="13:13" x14ac:dyDescent="0.35">
      <c r="M114" s="81"/>
    </row>
    <row r="115" spans="13:13" x14ac:dyDescent="0.35">
      <c r="M115" s="81"/>
    </row>
    <row r="116" spans="13:13" x14ac:dyDescent="0.35">
      <c r="M116" s="81"/>
    </row>
    <row r="117" spans="13:13" x14ac:dyDescent="0.35">
      <c r="M117" s="81"/>
    </row>
    <row r="118" spans="13:13" x14ac:dyDescent="0.35">
      <c r="M118" s="81"/>
    </row>
    <row r="119" spans="13:13" x14ac:dyDescent="0.35">
      <c r="M119" s="81"/>
    </row>
    <row r="120" spans="13:13" x14ac:dyDescent="0.35">
      <c r="M120" s="81"/>
    </row>
    <row r="121" spans="13:13" x14ac:dyDescent="0.35">
      <c r="M121" s="81"/>
    </row>
    <row r="122" spans="13:13" x14ac:dyDescent="0.35">
      <c r="M122" s="81"/>
    </row>
    <row r="123" spans="13:13" x14ac:dyDescent="0.35">
      <c r="M123" s="81"/>
    </row>
    <row r="124" spans="13:13" x14ac:dyDescent="0.35">
      <c r="M124" s="81"/>
    </row>
    <row r="125" spans="13:13" x14ac:dyDescent="0.35">
      <c r="M125" s="81"/>
    </row>
    <row r="126" spans="13:13" x14ac:dyDescent="0.35">
      <c r="M126" s="81"/>
    </row>
    <row r="127" spans="13:13" x14ac:dyDescent="0.35">
      <c r="M127" s="81"/>
    </row>
    <row r="128" spans="13:13" x14ac:dyDescent="0.35">
      <c r="M128" s="81"/>
    </row>
    <row r="129" spans="13:13" x14ac:dyDescent="0.35">
      <c r="M129" s="81"/>
    </row>
    <row r="130" spans="13:13" x14ac:dyDescent="0.35">
      <c r="M130" s="81"/>
    </row>
    <row r="131" spans="13:13" x14ac:dyDescent="0.35">
      <c r="M131" s="81"/>
    </row>
    <row r="132" spans="13:13" x14ac:dyDescent="0.35">
      <c r="M132" s="81"/>
    </row>
    <row r="133" spans="13:13" x14ac:dyDescent="0.35">
      <c r="M133" s="81"/>
    </row>
    <row r="134" spans="13:13" x14ac:dyDescent="0.35">
      <c r="M134" s="81"/>
    </row>
    <row r="135" spans="13:13" x14ac:dyDescent="0.35">
      <c r="M135" s="81"/>
    </row>
    <row r="136" spans="13:13" x14ac:dyDescent="0.35">
      <c r="M136" s="81"/>
    </row>
    <row r="137" spans="13:13" x14ac:dyDescent="0.35">
      <c r="M137" s="81"/>
    </row>
    <row r="138" spans="13:13" x14ac:dyDescent="0.35">
      <c r="M138" s="81"/>
    </row>
    <row r="139" spans="13:13" x14ac:dyDescent="0.35">
      <c r="M139" s="81"/>
    </row>
    <row r="140" spans="13:13" x14ac:dyDescent="0.35">
      <c r="M140" s="81"/>
    </row>
    <row r="141" spans="13:13" x14ac:dyDescent="0.35">
      <c r="M141" s="81"/>
    </row>
    <row r="142" spans="13:13" x14ac:dyDescent="0.35">
      <c r="M142" s="81"/>
    </row>
    <row r="143" spans="13:13" x14ac:dyDescent="0.35">
      <c r="M143" s="81"/>
    </row>
    <row r="144" spans="13:13" x14ac:dyDescent="0.35">
      <c r="M144" s="81"/>
    </row>
    <row r="145" spans="13:13" x14ac:dyDescent="0.35">
      <c r="M145" s="81"/>
    </row>
    <row r="146" spans="13:13" x14ac:dyDescent="0.35">
      <c r="M146" s="81"/>
    </row>
    <row r="147" spans="13:13" x14ac:dyDescent="0.35">
      <c r="M147" s="81"/>
    </row>
    <row r="148" spans="13:13" x14ac:dyDescent="0.35">
      <c r="M148" s="81"/>
    </row>
    <row r="149" spans="13:13" x14ac:dyDescent="0.35">
      <c r="M149" s="81"/>
    </row>
    <row r="150" spans="13:13" x14ac:dyDescent="0.35">
      <c r="M150" s="81"/>
    </row>
    <row r="151" spans="13:13" x14ac:dyDescent="0.35">
      <c r="M151" s="81"/>
    </row>
    <row r="152" spans="13:13" x14ac:dyDescent="0.35">
      <c r="M152" s="81"/>
    </row>
    <row r="153" spans="13:13" x14ac:dyDescent="0.35">
      <c r="M153" s="81"/>
    </row>
    <row r="154" spans="13:13" x14ac:dyDescent="0.35">
      <c r="M154" s="81"/>
    </row>
    <row r="155" spans="13:13" x14ac:dyDescent="0.35">
      <c r="M155" s="81"/>
    </row>
    <row r="156" spans="13:13" x14ac:dyDescent="0.35">
      <c r="M156" s="81"/>
    </row>
    <row r="157" spans="13:13" x14ac:dyDescent="0.35">
      <c r="M157" s="81"/>
    </row>
    <row r="158" spans="13:13" x14ac:dyDescent="0.35">
      <c r="M158" s="81"/>
    </row>
    <row r="159" spans="13:13" x14ac:dyDescent="0.35">
      <c r="M159" s="81"/>
    </row>
    <row r="160" spans="13:13" x14ac:dyDescent="0.35">
      <c r="M160" s="81"/>
    </row>
    <row r="161" spans="13:13" x14ac:dyDescent="0.35">
      <c r="M161" s="81"/>
    </row>
    <row r="162" spans="13:13" x14ac:dyDescent="0.35">
      <c r="M162" s="81"/>
    </row>
    <row r="163" spans="13:13" x14ac:dyDescent="0.35">
      <c r="M163" s="81"/>
    </row>
    <row r="164" spans="13:13" x14ac:dyDescent="0.35">
      <c r="M164" s="81"/>
    </row>
    <row r="165" spans="13:13" x14ac:dyDescent="0.35">
      <c r="M165" s="81"/>
    </row>
    <row r="166" spans="13:13" x14ac:dyDescent="0.35">
      <c r="M166" s="81"/>
    </row>
    <row r="167" spans="13:13" x14ac:dyDescent="0.35">
      <c r="M167" s="81"/>
    </row>
    <row r="168" spans="13:13" x14ac:dyDescent="0.35">
      <c r="M168" s="81"/>
    </row>
    <row r="169" spans="13:13" x14ac:dyDescent="0.35">
      <c r="M169" s="81"/>
    </row>
    <row r="170" spans="13:13" x14ac:dyDescent="0.35">
      <c r="M170" s="81"/>
    </row>
    <row r="171" spans="13:13" x14ac:dyDescent="0.35">
      <c r="M171" s="81"/>
    </row>
    <row r="172" spans="13:13" x14ac:dyDescent="0.35">
      <c r="M172" s="81"/>
    </row>
    <row r="173" spans="13:13" x14ac:dyDescent="0.35">
      <c r="M173" s="81"/>
    </row>
    <row r="174" spans="13:13" x14ac:dyDescent="0.35">
      <c r="M174" s="81"/>
    </row>
    <row r="175" spans="13:13" x14ac:dyDescent="0.35">
      <c r="M175" s="81"/>
    </row>
    <row r="176" spans="13:13" x14ac:dyDescent="0.35">
      <c r="M176" s="81"/>
    </row>
    <row r="177" spans="13:13" x14ac:dyDescent="0.35">
      <c r="M177" s="81"/>
    </row>
    <row r="178" spans="13:13" x14ac:dyDescent="0.35">
      <c r="M178" s="81"/>
    </row>
    <row r="179" spans="13:13" x14ac:dyDescent="0.35">
      <c r="M179" s="81"/>
    </row>
    <row r="180" spans="13:13" x14ac:dyDescent="0.35">
      <c r="M180" s="81"/>
    </row>
    <row r="181" spans="13:13" x14ac:dyDescent="0.35">
      <c r="M181" s="81"/>
    </row>
    <row r="182" spans="13:13" x14ac:dyDescent="0.35">
      <c r="M182" s="81"/>
    </row>
    <row r="183" spans="13:13" x14ac:dyDescent="0.35">
      <c r="M183" s="81"/>
    </row>
    <row r="184" spans="13:13" x14ac:dyDescent="0.35">
      <c r="M184" s="81"/>
    </row>
    <row r="185" spans="13:13" x14ac:dyDescent="0.35">
      <c r="M185" s="81"/>
    </row>
    <row r="186" spans="13:13" x14ac:dyDescent="0.35">
      <c r="M186" s="81"/>
    </row>
    <row r="187" spans="13:13" x14ac:dyDescent="0.35">
      <c r="M187" s="81"/>
    </row>
    <row r="188" spans="13:13" x14ac:dyDescent="0.35">
      <c r="M188" s="81"/>
    </row>
    <row r="189" spans="13:13" x14ac:dyDescent="0.35">
      <c r="M189" s="81"/>
    </row>
    <row r="190" spans="13:13" x14ac:dyDescent="0.35">
      <c r="M190" s="81"/>
    </row>
    <row r="191" spans="13:13" x14ac:dyDescent="0.35">
      <c r="M191" s="81"/>
    </row>
    <row r="192" spans="13:13" x14ac:dyDescent="0.35">
      <c r="M192" s="81"/>
    </row>
    <row r="193" spans="13:13" x14ac:dyDescent="0.35">
      <c r="M193" s="81"/>
    </row>
    <row r="194" spans="13:13" x14ac:dyDescent="0.35">
      <c r="M194" s="81"/>
    </row>
    <row r="195" spans="13:13" x14ac:dyDescent="0.35">
      <c r="M195" s="81"/>
    </row>
    <row r="196" spans="13:13" x14ac:dyDescent="0.35">
      <c r="M196" s="81"/>
    </row>
    <row r="197" spans="13:13" x14ac:dyDescent="0.35">
      <c r="M197" s="81"/>
    </row>
    <row r="198" spans="13:13" x14ac:dyDescent="0.35">
      <c r="M198" s="81"/>
    </row>
    <row r="199" spans="13:13" x14ac:dyDescent="0.35">
      <c r="M199" s="81"/>
    </row>
    <row r="200" spans="13:13" x14ac:dyDescent="0.35">
      <c r="M200" s="81"/>
    </row>
    <row r="201" spans="13:13" x14ac:dyDescent="0.35">
      <c r="M201" s="81"/>
    </row>
    <row r="202" spans="13:13" x14ac:dyDescent="0.35">
      <c r="M202" s="81"/>
    </row>
    <row r="203" spans="13:13" x14ac:dyDescent="0.35">
      <c r="M203" s="81"/>
    </row>
    <row r="204" spans="13:13" x14ac:dyDescent="0.35">
      <c r="M204" s="81"/>
    </row>
    <row r="205" spans="13:13" x14ac:dyDescent="0.35">
      <c r="M205" s="81"/>
    </row>
    <row r="206" spans="13:13" x14ac:dyDescent="0.35">
      <c r="M206" s="81"/>
    </row>
    <row r="207" spans="13:13" x14ac:dyDescent="0.35">
      <c r="M207" s="81"/>
    </row>
    <row r="208" spans="13:13" x14ac:dyDescent="0.35">
      <c r="M208" s="81"/>
    </row>
    <row r="209" spans="13:13" x14ac:dyDescent="0.35">
      <c r="M209" s="81"/>
    </row>
    <row r="210" spans="13:13" x14ac:dyDescent="0.35">
      <c r="M210" s="81"/>
    </row>
    <row r="211" spans="13:13" x14ac:dyDescent="0.35">
      <c r="M211" s="81"/>
    </row>
    <row r="212" spans="13:13" x14ac:dyDescent="0.35">
      <c r="M212" s="81"/>
    </row>
    <row r="213" spans="13:13" x14ac:dyDescent="0.35">
      <c r="M213" s="81"/>
    </row>
    <row r="214" spans="13:13" x14ac:dyDescent="0.35">
      <c r="M214" s="81"/>
    </row>
    <row r="215" spans="13:13" x14ac:dyDescent="0.35">
      <c r="M215" s="81"/>
    </row>
    <row r="216" spans="13:13" x14ac:dyDescent="0.35">
      <c r="M216" s="81"/>
    </row>
    <row r="217" spans="13:13" x14ac:dyDescent="0.35">
      <c r="M217" s="81"/>
    </row>
    <row r="218" spans="13:13" x14ac:dyDescent="0.35">
      <c r="M218" s="81"/>
    </row>
    <row r="219" spans="13:13" x14ac:dyDescent="0.35">
      <c r="M219" s="81"/>
    </row>
    <row r="220" spans="13:13" x14ac:dyDescent="0.35">
      <c r="M220" s="81"/>
    </row>
    <row r="221" spans="13:13" x14ac:dyDescent="0.35">
      <c r="M221" s="81"/>
    </row>
    <row r="222" spans="13:13" x14ac:dyDescent="0.35">
      <c r="M222" s="81"/>
    </row>
    <row r="223" spans="13:13" x14ac:dyDescent="0.35">
      <c r="M223" s="81"/>
    </row>
    <row r="224" spans="13:13" x14ac:dyDescent="0.35">
      <c r="M224" s="81"/>
    </row>
    <row r="225" spans="13:13" x14ac:dyDescent="0.35">
      <c r="M225" s="81"/>
    </row>
    <row r="226" spans="13:13" x14ac:dyDescent="0.35">
      <c r="M226" s="81"/>
    </row>
    <row r="227" spans="13:13" x14ac:dyDescent="0.35">
      <c r="M227" s="81"/>
    </row>
    <row r="228" spans="13:13" x14ac:dyDescent="0.35">
      <c r="M228" s="81"/>
    </row>
    <row r="229" spans="13:13" x14ac:dyDescent="0.35">
      <c r="M229" s="81"/>
    </row>
    <row r="230" spans="13:13" x14ac:dyDescent="0.35">
      <c r="M230" s="81"/>
    </row>
    <row r="231" spans="13:13" x14ac:dyDescent="0.35">
      <c r="M231" s="81"/>
    </row>
    <row r="232" spans="13:13" x14ac:dyDescent="0.35">
      <c r="M232" s="81"/>
    </row>
    <row r="233" spans="13:13" x14ac:dyDescent="0.35">
      <c r="M233" s="81"/>
    </row>
    <row r="234" spans="13:13" x14ac:dyDescent="0.35">
      <c r="M234" s="81"/>
    </row>
    <row r="235" spans="13:13" x14ac:dyDescent="0.35">
      <c r="M235" s="81"/>
    </row>
    <row r="236" spans="13:13" x14ac:dyDescent="0.35">
      <c r="M236" s="81"/>
    </row>
    <row r="237" spans="13:13" x14ac:dyDescent="0.35">
      <c r="M237" s="81"/>
    </row>
    <row r="238" spans="13:13" x14ac:dyDescent="0.35">
      <c r="M238" s="81"/>
    </row>
    <row r="239" spans="13:13" x14ac:dyDescent="0.35">
      <c r="M239" s="81"/>
    </row>
    <row r="240" spans="13:13" x14ac:dyDescent="0.35">
      <c r="M240" s="81"/>
    </row>
    <row r="241" spans="13:13" x14ac:dyDescent="0.35">
      <c r="M241" s="81"/>
    </row>
    <row r="242" spans="13:13" x14ac:dyDescent="0.35">
      <c r="M242" s="81"/>
    </row>
    <row r="243" spans="13:13" x14ac:dyDescent="0.35">
      <c r="M243" s="81"/>
    </row>
    <row r="244" spans="13:13" x14ac:dyDescent="0.35">
      <c r="M244" s="81"/>
    </row>
    <row r="245" spans="13:13" x14ac:dyDescent="0.35">
      <c r="M245" s="81"/>
    </row>
    <row r="246" spans="13:13" x14ac:dyDescent="0.35">
      <c r="M246" s="81"/>
    </row>
    <row r="247" spans="13:13" x14ac:dyDescent="0.35">
      <c r="M247" s="81"/>
    </row>
    <row r="248" spans="13:13" x14ac:dyDescent="0.35">
      <c r="M248" s="81"/>
    </row>
    <row r="249" spans="13:13" x14ac:dyDescent="0.35">
      <c r="M249" s="81"/>
    </row>
    <row r="250" spans="13:13" x14ac:dyDescent="0.35">
      <c r="M250" s="81"/>
    </row>
    <row r="251" spans="13:13" x14ac:dyDescent="0.35">
      <c r="M251" s="81"/>
    </row>
    <row r="252" spans="13:13" x14ac:dyDescent="0.35">
      <c r="M252" s="81"/>
    </row>
    <row r="253" spans="13:13" x14ac:dyDescent="0.35">
      <c r="M253" s="81"/>
    </row>
    <row r="254" spans="13:13" x14ac:dyDescent="0.35">
      <c r="M254" s="81"/>
    </row>
    <row r="255" spans="13:13" x14ac:dyDescent="0.35">
      <c r="M255" s="81"/>
    </row>
    <row r="256" spans="13:13" x14ac:dyDescent="0.35">
      <c r="M256" s="81"/>
    </row>
    <row r="257" spans="13:13" x14ac:dyDescent="0.35">
      <c r="M257" s="81"/>
    </row>
    <row r="258" spans="13:13" x14ac:dyDescent="0.35">
      <c r="M258" s="81"/>
    </row>
    <row r="259" spans="13:13" x14ac:dyDescent="0.35">
      <c r="M259" s="81"/>
    </row>
    <row r="260" spans="13:13" x14ac:dyDescent="0.35">
      <c r="M260" s="81"/>
    </row>
    <row r="261" spans="13:13" x14ac:dyDescent="0.35">
      <c r="M261" s="81"/>
    </row>
    <row r="262" spans="13:13" x14ac:dyDescent="0.35">
      <c r="M262" s="81"/>
    </row>
    <row r="263" spans="13:13" x14ac:dyDescent="0.35">
      <c r="M263" s="81"/>
    </row>
    <row r="264" spans="13:13" x14ac:dyDescent="0.35">
      <c r="M264" s="81"/>
    </row>
    <row r="265" spans="13:13" x14ac:dyDescent="0.35">
      <c r="M265" s="81"/>
    </row>
    <row r="266" spans="13:13" x14ac:dyDescent="0.35">
      <c r="M266" s="81"/>
    </row>
    <row r="267" spans="13:13" x14ac:dyDescent="0.35">
      <c r="M267" s="81"/>
    </row>
    <row r="268" spans="13:13" x14ac:dyDescent="0.35">
      <c r="M268" s="81"/>
    </row>
    <row r="269" spans="13:13" x14ac:dyDescent="0.35">
      <c r="M269" s="81"/>
    </row>
    <row r="270" spans="13:13" x14ac:dyDescent="0.35">
      <c r="M270" s="81"/>
    </row>
    <row r="271" spans="13:13" x14ac:dyDescent="0.35">
      <c r="M271" s="81"/>
    </row>
    <row r="272" spans="13:13" x14ac:dyDescent="0.35">
      <c r="M272" s="81"/>
    </row>
    <row r="273" spans="13:13" x14ac:dyDescent="0.35">
      <c r="M273" s="81"/>
    </row>
    <row r="274" spans="13:13" x14ac:dyDescent="0.35">
      <c r="M274" s="81"/>
    </row>
    <row r="275" spans="13:13" x14ac:dyDescent="0.35">
      <c r="M275" s="81"/>
    </row>
    <row r="276" spans="13:13" x14ac:dyDescent="0.35">
      <c r="M276" s="81"/>
    </row>
    <row r="277" spans="13:13" x14ac:dyDescent="0.35">
      <c r="M277" s="81"/>
    </row>
    <row r="278" spans="13:13" x14ac:dyDescent="0.35">
      <c r="M278" s="81"/>
    </row>
    <row r="279" spans="13:13" x14ac:dyDescent="0.35">
      <c r="M279" s="81"/>
    </row>
    <row r="280" spans="13:13" x14ac:dyDescent="0.35">
      <c r="M280" s="81"/>
    </row>
    <row r="281" spans="13:13" x14ac:dyDescent="0.35">
      <c r="M281" s="81"/>
    </row>
    <row r="282" spans="13:13" x14ac:dyDescent="0.35">
      <c r="M282" s="81"/>
    </row>
    <row r="283" spans="13:13" x14ac:dyDescent="0.35">
      <c r="M283" s="81"/>
    </row>
    <row r="284" spans="13:13" x14ac:dyDescent="0.35">
      <c r="M284" s="81"/>
    </row>
    <row r="285" spans="13:13" x14ac:dyDescent="0.35">
      <c r="M285" s="81"/>
    </row>
    <row r="286" spans="13:13" x14ac:dyDescent="0.35">
      <c r="M286" s="81"/>
    </row>
    <row r="287" spans="13:13" x14ac:dyDescent="0.35">
      <c r="M287" s="81"/>
    </row>
    <row r="288" spans="13:13" x14ac:dyDescent="0.35">
      <c r="M288" s="81"/>
    </row>
    <row r="289" spans="13:13" x14ac:dyDescent="0.35">
      <c r="M289" s="81"/>
    </row>
    <row r="290" spans="13:13" x14ac:dyDescent="0.35">
      <c r="M290" s="81"/>
    </row>
    <row r="291" spans="13:13" x14ac:dyDescent="0.35">
      <c r="M291" s="81"/>
    </row>
    <row r="292" spans="13:13" x14ac:dyDescent="0.35">
      <c r="M292" s="81"/>
    </row>
    <row r="293" spans="13:13" x14ac:dyDescent="0.35">
      <c r="M293" s="81"/>
    </row>
    <row r="294" spans="13:13" x14ac:dyDescent="0.35">
      <c r="M294" s="81"/>
    </row>
    <row r="295" spans="13:13" x14ac:dyDescent="0.35">
      <c r="M295" s="81"/>
    </row>
    <row r="296" spans="13:13" x14ac:dyDescent="0.35">
      <c r="M296" s="81"/>
    </row>
    <row r="297" spans="13:13" x14ac:dyDescent="0.35">
      <c r="M297" s="81"/>
    </row>
    <row r="298" spans="13:13" x14ac:dyDescent="0.35">
      <c r="M298" s="81"/>
    </row>
    <row r="299" spans="13:13" x14ac:dyDescent="0.35">
      <c r="M299" s="81"/>
    </row>
    <row r="300" spans="13:13" x14ac:dyDescent="0.35">
      <c r="M300" s="81"/>
    </row>
    <row r="301" spans="13:13" x14ac:dyDescent="0.35">
      <c r="M301" s="81"/>
    </row>
    <row r="302" spans="13:13" x14ac:dyDescent="0.35">
      <c r="M302" s="81"/>
    </row>
    <row r="303" spans="13:13" x14ac:dyDescent="0.35">
      <c r="M303" s="81"/>
    </row>
    <row r="304" spans="13:13" x14ac:dyDescent="0.35">
      <c r="M304" s="81"/>
    </row>
    <row r="305" spans="13:13" x14ac:dyDescent="0.35">
      <c r="M305" s="81"/>
    </row>
    <row r="306" spans="13:13" x14ac:dyDescent="0.35">
      <c r="M306" s="81"/>
    </row>
    <row r="307" spans="13:13" x14ac:dyDescent="0.35">
      <c r="M307" s="81"/>
    </row>
    <row r="308" spans="13:13" x14ac:dyDescent="0.35">
      <c r="M308" s="81"/>
    </row>
    <row r="309" spans="13:13" x14ac:dyDescent="0.35">
      <c r="M309" s="81"/>
    </row>
    <row r="310" spans="13:13" x14ac:dyDescent="0.35">
      <c r="M310" s="81"/>
    </row>
    <row r="311" spans="13:13" x14ac:dyDescent="0.35">
      <c r="M311" s="81"/>
    </row>
    <row r="312" spans="13:13" x14ac:dyDescent="0.35">
      <c r="M312" s="81"/>
    </row>
    <row r="313" spans="13:13" x14ac:dyDescent="0.35">
      <c r="M313" s="81"/>
    </row>
    <row r="314" spans="13:13" x14ac:dyDescent="0.35">
      <c r="M314" s="81"/>
    </row>
    <row r="315" spans="13:13" x14ac:dyDescent="0.35">
      <c r="M315" s="81"/>
    </row>
    <row r="316" spans="13:13" x14ac:dyDescent="0.35">
      <c r="M316" s="81"/>
    </row>
    <row r="317" spans="13:13" x14ac:dyDescent="0.35">
      <c r="M317" s="81"/>
    </row>
    <row r="318" spans="13:13" x14ac:dyDescent="0.35">
      <c r="M318" s="81"/>
    </row>
    <row r="319" spans="13:13" x14ac:dyDescent="0.35">
      <c r="M319" s="81"/>
    </row>
    <row r="320" spans="13:13" x14ac:dyDescent="0.35">
      <c r="M320" s="81"/>
    </row>
    <row r="321" spans="13:13" x14ac:dyDescent="0.35">
      <c r="M321" s="81"/>
    </row>
    <row r="322" spans="13:13" x14ac:dyDescent="0.35">
      <c r="M322" s="81"/>
    </row>
    <row r="323" spans="13:13" x14ac:dyDescent="0.35">
      <c r="M323" s="81"/>
    </row>
    <row r="324" spans="13:13" x14ac:dyDescent="0.35">
      <c r="M324" s="81"/>
    </row>
    <row r="325" spans="13:13" x14ac:dyDescent="0.35">
      <c r="M325" s="81"/>
    </row>
    <row r="326" spans="13:13" x14ac:dyDescent="0.35">
      <c r="M326" s="81"/>
    </row>
    <row r="327" spans="13:13" x14ac:dyDescent="0.35">
      <c r="M327" s="81"/>
    </row>
    <row r="328" spans="13:13" x14ac:dyDescent="0.35">
      <c r="M328" s="81"/>
    </row>
    <row r="329" spans="13:13" x14ac:dyDescent="0.35">
      <c r="M329" s="81"/>
    </row>
    <row r="330" spans="13:13" x14ac:dyDescent="0.35">
      <c r="M330" s="81"/>
    </row>
    <row r="331" spans="13:13" x14ac:dyDescent="0.35">
      <c r="M331" s="81"/>
    </row>
    <row r="332" spans="13:13" x14ac:dyDescent="0.35">
      <c r="M332" s="81"/>
    </row>
    <row r="333" spans="13:13" x14ac:dyDescent="0.35">
      <c r="M333" s="81"/>
    </row>
    <row r="334" spans="13:13" x14ac:dyDescent="0.35">
      <c r="M334" s="81"/>
    </row>
    <row r="335" spans="13:13" x14ac:dyDescent="0.35">
      <c r="M335" s="81"/>
    </row>
    <row r="336" spans="13:13" x14ac:dyDescent="0.35">
      <c r="M336" s="81"/>
    </row>
    <row r="337" spans="13:13" x14ac:dyDescent="0.35">
      <c r="M337" s="81"/>
    </row>
    <row r="338" spans="13:13" x14ac:dyDescent="0.35">
      <c r="M338" s="81"/>
    </row>
    <row r="339" spans="13:13" x14ac:dyDescent="0.35">
      <c r="M339" s="81"/>
    </row>
    <row r="340" spans="13:13" x14ac:dyDescent="0.35">
      <c r="M340" s="81"/>
    </row>
    <row r="341" spans="13:13" x14ac:dyDescent="0.35">
      <c r="M341" s="81"/>
    </row>
    <row r="342" spans="13:13" x14ac:dyDescent="0.35">
      <c r="M342" s="81"/>
    </row>
    <row r="343" spans="13:13" x14ac:dyDescent="0.35">
      <c r="M343" s="81"/>
    </row>
    <row r="344" spans="13:13" x14ac:dyDescent="0.35">
      <c r="M344" s="81"/>
    </row>
    <row r="345" spans="13:13" x14ac:dyDescent="0.35">
      <c r="M345" s="81"/>
    </row>
    <row r="346" spans="13:13" x14ac:dyDescent="0.35">
      <c r="M346" s="81"/>
    </row>
    <row r="347" spans="13:13" x14ac:dyDescent="0.35">
      <c r="M347" s="81"/>
    </row>
    <row r="348" spans="13:13" x14ac:dyDescent="0.35">
      <c r="M348" s="81"/>
    </row>
    <row r="349" spans="13:13" x14ac:dyDescent="0.35">
      <c r="M349" s="81"/>
    </row>
    <row r="350" spans="13:13" x14ac:dyDescent="0.35">
      <c r="M350" s="81"/>
    </row>
    <row r="351" spans="13:13" x14ac:dyDescent="0.35">
      <c r="M351" s="81"/>
    </row>
    <row r="352" spans="13:13" x14ac:dyDescent="0.35">
      <c r="M352" s="81"/>
    </row>
    <row r="353" spans="13:13" x14ac:dyDescent="0.35">
      <c r="M353" s="81"/>
    </row>
    <row r="354" spans="13:13" x14ac:dyDescent="0.35">
      <c r="M354" s="81"/>
    </row>
    <row r="355" spans="13:13" x14ac:dyDescent="0.35">
      <c r="M355" s="81"/>
    </row>
    <row r="356" spans="13:13" x14ac:dyDescent="0.35">
      <c r="M356" s="81"/>
    </row>
    <row r="357" spans="13:13" x14ac:dyDescent="0.35">
      <c r="M357" s="81"/>
    </row>
    <row r="358" spans="13:13" x14ac:dyDescent="0.35">
      <c r="M358" s="81"/>
    </row>
    <row r="359" spans="13:13" x14ac:dyDescent="0.35">
      <c r="M359" s="81"/>
    </row>
    <row r="360" spans="13:13" x14ac:dyDescent="0.35">
      <c r="M360" s="81"/>
    </row>
    <row r="361" spans="13:13" x14ac:dyDescent="0.35">
      <c r="M361" s="81"/>
    </row>
    <row r="362" spans="13:13" x14ac:dyDescent="0.35">
      <c r="M362" s="81"/>
    </row>
    <row r="363" spans="13:13" x14ac:dyDescent="0.35">
      <c r="M363" s="81"/>
    </row>
    <row r="364" spans="13:13" x14ac:dyDescent="0.35">
      <c r="M364" s="81"/>
    </row>
    <row r="365" spans="13:13" x14ac:dyDescent="0.35">
      <c r="M365" s="81"/>
    </row>
    <row r="366" spans="13:13" x14ac:dyDescent="0.35">
      <c r="M366" s="81"/>
    </row>
    <row r="367" spans="13:13" x14ac:dyDescent="0.35">
      <c r="M367" s="81"/>
    </row>
    <row r="368" spans="13:13" x14ac:dyDescent="0.35">
      <c r="M368" s="81"/>
    </row>
    <row r="369" spans="13:13" x14ac:dyDescent="0.35">
      <c r="M369" s="81"/>
    </row>
    <row r="370" spans="13:13" x14ac:dyDescent="0.35">
      <c r="M370" s="81"/>
    </row>
    <row r="371" spans="13:13" x14ac:dyDescent="0.35">
      <c r="M371" s="81"/>
    </row>
    <row r="372" spans="13:13" x14ac:dyDescent="0.35">
      <c r="M372" s="81"/>
    </row>
    <row r="373" spans="13:13" x14ac:dyDescent="0.35">
      <c r="M373" s="81"/>
    </row>
    <row r="374" spans="13:13" x14ac:dyDescent="0.35">
      <c r="M374" s="81"/>
    </row>
    <row r="375" spans="13:13" x14ac:dyDescent="0.35">
      <c r="M375" s="81"/>
    </row>
    <row r="376" spans="13:13" x14ac:dyDescent="0.35">
      <c r="M376" s="81"/>
    </row>
    <row r="377" spans="13:13" x14ac:dyDescent="0.35">
      <c r="M377" s="81"/>
    </row>
    <row r="378" spans="13:13" x14ac:dyDescent="0.35">
      <c r="M378" s="81"/>
    </row>
    <row r="379" spans="13:13" x14ac:dyDescent="0.35">
      <c r="M379" s="81"/>
    </row>
    <row r="380" spans="13:13" x14ac:dyDescent="0.35">
      <c r="M380" s="81"/>
    </row>
    <row r="381" spans="13:13" x14ac:dyDescent="0.35">
      <c r="M381" s="81"/>
    </row>
    <row r="382" spans="13:13" x14ac:dyDescent="0.35">
      <c r="M382" s="81"/>
    </row>
    <row r="383" spans="13:13" x14ac:dyDescent="0.35">
      <c r="M383" s="81"/>
    </row>
    <row r="384" spans="13:13" x14ac:dyDescent="0.35">
      <c r="M384" s="81"/>
    </row>
    <row r="385" spans="13:13" x14ac:dyDescent="0.35">
      <c r="M385" s="81"/>
    </row>
    <row r="386" spans="13:13" x14ac:dyDescent="0.35">
      <c r="M386" s="81"/>
    </row>
    <row r="387" spans="13:13" x14ac:dyDescent="0.35">
      <c r="M387" s="81"/>
    </row>
    <row r="388" spans="13:13" x14ac:dyDescent="0.35">
      <c r="M388" s="81"/>
    </row>
    <row r="389" spans="13:13" x14ac:dyDescent="0.35">
      <c r="M389" s="81"/>
    </row>
    <row r="390" spans="13:13" x14ac:dyDescent="0.35">
      <c r="M390" s="81"/>
    </row>
    <row r="391" spans="13:13" x14ac:dyDescent="0.35">
      <c r="M391" s="81"/>
    </row>
    <row r="392" spans="13:13" x14ac:dyDescent="0.35">
      <c r="M392" s="81"/>
    </row>
    <row r="393" spans="13:13" x14ac:dyDescent="0.35">
      <c r="M393" s="81"/>
    </row>
    <row r="394" spans="13:13" x14ac:dyDescent="0.35">
      <c r="M394" s="81"/>
    </row>
    <row r="395" spans="13:13" x14ac:dyDescent="0.35">
      <c r="M395" s="81"/>
    </row>
    <row r="396" spans="13:13" x14ac:dyDescent="0.35">
      <c r="M396" s="81"/>
    </row>
    <row r="397" spans="13:13" x14ac:dyDescent="0.35">
      <c r="M397" s="81"/>
    </row>
    <row r="398" spans="13:13" x14ac:dyDescent="0.35">
      <c r="M398" s="81"/>
    </row>
    <row r="399" spans="13:13" x14ac:dyDescent="0.35">
      <c r="M399" s="81"/>
    </row>
    <row r="400" spans="13:13" x14ac:dyDescent="0.35">
      <c r="M400" s="81"/>
    </row>
    <row r="401" spans="13:13" x14ac:dyDescent="0.35">
      <c r="M401" s="81"/>
    </row>
    <row r="402" spans="13:13" x14ac:dyDescent="0.35">
      <c r="M402" s="81"/>
    </row>
    <row r="403" spans="13:13" x14ac:dyDescent="0.35">
      <c r="M403" s="81"/>
    </row>
    <row r="404" spans="13:13" x14ac:dyDescent="0.35">
      <c r="M404" s="81"/>
    </row>
    <row r="405" spans="13:13" x14ac:dyDescent="0.35">
      <c r="M405" s="81"/>
    </row>
    <row r="406" spans="13:13" x14ac:dyDescent="0.35">
      <c r="M406" s="81"/>
    </row>
    <row r="407" spans="13:13" x14ac:dyDescent="0.35">
      <c r="M407" s="81"/>
    </row>
    <row r="408" spans="13:13" x14ac:dyDescent="0.35">
      <c r="M408" s="81"/>
    </row>
    <row r="409" spans="13:13" x14ac:dyDescent="0.35">
      <c r="M409" s="81"/>
    </row>
    <row r="410" spans="13:13" x14ac:dyDescent="0.35">
      <c r="M410" s="81"/>
    </row>
    <row r="411" spans="13:13" x14ac:dyDescent="0.35">
      <c r="M411" s="81"/>
    </row>
    <row r="412" spans="13:13" x14ac:dyDescent="0.35">
      <c r="M412" s="81"/>
    </row>
    <row r="413" spans="13:13" x14ac:dyDescent="0.35">
      <c r="M413" s="81"/>
    </row>
    <row r="414" spans="13:13" x14ac:dyDescent="0.35">
      <c r="M414" s="81"/>
    </row>
    <row r="415" spans="13:13" x14ac:dyDescent="0.35">
      <c r="M415" s="81"/>
    </row>
    <row r="416" spans="13:13" x14ac:dyDescent="0.35">
      <c r="M416" s="81"/>
    </row>
    <row r="417" spans="13:13" x14ac:dyDescent="0.35">
      <c r="M417" s="81"/>
    </row>
    <row r="418" spans="13:13" x14ac:dyDescent="0.35">
      <c r="M418" s="81"/>
    </row>
    <row r="419" spans="13:13" x14ac:dyDescent="0.35">
      <c r="M419" s="81"/>
    </row>
    <row r="420" spans="13:13" x14ac:dyDescent="0.35">
      <c r="M420" s="81"/>
    </row>
    <row r="421" spans="13:13" x14ac:dyDescent="0.35">
      <c r="M421" s="81"/>
    </row>
    <row r="422" spans="13:13" x14ac:dyDescent="0.35">
      <c r="M422" s="81"/>
    </row>
    <row r="423" spans="13:13" x14ac:dyDescent="0.35">
      <c r="M423" s="81"/>
    </row>
    <row r="424" spans="13:13" x14ac:dyDescent="0.35">
      <c r="M424" s="81"/>
    </row>
    <row r="425" spans="13:13" x14ac:dyDescent="0.35">
      <c r="M425" s="81"/>
    </row>
    <row r="426" spans="13:13" x14ac:dyDescent="0.35">
      <c r="M426" s="81"/>
    </row>
    <row r="427" spans="13:13" x14ac:dyDescent="0.35">
      <c r="M427" s="81"/>
    </row>
    <row r="428" spans="13:13" x14ac:dyDescent="0.35">
      <c r="M428" s="81"/>
    </row>
    <row r="429" spans="13:13" x14ac:dyDescent="0.35">
      <c r="M429" s="81"/>
    </row>
    <row r="430" spans="13:13" x14ac:dyDescent="0.35">
      <c r="M430" s="81"/>
    </row>
    <row r="431" spans="13:13" x14ac:dyDescent="0.35">
      <c r="M431" s="81"/>
    </row>
    <row r="432" spans="13:13" x14ac:dyDescent="0.35">
      <c r="M432" s="81"/>
    </row>
    <row r="433" spans="13:13" x14ac:dyDescent="0.35">
      <c r="M433" s="81"/>
    </row>
    <row r="434" spans="13:13" x14ac:dyDescent="0.35">
      <c r="M434" s="81"/>
    </row>
    <row r="435" spans="13:13" x14ac:dyDescent="0.35">
      <c r="M435" s="81"/>
    </row>
    <row r="436" spans="13:13" x14ac:dyDescent="0.35">
      <c r="M436" s="81"/>
    </row>
    <row r="437" spans="13:13" x14ac:dyDescent="0.35">
      <c r="M437" s="81"/>
    </row>
    <row r="438" spans="13:13" x14ac:dyDescent="0.35">
      <c r="M438" s="81"/>
    </row>
    <row r="439" spans="13:13" x14ac:dyDescent="0.35">
      <c r="M439" s="81"/>
    </row>
    <row r="440" spans="13:13" x14ac:dyDescent="0.35">
      <c r="M440" s="81"/>
    </row>
    <row r="441" spans="13:13" x14ac:dyDescent="0.35">
      <c r="M441" s="81"/>
    </row>
    <row r="442" spans="13:13" x14ac:dyDescent="0.35">
      <c r="M442" s="81"/>
    </row>
    <row r="443" spans="13:13" x14ac:dyDescent="0.35">
      <c r="M443" s="81"/>
    </row>
    <row r="444" spans="13:13" x14ac:dyDescent="0.35">
      <c r="M444" s="81"/>
    </row>
    <row r="445" spans="13:13" x14ac:dyDescent="0.35">
      <c r="M445" s="81"/>
    </row>
    <row r="446" spans="13:13" x14ac:dyDescent="0.35">
      <c r="M446" s="81"/>
    </row>
    <row r="447" spans="13:13" x14ac:dyDescent="0.35">
      <c r="M447" s="81"/>
    </row>
    <row r="448" spans="13:13" x14ac:dyDescent="0.35">
      <c r="M448" s="81"/>
    </row>
    <row r="449" spans="13:13" x14ac:dyDescent="0.35">
      <c r="M449" s="81"/>
    </row>
    <row r="450" spans="13:13" x14ac:dyDescent="0.35">
      <c r="M450" s="81"/>
    </row>
    <row r="451" spans="13:13" x14ac:dyDescent="0.35">
      <c r="M451" s="81"/>
    </row>
    <row r="452" spans="13:13" x14ac:dyDescent="0.35">
      <c r="M452" s="81"/>
    </row>
    <row r="453" spans="13:13" x14ac:dyDescent="0.35">
      <c r="M453" s="81"/>
    </row>
    <row r="454" spans="13:13" x14ac:dyDescent="0.35">
      <c r="M454" s="81"/>
    </row>
    <row r="455" spans="13:13" x14ac:dyDescent="0.35">
      <c r="M455" s="81"/>
    </row>
    <row r="456" spans="13:13" x14ac:dyDescent="0.35">
      <c r="M456" s="81"/>
    </row>
    <row r="457" spans="13:13" x14ac:dyDescent="0.35">
      <c r="M457" s="81"/>
    </row>
    <row r="458" spans="13:13" x14ac:dyDescent="0.35">
      <c r="M458" s="81"/>
    </row>
    <row r="459" spans="13:13" x14ac:dyDescent="0.35">
      <c r="M459" s="81"/>
    </row>
    <row r="460" spans="13:13" x14ac:dyDescent="0.35">
      <c r="M460" s="81"/>
    </row>
    <row r="461" spans="13:13" x14ac:dyDescent="0.35">
      <c r="M461" s="81"/>
    </row>
    <row r="462" spans="13:13" x14ac:dyDescent="0.35">
      <c r="M462" s="81"/>
    </row>
    <row r="463" spans="13:13" x14ac:dyDescent="0.35">
      <c r="M463" s="81"/>
    </row>
    <row r="464" spans="13:13" x14ac:dyDescent="0.35">
      <c r="M464" s="81"/>
    </row>
    <row r="465" spans="13:13" x14ac:dyDescent="0.35">
      <c r="M465" s="81"/>
    </row>
    <row r="466" spans="13:13" x14ac:dyDescent="0.35">
      <c r="M466" s="81"/>
    </row>
    <row r="467" spans="13:13" x14ac:dyDescent="0.35">
      <c r="M467" s="81"/>
    </row>
    <row r="468" spans="13:13" x14ac:dyDescent="0.35">
      <c r="M468" s="81"/>
    </row>
    <row r="469" spans="13:13" x14ac:dyDescent="0.35">
      <c r="M469" s="81"/>
    </row>
    <row r="470" spans="13:13" x14ac:dyDescent="0.35">
      <c r="M470" s="81"/>
    </row>
    <row r="471" spans="13:13" x14ac:dyDescent="0.35">
      <c r="M471" s="81"/>
    </row>
    <row r="472" spans="13:13" x14ac:dyDescent="0.35">
      <c r="M472" s="81"/>
    </row>
    <row r="473" spans="13:13" x14ac:dyDescent="0.35">
      <c r="M473" s="81"/>
    </row>
    <row r="474" spans="13:13" x14ac:dyDescent="0.35">
      <c r="M474" s="81"/>
    </row>
    <row r="475" spans="13:13" x14ac:dyDescent="0.35">
      <c r="M475" s="81"/>
    </row>
    <row r="476" spans="13:13" x14ac:dyDescent="0.35">
      <c r="M476" s="81"/>
    </row>
    <row r="477" spans="13:13" x14ac:dyDescent="0.35">
      <c r="M477" s="81"/>
    </row>
    <row r="478" spans="13:13" x14ac:dyDescent="0.35">
      <c r="M478" s="81"/>
    </row>
    <row r="479" spans="13:13" x14ac:dyDescent="0.35">
      <c r="M479" s="81"/>
    </row>
    <row r="480" spans="13:13" x14ac:dyDescent="0.35">
      <c r="M480" s="81"/>
    </row>
    <row r="481" spans="13:13" x14ac:dyDescent="0.35">
      <c r="M481" s="81"/>
    </row>
    <row r="482" spans="13:13" x14ac:dyDescent="0.35">
      <c r="M482" s="81"/>
    </row>
    <row r="483" spans="13:13" x14ac:dyDescent="0.35">
      <c r="M483" s="81"/>
    </row>
    <row r="484" spans="13:13" x14ac:dyDescent="0.35">
      <c r="M484" s="81"/>
    </row>
    <row r="485" spans="13:13" x14ac:dyDescent="0.35">
      <c r="M485" s="81"/>
    </row>
    <row r="486" spans="13:13" x14ac:dyDescent="0.35">
      <c r="M486" s="81"/>
    </row>
    <row r="487" spans="13:13" x14ac:dyDescent="0.35">
      <c r="M487" s="81"/>
    </row>
    <row r="488" spans="13:13" x14ac:dyDescent="0.35">
      <c r="M488" s="81"/>
    </row>
    <row r="489" spans="13:13" x14ac:dyDescent="0.35">
      <c r="M489" s="81"/>
    </row>
    <row r="490" spans="13:13" x14ac:dyDescent="0.35">
      <c r="M490" s="81"/>
    </row>
    <row r="491" spans="13:13" x14ac:dyDescent="0.35">
      <c r="M491" s="81"/>
    </row>
    <row r="492" spans="13:13" x14ac:dyDescent="0.35">
      <c r="M492" s="81"/>
    </row>
    <row r="493" spans="13:13" x14ac:dyDescent="0.35">
      <c r="M493" s="81"/>
    </row>
    <row r="494" spans="13:13" x14ac:dyDescent="0.35">
      <c r="M494" s="81"/>
    </row>
    <row r="495" spans="13:13" x14ac:dyDescent="0.35">
      <c r="M495" s="81"/>
    </row>
    <row r="496" spans="13:13" x14ac:dyDescent="0.35">
      <c r="M496" s="81"/>
    </row>
    <row r="497" spans="13:13" x14ac:dyDescent="0.35">
      <c r="M497" s="81"/>
    </row>
    <row r="498" spans="13:13" x14ac:dyDescent="0.35">
      <c r="M498" s="81"/>
    </row>
    <row r="499" spans="13:13" x14ac:dyDescent="0.35">
      <c r="M499" s="81"/>
    </row>
    <row r="500" spans="13:13" x14ac:dyDescent="0.35">
      <c r="M500" s="81"/>
    </row>
    <row r="501" spans="13:13" x14ac:dyDescent="0.35">
      <c r="M501" s="81"/>
    </row>
    <row r="502" spans="13:13" x14ac:dyDescent="0.35">
      <c r="M502" s="81"/>
    </row>
    <row r="503" spans="13:13" x14ac:dyDescent="0.35">
      <c r="M503" s="81"/>
    </row>
    <row r="504" spans="13:13" x14ac:dyDescent="0.35">
      <c r="M504" s="81"/>
    </row>
    <row r="505" spans="13:13" x14ac:dyDescent="0.35">
      <c r="M505" s="81"/>
    </row>
    <row r="506" spans="13:13" x14ac:dyDescent="0.35">
      <c r="M506" s="81"/>
    </row>
    <row r="507" spans="13:13" x14ac:dyDescent="0.35">
      <c r="M507" s="81"/>
    </row>
    <row r="508" spans="13:13" x14ac:dyDescent="0.35">
      <c r="M508" s="81"/>
    </row>
    <row r="509" spans="13:13" x14ac:dyDescent="0.35">
      <c r="M509" s="81"/>
    </row>
    <row r="510" spans="13:13" x14ac:dyDescent="0.35">
      <c r="M510" s="81"/>
    </row>
    <row r="511" spans="13:13" x14ac:dyDescent="0.35">
      <c r="M511" s="81"/>
    </row>
    <row r="512" spans="13:13" x14ac:dyDescent="0.35">
      <c r="M512" s="81"/>
    </row>
    <row r="513" spans="13:13" x14ac:dyDescent="0.35">
      <c r="M513" s="81"/>
    </row>
    <row r="514" spans="13:13" x14ac:dyDescent="0.35">
      <c r="M514" s="81"/>
    </row>
    <row r="515" spans="13:13" x14ac:dyDescent="0.35">
      <c r="M515" s="81"/>
    </row>
    <row r="516" spans="13:13" x14ac:dyDescent="0.35">
      <c r="M516" s="81"/>
    </row>
    <row r="517" spans="13:13" x14ac:dyDescent="0.35">
      <c r="M517" s="81"/>
    </row>
    <row r="518" spans="13:13" x14ac:dyDescent="0.35">
      <c r="M518" s="81"/>
    </row>
    <row r="519" spans="13:13" x14ac:dyDescent="0.35">
      <c r="M519" s="81"/>
    </row>
    <row r="520" spans="13:13" x14ac:dyDescent="0.35">
      <c r="M520" s="81"/>
    </row>
    <row r="521" spans="13:13" x14ac:dyDescent="0.35">
      <c r="M521" s="81"/>
    </row>
    <row r="522" spans="13:13" x14ac:dyDescent="0.35">
      <c r="M522" s="81"/>
    </row>
    <row r="523" spans="13:13" x14ac:dyDescent="0.35">
      <c r="M523" s="81"/>
    </row>
    <row r="524" spans="13:13" x14ac:dyDescent="0.35">
      <c r="M524" s="81"/>
    </row>
    <row r="525" spans="13:13" x14ac:dyDescent="0.35">
      <c r="M525" s="81"/>
    </row>
    <row r="526" spans="13:13" x14ac:dyDescent="0.35">
      <c r="M526" s="81"/>
    </row>
    <row r="527" spans="13:13" x14ac:dyDescent="0.35">
      <c r="M527" s="81"/>
    </row>
    <row r="528" spans="13:13" x14ac:dyDescent="0.35">
      <c r="M528" s="81"/>
    </row>
    <row r="529" spans="13:13" x14ac:dyDescent="0.35">
      <c r="M529" s="81"/>
    </row>
    <row r="530" spans="13:13" x14ac:dyDescent="0.35">
      <c r="M530" s="81"/>
    </row>
    <row r="531" spans="13:13" x14ac:dyDescent="0.35">
      <c r="M531" s="81"/>
    </row>
    <row r="532" spans="13:13" x14ac:dyDescent="0.35">
      <c r="M532" s="81"/>
    </row>
    <row r="533" spans="13:13" x14ac:dyDescent="0.35">
      <c r="M533" s="81"/>
    </row>
    <row r="534" spans="13:13" x14ac:dyDescent="0.35">
      <c r="M534" s="81"/>
    </row>
    <row r="535" spans="13:13" x14ac:dyDescent="0.35">
      <c r="M535" s="81"/>
    </row>
    <row r="536" spans="13:13" x14ac:dyDescent="0.35">
      <c r="M536" s="81"/>
    </row>
    <row r="537" spans="13:13" x14ac:dyDescent="0.35">
      <c r="M537" s="81"/>
    </row>
    <row r="538" spans="13:13" x14ac:dyDescent="0.35">
      <c r="M538" s="81"/>
    </row>
    <row r="539" spans="13:13" x14ac:dyDescent="0.35">
      <c r="M539" s="81"/>
    </row>
    <row r="540" spans="13:13" x14ac:dyDescent="0.35">
      <c r="M540" s="81"/>
    </row>
    <row r="541" spans="13:13" x14ac:dyDescent="0.35">
      <c r="M541" s="81"/>
    </row>
    <row r="542" spans="13:13" x14ac:dyDescent="0.35">
      <c r="M542" s="81"/>
    </row>
    <row r="543" spans="13:13" x14ac:dyDescent="0.35">
      <c r="M543" s="81"/>
    </row>
    <row r="544" spans="13:13" x14ac:dyDescent="0.35">
      <c r="M544" s="81"/>
    </row>
    <row r="545" spans="13:13" x14ac:dyDescent="0.35">
      <c r="M545" s="81"/>
    </row>
    <row r="546" spans="13:13" x14ac:dyDescent="0.35">
      <c r="M546" s="81"/>
    </row>
    <row r="547" spans="13:13" x14ac:dyDescent="0.35">
      <c r="M547" s="81"/>
    </row>
    <row r="548" spans="13:13" x14ac:dyDescent="0.35">
      <c r="M548" s="81"/>
    </row>
    <row r="549" spans="13:13" x14ac:dyDescent="0.35">
      <c r="M549" s="81"/>
    </row>
    <row r="550" spans="13:13" x14ac:dyDescent="0.35">
      <c r="M550" s="81"/>
    </row>
    <row r="551" spans="13:13" x14ac:dyDescent="0.35">
      <c r="M551" s="81"/>
    </row>
    <row r="552" spans="13:13" x14ac:dyDescent="0.35">
      <c r="M552" s="81"/>
    </row>
    <row r="553" spans="13:13" x14ac:dyDescent="0.35">
      <c r="M553" s="81"/>
    </row>
    <row r="554" spans="13:13" x14ac:dyDescent="0.35">
      <c r="M554" s="81"/>
    </row>
    <row r="555" spans="13:13" x14ac:dyDescent="0.35">
      <c r="M555" s="81"/>
    </row>
    <row r="556" spans="13:13" x14ac:dyDescent="0.35">
      <c r="M556" s="81"/>
    </row>
    <row r="557" spans="13:13" x14ac:dyDescent="0.35">
      <c r="M557" s="81"/>
    </row>
    <row r="558" spans="13:13" x14ac:dyDescent="0.35">
      <c r="M558" s="81"/>
    </row>
    <row r="559" spans="13:13" x14ac:dyDescent="0.35">
      <c r="M559" s="81"/>
    </row>
    <row r="560" spans="13:13" x14ac:dyDescent="0.35">
      <c r="M560" s="81"/>
    </row>
    <row r="561" spans="13:13" x14ac:dyDescent="0.35">
      <c r="M561" s="81"/>
    </row>
    <row r="562" spans="13:13" x14ac:dyDescent="0.35">
      <c r="M562" s="81"/>
    </row>
    <row r="563" spans="13:13" x14ac:dyDescent="0.35">
      <c r="M563" s="81"/>
    </row>
    <row r="564" spans="13:13" x14ac:dyDescent="0.35">
      <c r="M564" s="81"/>
    </row>
    <row r="565" spans="13:13" x14ac:dyDescent="0.35">
      <c r="M565" s="81"/>
    </row>
    <row r="566" spans="13:13" x14ac:dyDescent="0.35">
      <c r="M566" s="81"/>
    </row>
    <row r="567" spans="13:13" x14ac:dyDescent="0.35">
      <c r="M567" s="81"/>
    </row>
    <row r="568" spans="13:13" x14ac:dyDescent="0.35">
      <c r="M568" s="81"/>
    </row>
    <row r="569" spans="13:13" x14ac:dyDescent="0.35">
      <c r="M569" s="81"/>
    </row>
    <row r="570" spans="13:13" x14ac:dyDescent="0.35">
      <c r="M570" s="81"/>
    </row>
    <row r="571" spans="13:13" x14ac:dyDescent="0.35">
      <c r="M571" s="81"/>
    </row>
    <row r="572" spans="13:13" x14ac:dyDescent="0.35">
      <c r="M572" s="81"/>
    </row>
    <row r="573" spans="13:13" x14ac:dyDescent="0.35">
      <c r="M573" s="81"/>
    </row>
    <row r="574" spans="13:13" x14ac:dyDescent="0.35">
      <c r="M574" s="81"/>
    </row>
    <row r="575" spans="13:13" x14ac:dyDescent="0.35">
      <c r="M575" s="81"/>
    </row>
    <row r="576" spans="13:13" x14ac:dyDescent="0.35">
      <c r="M576" s="81"/>
    </row>
    <row r="577" spans="13:13" x14ac:dyDescent="0.35">
      <c r="M577" s="81"/>
    </row>
    <row r="578" spans="13:13" x14ac:dyDescent="0.35">
      <c r="M578" s="81"/>
    </row>
    <row r="579" spans="13:13" x14ac:dyDescent="0.35">
      <c r="M579" s="81"/>
    </row>
    <row r="580" spans="13:13" x14ac:dyDescent="0.35">
      <c r="M580" s="81"/>
    </row>
    <row r="581" spans="13:13" x14ac:dyDescent="0.35">
      <c r="M581" s="81"/>
    </row>
    <row r="582" spans="13:13" x14ac:dyDescent="0.35">
      <c r="M582" s="81"/>
    </row>
    <row r="583" spans="13:13" x14ac:dyDescent="0.35">
      <c r="M583" s="81"/>
    </row>
    <row r="584" spans="13:13" x14ac:dyDescent="0.35">
      <c r="M584" s="81"/>
    </row>
    <row r="585" spans="13:13" x14ac:dyDescent="0.35">
      <c r="M585" s="81"/>
    </row>
    <row r="586" spans="13:13" x14ac:dyDescent="0.35">
      <c r="M586" s="81"/>
    </row>
    <row r="587" spans="13:13" x14ac:dyDescent="0.35">
      <c r="M587" s="81"/>
    </row>
    <row r="588" spans="13:13" x14ac:dyDescent="0.35">
      <c r="M588" s="81"/>
    </row>
    <row r="589" spans="13:13" x14ac:dyDescent="0.35">
      <c r="M589" s="81"/>
    </row>
    <row r="590" spans="13:13" x14ac:dyDescent="0.35">
      <c r="M590" s="81"/>
    </row>
    <row r="591" spans="13:13" x14ac:dyDescent="0.35">
      <c r="M591" s="81"/>
    </row>
    <row r="592" spans="13:13" x14ac:dyDescent="0.35">
      <c r="M592" s="81"/>
    </row>
    <row r="593" spans="13:13" x14ac:dyDescent="0.35">
      <c r="M593" s="81"/>
    </row>
    <row r="594" spans="13:13" x14ac:dyDescent="0.35">
      <c r="M594" s="81"/>
    </row>
    <row r="595" spans="13:13" x14ac:dyDescent="0.35">
      <c r="M595" s="81"/>
    </row>
    <row r="596" spans="13:13" x14ac:dyDescent="0.35">
      <c r="M596" s="81"/>
    </row>
    <row r="597" spans="13:13" x14ac:dyDescent="0.35">
      <c r="M597" s="81"/>
    </row>
    <row r="598" spans="13:13" x14ac:dyDescent="0.35">
      <c r="M598" s="81"/>
    </row>
    <row r="599" spans="13:13" x14ac:dyDescent="0.35">
      <c r="M599" s="81"/>
    </row>
    <row r="600" spans="13:13" x14ac:dyDescent="0.35">
      <c r="M600" s="81"/>
    </row>
    <row r="601" spans="13:13" x14ac:dyDescent="0.35">
      <c r="M601" s="81"/>
    </row>
    <row r="602" spans="13:13" x14ac:dyDescent="0.35">
      <c r="M602" s="81"/>
    </row>
    <row r="603" spans="13:13" x14ac:dyDescent="0.35">
      <c r="M603" s="81"/>
    </row>
    <row r="604" spans="13:13" x14ac:dyDescent="0.35">
      <c r="M604" s="81"/>
    </row>
    <row r="605" spans="13:13" x14ac:dyDescent="0.35">
      <c r="M605" s="81"/>
    </row>
    <row r="606" spans="13:13" x14ac:dyDescent="0.35">
      <c r="M606" s="81"/>
    </row>
    <row r="607" spans="13:13" x14ac:dyDescent="0.35">
      <c r="M607" s="81"/>
    </row>
    <row r="608" spans="13:13" x14ac:dyDescent="0.35">
      <c r="M608" s="81"/>
    </row>
    <row r="609" spans="13:13" x14ac:dyDescent="0.35">
      <c r="M609" s="81"/>
    </row>
    <row r="610" spans="13:13" x14ac:dyDescent="0.35">
      <c r="M610" s="81"/>
    </row>
    <row r="611" spans="13:13" x14ac:dyDescent="0.35">
      <c r="M611" s="81"/>
    </row>
    <row r="612" spans="13:13" x14ac:dyDescent="0.35">
      <c r="M612" s="81"/>
    </row>
    <row r="613" spans="13:13" x14ac:dyDescent="0.35">
      <c r="M613" s="81"/>
    </row>
    <row r="614" spans="13:13" x14ac:dyDescent="0.35">
      <c r="M614" s="81"/>
    </row>
    <row r="615" spans="13:13" x14ac:dyDescent="0.35">
      <c r="M615" s="81"/>
    </row>
    <row r="616" spans="13:13" x14ac:dyDescent="0.35">
      <c r="M616" s="81"/>
    </row>
    <row r="617" spans="13:13" x14ac:dyDescent="0.35">
      <c r="M617" s="81"/>
    </row>
    <row r="618" spans="13:13" x14ac:dyDescent="0.35">
      <c r="M618" s="81"/>
    </row>
    <row r="619" spans="13:13" x14ac:dyDescent="0.35">
      <c r="M619" s="81"/>
    </row>
    <row r="620" spans="13:13" x14ac:dyDescent="0.35">
      <c r="M620" s="81"/>
    </row>
    <row r="621" spans="13:13" x14ac:dyDescent="0.35">
      <c r="M621" s="81"/>
    </row>
    <row r="622" spans="13:13" x14ac:dyDescent="0.35">
      <c r="M622" s="81"/>
    </row>
    <row r="623" spans="13:13" x14ac:dyDescent="0.35">
      <c r="M623" s="81"/>
    </row>
    <row r="624" spans="13:13" x14ac:dyDescent="0.35">
      <c r="M624" s="81"/>
    </row>
    <row r="625" spans="13:13" x14ac:dyDescent="0.35">
      <c r="M625" s="81"/>
    </row>
    <row r="626" spans="13:13" x14ac:dyDescent="0.35">
      <c r="M626" s="81"/>
    </row>
    <row r="627" spans="13:13" x14ac:dyDescent="0.35">
      <c r="M627" s="81"/>
    </row>
    <row r="628" spans="13:13" x14ac:dyDescent="0.35">
      <c r="M628" s="81"/>
    </row>
    <row r="629" spans="13:13" x14ac:dyDescent="0.35">
      <c r="M629" s="81"/>
    </row>
    <row r="630" spans="13:13" x14ac:dyDescent="0.35">
      <c r="M630" s="81"/>
    </row>
    <row r="631" spans="13:13" x14ac:dyDescent="0.35">
      <c r="M631" s="81"/>
    </row>
    <row r="632" spans="13:13" x14ac:dyDescent="0.35">
      <c r="M632" s="81"/>
    </row>
    <row r="633" spans="13:13" x14ac:dyDescent="0.35">
      <c r="M633" s="81"/>
    </row>
    <row r="634" spans="13:13" x14ac:dyDescent="0.35">
      <c r="M634" s="81"/>
    </row>
    <row r="635" spans="13:13" x14ac:dyDescent="0.35">
      <c r="M635" s="81"/>
    </row>
    <row r="636" spans="13:13" x14ac:dyDescent="0.35">
      <c r="M636" s="81"/>
    </row>
    <row r="637" spans="13:13" x14ac:dyDescent="0.35">
      <c r="M637" s="81"/>
    </row>
    <row r="638" spans="13:13" x14ac:dyDescent="0.35">
      <c r="M638" s="81"/>
    </row>
    <row r="639" spans="13:13" x14ac:dyDescent="0.35">
      <c r="M639" s="81"/>
    </row>
    <row r="640" spans="13:13" x14ac:dyDescent="0.35">
      <c r="M640" s="81"/>
    </row>
    <row r="641" spans="13:13" x14ac:dyDescent="0.35">
      <c r="M641" s="81"/>
    </row>
    <row r="642" spans="13:13" x14ac:dyDescent="0.35">
      <c r="M642" s="81"/>
    </row>
    <row r="643" spans="13:13" x14ac:dyDescent="0.35">
      <c r="M643" s="81"/>
    </row>
    <row r="644" spans="13:13" x14ac:dyDescent="0.35">
      <c r="M644" s="81"/>
    </row>
    <row r="645" spans="13:13" x14ac:dyDescent="0.35">
      <c r="M645" s="81"/>
    </row>
    <row r="646" spans="13:13" x14ac:dyDescent="0.35">
      <c r="M646" s="81"/>
    </row>
    <row r="647" spans="13:13" x14ac:dyDescent="0.35">
      <c r="M647" s="81"/>
    </row>
    <row r="648" spans="13:13" x14ac:dyDescent="0.35">
      <c r="M648" s="81"/>
    </row>
    <row r="649" spans="13:13" x14ac:dyDescent="0.35">
      <c r="M649" s="81"/>
    </row>
    <row r="650" spans="13:13" x14ac:dyDescent="0.35">
      <c r="M650" s="81"/>
    </row>
    <row r="651" spans="13:13" x14ac:dyDescent="0.35">
      <c r="M651" s="81"/>
    </row>
    <row r="652" spans="13:13" x14ac:dyDescent="0.35">
      <c r="M652" s="81"/>
    </row>
    <row r="653" spans="13:13" x14ac:dyDescent="0.35">
      <c r="M653" s="81"/>
    </row>
    <row r="654" spans="13:13" x14ac:dyDescent="0.35">
      <c r="M654" s="81"/>
    </row>
    <row r="655" spans="13:13" x14ac:dyDescent="0.35">
      <c r="M655" s="81"/>
    </row>
    <row r="656" spans="13:13" x14ac:dyDescent="0.35">
      <c r="M656" s="81"/>
    </row>
    <row r="657" spans="13:13" x14ac:dyDescent="0.35">
      <c r="M657" s="81"/>
    </row>
    <row r="658" spans="13:13" x14ac:dyDescent="0.35">
      <c r="M658" s="81"/>
    </row>
    <row r="659" spans="13:13" x14ac:dyDescent="0.35">
      <c r="M659" s="81"/>
    </row>
    <row r="660" spans="13:13" x14ac:dyDescent="0.35">
      <c r="M660" s="81"/>
    </row>
    <row r="661" spans="13:13" x14ac:dyDescent="0.35">
      <c r="M661" s="81"/>
    </row>
    <row r="662" spans="13:13" x14ac:dyDescent="0.35">
      <c r="M662" s="81"/>
    </row>
    <row r="663" spans="13:13" x14ac:dyDescent="0.35">
      <c r="M663" s="81"/>
    </row>
    <row r="664" spans="13:13" x14ac:dyDescent="0.35">
      <c r="M664" s="81"/>
    </row>
    <row r="665" spans="13:13" x14ac:dyDescent="0.35">
      <c r="M665" s="81"/>
    </row>
    <row r="666" spans="13:13" x14ac:dyDescent="0.35">
      <c r="M666" s="81"/>
    </row>
    <row r="667" spans="13:13" x14ac:dyDescent="0.35">
      <c r="M667" s="81"/>
    </row>
    <row r="668" spans="13:13" x14ac:dyDescent="0.35">
      <c r="M668" s="81"/>
    </row>
    <row r="669" spans="13:13" x14ac:dyDescent="0.35">
      <c r="M669" s="81"/>
    </row>
    <row r="670" spans="13:13" x14ac:dyDescent="0.35">
      <c r="M670" s="81"/>
    </row>
    <row r="671" spans="13:13" x14ac:dyDescent="0.35">
      <c r="M671" s="81"/>
    </row>
    <row r="672" spans="13:13" x14ac:dyDescent="0.35">
      <c r="M672" s="81"/>
    </row>
    <row r="673" spans="13:13" x14ac:dyDescent="0.35">
      <c r="M673" s="81"/>
    </row>
    <row r="674" spans="13:13" x14ac:dyDescent="0.35">
      <c r="M674" s="81"/>
    </row>
    <row r="675" spans="13:13" x14ac:dyDescent="0.35">
      <c r="M675" s="81"/>
    </row>
    <row r="676" spans="13:13" x14ac:dyDescent="0.35">
      <c r="M676" s="81"/>
    </row>
    <row r="677" spans="13:13" x14ac:dyDescent="0.35">
      <c r="M677" s="81"/>
    </row>
    <row r="678" spans="13:13" x14ac:dyDescent="0.35">
      <c r="M678" s="81"/>
    </row>
    <row r="679" spans="13:13" x14ac:dyDescent="0.35">
      <c r="M679" s="81"/>
    </row>
    <row r="680" spans="13:13" x14ac:dyDescent="0.35">
      <c r="M680" s="81"/>
    </row>
    <row r="681" spans="13:13" x14ac:dyDescent="0.35">
      <c r="M681" s="81"/>
    </row>
    <row r="682" spans="13:13" x14ac:dyDescent="0.35">
      <c r="M682" s="81"/>
    </row>
    <row r="683" spans="13:13" x14ac:dyDescent="0.35">
      <c r="M683" s="81"/>
    </row>
    <row r="684" spans="13:13" x14ac:dyDescent="0.35">
      <c r="M684" s="81"/>
    </row>
    <row r="685" spans="13:13" x14ac:dyDescent="0.35">
      <c r="M685" s="81"/>
    </row>
    <row r="686" spans="13:13" x14ac:dyDescent="0.35">
      <c r="M686" s="81"/>
    </row>
    <row r="687" spans="13:13" x14ac:dyDescent="0.35">
      <c r="M687" s="81"/>
    </row>
    <row r="688" spans="13:13" x14ac:dyDescent="0.35">
      <c r="M688" s="81"/>
    </row>
    <row r="689" spans="13:13" x14ac:dyDescent="0.35">
      <c r="M689" s="81"/>
    </row>
    <row r="690" spans="13:13" x14ac:dyDescent="0.35">
      <c r="M690" s="81"/>
    </row>
    <row r="691" spans="13:13" x14ac:dyDescent="0.35">
      <c r="M691" s="81"/>
    </row>
    <row r="692" spans="13:13" x14ac:dyDescent="0.35">
      <c r="M692" s="81"/>
    </row>
    <row r="693" spans="13:13" x14ac:dyDescent="0.35">
      <c r="M693" s="81"/>
    </row>
    <row r="694" spans="13:13" x14ac:dyDescent="0.35">
      <c r="M694" s="81"/>
    </row>
    <row r="695" spans="13:13" x14ac:dyDescent="0.35">
      <c r="M695" s="81"/>
    </row>
    <row r="696" spans="13:13" x14ac:dyDescent="0.35">
      <c r="M696" s="81"/>
    </row>
    <row r="697" spans="13:13" x14ac:dyDescent="0.35">
      <c r="M697" s="81"/>
    </row>
    <row r="698" spans="13:13" x14ac:dyDescent="0.35">
      <c r="M698" s="81"/>
    </row>
    <row r="699" spans="13:13" x14ac:dyDescent="0.35">
      <c r="M699" s="81"/>
    </row>
    <row r="700" spans="13:13" x14ac:dyDescent="0.35">
      <c r="M700" s="81"/>
    </row>
    <row r="701" spans="13:13" x14ac:dyDescent="0.35">
      <c r="M701" s="81"/>
    </row>
    <row r="702" spans="13:13" x14ac:dyDescent="0.35">
      <c r="M702" s="81"/>
    </row>
    <row r="703" spans="13:13" x14ac:dyDescent="0.35">
      <c r="M703" s="81"/>
    </row>
    <row r="704" spans="13:13" x14ac:dyDescent="0.35">
      <c r="M704" s="81"/>
    </row>
    <row r="705" spans="13:13" x14ac:dyDescent="0.35">
      <c r="M705" s="81"/>
    </row>
    <row r="706" spans="13:13" x14ac:dyDescent="0.35">
      <c r="M706" s="81"/>
    </row>
    <row r="707" spans="13:13" x14ac:dyDescent="0.35">
      <c r="M707" s="81"/>
    </row>
    <row r="708" spans="13:13" x14ac:dyDescent="0.35">
      <c r="M708" s="81"/>
    </row>
    <row r="709" spans="13:13" x14ac:dyDescent="0.35">
      <c r="M709" s="81"/>
    </row>
    <row r="710" spans="13:13" x14ac:dyDescent="0.35">
      <c r="M710" s="81"/>
    </row>
    <row r="711" spans="13:13" x14ac:dyDescent="0.35">
      <c r="M711" s="81"/>
    </row>
    <row r="712" spans="13:13" x14ac:dyDescent="0.35">
      <c r="M712" s="81"/>
    </row>
    <row r="713" spans="13:13" x14ac:dyDescent="0.35">
      <c r="M713" s="81"/>
    </row>
    <row r="714" spans="13:13" x14ac:dyDescent="0.35">
      <c r="M714" s="81"/>
    </row>
    <row r="715" spans="13:13" x14ac:dyDescent="0.35">
      <c r="M715" s="81"/>
    </row>
    <row r="716" spans="13:13" x14ac:dyDescent="0.35">
      <c r="M716" s="81"/>
    </row>
    <row r="717" spans="13:13" x14ac:dyDescent="0.35">
      <c r="M717" s="81"/>
    </row>
    <row r="718" spans="13:13" x14ac:dyDescent="0.35">
      <c r="M718" s="81"/>
    </row>
    <row r="719" spans="13:13" x14ac:dyDescent="0.35">
      <c r="M719" s="81"/>
    </row>
    <row r="720" spans="13:13" x14ac:dyDescent="0.35">
      <c r="M720" s="81"/>
    </row>
    <row r="721" spans="13:13" x14ac:dyDescent="0.35">
      <c r="M721" s="81"/>
    </row>
    <row r="722" spans="13:13" x14ac:dyDescent="0.35">
      <c r="M722" s="81"/>
    </row>
    <row r="723" spans="13:13" x14ac:dyDescent="0.35">
      <c r="M723" s="81"/>
    </row>
    <row r="724" spans="13:13" x14ac:dyDescent="0.35">
      <c r="M724" s="81"/>
    </row>
    <row r="725" spans="13:13" x14ac:dyDescent="0.35">
      <c r="M725" s="81"/>
    </row>
    <row r="726" spans="13:13" x14ac:dyDescent="0.35">
      <c r="M726" s="81"/>
    </row>
    <row r="727" spans="13:13" x14ac:dyDescent="0.35">
      <c r="M727" s="81"/>
    </row>
    <row r="728" spans="13:13" x14ac:dyDescent="0.35">
      <c r="M728" s="81"/>
    </row>
    <row r="729" spans="13:13" x14ac:dyDescent="0.35">
      <c r="M729" s="81"/>
    </row>
    <row r="730" spans="13:13" x14ac:dyDescent="0.35">
      <c r="M730" s="81"/>
    </row>
    <row r="731" spans="13:13" x14ac:dyDescent="0.35">
      <c r="M731" s="81"/>
    </row>
    <row r="732" spans="13:13" x14ac:dyDescent="0.35">
      <c r="M732" s="81"/>
    </row>
    <row r="733" spans="13:13" x14ac:dyDescent="0.35">
      <c r="M733" s="81"/>
    </row>
    <row r="734" spans="13:13" x14ac:dyDescent="0.35">
      <c r="M734" s="81"/>
    </row>
    <row r="735" spans="13:13" x14ac:dyDescent="0.35">
      <c r="M735" s="81"/>
    </row>
    <row r="736" spans="13:13" x14ac:dyDescent="0.35">
      <c r="M736" s="81"/>
    </row>
    <row r="737" spans="13:13" x14ac:dyDescent="0.35">
      <c r="M737" s="81"/>
    </row>
    <row r="738" spans="13:13" x14ac:dyDescent="0.35">
      <c r="M738" s="81"/>
    </row>
    <row r="739" spans="13:13" x14ac:dyDescent="0.35">
      <c r="M739" s="81"/>
    </row>
    <row r="740" spans="13:13" x14ac:dyDescent="0.35">
      <c r="M740" s="81"/>
    </row>
    <row r="741" spans="13:13" x14ac:dyDescent="0.35">
      <c r="M741" s="81"/>
    </row>
    <row r="742" spans="13:13" x14ac:dyDescent="0.35">
      <c r="M742" s="81"/>
    </row>
    <row r="743" spans="13:13" x14ac:dyDescent="0.35">
      <c r="M743" s="81"/>
    </row>
    <row r="744" spans="13:13" x14ac:dyDescent="0.35">
      <c r="M744" s="81"/>
    </row>
    <row r="745" spans="13:13" x14ac:dyDescent="0.35">
      <c r="M745" s="81"/>
    </row>
    <row r="746" spans="13:13" x14ac:dyDescent="0.35">
      <c r="M746" s="81"/>
    </row>
    <row r="747" spans="13:13" x14ac:dyDescent="0.35">
      <c r="M747" s="81"/>
    </row>
    <row r="748" spans="13:13" x14ac:dyDescent="0.35">
      <c r="M748" s="81"/>
    </row>
    <row r="749" spans="13:13" x14ac:dyDescent="0.35">
      <c r="M749" s="81"/>
    </row>
    <row r="750" spans="13:13" x14ac:dyDescent="0.35">
      <c r="M750" s="81"/>
    </row>
    <row r="751" spans="13:13" x14ac:dyDescent="0.35">
      <c r="M751" s="81"/>
    </row>
    <row r="752" spans="13:13" x14ac:dyDescent="0.35">
      <c r="M752" s="81"/>
    </row>
    <row r="753" spans="13:13" x14ac:dyDescent="0.35">
      <c r="M753" s="81"/>
    </row>
    <row r="754" spans="13:13" x14ac:dyDescent="0.35">
      <c r="M754" s="81"/>
    </row>
    <row r="755" spans="13:13" x14ac:dyDescent="0.35">
      <c r="M755" s="81"/>
    </row>
    <row r="756" spans="13:13" x14ac:dyDescent="0.35">
      <c r="M756" s="81"/>
    </row>
    <row r="757" spans="13:13" x14ac:dyDescent="0.35">
      <c r="M757" s="81"/>
    </row>
    <row r="758" spans="13:13" x14ac:dyDescent="0.35">
      <c r="M758" s="81"/>
    </row>
    <row r="759" spans="13:13" x14ac:dyDescent="0.35">
      <c r="M759" s="81"/>
    </row>
    <row r="760" spans="13:13" x14ac:dyDescent="0.35">
      <c r="M760" s="81"/>
    </row>
    <row r="761" spans="13:13" x14ac:dyDescent="0.35">
      <c r="M761" s="81"/>
    </row>
    <row r="762" spans="13:13" x14ac:dyDescent="0.35">
      <c r="M762" s="81"/>
    </row>
    <row r="763" spans="13:13" x14ac:dyDescent="0.35">
      <c r="M763" s="81"/>
    </row>
    <row r="764" spans="13:13" x14ac:dyDescent="0.35">
      <c r="M764" s="81"/>
    </row>
    <row r="765" spans="13:13" x14ac:dyDescent="0.35">
      <c r="M765" s="81"/>
    </row>
    <row r="766" spans="13:13" x14ac:dyDescent="0.35">
      <c r="M766" s="81"/>
    </row>
    <row r="767" spans="13:13" x14ac:dyDescent="0.35">
      <c r="M767" s="81"/>
    </row>
    <row r="768" spans="13:13" x14ac:dyDescent="0.35">
      <c r="M768" s="81"/>
    </row>
    <row r="769" spans="13:13" x14ac:dyDescent="0.35">
      <c r="M769" s="81"/>
    </row>
    <row r="770" spans="13:13" x14ac:dyDescent="0.35">
      <c r="M770" s="81"/>
    </row>
    <row r="771" spans="13:13" x14ac:dyDescent="0.35">
      <c r="M771" s="81"/>
    </row>
    <row r="772" spans="13:13" x14ac:dyDescent="0.35">
      <c r="M772" s="81"/>
    </row>
    <row r="773" spans="13:13" x14ac:dyDescent="0.35">
      <c r="M773" s="81"/>
    </row>
    <row r="774" spans="13:13" x14ac:dyDescent="0.35">
      <c r="M774" s="81"/>
    </row>
    <row r="775" spans="13:13" x14ac:dyDescent="0.35">
      <c r="M775" s="81"/>
    </row>
    <row r="776" spans="13:13" x14ac:dyDescent="0.35">
      <c r="M776" s="81"/>
    </row>
    <row r="777" spans="13:13" x14ac:dyDescent="0.35">
      <c r="M777" s="81"/>
    </row>
    <row r="778" spans="13:13" x14ac:dyDescent="0.35">
      <c r="M778" s="81"/>
    </row>
    <row r="779" spans="13:13" x14ac:dyDescent="0.35">
      <c r="M779" s="81"/>
    </row>
    <row r="780" spans="13:13" x14ac:dyDescent="0.35">
      <c r="M780" s="81"/>
    </row>
    <row r="781" spans="13:13" x14ac:dyDescent="0.35">
      <c r="M781" s="81"/>
    </row>
    <row r="782" spans="13:13" x14ac:dyDescent="0.35">
      <c r="M782" s="81"/>
    </row>
    <row r="783" spans="13:13" x14ac:dyDescent="0.35">
      <c r="M783" s="81"/>
    </row>
    <row r="784" spans="13:13" x14ac:dyDescent="0.35">
      <c r="M784" s="81"/>
    </row>
    <row r="785" spans="13:13" x14ac:dyDescent="0.35">
      <c r="M785" s="81"/>
    </row>
    <row r="786" spans="13:13" x14ac:dyDescent="0.35">
      <c r="M786" s="81"/>
    </row>
    <row r="787" spans="13:13" x14ac:dyDescent="0.35">
      <c r="M787" s="81"/>
    </row>
    <row r="788" spans="13:13" x14ac:dyDescent="0.35">
      <c r="M788" s="81"/>
    </row>
    <row r="789" spans="13:13" x14ac:dyDescent="0.35">
      <c r="M789" s="81"/>
    </row>
    <row r="790" spans="13:13" x14ac:dyDescent="0.35">
      <c r="M790" s="81"/>
    </row>
    <row r="791" spans="13:13" x14ac:dyDescent="0.35">
      <c r="M791" s="81"/>
    </row>
    <row r="792" spans="13:13" x14ac:dyDescent="0.35">
      <c r="M792" s="81"/>
    </row>
    <row r="793" spans="13:13" x14ac:dyDescent="0.35">
      <c r="M793" s="81"/>
    </row>
    <row r="794" spans="13:13" x14ac:dyDescent="0.35">
      <c r="M794" s="81"/>
    </row>
    <row r="795" spans="13:13" x14ac:dyDescent="0.35">
      <c r="M795" s="81"/>
    </row>
    <row r="796" spans="13:13" x14ac:dyDescent="0.35">
      <c r="M796" s="81"/>
    </row>
    <row r="797" spans="13:13" x14ac:dyDescent="0.35">
      <c r="M797" s="81"/>
    </row>
    <row r="798" spans="13:13" x14ac:dyDescent="0.35">
      <c r="M798" s="81"/>
    </row>
    <row r="799" spans="13:13" x14ac:dyDescent="0.35">
      <c r="M799" s="81"/>
    </row>
    <row r="800" spans="13:13" x14ac:dyDescent="0.35">
      <c r="M800" s="81"/>
    </row>
    <row r="801" spans="13:13" x14ac:dyDescent="0.35">
      <c r="M801" s="81"/>
    </row>
    <row r="802" spans="13:13" x14ac:dyDescent="0.35">
      <c r="M802" s="81"/>
    </row>
    <row r="803" spans="13:13" x14ac:dyDescent="0.35">
      <c r="M803" s="81"/>
    </row>
    <row r="804" spans="13:13" x14ac:dyDescent="0.35">
      <c r="M804" s="81"/>
    </row>
    <row r="805" spans="13:13" x14ac:dyDescent="0.35">
      <c r="M805" s="81"/>
    </row>
    <row r="806" spans="13:13" x14ac:dyDescent="0.35">
      <c r="M806" s="81"/>
    </row>
    <row r="807" spans="13:13" x14ac:dyDescent="0.35">
      <c r="M807" s="81"/>
    </row>
    <row r="808" spans="13:13" x14ac:dyDescent="0.35">
      <c r="M808" s="81"/>
    </row>
    <row r="809" spans="13:13" x14ac:dyDescent="0.35">
      <c r="M809" s="81"/>
    </row>
    <row r="810" spans="13:13" x14ac:dyDescent="0.35">
      <c r="M810" s="81"/>
    </row>
    <row r="811" spans="13:13" x14ac:dyDescent="0.35">
      <c r="M811" s="81"/>
    </row>
    <row r="812" spans="13:13" x14ac:dyDescent="0.35">
      <c r="M812" s="81"/>
    </row>
    <row r="813" spans="13:13" x14ac:dyDescent="0.35">
      <c r="M813" s="81"/>
    </row>
    <row r="814" spans="13:13" x14ac:dyDescent="0.35">
      <c r="M814" s="81"/>
    </row>
    <row r="815" spans="13:13" x14ac:dyDescent="0.35">
      <c r="M815" s="81"/>
    </row>
    <row r="816" spans="13:13" x14ac:dyDescent="0.35">
      <c r="M816" s="81"/>
    </row>
    <row r="817" spans="13:13" x14ac:dyDescent="0.35">
      <c r="M817" s="81"/>
    </row>
    <row r="818" spans="13:13" x14ac:dyDescent="0.35">
      <c r="M818" s="81"/>
    </row>
    <row r="819" spans="13:13" x14ac:dyDescent="0.35">
      <c r="M819" s="81"/>
    </row>
    <row r="820" spans="13:13" x14ac:dyDescent="0.35">
      <c r="M820" s="81"/>
    </row>
    <row r="821" spans="13:13" x14ac:dyDescent="0.35">
      <c r="M821" s="81"/>
    </row>
    <row r="822" spans="13:13" x14ac:dyDescent="0.35">
      <c r="M822" s="81"/>
    </row>
    <row r="823" spans="13:13" x14ac:dyDescent="0.35">
      <c r="M823" s="81"/>
    </row>
    <row r="824" spans="13:13" x14ac:dyDescent="0.35">
      <c r="M824" s="81"/>
    </row>
    <row r="825" spans="13:13" x14ac:dyDescent="0.35">
      <c r="M825" s="81"/>
    </row>
    <row r="826" spans="13:13" x14ac:dyDescent="0.35">
      <c r="M826" s="81"/>
    </row>
    <row r="827" spans="13:13" x14ac:dyDescent="0.35">
      <c r="M827" s="81"/>
    </row>
    <row r="828" spans="13:13" x14ac:dyDescent="0.35">
      <c r="M828" s="81"/>
    </row>
    <row r="829" spans="13:13" x14ac:dyDescent="0.35">
      <c r="M829" s="81"/>
    </row>
    <row r="830" spans="13:13" x14ac:dyDescent="0.35">
      <c r="M830" s="81"/>
    </row>
    <row r="831" spans="13:13" x14ac:dyDescent="0.35">
      <c r="M831" s="81"/>
    </row>
    <row r="832" spans="13:13" x14ac:dyDescent="0.35">
      <c r="M832" s="81"/>
    </row>
    <row r="833" spans="13:13" x14ac:dyDescent="0.35">
      <c r="M833" s="81"/>
    </row>
    <row r="834" spans="13:13" x14ac:dyDescent="0.35">
      <c r="M834" s="81"/>
    </row>
    <row r="835" spans="13:13" x14ac:dyDescent="0.35">
      <c r="M835" s="81"/>
    </row>
    <row r="836" spans="13:13" x14ac:dyDescent="0.35">
      <c r="M836" s="81"/>
    </row>
    <row r="837" spans="13:13" x14ac:dyDescent="0.35">
      <c r="M837" s="81"/>
    </row>
    <row r="838" spans="13:13" x14ac:dyDescent="0.35">
      <c r="M838" s="81"/>
    </row>
    <row r="839" spans="13:13" x14ac:dyDescent="0.35">
      <c r="M839" s="81"/>
    </row>
    <row r="840" spans="13:13" x14ac:dyDescent="0.35">
      <c r="M840" s="81"/>
    </row>
    <row r="841" spans="13:13" x14ac:dyDescent="0.35">
      <c r="M841" s="81"/>
    </row>
    <row r="842" spans="13:13" x14ac:dyDescent="0.35">
      <c r="M842" s="81"/>
    </row>
    <row r="843" spans="13:13" x14ac:dyDescent="0.35">
      <c r="M843" s="81"/>
    </row>
    <row r="844" spans="13:13" x14ac:dyDescent="0.35">
      <c r="M844" s="81"/>
    </row>
    <row r="845" spans="13:13" x14ac:dyDescent="0.35">
      <c r="M845" s="81"/>
    </row>
    <row r="846" spans="13:13" x14ac:dyDescent="0.35">
      <c r="M846" s="81"/>
    </row>
    <row r="847" spans="13:13" x14ac:dyDescent="0.35">
      <c r="M847" s="81"/>
    </row>
    <row r="848" spans="13:13" x14ac:dyDescent="0.35">
      <c r="M848" s="81"/>
    </row>
    <row r="849" spans="13:13" x14ac:dyDescent="0.35">
      <c r="M849" s="81"/>
    </row>
    <row r="850" spans="13:13" x14ac:dyDescent="0.35">
      <c r="M850" s="81"/>
    </row>
    <row r="851" spans="13:13" x14ac:dyDescent="0.35">
      <c r="M851" s="81"/>
    </row>
    <row r="852" spans="13:13" x14ac:dyDescent="0.35">
      <c r="M852" s="81"/>
    </row>
    <row r="853" spans="13:13" x14ac:dyDescent="0.35">
      <c r="M853" s="81"/>
    </row>
    <row r="854" spans="13:13" x14ac:dyDescent="0.35">
      <c r="M854" s="81"/>
    </row>
    <row r="855" spans="13:13" x14ac:dyDescent="0.35">
      <c r="M855" s="81"/>
    </row>
    <row r="856" spans="13:13" x14ac:dyDescent="0.35">
      <c r="M856" s="81"/>
    </row>
    <row r="857" spans="13:13" x14ac:dyDescent="0.35">
      <c r="M857" s="81"/>
    </row>
    <row r="858" spans="13:13" x14ac:dyDescent="0.35">
      <c r="M858" s="81"/>
    </row>
    <row r="859" spans="13:13" x14ac:dyDescent="0.35">
      <c r="M859" s="81"/>
    </row>
    <row r="860" spans="13:13" x14ac:dyDescent="0.35">
      <c r="M860" s="81"/>
    </row>
    <row r="861" spans="13:13" x14ac:dyDescent="0.35">
      <c r="M861" s="81"/>
    </row>
    <row r="862" spans="13:13" x14ac:dyDescent="0.35">
      <c r="M862" s="81"/>
    </row>
    <row r="863" spans="13:13" x14ac:dyDescent="0.35">
      <c r="M863" s="81"/>
    </row>
    <row r="864" spans="13:13" x14ac:dyDescent="0.35">
      <c r="M864" s="81"/>
    </row>
    <row r="865" spans="13:13" x14ac:dyDescent="0.35">
      <c r="M865" s="81"/>
    </row>
    <row r="866" spans="13:13" x14ac:dyDescent="0.35">
      <c r="M866" s="81"/>
    </row>
    <row r="867" spans="13:13" x14ac:dyDescent="0.35">
      <c r="M867" s="81"/>
    </row>
    <row r="868" spans="13:13" x14ac:dyDescent="0.35">
      <c r="M868" s="81"/>
    </row>
    <row r="869" spans="13:13" x14ac:dyDescent="0.35">
      <c r="M869" s="81"/>
    </row>
    <row r="870" spans="13:13" x14ac:dyDescent="0.35">
      <c r="M870" s="81"/>
    </row>
    <row r="871" spans="13:13" x14ac:dyDescent="0.35">
      <c r="M871" s="81"/>
    </row>
    <row r="872" spans="13:13" x14ac:dyDescent="0.35">
      <c r="M872" s="81"/>
    </row>
    <row r="873" spans="13:13" x14ac:dyDescent="0.35">
      <c r="M873" s="81"/>
    </row>
    <row r="874" spans="13:13" x14ac:dyDescent="0.35">
      <c r="M874" s="81"/>
    </row>
    <row r="875" spans="13:13" x14ac:dyDescent="0.35">
      <c r="M875" s="81"/>
    </row>
    <row r="876" spans="13:13" x14ac:dyDescent="0.35">
      <c r="M876" s="81"/>
    </row>
    <row r="877" spans="13:13" x14ac:dyDescent="0.35">
      <c r="M877" s="81"/>
    </row>
    <row r="878" spans="13:13" x14ac:dyDescent="0.35">
      <c r="M878" s="81"/>
    </row>
    <row r="879" spans="13:13" x14ac:dyDescent="0.35">
      <c r="M879" s="81"/>
    </row>
    <row r="880" spans="13:13" x14ac:dyDescent="0.35">
      <c r="M880" s="81"/>
    </row>
    <row r="881" spans="13:13" x14ac:dyDescent="0.35">
      <c r="M881" s="81"/>
    </row>
    <row r="882" spans="13:13" x14ac:dyDescent="0.35">
      <c r="M882" s="81"/>
    </row>
    <row r="883" spans="13:13" x14ac:dyDescent="0.35">
      <c r="M883" s="81"/>
    </row>
    <row r="884" spans="13:13" x14ac:dyDescent="0.35">
      <c r="M884" s="81"/>
    </row>
    <row r="885" spans="13:13" x14ac:dyDescent="0.35">
      <c r="M885" s="81"/>
    </row>
    <row r="886" spans="13:13" x14ac:dyDescent="0.35">
      <c r="M886" s="81"/>
    </row>
    <row r="887" spans="13:13" x14ac:dyDescent="0.35">
      <c r="M887" s="81"/>
    </row>
    <row r="888" spans="13:13" x14ac:dyDescent="0.35">
      <c r="M888" s="81"/>
    </row>
    <row r="889" spans="13:13" x14ac:dyDescent="0.35">
      <c r="M889" s="81"/>
    </row>
    <row r="890" spans="13:13" x14ac:dyDescent="0.35">
      <c r="M890" s="81"/>
    </row>
    <row r="891" spans="13:13" x14ac:dyDescent="0.35">
      <c r="M891" s="81"/>
    </row>
    <row r="892" spans="13:13" x14ac:dyDescent="0.35">
      <c r="M892" s="81"/>
    </row>
    <row r="893" spans="13:13" x14ac:dyDescent="0.35">
      <c r="M893" s="81"/>
    </row>
    <row r="894" spans="13:13" x14ac:dyDescent="0.35">
      <c r="M894" s="81"/>
    </row>
    <row r="895" spans="13:13" x14ac:dyDescent="0.35">
      <c r="M895" s="81"/>
    </row>
    <row r="896" spans="13:13" x14ac:dyDescent="0.35">
      <c r="M896" s="81"/>
    </row>
    <row r="897" spans="13:13" x14ac:dyDescent="0.35">
      <c r="M897" s="81"/>
    </row>
    <row r="898" spans="13:13" x14ac:dyDescent="0.35">
      <c r="M898" s="81"/>
    </row>
    <row r="899" spans="13:13" x14ac:dyDescent="0.35">
      <c r="M899" s="81"/>
    </row>
    <row r="900" spans="13:13" x14ac:dyDescent="0.35">
      <c r="M900" s="81"/>
    </row>
    <row r="901" spans="13:13" x14ac:dyDescent="0.35">
      <c r="M901" s="81"/>
    </row>
    <row r="902" spans="13:13" x14ac:dyDescent="0.35">
      <c r="M902" s="81"/>
    </row>
    <row r="903" spans="13:13" x14ac:dyDescent="0.35">
      <c r="M903" s="81"/>
    </row>
    <row r="904" spans="13:13" x14ac:dyDescent="0.35">
      <c r="M904" s="81"/>
    </row>
    <row r="905" spans="13:13" x14ac:dyDescent="0.35">
      <c r="M905" s="81"/>
    </row>
    <row r="906" spans="13:13" x14ac:dyDescent="0.35">
      <c r="M906" s="81"/>
    </row>
    <row r="907" spans="13:13" x14ac:dyDescent="0.35">
      <c r="M907" s="81"/>
    </row>
    <row r="908" spans="13:13" x14ac:dyDescent="0.35">
      <c r="M908" s="81"/>
    </row>
    <row r="909" spans="13:13" x14ac:dyDescent="0.35">
      <c r="M909" s="81"/>
    </row>
    <row r="910" spans="13:13" x14ac:dyDescent="0.35">
      <c r="M910" s="81"/>
    </row>
    <row r="911" spans="13:13" x14ac:dyDescent="0.35">
      <c r="M911" s="81"/>
    </row>
    <row r="912" spans="13:13" x14ac:dyDescent="0.35">
      <c r="M912" s="81"/>
    </row>
    <row r="913" spans="13:13" x14ac:dyDescent="0.35">
      <c r="M913" s="81"/>
    </row>
    <row r="914" spans="13:13" x14ac:dyDescent="0.35">
      <c r="M914" s="81"/>
    </row>
    <row r="915" spans="13:13" x14ac:dyDescent="0.35">
      <c r="M915" s="81"/>
    </row>
    <row r="916" spans="13:13" x14ac:dyDescent="0.35">
      <c r="M916" s="81"/>
    </row>
    <row r="917" spans="13:13" x14ac:dyDescent="0.35">
      <c r="M917" s="81"/>
    </row>
    <row r="918" spans="13:13" x14ac:dyDescent="0.35">
      <c r="M918" s="81"/>
    </row>
    <row r="919" spans="13:13" x14ac:dyDescent="0.35">
      <c r="M919" s="81"/>
    </row>
    <row r="920" spans="13:13" x14ac:dyDescent="0.35">
      <c r="M920" s="81"/>
    </row>
    <row r="921" spans="13:13" x14ac:dyDescent="0.35">
      <c r="M921" s="81"/>
    </row>
    <row r="922" spans="13:13" x14ac:dyDescent="0.35">
      <c r="M922" s="81"/>
    </row>
    <row r="923" spans="13:13" x14ac:dyDescent="0.35">
      <c r="M923" s="81"/>
    </row>
    <row r="924" spans="13:13" x14ac:dyDescent="0.35">
      <c r="M924" s="81"/>
    </row>
    <row r="925" spans="13:13" x14ac:dyDescent="0.35">
      <c r="M925" s="81"/>
    </row>
    <row r="926" spans="13:13" x14ac:dyDescent="0.35">
      <c r="M926" s="81"/>
    </row>
    <row r="927" spans="13:13" x14ac:dyDescent="0.35">
      <c r="M927" s="81"/>
    </row>
    <row r="928" spans="13:13" x14ac:dyDescent="0.35">
      <c r="M928" s="81"/>
    </row>
    <row r="929" spans="13:13" x14ac:dyDescent="0.35">
      <c r="M929" s="81"/>
    </row>
    <row r="930" spans="13:13" x14ac:dyDescent="0.35">
      <c r="M930" s="81"/>
    </row>
    <row r="931" spans="13:13" x14ac:dyDescent="0.35">
      <c r="M931" s="81"/>
    </row>
    <row r="932" spans="13:13" x14ac:dyDescent="0.35">
      <c r="M932" s="81"/>
    </row>
    <row r="933" spans="13:13" x14ac:dyDescent="0.35">
      <c r="M933" s="81"/>
    </row>
    <row r="934" spans="13:13" x14ac:dyDescent="0.35">
      <c r="M934" s="81"/>
    </row>
    <row r="935" spans="13:13" x14ac:dyDescent="0.35">
      <c r="M935" s="81"/>
    </row>
    <row r="936" spans="13:13" x14ac:dyDescent="0.35">
      <c r="M936" s="81"/>
    </row>
    <row r="937" spans="13:13" x14ac:dyDescent="0.35">
      <c r="M937" s="81"/>
    </row>
    <row r="938" spans="13:13" x14ac:dyDescent="0.35">
      <c r="M938" s="81"/>
    </row>
    <row r="939" spans="13:13" x14ac:dyDescent="0.35">
      <c r="M939" s="81"/>
    </row>
    <row r="940" spans="13:13" x14ac:dyDescent="0.35">
      <c r="M940" s="81"/>
    </row>
    <row r="941" spans="13:13" x14ac:dyDescent="0.35">
      <c r="M941" s="81"/>
    </row>
    <row r="942" spans="13:13" x14ac:dyDescent="0.35">
      <c r="M942" s="81"/>
    </row>
    <row r="943" spans="13:13" x14ac:dyDescent="0.35">
      <c r="M943" s="81"/>
    </row>
    <row r="944" spans="13:13" x14ac:dyDescent="0.35">
      <c r="M944" s="81"/>
    </row>
    <row r="945" spans="13:13" x14ac:dyDescent="0.35">
      <c r="M945" s="81"/>
    </row>
    <row r="946" spans="13:13" x14ac:dyDescent="0.35">
      <c r="M946" s="81"/>
    </row>
    <row r="947" spans="13:13" x14ac:dyDescent="0.35">
      <c r="M947" s="81"/>
    </row>
    <row r="948" spans="13:13" x14ac:dyDescent="0.35">
      <c r="M948" s="81"/>
    </row>
    <row r="949" spans="13:13" x14ac:dyDescent="0.35">
      <c r="M949" s="81"/>
    </row>
    <row r="950" spans="13:13" x14ac:dyDescent="0.35">
      <c r="M950" s="81"/>
    </row>
    <row r="951" spans="13:13" x14ac:dyDescent="0.35">
      <c r="M951" s="81"/>
    </row>
    <row r="952" spans="13:13" x14ac:dyDescent="0.35">
      <c r="M952" s="81"/>
    </row>
    <row r="953" spans="13:13" x14ac:dyDescent="0.35">
      <c r="M953" s="81"/>
    </row>
    <row r="954" spans="13:13" x14ac:dyDescent="0.35">
      <c r="M954" s="81"/>
    </row>
    <row r="955" spans="13:13" x14ac:dyDescent="0.35">
      <c r="M955" s="81"/>
    </row>
    <row r="956" spans="13:13" x14ac:dyDescent="0.35">
      <c r="M956" s="81"/>
    </row>
    <row r="957" spans="13:13" x14ac:dyDescent="0.35">
      <c r="M957" s="81"/>
    </row>
    <row r="958" spans="13:13" x14ac:dyDescent="0.35">
      <c r="M958" s="81"/>
    </row>
    <row r="959" spans="13:13" x14ac:dyDescent="0.35">
      <c r="M959" s="81"/>
    </row>
    <row r="960" spans="13:13" x14ac:dyDescent="0.35">
      <c r="M960" s="81"/>
    </row>
    <row r="961" spans="13:13" x14ac:dyDescent="0.35">
      <c r="M961" s="81"/>
    </row>
    <row r="962" spans="13:13" x14ac:dyDescent="0.35">
      <c r="M962" s="81"/>
    </row>
    <row r="963" spans="13:13" x14ac:dyDescent="0.35">
      <c r="M963" s="81"/>
    </row>
    <row r="964" spans="13:13" x14ac:dyDescent="0.35">
      <c r="M964" s="81"/>
    </row>
    <row r="965" spans="13:13" x14ac:dyDescent="0.35">
      <c r="M965" s="81"/>
    </row>
    <row r="966" spans="13:13" x14ac:dyDescent="0.35">
      <c r="M966" s="81"/>
    </row>
    <row r="967" spans="13:13" x14ac:dyDescent="0.35">
      <c r="M967" s="81"/>
    </row>
    <row r="968" spans="13:13" x14ac:dyDescent="0.35">
      <c r="M968" s="81"/>
    </row>
    <row r="969" spans="13:13" x14ac:dyDescent="0.35">
      <c r="M969" s="81"/>
    </row>
    <row r="970" spans="13:13" x14ac:dyDescent="0.35">
      <c r="M970" s="81"/>
    </row>
    <row r="971" spans="13:13" x14ac:dyDescent="0.35">
      <c r="M971" s="81"/>
    </row>
    <row r="972" spans="13:13" x14ac:dyDescent="0.35">
      <c r="M972" s="81"/>
    </row>
    <row r="973" spans="13:13" x14ac:dyDescent="0.35">
      <c r="M973" s="81"/>
    </row>
    <row r="974" spans="13:13" x14ac:dyDescent="0.35">
      <c r="M974" s="81"/>
    </row>
    <row r="975" spans="13:13" x14ac:dyDescent="0.35">
      <c r="M975" s="81"/>
    </row>
    <row r="976" spans="13:13" x14ac:dyDescent="0.35">
      <c r="M976" s="81"/>
    </row>
    <row r="977" spans="13:13" x14ac:dyDescent="0.35">
      <c r="M977" s="81"/>
    </row>
    <row r="978" spans="13:13" x14ac:dyDescent="0.35">
      <c r="M978" s="81"/>
    </row>
    <row r="979" spans="13:13" x14ac:dyDescent="0.35">
      <c r="M979" s="81"/>
    </row>
    <row r="980" spans="13:13" x14ac:dyDescent="0.35">
      <c r="M980" s="81"/>
    </row>
    <row r="981" spans="13:13" x14ac:dyDescent="0.35">
      <c r="M981" s="81"/>
    </row>
    <row r="982" spans="13:13" x14ac:dyDescent="0.35">
      <c r="M982" s="81"/>
    </row>
    <row r="983" spans="13:13" x14ac:dyDescent="0.35">
      <c r="M983" s="81"/>
    </row>
    <row r="984" spans="13:13" x14ac:dyDescent="0.35">
      <c r="M984" s="81"/>
    </row>
    <row r="985" spans="13:13" x14ac:dyDescent="0.35">
      <c r="M985" s="81"/>
    </row>
    <row r="986" spans="13:13" x14ac:dyDescent="0.35">
      <c r="M986" s="81"/>
    </row>
    <row r="987" spans="13:13" x14ac:dyDescent="0.35">
      <c r="M987" s="81"/>
    </row>
    <row r="988" spans="13:13" x14ac:dyDescent="0.35">
      <c r="M988" s="81"/>
    </row>
    <row r="989" spans="13:13" x14ac:dyDescent="0.35">
      <c r="M989" s="81"/>
    </row>
    <row r="990" spans="13:13" x14ac:dyDescent="0.35">
      <c r="M990" s="81"/>
    </row>
    <row r="991" spans="13:13" x14ac:dyDescent="0.35">
      <c r="M991" s="81"/>
    </row>
    <row r="992" spans="13:13" x14ac:dyDescent="0.35">
      <c r="M992" s="81"/>
    </row>
    <row r="993" spans="13:13" x14ac:dyDescent="0.35">
      <c r="M993" s="81"/>
    </row>
    <row r="994" spans="13:13" x14ac:dyDescent="0.35">
      <c r="M994" s="81"/>
    </row>
    <row r="995" spans="13:13" x14ac:dyDescent="0.35">
      <c r="M995" s="81"/>
    </row>
    <row r="996" spans="13:13" x14ac:dyDescent="0.35">
      <c r="M996" s="81"/>
    </row>
    <row r="997" spans="13:13" x14ac:dyDescent="0.35">
      <c r="M997" s="81"/>
    </row>
    <row r="998" spans="13:13" x14ac:dyDescent="0.35">
      <c r="M998" s="8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79"/>
  <sheetViews>
    <sheetView workbookViewId="0">
      <selection activeCell="B5" sqref="B5"/>
    </sheetView>
  </sheetViews>
  <sheetFormatPr defaultColWidth="11.25" defaultRowHeight="15" customHeight="1" x14ac:dyDescent="0.35"/>
  <sheetData>
    <row r="1" spans="1:18" x14ac:dyDescent="0.35">
      <c r="A1" s="90" t="s">
        <v>109</v>
      </c>
      <c r="B1" s="91" t="s">
        <v>68</v>
      </c>
      <c r="C1" s="91" t="s">
        <v>65</v>
      </c>
      <c r="D1" s="92" t="s">
        <v>93</v>
      </c>
      <c r="E1" s="93" t="s">
        <v>94</v>
      </c>
      <c r="F1" s="93" t="s">
        <v>95</v>
      </c>
      <c r="G1" s="93" t="s">
        <v>96</v>
      </c>
      <c r="H1" s="94" t="s">
        <v>97</v>
      </c>
      <c r="I1" s="93" t="s">
        <v>98</v>
      </c>
      <c r="J1" s="95" t="s">
        <v>99</v>
      </c>
      <c r="K1" s="96" t="s">
        <v>100</v>
      </c>
      <c r="L1" s="2" t="s">
        <v>101</v>
      </c>
      <c r="M1" s="2" t="s">
        <v>102</v>
      </c>
      <c r="N1" s="2" t="s">
        <v>103</v>
      </c>
      <c r="O1" s="2" t="s">
        <v>104</v>
      </c>
      <c r="P1" s="2" t="s">
        <v>105</v>
      </c>
      <c r="Q1" s="2"/>
      <c r="R1" s="2"/>
    </row>
    <row r="2" spans="1:18" x14ac:dyDescent="0.35">
      <c r="A2" s="90" t="s">
        <v>73</v>
      </c>
      <c r="B2" s="94" t="s">
        <v>72</v>
      </c>
      <c r="C2" s="94">
        <v>4</v>
      </c>
      <c r="D2" s="94">
        <v>20.930000305175781</v>
      </c>
      <c r="E2" s="97">
        <v>2.1996974945068359</v>
      </c>
      <c r="F2" s="97">
        <v>41.414901733398438</v>
      </c>
      <c r="G2" s="97">
        <v>4.6724090576171875</v>
      </c>
      <c r="H2" s="97">
        <f t="shared" ref="H2:H79" si="0">100-E2-F2-G2-I2</f>
        <v>51.33575513958931</v>
      </c>
      <c r="I2" s="97">
        <v>0.37723657488822937</v>
      </c>
      <c r="J2" s="98">
        <f t="shared" ref="J2:J79" si="1">L2/K2</f>
        <v>21.965468195645734</v>
      </c>
      <c r="K2" s="89">
        <f t="shared" ref="K2:K79" si="2">E2/14</f>
        <v>0.15712124960763113</v>
      </c>
      <c r="L2" s="89">
        <f t="shared" ref="L2:L79" si="3">F2/12</f>
        <v>3.4512418111165366</v>
      </c>
      <c r="M2" s="89">
        <f t="shared" ref="M2:M79" si="4">G2/1</f>
        <v>4.6724090576171875</v>
      </c>
      <c r="N2" s="89">
        <f t="shared" ref="N2:N79" si="5">H2/16</f>
        <v>3.2084846962243319</v>
      </c>
      <c r="O2" s="89">
        <f t="shared" ref="O2:O79" si="6">M2/L2</f>
        <v>1.3538341597993049</v>
      </c>
      <c r="P2" s="89">
        <f t="shared" ref="P2:P79" si="7">N2/L2</f>
        <v>0.92966093708349329</v>
      </c>
    </row>
    <row r="3" spans="1:18" x14ac:dyDescent="0.35">
      <c r="A3" s="90" t="s">
        <v>73</v>
      </c>
      <c r="B3" s="94" t="s">
        <v>72</v>
      </c>
      <c r="C3" s="91">
        <v>4</v>
      </c>
      <c r="D3" s="94">
        <v>22.360000610351563</v>
      </c>
      <c r="E3" s="97">
        <v>2.0332150459289551</v>
      </c>
      <c r="F3" s="97">
        <v>39.376220703125</v>
      </c>
      <c r="G3" s="97">
        <v>4.51100528717041</v>
      </c>
      <c r="H3" s="97">
        <f t="shared" si="0"/>
        <v>53.694045211076734</v>
      </c>
      <c r="I3" s="97">
        <v>0.38551375269889832</v>
      </c>
      <c r="J3" s="98">
        <f t="shared" si="1"/>
        <v>22.594227917813196</v>
      </c>
      <c r="K3" s="89">
        <f t="shared" si="2"/>
        <v>0.1452296461377825</v>
      </c>
      <c r="L3" s="89">
        <f t="shared" si="3"/>
        <v>3.2813517252604165</v>
      </c>
      <c r="M3" s="89">
        <f t="shared" si="4"/>
        <v>4.51100528717041</v>
      </c>
      <c r="N3" s="89">
        <f t="shared" si="5"/>
        <v>3.3558778256922959</v>
      </c>
      <c r="O3" s="89">
        <f t="shared" si="6"/>
        <v>1.3747399440431534</v>
      </c>
      <c r="P3" s="89">
        <f t="shared" si="7"/>
        <v>1.0227120122046547</v>
      </c>
    </row>
    <row r="4" spans="1:18" x14ac:dyDescent="0.35">
      <c r="A4" s="90" t="s">
        <v>73</v>
      </c>
      <c r="B4" s="94" t="s">
        <v>72</v>
      </c>
      <c r="C4" s="91">
        <v>4</v>
      </c>
      <c r="D4" s="94">
        <v>21.389999119648401</v>
      </c>
      <c r="E4" s="97">
        <v>1.8094409704208374</v>
      </c>
      <c r="F4" s="97">
        <v>39.185619354247997</v>
      </c>
      <c r="G4" s="97">
        <v>4.1650123596191397</v>
      </c>
      <c r="H4" s="97">
        <f t="shared" si="0"/>
        <v>54.514940232038548</v>
      </c>
      <c r="I4" s="97">
        <v>0.32498708367347717</v>
      </c>
      <c r="J4" s="98">
        <f t="shared" si="1"/>
        <v>25.265569123626417</v>
      </c>
      <c r="K4" s="89">
        <f t="shared" si="2"/>
        <v>0.12924578360148839</v>
      </c>
      <c r="L4" s="89">
        <f t="shared" si="3"/>
        <v>3.2654682795206664</v>
      </c>
      <c r="M4" s="89">
        <f t="shared" si="4"/>
        <v>4.1650123596191397</v>
      </c>
      <c r="N4" s="89">
        <f t="shared" si="5"/>
        <v>3.4071837645024092</v>
      </c>
      <c r="O4" s="89">
        <f t="shared" si="6"/>
        <v>1.275471694439646</v>
      </c>
      <c r="P4" s="89">
        <f t="shared" si="7"/>
        <v>1.0433982120942682</v>
      </c>
    </row>
    <row r="5" spans="1:18" x14ac:dyDescent="0.35">
      <c r="A5" s="90" t="s">
        <v>73</v>
      </c>
      <c r="B5" s="94" t="s">
        <v>72</v>
      </c>
      <c r="C5" s="94">
        <v>8</v>
      </c>
      <c r="D5" s="94">
        <v>19.389999389648438</v>
      </c>
      <c r="E5" s="97">
        <v>1.9128596782684326</v>
      </c>
      <c r="F5" s="97">
        <v>36.434474945068359</v>
      </c>
      <c r="G5" s="97">
        <v>4.3019919395446777</v>
      </c>
      <c r="H5" s="97">
        <f t="shared" si="0"/>
        <v>57.02996027469635</v>
      </c>
      <c r="I5" s="97">
        <v>0.32071316242218018</v>
      </c>
      <c r="J5" s="98">
        <f t="shared" si="1"/>
        <v>22.221644336395528</v>
      </c>
      <c r="K5" s="89">
        <f t="shared" si="2"/>
        <v>0.1366328341620309</v>
      </c>
      <c r="L5" s="89">
        <f t="shared" si="3"/>
        <v>3.0362062454223633</v>
      </c>
      <c r="M5" s="89">
        <f t="shared" si="4"/>
        <v>4.3019919395446777</v>
      </c>
      <c r="N5" s="89">
        <f t="shared" si="5"/>
        <v>3.5643725171685219</v>
      </c>
      <c r="O5" s="89">
        <f t="shared" si="6"/>
        <v>1.4168971380092239</v>
      </c>
      <c r="P5" s="89">
        <f t="shared" si="7"/>
        <v>1.1739559927928038</v>
      </c>
    </row>
    <row r="6" spans="1:18" x14ac:dyDescent="0.35">
      <c r="A6" s="90" t="s">
        <v>73</v>
      </c>
      <c r="B6" s="94" t="s">
        <v>72</v>
      </c>
      <c r="C6" s="91">
        <v>8</v>
      </c>
      <c r="D6" s="94">
        <v>22.639999389648438</v>
      </c>
      <c r="E6" s="97">
        <v>1.7605099678039551</v>
      </c>
      <c r="F6" s="97">
        <v>34.268051147460938</v>
      </c>
      <c r="G6" s="97">
        <v>3.9325935840606689</v>
      </c>
      <c r="H6" s="97">
        <f t="shared" si="0"/>
        <v>59.711705029010773</v>
      </c>
      <c r="I6" s="97">
        <v>0.32714027166366577</v>
      </c>
      <c r="J6" s="98">
        <f t="shared" si="1"/>
        <v>22.708984178738302</v>
      </c>
      <c r="K6" s="89">
        <f t="shared" si="2"/>
        <v>0.1257507119859968</v>
      </c>
      <c r="L6" s="89">
        <f t="shared" si="3"/>
        <v>2.8556709289550781</v>
      </c>
      <c r="M6" s="89">
        <f t="shared" si="4"/>
        <v>3.9325935840606689</v>
      </c>
      <c r="N6" s="89">
        <f t="shared" si="5"/>
        <v>3.7319815643131733</v>
      </c>
      <c r="O6" s="89">
        <f t="shared" si="6"/>
        <v>1.3771172105952869</v>
      </c>
      <c r="P6" s="89">
        <f t="shared" si="7"/>
        <v>1.3068668124442291</v>
      </c>
    </row>
    <row r="7" spans="1:18" x14ac:dyDescent="0.35">
      <c r="A7" s="90" t="s">
        <v>73</v>
      </c>
      <c r="B7" s="94" t="s">
        <v>72</v>
      </c>
      <c r="C7" s="91">
        <v>8</v>
      </c>
      <c r="D7" s="94">
        <v>20.690000534057617</v>
      </c>
      <c r="E7" s="97">
        <v>1.6380728483200073</v>
      </c>
      <c r="F7" s="97">
        <v>34.679389953613281</v>
      </c>
      <c r="G7" s="97">
        <v>4.2090573310852051</v>
      </c>
      <c r="H7" s="97">
        <f t="shared" si="0"/>
        <v>59.161098003387451</v>
      </c>
      <c r="I7" s="97">
        <v>0.31238186359405518</v>
      </c>
      <c r="J7" s="98">
        <f t="shared" si="1"/>
        <v>24.699321718634295</v>
      </c>
      <c r="K7" s="89">
        <f t="shared" si="2"/>
        <v>0.11700520345142909</v>
      </c>
      <c r="L7" s="89">
        <f t="shared" si="3"/>
        <v>2.8899491628011069</v>
      </c>
      <c r="M7" s="89">
        <f t="shared" si="4"/>
        <v>4.2090573310852051</v>
      </c>
      <c r="N7" s="89">
        <f t="shared" si="5"/>
        <v>3.6975686252117157</v>
      </c>
      <c r="O7" s="89">
        <f t="shared" si="6"/>
        <v>1.4564468417864977</v>
      </c>
      <c r="P7" s="89">
        <f t="shared" si="7"/>
        <v>1.2794580170496206</v>
      </c>
    </row>
    <row r="8" spans="1:18" x14ac:dyDescent="0.35">
      <c r="A8" s="90" t="s">
        <v>73</v>
      </c>
      <c r="B8" s="94" t="s">
        <v>72</v>
      </c>
      <c r="C8" s="94">
        <v>12</v>
      </c>
      <c r="D8" s="94">
        <v>20.329999923706055</v>
      </c>
      <c r="E8" s="97">
        <v>1.7569055557250977</v>
      </c>
      <c r="F8" s="97">
        <v>34.781147003173828</v>
      </c>
      <c r="G8" s="97">
        <v>4.1204237937927246</v>
      </c>
      <c r="H8" s="97">
        <f t="shared" si="0"/>
        <v>59.025328606367111</v>
      </c>
      <c r="I8" s="97">
        <v>0.3161950409412384</v>
      </c>
      <c r="J8" s="98">
        <f t="shared" si="1"/>
        <v>23.096292629280839</v>
      </c>
      <c r="K8" s="89">
        <f t="shared" si="2"/>
        <v>0.12549325398036412</v>
      </c>
      <c r="L8" s="89">
        <f t="shared" si="3"/>
        <v>2.8984289169311523</v>
      </c>
      <c r="M8" s="89">
        <f t="shared" si="4"/>
        <v>4.1204237937927246</v>
      </c>
      <c r="N8" s="89">
        <f t="shared" si="5"/>
        <v>3.6890830378979445</v>
      </c>
      <c r="O8" s="89">
        <f t="shared" si="6"/>
        <v>1.4216059499418108</v>
      </c>
      <c r="P8" s="89">
        <f t="shared" si="7"/>
        <v>1.272787135247027</v>
      </c>
    </row>
    <row r="9" spans="1:18" x14ac:dyDescent="0.35">
      <c r="A9" s="90" t="s">
        <v>73</v>
      </c>
      <c r="B9" s="94" t="s">
        <v>72</v>
      </c>
      <c r="C9" s="91">
        <v>12</v>
      </c>
      <c r="D9" s="94">
        <v>21.879999160766602</v>
      </c>
      <c r="E9" s="97">
        <v>1.0321364402770996</v>
      </c>
      <c r="F9" s="97">
        <v>38.476898193359403</v>
      </c>
      <c r="G9" s="97">
        <v>4.0750489234924299</v>
      </c>
      <c r="H9" s="97">
        <f t="shared" si="0"/>
        <v>56.209940269589396</v>
      </c>
      <c r="I9" s="97">
        <v>0.20597617328166962</v>
      </c>
      <c r="J9" s="98">
        <f t="shared" si="1"/>
        <v>43.492035361979546</v>
      </c>
      <c r="K9" s="89">
        <f t="shared" si="2"/>
        <v>7.3724031448364258E-2</v>
      </c>
      <c r="L9" s="89">
        <f t="shared" si="3"/>
        <v>3.2064081827799504</v>
      </c>
      <c r="M9" s="89">
        <f t="shared" si="4"/>
        <v>4.0750489234924299</v>
      </c>
      <c r="N9" s="89">
        <f t="shared" si="5"/>
        <v>3.5131212668493372</v>
      </c>
      <c r="O9" s="89">
        <f t="shared" si="6"/>
        <v>1.2709077232828696</v>
      </c>
      <c r="P9" s="89">
        <f t="shared" si="7"/>
        <v>1.0956562816040056</v>
      </c>
    </row>
    <row r="10" spans="1:18" x14ac:dyDescent="0.35">
      <c r="A10" s="90" t="s">
        <v>73</v>
      </c>
      <c r="B10" s="94" t="s">
        <v>72</v>
      </c>
      <c r="C10" s="91">
        <v>12</v>
      </c>
      <c r="D10" s="94">
        <v>16.569999961853</v>
      </c>
      <c r="E10" s="97">
        <v>1.83640727996826</v>
      </c>
      <c r="F10" s="97">
        <v>39.915252685546903</v>
      </c>
      <c r="G10" s="97">
        <v>4.0484055519103999</v>
      </c>
      <c r="H10" s="97">
        <f t="shared" si="0"/>
        <v>53.808757930994012</v>
      </c>
      <c r="I10" s="97">
        <v>0.39117655158042908</v>
      </c>
      <c r="J10" s="98">
        <f t="shared" si="1"/>
        <v>25.358097469864955</v>
      </c>
      <c r="K10" s="89">
        <f t="shared" si="2"/>
        <v>0.13117194856916142</v>
      </c>
      <c r="L10" s="89">
        <f t="shared" si="3"/>
        <v>3.3262710571289085</v>
      </c>
      <c r="M10" s="89">
        <f t="shared" si="4"/>
        <v>4.0484055519103999</v>
      </c>
      <c r="N10" s="89">
        <f t="shared" si="5"/>
        <v>3.3630473706871258</v>
      </c>
      <c r="O10" s="89">
        <f t="shared" si="6"/>
        <v>1.2171003151513473</v>
      </c>
      <c r="P10" s="89">
        <f t="shared" si="7"/>
        <v>1.0110563189008297</v>
      </c>
    </row>
    <row r="11" spans="1:18" x14ac:dyDescent="0.35">
      <c r="A11" s="90" t="s">
        <v>74</v>
      </c>
      <c r="B11" s="94" t="s">
        <v>72</v>
      </c>
      <c r="C11" s="94">
        <v>46</v>
      </c>
      <c r="D11" s="94">
        <v>16.290000915527344</v>
      </c>
      <c r="E11" s="97">
        <v>2.1703453063964844</v>
      </c>
      <c r="F11" s="97">
        <v>37.812889099121094</v>
      </c>
      <c r="G11" s="97">
        <v>5.0434894561767578</v>
      </c>
      <c r="H11" s="97">
        <f t="shared" si="0"/>
        <v>54.576518595218658</v>
      </c>
      <c r="I11" s="97">
        <v>0.39675754308700562</v>
      </c>
      <c r="J11" s="98">
        <f t="shared" si="1"/>
        <v>20.326275801500909</v>
      </c>
      <c r="K11" s="89">
        <f t="shared" si="2"/>
        <v>0.15502466474260604</v>
      </c>
      <c r="L11" s="89">
        <f t="shared" si="3"/>
        <v>3.1510740915934243</v>
      </c>
      <c r="M11" s="89">
        <f t="shared" si="4"/>
        <v>5.0434894561767578</v>
      </c>
      <c r="N11" s="89">
        <f t="shared" si="5"/>
        <v>3.4110324122011662</v>
      </c>
      <c r="O11" s="89">
        <f t="shared" si="6"/>
        <v>1.600562001900242</v>
      </c>
      <c r="P11" s="89">
        <f t="shared" si="7"/>
        <v>1.0824983205889287</v>
      </c>
    </row>
    <row r="12" spans="1:18" x14ac:dyDescent="0.35">
      <c r="A12" s="90" t="s">
        <v>74</v>
      </c>
      <c r="B12" s="94" t="s">
        <v>72</v>
      </c>
      <c r="C12" s="91">
        <v>46</v>
      </c>
      <c r="D12" s="94">
        <v>19.379999160766602</v>
      </c>
      <c r="E12" s="97">
        <v>1.8559044599533081</v>
      </c>
      <c r="F12" s="97">
        <v>38.542533874511719</v>
      </c>
      <c r="G12" s="97">
        <v>4.5000343322753906</v>
      </c>
      <c r="H12" s="97">
        <f t="shared" si="0"/>
        <v>54.760819107294083</v>
      </c>
      <c r="I12" s="97">
        <v>0.34070822596549988</v>
      </c>
      <c r="J12" s="98">
        <f t="shared" si="1"/>
        <v>24.228773889252338</v>
      </c>
      <c r="K12" s="89">
        <f t="shared" si="2"/>
        <v>0.13256460428237915</v>
      </c>
      <c r="L12" s="89">
        <f t="shared" si="3"/>
        <v>3.2118778228759766</v>
      </c>
      <c r="M12" s="89">
        <f t="shared" si="4"/>
        <v>4.5000343322753906</v>
      </c>
      <c r="N12" s="89">
        <f t="shared" si="5"/>
        <v>3.4225511942058802</v>
      </c>
      <c r="O12" s="89">
        <f t="shared" si="6"/>
        <v>1.4010602458863066</v>
      </c>
      <c r="P12" s="89">
        <f t="shared" si="7"/>
        <v>1.0655919630035189</v>
      </c>
    </row>
    <row r="13" spans="1:18" x14ac:dyDescent="0.35">
      <c r="A13" s="90" t="s">
        <v>74</v>
      </c>
      <c r="B13" s="94" t="s">
        <v>72</v>
      </c>
      <c r="C13" s="91">
        <v>46</v>
      </c>
      <c r="D13" s="94">
        <v>19.909999899412099</v>
      </c>
      <c r="E13" s="97">
        <v>2.0097706794738799</v>
      </c>
      <c r="F13" s="97">
        <v>38.545845031738303</v>
      </c>
      <c r="G13" s="97">
        <v>5.0222027053833003</v>
      </c>
      <c r="H13" s="97">
        <f t="shared" si="0"/>
        <v>54.055356966018657</v>
      </c>
      <c r="I13" s="97">
        <v>0.36682461738586403</v>
      </c>
      <c r="J13" s="98">
        <f t="shared" si="1"/>
        <v>22.375763064072743</v>
      </c>
      <c r="K13" s="89">
        <f t="shared" si="2"/>
        <v>0.14355504853384857</v>
      </c>
      <c r="L13" s="89">
        <f t="shared" si="3"/>
        <v>3.2121537526448587</v>
      </c>
      <c r="M13" s="89">
        <f t="shared" si="4"/>
        <v>5.0222027053833003</v>
      </c>
      <c r="N13" s="89">
        <f t="shared" si="5"/>
        <v>3.3784598103761661</v>
      </c>
      <c r="O13" s="89">
        <f t="shared" si="6"/>
        <v>1.5635000974807209</v>
      </c>
      <c r="P13" s="89">
        <f t="shared" si="7"/>
        <v>1.0517740029082894</v>
      </c>
    </row>
    <row r="14" spans="1:18" x14ac:dyDescent="0.35">
      <c r="A14" s="90" t="s">
        <v>74</v>
      </c>
      <c r="B14" s="94" t="s">
        <v>72</v>
      </c>
      <c r="C14" s="94">
        <v>51</v>
      </c>
      <c r="D14" s="94">
        <v>21</v>
      </c>
      <c r="E14" s="97">
        <v>2.0260066986083984</v>
      </c>
      <c r="F14" s="97">
        <v>40.029956817626953</v>
      </c>
      <c r="G14" s="97">
        <v>3.66143798828125</v>
      </c>
      <c r="H14" s="97">
        <f t="shared" si="0"/>
        <v>54.023073077201843</v>
      </c>
      <c r="I14" s="97">
        <v>0.25952541828155518</v>
      </c>
      <c r="J14" s="98">
        <f t="shared" si="1"/>
        <v>23.051067066712733</v>
      </c>
      <c r="K14" s="89">
        <f t="shared" si="2"/>
        <v>0.14471476418631418</v>
      </c>
      <c r="L14" s="89">
        <f t="shared" si="3"/>
        <v>3.3358297348022461</v>
      </c>
      <c r="M14" s="89">
        <f t="shared" si="4"/>
        <v>3.66143798828125</v>
      </c>
      <c r="N14" s="89">
        <f t="shared" si="5"/>
        <v>3.3764420673251152</v>
      </c>
      <c r="O14" s="89">
        <f t="shared" si="6"/>
        <v>1.0976093743880206</v>
      </c>
      <c r="P14" s="89">
        <f t="shared" si="7"/>
        <v>1.0121745819635715</v>
      </c>
    </row>
    <row r="15" spans="1:18" x14ac:dyDescent="0.35">
      <c r="A15" s="90" t="s">
        <v>74</v>
      </c>
      <c r="B15" s="94" t="s">
        <v>72</v>
      </c>
      <c r="C15" s="91">
        <v>51</v>
      </c>
      <c r="D15" s="94">
        <v>20.389999389648438</v>
      </c>
      <c r="E15" s="97">
        <v>2.0332150459289551</v>
      </c>
      <c r="F15" s="97">
        <v>39.376220703125</v>
      </c>
      <c r="G15" s="97">
        <v>4.5060052871704102</v>
      </c>
      <c r="H15" s="97">
        <f t="shared" si="0"/>
        <v>53.699045211076736</v>
      </c>
      <c r="I15" s="97">
        <v>0.38551375269889832</v>
      </c>
      <c r="J15" s="98">
        <f t="shared" si="1"/>
        <v>22.594227917813196</v>
      </c>
      <c r="K15" s="89">
        <f t="shared" si="2"/>
        <v>0.1452296461377825</v>
      </c>
      <c r="L15" s="89">
        <f t="shared" si="3"/>
        <v>3.2813517252604165</v>
      </c>
      <c r="M15" s="89">
        <f t="shared" si="4"/>
        <v>4.5060052871704102</v>
      </c>
      <c r="N15" s="89">
        <f t="shared" si="5"/>
        <v>3.356190325692296</v>
      </c>
      <c r="O15" s="89">
        <f t="shared" si="6"/>
        <v>1.3732161817589981</v>
      </c>
      <c r="P15" s="89">
        <f t="shared" si="7"/>
        <v>1.0228072473474146</v>
      </c>
    </row>
    <row r="16" spans="1:18" x14ac:dyDescent="0.35">
      <c r="A16" s="90" t="s">
        <v>74</v>
      </c>
      <c r="B16" s="94" t="s">
        <v>72</v>
      </c>
      <c r="C16" s="91">
        <v>51</v>
      </c>
      <c r="D16" s="94">
        <v>20.229999389648398</v>
      </c>
      <c r="E16" s="97">
        <v>2.0060619831085198</v>
      </c>
      <c r="F16" s="97">
        <v>40.095506286621102</v>
      </c>
      <c r="G16" s="97">
        <v>4.4136134147644004</v>
      </c>
      <c r="H16" s="97">
        <f t="shared" si="0"/>
        <v>53.084582811594004</v>
      </c>
      <c r="I16" s="97">
        <v>0.40023550391197205</v>
      </c>
      <c r="J16" s="98">
        <f t="shared" si="1"/>
        <v>23.318367558732664</v>
      </c>
      <c r="K16" s="89">
        <f t="shared" si="2"/>
        <v>0.14329014165060855</v>
      </c>
      <c r="L16" s="89">
        <f t="shared" si="3"/>
        <v>3.3412921905517585</v>
      </c>
      <c r="M16" s="89">
        <f t="shared" si="4"/>
        <v>4.4136134147644004</v>
      </c>
      <c r="N16" s="89">
        <f t="shared" si="5"/>
        <v>3.3177864257246252</v>
      </c>
      <c r="O16" s="89">
        <f t="shared" si="6"/>
        <v>1.3209300962199195</v>
      </c>
      <c r="P16" s="89">
        <f t="shared" si="7"/>
        <v>0.9929650675587125</v>
      </c>
    </row>
    <row r="17" spans="1:16" x14ac:dyDescent="0.35">
      <c r="A17" s="90" t="s">
        <v>74</v>
      </c>
      <c r="B17" s="94" t="s">
        <v>72</v>
      </c>
      <c r="C17" s="94">
        <v>61</v>
      </c>
      <c r="D17" s="94">
        <v>19.959999084472656</v>
      </c>
      <c r="E17" s="97">
        <v>1.8695992231369019</v>
      </c>
      <c r="F17" s="97">
        <v>36.936420440673828</v>
      </c>
      <c r="G17" s="97">
        <v>4.3764777183532715</v>
      </c>
      <c r="H17" s="97">
        <f t="shared" si="0"/>
        <v>56.45343890786171</v>
      </c>
      <c r="I17" s="97">
        <v>0.36406370997428894</v>
      </c>
      <c r="J17" s="98">
        <f t="shared" si="1"/>
        <v>23.049052428368498</v>
      </c>
      <c r="K17" s="89">
        <f t="shared" si="2"/>
        <v>0.13354280165263585</v>
      </c>
      <c r="L17" s="89">
        <f t="shared" si="3"/>
        <v>3.0780350367228189</v>
      </c>
      <c r="M17" s="89">
        <f t="shared" si="4"/>
        <v>4.3764777183532715</v>
      </c>
      <c r="N17" s="89">
        <f t="shared" si="5"/>
        <v>3.5283399317413568</v>
      </c>
      <c r="O17" s="89">
        <f t="shared" si="6"/>
        <v>1.4218414235508194</v>
      </c>
      <c r="P17" s="89">
        <f t="shared" si="7"/>
        <v>1.1462962213380057</v>
      </c>
    </row>
    <row r="18" spans="1:16" x14ac:dyDescent="0.35">
      <c r="A18" s="90" t="s">
        <v>74</v>
      </c>
      <c r="B18" s="94" t="s">
        <v>72</v>
      </c>
      <c r="C18" s="91">
        <v>61</v>
      </c>
      <c r="D18" s="94">
        <v>20.299999237060547</v>
      </c>
      <c r="E18" s="97">
        <v>1.8204057216644287</v>
      </c>
      <c r="F18" s="97">
        <v>35.426506042480469</v>
      </c>
      <c r="G18" s="97">
        <v>4.1596508026123047</v>
      </c>
      <c r="H18" s="97">
        <f t="shared" si="0"/>
        <v>58.276775121688843</v>
      </c>
      <c r="I18" s="97">
        <v>0.31666231155395508</v>
      </c>
      <c r="J18" s="98">
        <f t="shared" si="1"/>
        <v>22.704237425950094</v>
      </c>
      <c r="K18" s="89">
        <f t="shared" si="2"/>
        <v>0.13002898011888778</v>
      </c>
      <c r="L18" s="89">
        <f t="shared" si="3"/>
        <v>2.9522088368733725</v>
      </c>
      <c r="M18" s="89">
        <f t="shared" si="4"/>
        <v>4.1596508026123047</v>
      </c>
      <c r="N18" s="89">
        <f t="shared" si="5"/>
        <v>3.6422984451055527</v>
      </c>
      <c r="O18" s="89">
        <f t="shared" si="6"/>
        <v>1.4089961220418643</v>
      </c>
      <c r="P18" s="89">
        <f t="shared" si="7"/>
        <v>1.233753655775599</v>
      </c>
    </row>
    <row r="19" spans="1:16" x14ac:dyDescent="0.35">
      <c r="A19" s="90" t="s">
        <v>74</v>
      </c>
      <c r="B19" s="94" t="s">
        <v>72</v>
      </c>
      <c r="C19" s="91">
        <v>61</v>
      </c>
      <c r="D19" s="94">
        <v>17.880000886645501</v>
      </c>
      <c r="E19" s="97">
        <v>1.1339168548584</v>
      </c>
      <c r="F19" s="97">
        <v>36.051975250244098</v>
      </c>
      <c r="G19" s="97">
        <v>4.2721691131591797</v>
      </c>
      <c r="H19" s="97">
        <f t="shared" si="0"/>
        <v>58.148956626653714</v>
      </c>
      <c r="I19" s="97">
        <v>0.39298215508460999</v>
      </c>
      <c r="J19" s="98">
        <f t="shared" si="1"/>
        <v>37.093229200833996</v>
      </c>
      <c r="K19" s="89">
        <f t="shared" si="2"/>
        <v>8.0994061061314279E-2</v>
      </c>
      <c r="L19" s="89">
        <f t="shared" si="3"/>
        <v>3.0043312708536747</v>
      </c>
      <c r="M19" s="89">
        <f t="shared" si="4"/>
        <v>4.2721691131591797</v>
      </c>
      <c r="N19" s="89">
        <f t="shared" si="5"/>
        <v>3.6343097891658571</v>
      </c>
      <c r="O19" s="89">
        <f t="shared" si="6"/>
        <v>1.4220033438407249</v>
      </c>
      <c r="P19" s="89">
        <f t="shared" si="7"/>
        <v>1.2096900979009466</v>
      </c>
    </row>
    <row r="20" spans="1:16" x14ac:dyDescent="0.35">
      <c r="A20" s="90" t="s">
        <v>75</v>
      </c>
      <c r="B20" s="94" t="s">
        <v>72</v>
      </c>
      <c r="C20" s="94">
        <v>69</v>
      </c>
      <c r="D20" s="94">
        <v>19.209999084472656</v>
      </c>
      <c r="E20" s="97">
        <v>1.7689990997314453</v>
      </c>
      <c r="F20" s="97">
        <v>39.185531616210938</v>
      </c>
      <c r="G20" s="97">
        <v>4.3449587821960449</v>
      </c>
      <c r="H20" s="97">
        <f t="shared" si="0"/>
        <v>54.349512577056885</v>
      </c>
      <c r="I20" s="97">
        <v>0.3509979248046875</v>
      </c>
      <c r="J20" s="98">
        <f t="shared" si="1"/>
        <v>25.84311860824937</v>
      </c>
      <c r="K20" s="89">
        <f t="shared" si="2"/>
        <v>0.12635707855224609</v>
      </c>
      <c r="L20" s="89">
        <f t="shared" si="3"/>
        <v>3.2654609680175781</v>
      </c>
      <c r="M20" s="89">
        <f t="shared" si="4"/>
        <v>4.3449587821960449</v>
      </c>
      <c r="N20" s="89">
        <f t="shared" si="5"/>
        <v>3.3968445360660553</v>
      </c>
      <c r="O20" s="89">
        <f t="shared" si="6"/>
        <v>1.3305805289823498</v>
      </c>
      <c r="P20" s="89">
        <f t="shared" si="7"/>
        <v>1.0402343097453217</v>
      </c>
    </row>
    <row r="21" spans="1:16" x14ac:dyDescent="0.35">
      <c r="A21" s="90" t="s">
        <v>75</v>
      </c>
      <c r="B21" s="94" t="s">
        <v>72</v>
      </c>
      <c r="C21" s="91">
        <v>69</v>
      </c>
      <c r="D21" s="94">
        <v>21.659999847412109</v>
      </c>
      <c r="E21" s="97">
        <v>2.0674350261688232</v>
      </c>
      <c r="F21" s="97">
        <v>40.081256866455078</v>
      </c>
      <c r="G21" s="97">
        <v>4.5207133293151855</v>
      </c>
      <c r="H21" s="97">
        <f t="shared" si="0"/>
        <v>52.958007425069809</v>
      </c>
      <c r="I21" s="97">
        <v>0.37258735299110413</v>
      </c>
      <c r="J21" s="98">
        <f t="shared" si="1"/>
        <v>22.61810685816403</v>
      </c>
      <c r="K21" s="89">
        <f t="shared" si="2"/>
        <v>0.14767393044063024</v>
      </c>
      <c r="L21" s="89">
        <f t="shared" si="3"/>
        <v>3.3401047388712564</v>
      </c>
      <c r="M21" s="89">
        <f t="shared" si="4"/>
        <v>4.5207133293151855</v>
      </c>
      <c r="N21" s="89">
        <f t="shared" si="5"/>
        <v>3.3098754640668631</v>
      </c>
      <c r="O21" s="89">
        <f t="shared" si="6"/>
        <v>1.3534645416068301</v>
      </c>
      <c r="P21" s="89">
        <f t="shared" si="7"/>
        <v>0.99094960273173682</v>
      </c>
    </row>
    <row r="22" spans="1:16" x14ac:dyDescent="0.35">
      <c r="A22" s="90" t="s">
        <v>75</v>
      </c>
      <c r="B22" s="94" t="s">
        <v>72</v>
      </c>
      <c r="C22" s="91">
        <v>69</v>
      </c>
      <c r="D22" s="94">
        <v>20.040000915527301</v>
      </c>
      <c r="E22" s="97">
        <v>2.0604362964630099</v>
      </c>
      <c r="F22" s="97">
        <v>40.595645904541001</v>
      </c>
      <c r="G22" s="97">
        <v>4.5867437362670902</v>
      </c>
      <c r="H22" s="97">
        <f t="shared" si="0"/>
        <v>52.398663308620471</v>
      </c>
      <c r="I22" s="97">
        <v>0.35851075410842898</v>
      </c>
      <c r="J22" s="98">
        <f t="shared" si="1"/>
        <v>22.9861932494264</v>
      </c>
      <c r="K22" s="89">
        <f t="shared" si="2"/>
        <v>0.14717402117592929</v>
      </c>
      <c r="L22" s="89">
        <f t="shared" si="3"/>
        <v>3.3829704920450836</v>
      </c>
      <c r="M22" s="89">
        <f t="shared" si="4"/>
        <v>4.5867437362670902</v>
      </c>
      <c r="N22" s="89">
        <f t="shared" si="5"/>
        <v>3.2749164567887794</v>
      </c>
      <c r="O22" s="89">
        <f t="shared" si="6"/>
        <v>1.3558332084340168</v>
      </c>
      <c r="P22" s="89">
        <f t="shared" si="7"/>
        <v>0.96805942129545952</v>
      </c>
    </row>
    <row r="23" spans="1:16" x14ac:dyDescent="0.35">
      <c r="A23" s="90" t="s">
        <v>75</v>
      </c>
      <c r="B23" s="94" t="s">
        <v>72</v>
      </c>
      <c r="C23" s="94">
        <v>144</v>
      </c>
      <c r="D23" s="94">
        <v>17.520000457763672</v>
      </c>
      <c r="E23" s="97">
        <v>2.1514320373535156</v>
      </c>
      <c r="F23" s="97">
        <v>41.069011688232422</v>
      </c>
      <c r="G23" s="97">
        <v>4.6041622161865234</v>
      </c>
      <c r="H23" s="97">
        <f t="shared" si="0"/>
        <v>51.758633434772491</v>
      </c>
      <c r="I23" s="97">
        <v>0.41676062345504761</v>
      </c>
      <c r="J23" s="98">
        <f t="shared" si="1"/>
        <v>22.270676525084887</v>
      </c>
      <c r="K23" s="89">
        <f t="shared" si="2"/>
        <v>0.15367371695382254</v>
      </c>
      <c r="L23" s="89">
        <f t="shared" si="3"/>
        <v>3.4224176406860352</v>
      </c>
      <c r="M23" s="89">
        <f t="shared" si="4"/>
        <v>4.6041622161865234</v>
      </c>
      <c r="N23" s="89">
        <f t="shared" si="5"/>
        <v>3.2349145896732807</v>
      </c>
      <c r="O23" s="89">
        <f t="shared" si="6"/>
        <v>1.3452952560353224</v>
      </c>
      <c r="P23" s="89">
        <f t="shared" si="7"/>
        <v>0.94521327590656967</v>
      </c>
    </row>
    <row r="24" spans="1:16" x14ac:dyDescent="0.35">
      <c r="A24" s="90" t="s">
        <v>75</v>
      </c>
      <c r="B24" s="94" t="s">
        <v>72</v>
      </c>
      <c r="C24" s="91">
        <v>144</v>
      </c>
      <c r="D24" s="94">
        <v>19.840000152587891</v>
      </c>
      <c r="E24" s="97">
        <v>2.074230432510376</v>
      </c>
      <c r="F24" s="97">
        <v>40.388404846191406</v>
      </c>
      <c r="G24" s="97">
        <v>4.5187005996704102</v>
      </c>
      <c r="H24" s="97">
        <f t="shared" si="0"/>
        <v>52.596049934625626</v>
      </c>
      <c r="I24" s="97">
        <v>0.42261418700218201</v>
      </c>
      <c r="J24" s="98">
        <f t="shared" si="1"/>
        <v>22.716765174861671</v>
      </c>
      <c r="K24" s="89">
        <f t="shared" si="2"/>
        <v>0.14815931660788401</v>
      </c>
      <c r="L24" s="89">
        <f t="shared" si="3"/>
        <v>3.3657004038492837</v>
      </c>
      <c r="M24" s="89">
        <f t="shared" si="4"/>
        <v>4.5187005996704102</v>
      </c>
      <c r="N24" s="89">
        <f t="shared" si="5"/>
        <v>3.2872531209141016</v>
      </c>
      <c r="O24" s="89">
        <f t="shared" si="6"/>
        <v>1.3425736273206206</v>
      </c>
      <c r="P24" s="89">
        <f t="shared" si="7"/>
        <v>0.97669213729021642</v>
      </c>
    </row>
    <row r="25" spans="1:16" x14ac:dyDescent="0.35">
      <c r="A25" s="90" t="s">
        <v>75</v>
      </c>
      <c r="B25" s="94" t="s">
        <v>72</v>
      </c>
      <c r="C25" s="91">
        <v>144</v>
      </c>
      <c r="D25" s="94">
        <v>20.449999618530299</v>
      </c>
      <c r="E25" s="97">
        <v>2.1017686748504598</v>
      </c>
      <c r="F25" s="97">
        <v>39.6667666116699</v>
      </c>
      <c r="G25" s="97">
        <v>4.5579760551452599</v>
      </c>
      <c r="H25" s="97">
        <f t="shared" si="0"/>
        <v>53.265014094974163</v>
      </c>
      <c r="I25" s="97">
        <v>0.40847456336021398</v>
      </c>
      <c r="J25" s="98">
        <f t="shared" si="1"/>
        <v>22.018547965833683</v>
      </c>
      <c r="K25" s="89">
        <f t="shared" si="2"/>
        <v>0.15012633391788999</v>
      </c>
      <c r="L25" s="89">
        <f t="shared" si="3"/>
        <v>3.3055638843058248</v>
      </c>
      <c r="M25" s="89">
        <f t="shared" si="4"/>
        <v>4.5579760551452599</v>
      </c>
      <c r="N25" s="89">
        <f t="shared" si="5"/>
        <v>3.3290633809358852</v>
      </c>
      <c r="O25" s="89">
        <f t="shared" si="6"/>
        <v>1.3788800382245356</v>
      </c>
      <c r="P25" s="89">
        <f t="shared" si="7"/>
        <v>1.0071090735053196</v>
      </c>
    </row>
    <row r="26" spans="1:16" x14ac:dyDescent="0.35">
      <c r="A26" s="90" t="s">
        <v>75</v>
      </c>
      <c r="B26" s="94" t="s">
        <v>72</v>
      </c>
      <c r="C26" s="94">
        <v>149</v>
      </c>
      <c r="D26" s="94">
        <v>19.100000381469727</v>
      </c>
      <c r="E26" s="97">
        <v>1.8196455240249634</v>
      </c>
      <c r="F26" s="97">
        <v>35.417449951171875</v>
      </c>
      <c r="G26" s="97">
        <v>4.2565641403198242</v>
      </c>
      <c r="H26" s="97">
        <f t="shared" si="0"/>
        <v>58.116738766431808</v>
      </c>
      <c r="I26" s="97">
        <v>0.38960161805152893</v>
      </c>
      <c r="J26" s="98">
        <f t="shared" si="1"/>
        <v>22.70791631161692</v>
      </c>
      <c r="K26" s="89">
        <f t="shared" si="2"/>
        <v>0.1299746802874974</v>
      </c>
      <c r="L26" s="89">
        <f t="shared" si="3"/>
        <v>2.9514541625976563</v>
      </c>
      <c r="M26" s="89">
        <f t="shared" si="4"/>
        <v>4.2565641403198242</v>
      </c>
      <c r="N26" s="89">
        <f t="shared" si="5"/>
        <v>3.632296172901988</v>
      </c>
      <c r="O26" s="89">
        <f t="shared" si="6"/>
        <v>1.4421921892811997</v>
      </c>
      <c r="P26" s="89">
        <f t="shared" si="7"/>
        <v>1.2306801911180976</v>
      </c>
    </row>
    <row r="27" spans="1:16" x14ac:dyDescent="0.35">
      <c r="A27" s="90" t="s">
        <v>75</v>
      </c>
      <c r="B27" s="94" t="s">
        <v>72</v>
      </c>
      <c r="C27" s="91">
        <v>149</v>
      </c>
      <c r="D27" s="94">
        <v>17.389999389648438</v>
      </c>
      <c r="E27" s="97">
        <v>1.8433338403701782</v>
      </c>
      <c r="F27" s="97">
        <v>37.028423309326172</v>
      </c>
      <c r="G27" s="97">
        <v>4.4079275131225586</v>
      </c>
      <c r="H27" s="97">
        <f t="shared" si="0"/>
        <v>56.352672576904297</v>
      </c>
      <c r="I27" s="97">
        <v>0.36764276027679443</v>
      </c>
      <c r="J27" s="98">
        <f t="shared" si="1"/>
        <v>23.435704508923074</v>
      </c>
      <c r="K27" s="89">
        <f t="shared" si="2"/>
        <v>0.13166670288358415</v>
      </c>
      <c r="L27" s="89">
        <f t="shared" si="3"/>
        <v>3.0857019424438477</v>
      </c>
      <c r="M27" s="89">
        <f t="shared" si="4"/>
        <v>4.4079275131225586</v>
      </c>
      <c r="N27" s="89">
        <f t="shared" si="5"/>
        <v>3.5220420360565186</v>
      </c>
      <c r="O27" s="89">
        <f t="shared" si="6"/>
        <v>1.4285007415951265</v>
      </c>
      <c r="P27" s="89">
        <f t="shared" si="7"/>
        <v>1.1414070774661709</v>
      </c>
    </row>
    <row r="28" spans="1:16" x14ac:dyDescent="0.35">
      <c r="A28" s="90" t="s">
        <v>75</v>
      </c>
      <c r="B28" s="94" t="s">
        <v>72</v>
      </c>
      <c r="C28" s="91">
        <v>149</v>
      </c>
      <c r="D28" s="94">
        <v>21.8999993896484</v>
      </c>
      <c r="E28" s="97">
        <v>1.89524822235107</v>
      </c>
      <c r="F28" s="97">
        <v>36.011783599853501</v>
      </c>
      <c r="G28" s="97">
        <v>4.4631192207336401</v>
      </c>
      <c r="H28" s="97">
        <f t="shared" si="0"/>
        <v>57.311586058139824</v>
      </c>
      <c r="I28" s="97">
        <v>0.31826289892196702</v>
      </c>
      <c r="J28" s="98">
        <f t="shared" si="1"/>
        <v>22.167939290318419</v>
      </c>
      <c r="K28" s="89">
        <f t="shared" si="2"/>
        <v>0.13537487302507642</v>
      </c>
      <c r="L28" s="89">
        <f t="shared" si="3"/>
        <v>3.0009819666544586</v>
      </c>
      <c r="M28" s="89">
        <f t="shared" si="4"/>
        <v>4.4631192207336401</v>
      </c>
      <c r="N28" s="89">
        <f t="shared" si="5"/>
        <v>3.581974128633739</v>
      </c>
      <c r="O28" s="89">
        <f t="shared" si="6"/>
        <v>1.4872196068906054</v>
      </c>
      <c r="P28" s="89">
        <f t="shared" si="7"/>
        <v>1.1936006841877091</v>
      </c>
    </row>
    <row r="29" spans="1:16" x14ac:dyDescent="0.35">
      <c r="A29" s="90" t="s">
        <v>76</v>
      </c>
      <c r="B29" s="94" t="s">
        <v>72</v>
      </c>
      <c r="C29" s="94">
        <v>96</v>
      </c>
      <c r="D29" s="94">
        <v>19.149999618530273</v>
      </c>
      <c r="E29" s="97">
        <v>1.9877709150314331</v>
      </c>
      <c r="F29" s="97">
        <v>39.542926788330078</v>
      </c>
      <c r="G29" s="97">
        <v>4.4816431999206543</v>
      </c>
      <c r="H29" s="97">
        <f t="shared" si="0"/>
        <v>53.630088448524475</v>
      </c>
      <c r="I29" s="97">
        <v>0.35757064819335938</v>
      </c>
      <c r="J29" s="98">
        <f t="shared" si="1"/>
        <v>23.208617370103521</v>
      </c>
      <c r="K29" s="89">
        <f t="shared" si="2"/>
        <v>0.1419836367879595</v>
      </c>
      <c r="L29" s="89">
        <f t="shared" si="3"/>
        <v>3.2952438990275064</v>
      </c>
      <c r="M29" s="89">
        <f t="shared" si="4"/>
        <v>4.4816431999206543</v>
      </c>
      <c r="N29" s="89">
        <f t="shared" si="5"/>
        <v>3.3518805280327797</v>
      </c>
      <c r="O29" s="89">
        <f t="shared" si="6"/>
        <v>1.3600338358090212</v>
      </c>
      <c r="P29" s="89">
        <f t="shared" si="7"/>
        <v>1.017187386045078</v>
      </c>
    </row>
    <row r="30" spans="1:16" x14ac:dyDescent="0.35">
      <c r="A30" s="90" t="s">
        <v>76</v>
      </c>
      <c r="B30" s="94" t="s">
        <v>72</v>
      </c>
      <c r="C30" s="91">
        <v>96</v>
      </c>
      <c r="D30" s="94">
        <v>22.139999389648438</v>
      </c>
      <c r="E30" s="97">
        <v>2.0615482330322266</v>
      </c>
      <c r="F30" s="97">
        <v>39.729183197021484</v>
      </c>
      <c r="G30" s="97">
        <v>4.5112247467041016</v>
      </c>
      <c r="H30" s="97">
        <f t="shared" si="0"/>
        <v>53.31933256983757</v>
      </c>
      <c r="I30" s="97">
        <v>0.37871125340461731</v>
      </c>
      <c r="J30" s="98">
        <f t="shared" si="1"/>
        <v>22.483448598087605</v>
      </c>
      <c r="K30" s="89">
        <f t="shared" si="2"/>
        <v>0.14725344521658762</v>
      </c>
      <c r="L30" s="89">
        <f t="shared" si="3"/>
        <v>3.310765266418457</v>
      </c>
      <c r="M30" s="89">
        <f t="shared" si="4"/>
        <v>4.5112247467041016</v>
      </c>
      <c r="N30" s="89">
        <f t="shared" si="5"/>
        <v>3.3324582856148481</v>
      </c>
      <c r="O30" s="89">
        <f t="shared" si="6"/>
        <v>1.3625927493145069</v>
      </c>
      <c r="P30" s="89">
        <f t="shared" si="7"/>
        <v>1.0065522673613942</v>
      </c>
    </row>
    <row r="31" spans="1:16" x14ac:dyDescent="0.35">
      <c r="A31" s="90" t="s">
        <v>76</v>
      </c>
      <c r="B31" s="94" t="s">
        <v>72</v>
      </c>
      <c r="C31" s="91">
        <v>96</v>
      </c>
      <c r="D31" s="94">
        <v>20.300000839000401</v>
      </c>
      <c r="E31" s="97">
        <v>2.0052482223510699</v>
      </c>
      <c r="F31" s="97">
        <v>39.711783599853497</v>
      </c>
      <c r="G31" s="97">
        <v>4.4631192207336401</v>
      </c>
      <c r="H31" s="97">
        <f t="shared" si="0"/>
        <v>53.401586058139827</v>
      </c>
      <c r="I31" s="97">
        <v>0.41826289892196655</v>
      </c>
      <c r="J31" s="98">
        <f t="shared" si="1"/>
        <v>23.104578118268368</v>
      </c>
      <c r="K31" s="89">
        <f t="shared" si="2"/>
        <v>0.14323201588221929</v>
      </c>
      <c r="L31" s="89">
        <f t="shared" si="3"/>
        <v>3.3093152999877913</v>
      </c>
      <c r="M31" s="89">
        <f t="shared" si="4"/>
        <v>4.4631192207336401</v>
      </c>
      <c r="N31" s="89">
        <f t="shared" si="5"/>
        <v>3.3375991286337392</v>
      </c>
      <c r="O31" s="89">
        <f t="shared" si="6"/>
        <v>1.3486533666798401</v>
      </c>
      <c r="P31" s="89">
        <f t="shared" si="7"/>
        <v>1.0085467312969703</v>
      </c>
    </row>
    <row r="32" spans="1:16" x14ac:dyDescent="0.35">
      <c r="A32" s="90" t="s">
        <v>76</v>
      </c>
      <c r="B32" s="94" t="s">
        <v>72</v>
      </c>
      <c r="C32" s="94">
        <v>97</v>
      </c>
      <c r="D32" s="94">
        <v>18.659999847412109</v>
      </c>
      <c r="E32" s="97">
        <v>2.0740957260131836</v>
      </c>
      <c r="F32" s="97">
        <v>39.981349945068359</v>
      </c>
      <c r="G32" s="97">
        <v>4.6503033638000488</v>
      </c>
      <c r="H32" s="97">
        <f t="shared" si="0"/>
        <v>52.826189488172531</v>
      </c>
      <c r="I32" s="97">
        <v>0.46806147694587708</v>
      </c>
      <c r="J32" s="98">
        <f t="shared" si="1"/>
        <v>22.489274571192055</v>
      </c>
      <c r="K32" s="89">
        <f t="shared" si="2"/>
        <v>0.1481496947152274</v>
      </c>
      <c r="L32" s="89">
        <f t="shared" si="3"/>
        <v>3.3317791620890298</v>
      </c>
      <c r="M32" s="89">
        <f t="shared" si="4"/>
        <v>4.6503033638000488</v>
      </c>
      <c r="N32" s="89">
        <f t="shared" si="5"/>
        <v>3.3016368430107832</v>
      </c>
      <c r="O32" s="89">
        <f t="shared" si="6"/>
        <v>1.3957417756596757</v>
      </c>
      <c r="P32" s="89">
        <f t="shared" si="7"/>
        <v>0.99095308614051503</v>
      </c>
    </row>
    <row r="33" spans="1:16" x14ac:dyDescent="0.35">
      <c r="A33" s="90" t="s">
        <v>76</v>
      </c>
      <c r="B33" s="94" t="s">
        <v>72</v>
      </c>
      <c r="C33" s="91">
        <v>97</v>
      </c>
      <c r="D33" s="94">
        <v>21.940000534057617</v>
      </c>
      <c r="E33" s="97">
        <v>1.9677211046218872</v>
      </c>
      <c r="F33" s="97">
        <v>36.143886566162109</v>
      </c>
      <c r="G33" s="97">
        <v>4.5675650596618702</v>
      </c>
      <c r="H33" s="97">
        <f t="shared" si="0"/>
        <v>56.914778614044181</v>
      </c>
      <c r="I33" s="97">
        <v>0.40604865550994873</v>
      </c>
      <c r="J33" s="98">
        <f t="shared" si="1"/>
        <v>21.429798949391937</v>
      </c>
      <c r="K33" s="89">
        <f t="shared" si="2"/>
        <v>0.14055150747299194</v>
      </c>
      <c r="L33" s="89">
        <f t="shared" si="3"/>
        <v>3.0119905471801758</v>
      </c>
      <c r="M33" s="89">
        <f t="shared" si="4"/>
        <v>4.5675650596618702</v>
      </c>
      <c r="N33" s="89">
        <f t="shared" si="5"/>
        <v>3.5571736633777613</v>
      </c>
      <c r="O33" s="89">
        <f t="shared" si="6"/>
        <v>1.5164606223409376</v>
      </c>
      <c r="P33" s="89">
        <f t="shared" si="7"/>
        <v>1.1810042586979517</v>
      </c>
    </row>
    <row r="34" spans="1:16" x14ac:dyDescent="0.35">
      <c r="A34" s="90" t="s">
        <v>76</v>
      </c>
      <c r="B34" s="94" t="s">
        <v>72</v>
      </c>
      <c r="C34" s="91">
        <v>97</v>
      </c>
      <c r="D34" s="94">
        <v>20.659999465942398</v>
      </c>
      <c r="E34" s="97">
        <v>2.1554446220397949</v>
      </c>
      <c r="F34" s="97">
        <v>39.879032135009801</v>
      </c>
      <c r="G34" s="97">
        <v>4.6253576278686523</v>
      </c>
      <c r="H34" s="97">
        <f t="shared" si="0"/>
        <v>52.963298529386485</v>
      </c>
      <c r="I34" s="97">
        <v>0.37686708569526672</v>
      </c>
      <c r="J34" s="98">
        <f t="shared" si="1"/>
        <v>21.585123094842285</v>
      </c>
      <c r="K34" s="89">
        <f t="shared" si="2"/>
        <v>0.15396033014569963</v>
      </c>
      <c r="L34" s="89">
        <f t="shared" si="3"/>
        <v>3.3232526779174836</v>
      </c>
      <c r="M34" s="89">
        <f t="shared" si="4"/>
        <v>4.6253576278686523</v>
      </c>
      <c r="N34" s="89">
        <f t="shared" si="5"/>
        <v>3.3102061580866553</v>
      </c>
      <c r="O34" s="89">
        <f t="shared" si="6"/>
        <v>1.3918164148647081</v>
      </c>
      <c r="P34" s="89">
        <f t="shared" si="7"/>
        <v>0.99607417157367528</v>
      </c>
    </row>
    <row r="35" spans="1:16" x14ac:dyDescent="0.35">
      <c r="A35" s="90" t="s">
        <v>76</v>
      </c>
      <c r="B35" s="94" t="s">
        <v>72</v>
      </c>
      <c r="C35" s="94">
        <v>154</v>
      </c>
      <c r="D35" s="94">
        <v>21.159999847412109</v>
      </c>
      <c r="E35" s="97">
        <v>2.0418634414672852</v>
      </c>
      <c r="F35" s="97">
        <v>40.220844268798828</v>
      </c>
      <c r="G35" s="97">
        <v>4.4864640235900879</v>
      </c>
      <c r="H35" s="97">
        <f t="shared" si="0"/>
        <v>52.838067054748535</v>
      </c>
      <c r="I35" s="97">
        <v>0.41276121139526367</v>
      </c>
      <c r="J35" s="98">
        <f t="shared" si="1"/>
        <v>22.981124672999076</v>
      </c>
      <c r="K35" s="89">
        <f t="shared" si="2"/>
        <v>0.14584738867623465</v>
      </c>
      <c r="L35" s="89">
        <f t="shared" si="3"/>
        <v>3.3517370223999023</v>
      </c>
      <c r="M35" s="89">
        <f t="shared" si="4"/>
        <v>4.4864640235900879</v>
      </c>
      <c r="N35" s="89">
        <f t="shared" si="5"/>
        <v>3.3023791909217834</v>
      </c>
      <c r="O35" s="89">
        <f t="shared" si="6"/>
        <v>1.33854893555393</v>
      </c>
      <c r="P35" s="89">
        <f t="shared" si="7"/>
        <v>0.98527395462464484</v>
      </c>
    </row>
    <row r="36" spans="1:16" x14ac:dyDescent="0.35">
      <c r="A36" s="90" t="s">
        <v>76</v>
      </c>
      <c r="B36" s="94" t="s">
        <v>72</v>
      </c>
      <c r="C36" s="91">
        <v>154</v>
      </c>
      <c r="D36" s="94">
        <v>18.819999694824219</v>
      </c>
      <c r="E36" s="97">
        <v>2.1125149726867676</v>
      </c>
      <c r="F36" s="97">
        <v>40.636760711669901</v>
      </c>
      <c r="G36" s="97">
        <v>4.5579760551452599</v>
      </c>
      <c r="H36" s="97">
        <f t="shared" si="0"/>
        <v>52.214273697137855</v>
      </c>
      <c r="I36" s="97">
        <v>0.47847456336021399</v>
      </c>
      <c r="J36" s="98">
        <f t="shared" si="1"/>
        <v>22.442233440512766</v>
      </c>
      <c r="K36" s="89">
        <f t="shared" si="2"/>
        <v>0.1508939266204834</v>
      </c>
      <c r="L36" s="89">
        <f t="shared" si="3"/>
        <v>3.3863967259724919</v>
      </c>
      <c r="M36" s="89">
        <f t="shared" si="4"/>
        <v>4.5579760551452599</v>
      </c>
      <c r="N36" s="89">
        <f t="shared" si="5"/>
        <v>3.263392106071116</v>
      </c>
      <c r="O36" s="89">
        <f t="shared" si="6"/>
        <v>1.3459663542039122</v>
      </c>
      <c r="P36" s="89">
        <f t="shared" si="7"/>
        <v>0.96367684301193268</v>
      </c>
    </row>
    <row r="37" spans="1:16" x14ac:dyDescent="0.35">
      <c r="A37" s="90" t="s">
        <v>76</v>
      </c>
      <c r="B37" s="94" t="s">
        <v>72</v>
      </c>
      <c r="C37" s="91">
        <v>154</v>
      </c>
      <c r="D37" s="94">
        <v>20.009999694824199</v>
      </c>
      <c r="E37" s="97">
        <v>2.0853109121322602</v>
      </c>
      <c r="F37" s="97">
        <v>41.685558319091797</v>
      </c>
      <c r="G37" s="97">
        <v>4.8188157081604004</v>
      </c>
      <c r="H37" s="97">
        <f t="shared" si="0"/>
        <v>51.000066393613821</v>
      </c>
      <c r="I37" s="97">
        <v>0.41024866700172424</v>
      </c>
      <c r="J37" s="98">
        <f t="shared" si="1"/>
        <v>23.321774747989821</v>
      </c>
      <c r="K37" s="89">
        <f t="shared" si="2"/>
        <v>0.14895077943801857</v>
      </c>
      <c r="L37" s="89">
        <f t="shared" si="3"/>
        <v>3.4737965265909829</v>
      </c>
      <c r="M37" s="89">
        <f t="shared" si="4"/>
        <v>4.8188157081604004</v>
      </c>
      <c r="N37" s="89">
        <f t="shared" si="5"/>
        <v>3.1875041496008638</v>
      </c>
      <c r="O37" s="89">
        <f t="shared" si="6"/>
        <v>1.3871899724908052</v>
      </c>
      <c r="P37" s="89">
        <f t="shared" si="7"/>
        <v>0.91758516228609599</v>
      </c>
    </row>
    <row r="38" spans="1:16" x14ac:dyDescent="0.35">
      <c r="A38" s="90" t="s">
        <v>77</v>
      </c>
      <c r="B38" s="94" t="s">
        <v>72</v>
      </c>
      <c r="C38" s="94">
        <v>281</v>
      </c>
      <c r="D38" s="94">
        <v>20.360000610351563</v>
      </c>
      <c r="E38" s="97">
        <v>1.5315400362014771</v>
      </c>
      <c r="F38" s="97">
        <v>38.005435943603501</v>
      </c>
      <c r="G38" s="97">
        <v>4.6608939170837402</v>
      </c>
      <c r="H38" s="97">
        <f t="shared" si="0"/>
        <v>55.508707970380797</v>
      </c>
      <c r="I38" s="97">
        <v>0.29342213273048401</v>
      </c>
      <c r="J38" s="98">
        <f t="shared" si="1"/>
        <v>28.95103896696596</v>
      </c>
      <c r="K38" s="89">
        <f t="shared" si="2"/>
        <v>0.10939571687153407</v>
      </c>
      <c r="L38" s="89">
        <f t="shared" si="3"/>
        <v>3.1671196619669586</v>
      </c>
      <c r="M38" s="89">
        <f t="shared" si="4"/>
        <v>4.6608939170837402</v>
      </c>
      <c r="N38" s="89">
        <f t="shared" si="5"/>
        <v>3.4692942481487998</v>
      </c>
      <c r="O38" s="89">
        <f t="shared" si="6"/>
        <v>1.4716507156502776</v>
      </c>
      <c r="P38" s="89">
        <f t="shared" si="7"/>
        <v>1.0954099050347135</v>
      </c>
    </row>
    <row r="39" spans="1:16" x14ac:dyDescent="0.35">
      <c r="A39" s="90" t="s">
        <v>77</v>
      </c>
      <c r="B39" s="94" t="s">
        <v>72</v>
      </c>
      <c r="C39" s="91">
        <v>281</v>
      </c>
      <c r="D39" s="94">
        <v>20.450000762939453</v>
      </c>
      <c r="E39" s="97">
        <v>1.9591097831726074</v>
      </c>
      <c r="F39" s="97">
        <v>37.695182800292969</v>
      </c>
      <c r="G39" s="97">
        <v>4.2466626167297363</v>
      </c>
      <c r="H39" s="97">
        <f t="shared" si="0"/>
        <v>55.748829543590546</v>
      </c>
      <c r="I39" s="97">
        <v>0.35021525621414185</v>
      </c>
      <c r="J39" s="98">
        <f t="shared" si="1"/>
        <v>22.447804428698422</v>
      </c>
      <c r="K39" s="89">
        <f t="shared" si="2"/>
        <v>0.13993641308375768</v>
      </c>
      <c r="L39" s="89">
        <f t="shared" si="3"/>
        <v>3.1412652333577475</v>
      </c>
      <c r="M39" s="89">
        <f t="shared" si="4"/>
        <v>4.2466626167297363</v>
      </c>
      <c r="N39" s="89">
        <f t="shared" si="5"/>
        <v>3.4843018464744091</v>
      </c>
      <c r="O39" s="89">
        <f t="shared" si="6"/>
        <v>1.3518955902333698</v>
      </c>
      <c r="P39" s="89">
        <f t="shared" si="7"/>
        <v>1.1092033265685064</v>
      </c>
    </row>
    <row r="40" spans="1:16" x14ac:dyDescent="0.35">
      <c r="A40" s="90" t="s">
        <v>77</v>
      </c>
      <c r="B40" s="94" t="s">
        <v>72</v>
      </c>
      <c r="C40" s="91">
        <v>281</v>
      </c>
      <c r="D40" s="94">
        <v>22.020000839233401</v>
      </c>
      <c r="E40" s="97">
        <v>1.5937054634094201</v>
      </c>
      <c r="F40" s="97">
        <v>38.570980072021499</v>
      </c>
      <c r="G40" s="97">
        <v>4.3140429019928002</v>
      </c>
      <c r="H40" s="97">
        <f t="shared" si="0"/>
        <v>55.271943783760058</v>
      </c>
      <c r="I40" s="97">
        <v>0.24932777881622314</v>
      </c>
      <c r="J40" s="98">
        <f t="shared" si="1"/>
        <v>28.235754839181009</v>
      </c>
      <c r="K40" s="89">
        <f t="shared" si="2"/>
        <v>0.11383610452924429</v>
      </c>
      <c r="L40" s="89">
        <f t="shared" si="3"/>
        <v>3.2142483393351249</v>
      </c>
      <c r="M40" s="89">
        <f t="shared" si="4"/>
        <v>4.3140429019928002</v>
      </c>
      <c r="N40" s="89">
        <f t="shared" si="5"/>
        <v>3.4544964864850036</v>
      </c>
      <c r="O40" s="89">
        <f t="shared" si="6"/>
        <v>1.3421622869641647</v>
      </c>
      <c r="P40" s="89">
        <f t="shared" si="7"/>
        <v>1.0747447371162286</v>
      </c>
    </row>
    <row r="41" spans="1:16" x14ac:dyDescent="0.35">
      <c r="A41" s="90" t="s">
        <v>77</v>
      </c>
      <c r="B41" s="94" t="s">
        <v>72</v>
      </c>
      <c r="C41" s="94">
        <v>283</v>
      </c>
      <c r="D41" s="94">
        <v>20.450000762939453</v>
      </c>
      <c r="E41" s="97">
        <v>1.8875566720962524</v>
      </c>
      <c r="F41" s="97">
        <v>38.737140655517578</v>
      </c>
      <c r="G41" s="97">
        <v>4.2310085296630859</v>
      </c>
      <c r="H41" s="97">
        <f t="shared" si="0"/>
        <v>54.778703600168228</v>
      </c>
      <c r="I41" s="97">
        <v>0.36559054255485535</v>
      </c>
      <c r="J41" s="98">
        <f t="shared" si="1"/>
        <v>23.942767617451413</v>
      </c>
      <c r="K41" s="89">
        <f t="shared" si="2"/>
        <v>0.13482547657830374</v>
      </c>
      <c r="L41" s="89">
        <f t="shared" si="3"/>
        <v>3.2280950546264648</v>
      </c>
      <c r="M41" s="89">
        <f t="shared" si="4"/>
        <v>4.2310085296630859</v>
      </c>
      <c r="N41" s="89">
        <f t="shared" si="5"/>
        <v>3.4236689750105143</v>
      </c>
      <c r="O41" s="89">
        <f t="shared" si="6"/>
        <v>1.3106827581174409</v>
      </c>
      <c r="P41" s="89">
        <f t="shared" si="7"/>
        <v>1.0605849323128684</v>
      </c>
    </row>
    <row r="42" spans="1:16" x14ac:dyDescent="0.35">
      <c r="A42" s="90" t="s">
        <v>77</v>
      </c>
      <c r="B42" s="94" t="s">
        <v>72</v>
      </c>
      <c r="C42" s="91">
        <v>283</v>
      </c>
      <c r="D42" s="94">
        <v>17.770000457763672</v>
      </c>
      <c r="E42" s="97">
        <v>2.0324366092681885</v>
      </c>
      <c r="F42" s="97">
        <v>40.36492919921875</v>
      </c>
      <c r="G42" s="97">
        <v>4.7216000556945801</v>
      </c>
      <c r="H42" s="97">
        <f t="shared" si="0"/>
        <v>52.515355139970779</v>
      </c>
      <c r="I42" s="97">
        <v>0.36567899584770203</v>
      </c>
      <c r="J42" s="98">
        <f t="shared" si="1"/>
        <v>23.170423709325391</v>
      </c>
      <c r="K42" s="89">
        <f t="shared" si="2"/>
        <v>0.14517404351915633</v>
      </c>
      <c r="L42" s="89">
        <f t="shared" si="3"/>
        <v>3.363744099934896</v>
      </c>
      <c r="M42" s="89">
        <f t="shared" si="4"/>
        <v>4.7216000556945801</v>
      </c>
      <c r="N42" s="89">
        <f t="shared" si="5"/>
        <v>3.2822096962481737</v>
      </c>
      <c r="O42" s="89">
        <f t="shared" si="6"/>
        <v>1.403673976205849</v>
      </c>
      <c r="P42" s="89">
        <f t="shared" si="7"/>
        <v>0.97576081852115315</v>
      </c>
    </row>
    <row r="43" spans="1:16" x14ac:dyDescent="0.35">
      <c r="A43" s="90" t="s">
        <v>77</v>
      </c>
      <c r="B43" s="94" t="s">
        <v>72</v>
      </c>
      <c r="C43" s="91">
        <v>283</v>
      </c>
      <c r="D43" s="94">
        <v>20.27</v>
      </c>
      <c r="E43" s="97">
        <v>2.0952482223510742</v>
      </c>
      <c r="F43" s="97">
        <v>40.010783500050501</v>
      </c>
      <c r="G43" s="97">
        <v>4.7631192207336399</v>
      </c>
      <c r="H43" s="97">
        <f t="shared" si="0"/>
        <v>52.712586157942816</v>
      </c>
      <c r="I43" s="97">
        <v>0.41826289892196655</v>
      </c>
      <c r="J43" s="98">
        <f t="shared" si="1"/>
        <v>22.278624040232753</v>
      </c>
      <c r="K43" s="89">
        <f t="shared" si="2"/>
        <v>0.14966058731079102</v>
      </c>
      <c r="L43" s="89">
        <f t="shared" si="3"/>
        <v>3.3342319583375417</v>
      </c>
      <c r="M43" s="89">
        <f t="shared" si="4"/>
        <v>4.7631192207336399</v>
      </c>
      <c r="N43" s="89">
        <f t="shared" si="5"/>
        <v>3.294536634871426</v>
      </c>
      <c r="O43" s="89">
        <f t="shared" si="6"/>
        <v>1.4285506468207887</v>
      </c>
      <c r="P43" s="89">
        <f t="shared" si="7"/>
        <v>0.9880946125038319</v>
      </c>
    </row>
    <row r="44" spans="1:16" x14ac:dyDescent="0.35">
      <c r="A44" s="90" t="s">
        <v>77</v>
      </c>
      <c r="B44" s="94" t="s">
        <v>72</v>
      </c>
      <c r="C44" s="94">
        <v>284</v>
      </c>
      <c r="D44" s="94">
        <v>20.139999389648438</v>
      </c>
      <c r="E44" s="97">
        <v>2.0343220233917236</v>
      </c>
      <c r="F44" s="97">
        <v>38.715175628662109</v>
      </c>
      <c r="G44" s="97">
        <v>4.3746857643127441</v>
      </c>
      <c r="H44" s="97">
        <f t="shared" si="0"/>
        <v>54.525414675474167</v>
      </c>
      <c r="I44" s="97">
        <v>0.35040190815925598</v>
      </c>
      <c r="J44" s="98">
        <f t="shared" si="1"/>
        <v>22.202829434447125</v>
      </c>
      <c r="K44" s="89">
        <f t="shared" si="2"/>
        <v>0.14530871595655168</v>
      </c>
      <c r="L44" s="89">
        <f t="shared" si="3"/>
        <v>3.2262646357218423</v>
      </c>
      <c r="M44" s="89">
        <f t="shared" si="4"/>
        <v>4.3746857643127441</v>
      </c>
      <c r="N44" s="89">
        <f t="shared" si="5"/>
        <v>3.4078384172171354</v>
      </c>
      <c r="O44" s="89">
        <f t="shared" si="6"/>
        <v>1.355959990347771</v>
      </c>
      <c r="P44" s="89">
        <f t="shared" si="7"/>
        <v>1.0562798784342959</v>
      </c>
    </row>
    <row r="45" spans="1:16" x14ac:dyDescent="0.35">
      <c r="A45" s="90" t="s">
        <v>77</v>
      </c>
      <c r="B45" s="94" t="s">
        <v>72</v>
      </c>
      <c r="C45" s="91">
        <v>284</v>
      </c>
      <c r="D45" s="94">
        <v>19.540000915527344</v>
      </c>
      <c r="E45" s="97">
        <v>2.0143563747406006</v>
      </c>
      <c r="F45" s="97">
        <v>38.376335144042969</v>
      </c>
      <c r="G45" s="97">
        <v>4.4266262054443359</v>
      </c>
      <c r="H45" s="97">
        <f t="shared" si="0"/>
        <v>54.816157102584839</v>
      </c>
      <c r="I45" s="97">
        <v>0.36652517318725586</v>
      </c>
      <c r="J45" s="98">
        <f t="shared" si="1"/>
        <v>22.226648453478866</v>
      </c>
      <c r="K45" s="89">
        <f t="shared" si="2"/>
        <v>0.14388259819575719</v>
      </c>
      <c r="L45" s="89">
        <f t="shared" si="3"/>
        <v>3.1980279286702475</v>
      </c>
      <c r="M45" s="89">
        <f t="shared" si="4"/>
        <v>4.4266262054443359</v>
      </c>
      <c r="N45" s="89">
        <f t="shared" si="5"/>
        <v>3.4260098189115524</v>
      </c>
      <c r="O45" s="89">
        <f t="shared" si="6"/>
        <v>1.3841737171085133</v>
      </c>
      <c r="P45" s="89">
        <f t="shared" si="7"/>
        <v>1.0712882736881228</v>
      </c>
    </row>
    <row r="46" spans="1:16" x14ac:dyDescent="0.35">
      <c r="A46" s="90" t="s">
        <v>77</v>
      </c>
      <c r="B46" s="94" t="s">
        <v>72</v>
      </c>
      <c r="C46" s="91">
        <v>284</v>
      </c>
      <c r="D46" s="94">
        <v>20.5999995585303</v>
      </c>
      <c r="E46" s="97">
        <v>2.0617686748504598</v>
      </c>
      <c r="F46" s="97">
        <v>39.656760711559897</v>
      </c>
      <c r="G46" s="97">
        <v>4.2579760551452637</v>
      </c>
      <c r="H46" s="97">
        <f t="shared" si="0"/>
        <v>53.645019995084169</v>
      </c>
      <c r="I46" s="97">
        <v>0.37847456336021423</v>
      </c>
      <c r="J46" s="98">
        <f t="shared" si="1"/>
        <v>22.440063909453325</v>
      </c>
      <c r="K46" s="89">
        <f t="shared" si="2"/>
        <v>0.14726919106074712</v>
      </c>
      <c r="L46" s="89">
        <f t="shared" si="3"/>
        <v>3.304730059296658</v>
      </c>
      <c r="M46" s="89">
        <f t="shared" si="4"/>
        <v>4.2579760551452637</v>
      </c>
      <c r="N46" s="89">
        <f t="shared" si="5"/>
        <v>3.3528137496927606</v>
      </c>
      <c r="O46" s="89">
        <f t="shared" si="6"/>
        <v>1.2884489742715881</v>
      </c>
      <c r="P46" s="89">
        <f t="shared" si="7"/>
        <v>1.0145499600673393</v>
      </c>
    </row>
    <row r="47" spans="1:16" x14ac:dyDescent="0.35">
      <c r="A47" s="90" t="s">
        <v>78</v>
      </c>
      <c r="B47" s="94" t="s">
        <v>72</v>
      </c>
      <c r="C47" s="94">
        <v>271</v>
      </c>
      <c r="D47" s="94">
        <v>21.840000152587891</v>
      </c>
      <c r="E47" s="97">
        <v>1.7289903163909912</v>
      </c>
      <c r="F47" s="97">
        <v>34.215141296386719</v>
      </c>
      <c r="G47" s="97">
        <v>3.8536007404327393</v>
      </c>
      <c r="H47" s="97">
        <f t="shared" si="0"/>
        <v>59.885539203882217</v>
      </c>
      <c r="I47" s="97">
        <v>0.31672844290733337</v>
      </c>
      <c r="J47" s="98">
        <f t="shared" si="1"/>
        <v>23.087269180955658</v>
      </c>
      <c r="K47" s="89">
        <f t="shared" si="2"/>
        <v>0.12349930831364223</v>
      </c>
      <c r="L47" s="89">
        <f t="shared" si="3"/>
        <v>2.8512617746988931</v>
      </c>
      <c r="M47" s="89">
        <f t="shared" si="4"/>
        <v>3.8536007404327393</v>
      </c>
      <c r="N47" s="89">
        <f t="shared" si="5"/>
        <v>3.7428462002426386</v>
      </c>
      <c r="O47" s="89">
        <f t="shared" si="6"/>
        <v>1.3515422451309993</v>
      </c>
      <c r="P47" s="89">
        <f t="shared" si="7"/>
        <v>1.3126982003039342</v>
      </c>
    </row>
    <row r="48" spans="1:16" x14ac:dyDescent="0.35">
      <c r="A48" s="90" t="s">
        <v>78</v>
      </c>
      <c r="B48" s="94" t="s">
        <v>72</v>
      </c>
      <c r="C48" s="91">
        <v>271</v>
      </c>
      <c r="D48" s="94">
        <v>15.810000419616699</v>
      </c>
      <c r="E48" s="97">
        <v>1.785765528678894</v>
      </c>
      <c r="F48" s="97">
        <v>34.031425476074219</v>
      </c>
      <c r="G48" s="97">
        <v>4.4402966499328613</v>
      </c>
      <c r="H48" s="97">
        <f t="shared" si="0"/>
        <v>59.413259983062744</v>
      </c>
      <c r="I48" s="97">
        <v>0.32925236225128174</v>
      </c>
      <c r="J48" s="98">
        <f t="shared" si="1"/>
        <v>22.233226638358865</v>
      </c>
      <c r="K48" s="89">
        <f t="shared" si="2"/>
        <v>0.12755468061992101</v>
      </c>
      <c r="L48" s="89">
        <f t="shared" si="3"/>
        <v>2.835952123006185</v>
      </c>
      <c r="M48" s="89">
        <f t="shared" si="4"/>
        <v>4.4402966499328613</v>
      </c>
      <c r="N48" s="89">
        <f t="shared" si="5"/>
        <v>3.7133287489414215</v>
      </c>
      <c r="O48" s="89">
        <f t="shared" si="6"/>
        <v>1.565716365206486</v>
      </c>
      <c r="P48" s="89">
        <f t="shared" si="7"/>
        <v>1.3093763885566565</v>
      </c>
    </row>
    <row r="49" spans="1:16" x14ac:dyDescent="0.35">
      <c r="A49" s="90" t="s">
        <v>78</v>
      </c>
      <c r="B49" s="94" t="s">
        <v>72</v>
      </c>
      <c r="C49" s="91">
        <v>271</v>
      </c>
      <c r="D49" s="94">
        <v>23.219007629395001</v>
      </c>
      <c r="E49" s="97">
        <v>1.0221142768859901</v>
      </c>
      <c r="F49" s="97">
        <v>36.249050140380902</v>
      </c>
      <c r="G49" s="97">
        <v>4.390933324823</v>
      </c>
      <c r="H49" s="97">
        <f t="shared" si="0"/>
        <v>57.973482469787932</v>
      </c>
      <c r="I49" s="97">
        <v>0.36441978812217712</v>
      </c>
      <c r="J49" s="98">
        <f t="shared" si="1"/>
        <v>41.375567735884665</v>
      </c>
      <c r="K49" s="89">
        <f t="shared" si="2"/>
        <v>7.3008162634713575E-2</v>
      </c>
      <c r="L49" s="89">
        <f t="shared" si="3"/>
        <v>3.0207541783650753</v>
      </c>
      <c r="M49" s="89">
        <f t="shared" si="4"/>
        <v>4.390933324823</v>
      </c>
      <c r="N49" s="89">
        <f t="shared" si="5"/>
        <v>3.6233426543617457</v>
      </c>
      <c r="O49" s="89">
        <f t="shared" si="6"/>
        <v>1.4535884304228648</v>
      </c>
      <c r="P49" s="89">
        <f t="shared" si="7"/>
        <v>1.1994827915202322</v>
      </c>
    </row>
    <row r="50" spans="1:16" x14ac:dyDescent="0.35">
      <c r="A50" s="90" t="s">
        <v>78</v>
      </c>
      <c r="B50" s="94" t="s">
        <v>72</v>
      </c>
      <c r="C50" s="94">
        <v>272</v>
      </c>
      <c r="D50" s="94">
        <v>17.5</v>
      </c>
      <c r="E50" s="97">
        <v>1.921195387840271</v>
      </c>
      <c r="F50" s="97">
        <v>37.157814025878906</v>
      </c>
      <c r="G50" s="97">
        <v>4.3362512588500977</v>
      </c>
      <c r="H50" s="97">
        <f t="shared" si="0"/>
        <v>56.215414762496948</v>
      </c>
      <c r="I50" s="97">
        <v>0.36932456493377686</v>
      </c>
      <c r="J50" s="98">
        <f t="shared" si="1"/>
        <v>22.564484229230441</v>
      </c>
      <c r="K50" s="89">
        <f t="shared" si="2"/>
        <v>0.13722824198859079</v>
      </c>
      <c r="L50" s="89">
        <f t="shared" si="3"/>
        <v>3.0964845021565757</v>
      </c>
      <c r="M50" s="89">
        <f t="shared" si="4"/>
        <v>4.3362512588500977</v>
      </c>
      <c r="N50" s="89">
        <f t="shared" si="5"/>
        <v>3.5134634226560593</v>
      </c>
      <c r="O50" s="89">
        <f t="shared" si="6"/>
        <v>1.4003788024225778</v>
      </c>
      <c r="P50" s="89">
        <f t="shared" si="7"/>
        <v>1.1346620401972221</v>
      </c>
    </row>
    <row r="51" spans="1:16" x14ac:dyDescent="0.35">
      <c r="A51" s="90" t="s">
        <v>78</v>
      </c>
      <c r="B51" s="94" t="s">
        <v>72</v>
      </c>
      <c r="C51" s="91">
        <v>272</v>
      </c>
      <c r="D51" s="94">
        <v>16.540000915527344</v>
      </c>
      <c r="E51" s="97">
        <v>2.0820810794830322</v>
      </c>
      <c r="F51" s="97">
        <v>41.297828674316406</v>
      </c>
      <c r="G51" s="97">
        <v>4.730597972869873</v>
      </c>
      <c r="H51" s="97">
        <f t="shared" si="0"/>
        <v>51.490282863378525</v>
      </c>
      <c r="I51" s="97">
        <v>0.3992094099521637</v>
      </c>
      <c r="J51" s="98">
        <f t="shared" si="1"/>
        <v>23.140693508438584</v>
      </c>
      <c r="K51" s="89">
        <f t="shared" si="2"/>
        <v>0.14872007710593088</v>
      </c>
      <c r="L51" s="89">
        <f t="shared" si="3"/>
        <v>3.4414857228597007</v>
      </c>
      <c r="M51" s="89">
        <f t="shared" si="4"/>
        <v>4.730597972869873</v>
      </c>
      <c r="N51" s="89">
        <f t="shared" si="5"/>
        <v>3.2181426789611578</v>
      </c>
      <c r="O51" s="89">
        <f t="shared" si="6"/>
        <v>1.3745801534050779</v>
      </c>
      <c r="P51" s="89">
        <f t="shared" si="7"/>
        <v>0.93510272542611161</v>
      </c>
    </row>
    <row r="52" spans="1:16" x14ac:dyDescent="0.35">
      <c r="A52" s="90" t="s">
        <v>78</v>
      </c>
      <c r="B52" s="94" t="s">
        <v>72</v>
      </c>
      <c r="C52" s="91">
        <v>272</v>
      </c>
      <c r="D52" s="94">
        <v>22.3200008322322</v>
      </c>
      <c r="E52" s="97">
        <v>2.0275465965270998</v>
      </c>
      <c r="F52" s="97">
        <v>40.234817504882798</v>
      </c>
      <c r="G52" s="97">
        <v>4.0139355659484899</v>
      </c>
      <c r="H52" s="97">
        <f t="shared" si="0"/>
        <v>53.288070875406277</v>
      </c>
      <c r="I52" s="97">
        <v>0.4356294572353363</v>
      </c>
      <c r="J52" s="98">
        <f t="shared" si="1"/>
        <v>23.151438542900024</v>
      </c>
      <c r="K52" s="89">
        <f t="shared" si="2"/>
        <v>0.14482475689479285</v>
      </c>
      <c r="L52" s="89">
        <f t="shared" si="3"/>
        <v>3.352901458740233</v>
      </c>
      <c r="M52" s="89">
        <f t="shared" si="4"/>
        <v>4.0139355659484899</v>
      </c>
      <c r="N52" s="89">
        <f t="shared" si="5"/>
        <v>3.3305044297128923</v>
      </c>
      <c r="O52" s="89">
        <f t="shared" si="6"/>
        <v>1.1971528586040294</v>
      </c>
      <c r="P52" s="89">
        <f t="shared" si="7"/>
        <v>0.99332010519755753</v>
      </c>
    </row>
    <row r="53" spans="1:16" x14ac:dyDescent="0.35">
      <c r="A53" s="90" t="s">
        <v>78</v>
      </c>
      <c r="B53" s="94" t="s">
        <v>72</v>
      </c>
      <c r="C53" s="94">
        <v>273</v>
      </c>
      <c r="D53" s="94">
        <v>21.840000152587891</v>
      </c>
      <c r="E53" s="97">
        <v>1.4620329141616821</v>
      </c>
      <c r="F53" s="97">
        <v>36.062158584594698</v>
      </c>
      <c r="G53" s="97">
        <v>4.4283001422882098</v>
      </c>
      <c r="H53" s="97">
        <f t="shared" si="0"/>
        <v>57.775569796562223</v>
      </c>
      <c r="I53" s="97">
        <v>0.27193856239318848</v>
      </c>
      <c r="J53" s="98">
        <f t="shared" si="1"/>
        <v>28.776724478065432</v>
      </c>
      <c r="K53" s="89">
        <f t="shared" si="2"/>
        <v>0.10443092244012016</v>
      </c>
      <c r="L53" s="89">
        <f t="shared" si="3"/>
        <v>3.0051798820495583</v>
      </c>
      <c r="M53" s="89">
        <f t="shared" si="4"/>
        <v>4.4283001422882098</v>
      </c>
      <c r="N53" s="89">
        <f t="shared" si="5"/>
        <v>3.610973112285139</v>
      </c>
      <c r="O53" s="89">
        <f t="shared" si="6"/>
        <v>1.4735557657427385</v>
      </c>
      <c r="P53" s="89">
        <f t="shared" si="7"/>
        <v>1.2015830179930609</v>
      </c>
    </row>
    <row r="54" spans="1:16" x14ac:dyDescent="0.35">
      <c r="A54" s="90" t="s">
        <v>78</v>
      </c>
      <c r="B54" s="94" t="s">
        <v>72</v>
      </c>
      <c r="C54" s="91">
        <v>273</v>
      </c>
      <c r="D54" s="94">
        <v>14.850000381469727</v>
      </c>
      <c r="E54" s="97">
        <v>2.0661993026733398</v>
      </c>
      <c r="F54" s="97">
        <v>39.722213745117188</v>
      </c>
      <c r="G54" s="97">
        <v>4.9506072998046875</v>
      </c>
      <c r="H54" s="97">
        <f t="shared" si="0"/>
        <v>52.870448082685471</v>
      </c>
      <c r="I54" s="97">
        <v>0.39053156971931458</v>
      </c>
      <c r="J54" s="98">
        <f t="shared" si="1"/>
        <v>22.42890249874571</v>
      </c>
      <c r="K54" s="89">
        <f t="shared" si="2"/>
        <v>0.14758566447666713</v>
      </c>
      <c r="L54" s="89">
        <f t="shared" si="3"/>
        <v>3.3101844787597656</v>
      </c>
      <c r="M54" s="89">
        <f t="shared" si="4"/>
        <v>4.9506072998046875</v>
      </c>
      <c r="N54" s="89">
        <f t="shared" si="5"/>
        <v>3.3044030051678419</v>
      </c>
      <c r="O54" s="89">
        <f t="shared" si="6"/>
        <v>1.4955683985502652</v>
      </c>
      <c r="P54" s="89">
        <f t="shared" si="7"/>
        <v>0.99825342858411026</v>
      </c>
    </row>
    <row r="55" spans="1:16" x14ac:dyDescent="0.35">
      <c r="A55" s="90" t="s">
        <v>78</v>
      </c>
      <c r="B55" s="94" t="s">
        <v>72</v>
      </c>
      <c r="C55" s="91">
        <v>273</v>
      </c>
      <c r="D55" s="94">
        <v>20.639999300048402</v>
      </c>
      <c r="E55" s="97">
        <v>2.0060619831085198</v>
      </c>
      <c r="F55" s="97">
        <v>39.995506286621101</v>
      </c>
      <c r="G55" s="97">
        <v>4.8136134147644043</v>
      </c>
      <c r="H55" s="97">
        <f t="shared" si="0"/>
        <v>52.784582811593999</v>
      </c>
      <c r="I55" s="97">
        <v>0.40023550391197205</v>
      </c>
      <c r="J55" s="98">
        <f t="shared" si="1"/>
        <v>23.260210498956333</v>
      </c>
      <c r="K55" s="89">
        <f t="shared" si="2"/>
        <v>0.14329014165060855</v>
      </c>
      <c r="L55" s="89">
        <f t="shared" si="3"/>
        <v>3.3329588572184252</v>
      </c>
      <c r="M55" s="89">
        <f t="shared" si="4"/>
        <v>4.8136134147644043</v>
      </c>
      <c r="N55" s="89">
        <f t="shared" si="5"/>
        <v>3.299036425724625</v>
      </c>
      <c r="O55" s="89">
        <f t="shared" si="6"/>
        <v>1.444246275149548</v>
      </c>
      <c r="P55" s="89">
        <f t="shared" si="7"/>
        <v>0.989822127140774</v>
      </c>
    </row>
    <row r="56" spans="1:16" x14ac:dyDescent="0.35">
      <c r="A56" s="90" t="s">
        <v>79</v>
      </c>
      <c r="B56" s="94" t="s">
        <v>72</v>
      </c>
      <c r="C56" s="94">
        <v>341</v>
      </c>
      <c r="D56" s="94">
        <v>20.719999313354492</v>
      </c>
      <c r="E56" s="97">
        <v>1.868982195854187</v>
      </c>
      <c r="F56" s="97">
        <v>35.923862457275391</v>
      </c>
      <c r="G56" s="97">
        <v>4.0726513862609863</v>
      </c>
      <c r="H56" s="97">
        <f t="shared" si="0"/>
        <v>57.7888523042202</v>
      </c>
      <c r="I56" s="97">
        <v>0.34565165638923645</v>
      </c>
      <c r="J56" s="98">
        <f t="shared" si="1"/>
        <v>22.424597173686017</v>
      </c>
      <c r="K56" s="89">
        <f t="shared" si="2"/>
        <v>0.13349872827529907</v>
      </c>
      <c r="L56" s="89">
        <f t="shared" si="3"/>
        <v>2.9936552047729492</v>
      </c>
      <c r="M56" s="89">
        <f t="shared" si="4"/>
        <v>4.0726513862609863</v>
      </c>
      <c r="N56" s="89">
        <f t="shared" si="5"/>
        <v>3.6118032690137625</v>
      </c>
      <c r="O56" s="89">
        <f t="shared" si="6"/>
        <v>1.3604276737573966</v>
      </c>
      <c r="P56" s="89">
        <f t="shared" si="7"/>
        <v>1.2064860586667649</v>
      </c>
    </row>
    <row r="57" spans="1:16" x14ac:dyDescent="0.35">
      <c r="A57" s="90" t="s">
        <v>79</v>
      </c>
      <c r="B57" s="94" t="s">
        <v>72</v>
      </c>
      <c r="C57" s="91">
        <v>341</v>
      </c>
      <c r="D57" s="94">
        <v>18.950000762939453</v>
      </c>
      <c r="E57" s="97">
        <v>2.0357704162597656</v>
      </c>
      <c r="F57" s="97">
        <v>39.710929870605469</v>
      </c>
      <c r="G57" s="97">
        <v>4.4395861625671387</v>
      </c>
      <c r="H57" s="97">
        <f t="shared" si="0"/>
        <v>53.448681950569153</v>
      </c>
      <c r="I57" s="97">
        <v>0.36503159999847412</v>
      </c>
      <c r="J57" s="98">
        <f t="shared" si="1"/>
        <v>22.757683190765743</v>
      </c>
      <c r="K57" s="89">
        <f t="shared" si="2"/>
        <v>0.14541217258998326</v>
      </c>
      <c r="L57" s="89">
        <f t="shared" si="3"/>
        <v>3.3092441558837891</v>
      </c>
      <c r="M57" s="89">
        <f t="shared" si="4"/>
        <v>4.4395861625671387</v>
      </c>
      <c r="N57" s="89">
        <f t="shared" si="5"/>
        <v>3.3405426219105721</v>
      </c>
      <c r="O57" s="89">
        <f t="shared" si="6"/>
        <v>1.3415710517078705</v>
      </c>
      <c r="P57" s="89">
        <f t="shared" si="7"/>
        <v>1.0094578896426045</v>
      </c>
    </row>
    <row r="58" spans="1:16" x14ac:dyDescent="0.35">
      <c r="A58" s="90" t="s">
        <v>79</v>
      </c>
      <c r="B58" s="94" t="s">
        <v>72</v>
      </c>
      <c r="C58" s="91">
        <v>341</v>
      </c>
      <c r="D58" s="94">
        <v>21.2100006111455</v>
      </c>
      <c r="E58" s="97">
        <v>2.07232298851013</v>
      </c>
      <c r="F58" s="97">
        <v>39.510957554003902</v>
      </c>
      <c r="G58" s="97">
        <v>4.5399836540222198</v>
      </c>
      <c r="H58" s="97">
        <f t="shared" si="0"/>
        <v>53.514971342661674</v>
      </c>
      <c r="I58" s="97">
        <v>0.36176446080207825</v>
      </c>
      <c r="J58" s="98">
        <f t="shared" si="1"/>
        <v>22.243693382699043</v>
      </c>
      <c r="K58" s="89">
        <f t="shared" si="2"/>
        <v>0.14802307060786643</v>
      </c>
      <c r="L58" s="89">
        <f t="shared" si="3"/>
        <v>3.2925797961669918</v>
      </c>
      <c r="M58" s="89">
        <f t="shared" si="4"/>
        <v>4.5399836540222198</v>
      </c>
      <c r="N58" s="89">
        <f t="shared" si="5"/>
        <v>3.3446857089163546</v>
      </c>
      <c r="O58" s="89">
        <f t="shared" si="6"/>
        <v>1.3788530377630861</v>
      </c>
      <c r="P58" s="89">
        <f t="shared" si="7"/>
        <v>1.0158252543522319</v>
      </c>
    </row>
    <row r="59" spans="1:16" x14ac:dyDescent="0.35">
      <c r="A59" s="90" t="s">
        <v>79</v>
      </c>
      <c r="B59" s="94" t="s">
        <v>72</v>
      </c>
      <c r="C59" s="94">
        <v>342</v>
      </c>
      <c r="D59" s="94">
        <v>19.989999771118164</v>
      </c>
      <c r="E59" s="97">
        <v>1.8697090148925781</v>
      </c>
      <c r="F59" s="97">
        <v>36.576858520507813</v>
      </c>
      <c r="G59" s="97">
        <v>4.1065011024475098</v>
      </c>
      <c r="H59" s="97">
        <f t="shared" si="0"/>
        <v>57.107881605625153</v>
      </c>
      <c r="I59" s="97">
        <v>0.33904975652694702</v>
      </c>
      <c r="J59" s="98">
        <f t="shared" si="1"/>
        <v>22.823338427188808</v>
      </c>
      <c r="K59" s="89">
        <f t="shared" si="2"/>
        <v>0.13355064392089844</v>
      </c>
      <c r="L59" s="89">
        <f t="shared" si="3"/>
        <v>3.0480715433756509</v>
      </c>
      <c r="M59" s="89">
        <f t="shared" si="4"/>
        <v>4.1065011024475098</v>
      </c>
      <c r="N59" s="89">
        <f t="shared" si="5"/>
        <v>3.569242600351572</v>
      </c>
      <c r="O59" s="89">
        <f t="shared" si="6"/>
        <v>1.3472456417147214</v>
      </c>
      <c r="P59" s="89">
        <f t="shared" si="7"/>
        <v>1.1709838662115979</v>
      </c>
    </row>
    <row r="60" spans="1:16" x14ac:dyDescent="0.35">
      <c r="A60" s="90" t="s">
        <v>79</v>
      </c>
      <c r="B60" s="94" t="s">
        <v>72</v>
      </c>
      <c r="C60" s="91">
        <v>342</v>
      </c>
      <c r="D60" s="94">
        <v>18.889999389648438</v>
      </c>
      <c r="E60" s="97">
        <v>1.8987216949462891</v>
      </c>
      <c r="F60" s="97">
        <v>37.026264190673828</v>
      </c>
      <c r="G60" s="97">
        <v>4.1187329292297363</v>
      </c>
      <c r="H60" s="97">
        <f t="shared" si="0"/>
        <v>56.612283498048782</v>
      </c>
      <c r="I60" s="97">
        <v>0.34399768710136414</v>
      </c>
      <c r="J60" s="98">
        <f t="shared" si="1"/>
        <v>22.750731893688489</v>
      </c>
      <c r="K60" s="89">
        <f t="shared" si="2"/>
        <v>0.13562297821044922</v>
      </c>
      <c r="L60" s="89">
        <f t="shared" si="3"/>
        <v>3.0855220158894858</v>
      </c>
      <c r="M60" s="89">
        <f t="shared" si="4"/>
        <v>4.1187329292297363</v>
      </c>
      <c r="N60" s="89">
        <f t="shared" si="5"/>
        <v>3.5382677186280489</v>
      </c>
      <c r="O60" s="89">
        <f t="shared" si="6"/>
        <v>1.3348577349374056</v>
      </c>
      <c r="P60" s="89">
        <f t="shared" si="7"/>
        <v>1.1467322872457439</v>
      </c>
    </row>
    <row r="61" spans="1:16" x14ac:dyDescent="0.35">
      <c r="A61" s="90" t="s">
        <v>79</v>
      </c>
      <c r="B61" s="94" t="s">
        <v>72</v>
      </c>
      <c r="C61" s="91">
        <v>342</v>
      </c>
      <c r="D61" s="94">
        <v>21.150000380069699</v>
      </c>
      <c r="E61" s="97">
        <v>1.87888993041992</v>
      </c>
      <c r="F61" s="97">
        <v>37.395454406738281</v>
      </c>
      <c r="G61" s="97">
        <v>4.10290269851685</v>
      </c>
      <c r="H61" s="97">
        <f t="shared" si="0"/>
        <v>56.267068564720155</v>
      </c>
      <c r="I61" s="97">
        <v>0.35568439960479736</v>
      </c>
      <c r="J61" s="98">
        <f t="shared" si="1"/>
        <v>23.220109616237114</v>
      </c>
      <c r="K61" s="89">
        <f t="shared" si="2"/>
        <v>0.13420642360142285</v>
      </c>
      <c r="L61" s="89">
        <f t="shared" si="3"/>
        <v>3.11628786722819</v>
      </c>
      <c r="M61" s="89">
        <f t="shared" si="4"/>
        <v>4.10290269851685</v>
      </c>
      <c r="N61" s="89">
        <f t="shared" si="5"/>
        <v>3.5166917852950097</v>
      </c>
      <c r="O61" s="89">
        <f t="shared" si="6"/>
        <v>1.3165993879012896</v>
      </c>
      <c r="P61" s="89">
        <f t="shared" si="7"/>
        <v>1.1284874617257239</v>
      </c>
    </row>
    <row r="62" spans="1:16" x14ac:dyDescent="0.35">
      <c r="A62" s="90" t="s">
        <v>79</v>
      </c>
      <c r="B62" s="94" t="s">
        <v>72</v>
      </c>
      <c r="C62" s="94">
        <v>343</v>
      </c>
      <c r="D62" s="94">
        <v>17.860000610351563</v>
      </c>
      <c r="E62" s="97">
        <v>1.6982878446578979</v>
      </c>
      <c r="F62" s="97">
        <v>33.70684814453125</v>
      </c>
      <c r="G62" s="97">
        <v>4.1870880126953125</v>
      </c>
      <c r="H62" s="97">
        <f t="shared" si="0"/>
        <v>60.106535196304321</v>
      </c>
      <c r="I62" s="97">
        <v>0.30124080181121826</v>
      </c>
      <c r="J62" s="98">
        <f t="shared" si="1"/>
        <v>23.155471725431404</v>
      </c>
      <c r="K62" s="89">
        <f t="shared" si="2"/>
        <v>0.12130627461842128</v>
      </c>
      <c r="L62" s="89">
        <f t="shared" si="3"/>
        <v>2.808904012044271</v>
      </c>
      <c r="M62" s="89">
        <f t="shared" si="4"/>
        <v>4.1870880126953125</v>
      </c>
      <c r="N62" s="89">
        <f t="shared" si="5"/>
        <v>3.7566584497690201</v>
      </c>
      <c r="O62" s="89">
        <f t="shared" si="6"/>
        <v>1.4906483079313284</v>
      </c>
      <c r="P62" s="89">
        <f t="shared" si="7"/>
        <v>1.3374107600903706</v>
      </c>
    </row>
    <row r="63" spans="1:16" x14ac:dyDescent="0.35">
      <c r="A63" s="90" t="s">
        <v>79</v>
      </c>
      <c r="B63" s="94" t="s">
        <v>72</v>
      </c>
      <c r="C63" s="91">
        <v>343</v>
      </c>
      <c r="D63" s="94">
        <v>22.670000076293945</v>
      </c>
      <c r="E63" s="97">
        <v>1.6681898832321167</v>
      </c>
      <c r="F63" s="97">
        <v>32.489330291748047</v>
      </c>
      <c r="G63" s="97">
        <v>3.7061676979064941</v>
      </c>
      <c r="H63" s="97">
        <f t="shared" si="0"/>
        <v>61.81114587187767</v>
      </c>
      <c r="I63" s="97">
        <v>0.325166255235672</v>
      </c>
      <c r="J63" s="98">
        <f t="shared" si="1"/>
        <v>22.721765102823102</v>
      </c>
      <c r="K63" s="89">
        <f t="shared" si="2"/>
        <v>0.11915642023086548</v>
      </c>
      <c r="L63" s="89">
        <f t="shared" si="3"/>
        <v>2.7074441909790039</v>
      </c>
      <c r="M63" s="89">
        <f t="shared" si="4"/>
        <v>3.7061676979064941</v>
      </c>
      <c r="N63" s="89">
        <f t="shared" si="5"/>
        <v>3.8631966169923544</v>
      </c>
      <c r="O63" s="89">
        <f t="shared" si="6"/>
        <v>1.3688805517229719</v>
      </c>
      <c r="P63" s="89">
        <f t="shared" si="7"/>
        <v>1.42687950128916</v>
      </c>
    </row>
    <row r="64" spans="1:16" x14ac:dyDescent="0.35">
      <c r="A64" s="90" t="s">
        <v>79</v>
      </c>
      <c r="B64" s="94" t="s">
        <v>72</v>
      </c>
      <c r="C64" s="91">
        <v>343</v>
      </c>
      <c r="D64" s="94">
        <v>17.710000417716699</v>
      </c>
      <c r="E64" s="97">
        <v>1.70576552867889</v>
      </c>
      <c r="F64" s="97">
        <v>34.131425476074199</v>
      </c>
      <c r="G64" s="97">
        <v>4.1402966499118596</v>
      </c>
      <c r="H64" s="97">
        <f t="shared" si="0"/>
        <v>59.693259983083763</v>
      </c>
      <c r="I64" s="97">
        <v>0.32925236225128174</v>
      </c>
      <c r="J64" s="98">
        <f t="shared" si="1"/>
        <v>23.344355199623298</v>
      </c>
      <c r="K64" s="89">
        <f t="shared" si="2"/>
        <v>0.121840394905635</v>
      </c>
      <c r="L64" s="89">
        <f t="shared" si="3"/>
        <v>2.8442854563395166</v>
      </c>
      <c r="M64" s="89">
        <f t="shared" si="4"/>
        <v>4.1402966499118596</v>
      </c>
      <c r="N64" s="89">
        <f t="shared" si="5"/>
        <v>3.7308287489427352</v>
      </c>
      <c r="O64" s="89">
        <f t="shared" si="6"/>
        <v>1.4556544037040005</v>
      </c>
      <c r="P64" s="89">
        <f t="shared" si="7"/>
        <v>1.3116927981427591</v>
      </c>
    </row>
    <row r="65" spans="1:16" x14ac:dyDescent="0.35">
      <c r="A65" s="90" t="s">
        <v>80</v>
      </c>
      <c r="B65" s="94" t="s">
        <v>72</v>
      </c>
      <c r="C65" s="94">
        <v>246</v>
      </c>
      <c r="D65" s="94">
        <v>17.819999694824219</v>
      </c>
      <c r="E65" s="97">
        <v>2.1470396518707275</v>
      </c>
      <c r="F65" s="97">
        <v>40.355998992919922</v>
      </c>
      <c r="G65" s="97">
        <v>4.5732440948486328</v>
      </c>
      <c r="H65" s="97">
        <f t="shared" si="0"/>
        <v>52.535538285970688</v>
      </c>
      <c r="I65" s="97">
        <v>0.38817897439002991</v>
      </c>
      <c r="J65" s="98">
        <f t="shared" si="1"/>
        <v>21.928798000563443</v>
      </c>
      <c r="K65" s="89">
        <f t="shared" si="2"/>
        <v>0.1533599751336234</v>
      </c>
      <c r="L65" s="89">
        <f t="shared" si="3"/>
        <v>3.3629999160766602</v>
      </c>
      <c r="M65" s="89">
        <f t="shared" si="4"/>
        <v>4.5732440948486328</v>
      </c>
      <c r="N65" s="89">
        <f t="shared" si="5"/>
        <v>3.283471142873168</v>
      </c>
      <c r="O65" s="89">
        <f t="shared" si="6"/>
        <v>1.3598704159897412</v>
      </c>
      <c r="P65" s="89">
        <f t="shared" si="7"/>
        <v>0.9763518361022524</v>
      </c>
    </row>
    <row r="66" spans="1:16" x14ac:dyDescent="0.35">
      <c r="A66" s="90" t="s">
        <v>80</v>
      </c>
      <c r="B66" s="94" t="s">
        <v>72</v>
      </c>
      <c r="C66" s="91">
        <v>246</v>
      </c>
      <c r="D66" s="94">
        <v>16.690000534057617</v>
      </c>
      <c r="E66" s="97">
        <v>2.067446231842041</v>
      </c>
      <c r="F66" s="97">
        <v>39.483230590820313</v>
      </c>
      <c r="G66" s="97">
        <v>4.5780806541442871</v>
      </c>
      <c r="H66" s="97">
        <f t="shared" si="0"/>
        <v>53.492366820573807</v>
      </c>
      <c r="I66" s="97">
        <v>0.37887570261955261</v>
      </c>
      <c r="J66" s="98">
        <f t="shared" si="1"/>
        <v>22.280516084610372</v>
      </c>
      <c r="K66" s="89">
        <f t="shared" si="2"/>
        <v>0.14767473084586008</v>
      </c>
      <c r="L66" s="89">
        <f t="shared" si="3"/>
        <v>3.2902692159016929</v>
      </c>
      <c r="M66" s="89">
        <f t="shared" si="4"/>
        <v>4.5780806541442871</v>
      </c>
      <c r="N66" s="89">
        <f t="shared" si="5"/>
        <v>3.3432729262858629</v>
      </c>
      <c r="O66" s="89">
        <f t="shared" si="6"/>
        <v>1.3914000204052213</v>
      </c>
      <c r="P66" s="89">
        <f t="shared" si="7"/>
        <v>1.0161092320737786</v>
      </c>
    </row>
    <row r="67" spans="1:16" x14ac:dyDescent="0.35">
      <c r="A67" s="90" t="s">
        <v>80</v>
      </c>
      <c r="B67" s="94" t="s">
        <v>72</v>
      </c>
      <c r="C67" s="91">
        <v>246</v>
      </c>
      <c r="D67" s="94">
        <v>21.870000839233398</v>
      </c>
      <c r="E67" s="97">
        <v>2.1571456432342502</v>
      </c>
      <c r="F67" s="97">
        <v>40.495189666747997</v>
      </c>
      <c r="G67" s="97">
        <v>4.4598142623901396</v>
      </c>
      <c r="H67" s="97">
        <f t="shared" si="0"/>
        <v>52.54120495319372</v>
      </c>
      <c r="I67" s="97">
        <v>0.34664547443389893</v>
      </c>
      <c r="J67" s="98">
        <f t="shared" si="1"/>
        <v>21.901343607798733</v>
      </c>
      <c r="K67" s="89">
        <f t="shared" si="2"/>
        <v>0.1540818316595893</v>
      </c>
      <c r="L67" s="89">
        <f t="shared" si="3"/>
        <v>3.3745991388956664</v>
      </c>
      <c r="M67" s="89">
        <f t="shared" si="4"/>
        <v>4.4598142623901396</v>
      </c>
      <c r="N67" s="89">
        <f t="shared" si="5"/>
        <v>3.2838253095746075</v>
      </c>
      <c r="O67" s="89">
        <f t="shared" si="6"/>
        <v>1.3215834174157968</v>
      </c>
      <c r="P67" s="89">
        <f t="shared" si="7"/>
        <v>0.97310085566169957</v>
      </c>
    </row>
    <row r="68" spans="1:16" x14ac:dyDescent="0.35">
      <c r="A68" s="90" t="s">
        <v>80</v>
      </c>
      <c r="B68" s="94" t="s">
        <v>72</v>
      </c>
      <c r="C68" s="94">
        <v>247</v>
      </c>
      <c r="D68" s="94">
        <v>19.760000228881836</v>
      </c>
      <c r="E68" s="97">
        <v>2.0728693008422852</v>
      </c>
      <c r="F68" s="97">
        <v>39.345081329345703</v>
      </c>
      <c r="G68" s="97">
        <v>4.2585382461547852</v>
      </c>
      <c r="H68" s="97">
        <f t="shared" si="0"/>
        <v>53.959298670291901</v>
      </c>
      <c r="I68" s="97">
        <v>0.36421245336532593</v>
      </c>
      <c r="J68" s="98">
        <f t="shared" si="1"/>
        <v>22.144471369026835</v>
      </c>
      <c r="K68" s="89">
        <f t="shared" si="2"/>
        <v>0.14806209291730607</v>
      </c>
      <c r="L68" s="89">
        <f t="shared" si="3"/>
        <v>3.2787567774454751</v>
      </c>
      <c r="M68" s="89">
        <f t="shared" si="4"/>
        <v>4.2585382461547852</v>
      </c>
      <c r="N68" s="89">
        <f t="shared" si="5"/>
        <v>3.3724561668932438</v>
      </c>
      <c r="O68" s="89">
        <f t="shared" si="6"/>
        <v>1.2988271272359126</v>
      </c>
      <c r="P68" s="89">
        <f t="shared" si="7"/>
        <v>1.0285777188757415</v>
      </c>
    </row>
    <row r="69" spans="1:16" x14ac:dyDescent="0.35">
      <c r="A69" s="90" t="s">
        <v>80</v>
      </c>
      <c r="B69" s="94" t="s">
        <v>72</v>
      </c>
      <c r="C69" s="91">
        <v>247</v>
      </c>
      <c r="D69" s="94">
        <v>19.489999771118164</v>
      </c>
      <c r="E69" s="97">
        <v>2.1248652935028076</v>
      </c>
      <c r="F69" s="97">
        <v>39.590625762939453</v>
      </c>
      <c r="G69" s="97">
        <v>4.3132486343383789</v>
      </c>
      <c r="H69" s="97">
        <f t="shared" si="0"/>
        <v>53.594832241535187</v>
      </c>
      <c r="I69" s="97">
        <v>0.37642806768417358</v>
      </c>
      <c r="J69" s="98">
        <f t="shared" si="1"/>
        <v>21.737407793015464</v>
      </c>
      <c r="K69" s="89">
        <f t="shared" si="2"/>
        <v>0.1517760923930577</v>
      </c>
      <c r="L69" s="89">
        <f t="shared" si="3"/>
        <v>3.2992188135782876</v>
      </c>
      <c r="M69" s="89">
        <f t="shared" si="4"/>
        <v>4.3132486343383789</v>
      </c>
      <c r="N69" s="89">
        <f t="shared" si="5"/>
        <v>3.3496770150959492</v>
      </c>
      <c r="O69" s="89">
        <f t="shared" si="6"/>
        <v>1.3073545217997495</v>
      </c>
      <c r="P69" s="89">
        <f t="shared" si="7"/>
        <v>1.0152939845365805</v>
      </c>
    </row>
    <row r="70" spans="1:16" x14ac:dyDescent="0.35">
      <c r="A70" s="90" t="s">
        <v>80</v>
      </c>
      <c r="B70" s="94" t="s">
        <v>72</v>
      </c>
      <c r="C70" s="91">
        <v>247</v>
      </c>
      <c r="D70" s="94">
        <v>20.9899993896484</v>
      </c>
      <c r="E70" s="97">
        <v>2.1987216949462902</v>
      </c>
      <c r="F70" s="97">
        <v>38.926264190673798</v>
      </c>
      <c r="G70" s="97">
        <v>4.1887329292297402</v>
      </c>
      <c r="H70" s="97">
        <f t="shared" si="0"/>
        <v>54.342283498048815</v>
      </c>
      <c r="I70" s="97">
        <v>0.34399768710136414</v>
      </c>
      <c r="J70" s="98">
        <f t="shared" si="1"/>
        <v>20.654717235702169</v>
      </c>
      <c r="K70" s="89">
        <f t="shared" si="2"/>
        <v>0.15705154963902074</v>
      </c>
      <c r="L70" s="89">
        <f t="shared" si="3"/>
        <v>3.2438553492228164</v>
      </c>
      <c r="M70" s="89">
        <f t="shared" si="4"/>
        <v>4.1887329292297402</v>
      </c>
      <c r="N70" s="89">
        <f t="shared" si="5"/>
        <v>3.3963927186280509</v>
      </c>
      <c r="O70" s="89">
        <f t="shared" si="6"/>
        <v>1.2912822793511134</v>
      </c>
      <c r="P70" s="89">
        <f t="shared" si="7"/>
        <v>1.047023480699218</v>
      </c>
    </row>
    <row r="71" spans="1:16" x14ac:dyDescent="0.35">
      <c r="A71" s="90" t="s">
        <v>80</v>
      </c>
      <c r="B71" s="94" t="s">
        <v>72</v>
      </c>
      <c r="C71" s="94">
        <v>248</v>
      </c>
      <c r="D71" s="94">
        <v>17.600000381469727</v>
      </c>
      <c r="E71" s="97">
        <v>1.9367038011550903</v>
      </c>
      <c r="F71" s="97">
        <v>38.275325775146484</v>
      </c>
      <c r="G71" s="97">
        <v>4.3550691604614258</v>
      </c>
      <c r="H71" s="97">
        <f t="shared" si="0"/>
        <v>55.067660123109818</v>
      </c>
      <c r="I71" s="97">
        <v>0.36524114012718201</v>
      </c>
      <c r="J71" s="98">
        <f t="shared" si="1"/>
        <v>23.056983061136144</v>
      </c>
      <c r="K71" s="89">
        <f t="shared" si="2"/>
        <v>0.13833598579679215</v>
      </c>
      <c r="L71" s="89">
        <f t="shared" si="3"/>
        <v>3.189610481262207</v>
      </c>
      <c r="M71" s="89">
        <f t="shared" si="4"/>
        <v>4.3550691604614258</v>
      </c>
      <c r="N71" s="89">
        <f t="shared" si="5"/>
        <v>3.4417287576943636</v>
      </c>
      <c r="O71" s="89">
        <f t="shared" si="6"/>
        <v>1.3653921649824834</v>
      </c>
      <c r="P71" s="89">
        <f t="shared" si="7"/>
        <v>1.0790435941671432</v>
      </c>
    </row>
    <row r="72" spans="1:16" x14ac:dyDescent="0.35">
      <c r="A72" s="90" t="s">
        <v>80</v>
      </c>
      <c r="B72" s="94" t="s">
        <v>72</v>
      </c>
      <c r="C72" s="91">
        <v>248</v>
      </c>
      <c r="D72" s="94">
        <v>18.950000762939453</v>
      </c>
      <c r="E72" s="97">
        <v>2.0728824138641357</v>
      </c>
      <c r="F72" s="97">
        <v>39.495090484619141</v>
      </c>
      <c r="G72" s="97">
        <v>4.4124116897583008</v>
      </c>
      <c r="H72" s="97">
        <f t="shared" si="0"/>
        <v>53.641678661108017</v>
      </c>
      <c r="I72" s="97">
        <v>0.37793675065040588</v>
      </c>
      <c r="J72" s="98">
        <f t="shared" si="1"/>
        <v>22.228759941811678</v>
      </c>
      <c r="K72" s="89">
        <f t="shared" si="2"/>
        <v>0.14806302956172399</v>
      </c>
      <c r="L72" s="89">
        <f t="shared" si="3"/>
        <v>3.2912575403849282</v>
      </c>
      <c r="M72" s="89">
        <f t="shared" si="4"/>
        <v>4.4124116897583008</v>
      </c>
      <c r="N72" s="89">
        <f t="shared" si="5"/>
        <v>3.3526049163192511</v>
      </c>
      <c r="O72" s="89">
        <f t="shared" si="6"/>
        <v>1.3406461316431191</v>
      </c>
      <c r="P72" s="89">
        <f t="shared" si="7"/>
        <v>1.0186394942302655</v>
      </c>
    </row>
    <row r="73" spans="1:16" x14ac:dyDescent="0.35">
      <c r="A73" s="90" t="s">
        <v>80</v>
      </c>
      <c r="B73" s="94" t="s">
        <v>72</v>
      </c>
      <c r="C73" s="91">
        <v>248</v>
      </c>
      <c r="D73" s="94">
        <v>23.630000036393898</v>
      </c>
      <c r="E73" s="97">
        <v>1.9681898832321201</v>
      </c>
      <c r="F73" s="97">
        <v>39.489330291747997</v>
      </c>
      <c r="G73" s="97">
        <v>4.4061676979064899</v>
      </c>
      <c r="H73" s="97">
        <f t="shared" si="0"/>
        <v>53.811145871877727</v>
      </c>
      <c r="I73" s="97">
        <v>0.325166255235672</v>
      </c>
      <c r="J73" s="98">
        <f t="shared" si="1"/>
        <v>23.407744208458194</v>
      </c>
      <c r="K73" s="89">
        <f t="shared" si="2"/>
        <v>0.14058499165943714</v>
      </c>
      <c r="L73" s="89">
        <f t="shared" si="3"/>
        <v>3.2907775243123329</v>
      </c>
      <c r="M73" s="89">
        <f t="shared" si="4"/>
        <v>4.4061676979064899</v>
      </c>
      <c r="N73" s="89">
        <f t="shared" si="5"/>
        <v>3.3631966169923579</v>
      </c>
      <c r="O73" s="89">
        <f t="shared" si="6"/>
        <v>1.3389442663181059</v>
      </c>
      <c r="P73" s="89">
        <f t="shared" si="7"/>
        <v>1.0220066814438202</v>
      </c>
    </row>
    <row r="74" spans="1:16" x14ac:dyDescent="0.35">
      <c r="A74" s="90" t="s">
        <v>80</v>
      </c>
      <c r="B74" s="94" t="s">
        <v>81</v>
      </c>
      <c r="C74" s="94">
        <v>87</v>
      </c>
      <c r="D74" s="94">
        <v>18.629999160766602</v>
      </c>
      <c r="E74" s="97">
        <v>1.3217829465866089</v>
      </c>
      <c r="F74" s="97">
        <v>38.163471221923828</v>
      </c>
      <c r="G74" s="97">
        <v>3.7264401912689209</v>
      </c>
      <c r="H74" s="97">
        <f t="shared" si="0"/>
        <v>56.544521704316139</v>
      </c>
      <c r="I74" s="97">
        <v>0.24378393590450287</v>
      </c>
      <c r="J74" s="98">
        <f t="shared" si="1"/>
        <v>33.684842033929002</v>
      </c>
      <c r="K74" s="89">
        <f t="shared" si="2"/>
        <v>9.441306761332921E-2</v>
      </c>
      <c r="L74" s="89">
        <f t="shared" si="3"/>
        <v>3.1802892684936523</v>
      </c>
      <c r="M74" s="89">
        <f t="shared" si="4"/>
        <v>3.7264401912689209</v>
      </c>
      <c r="N74" s="89">
        <f t="shared" si="5"/>
        <v>3.5340326065197587</v>
      </c>
      <c r="O74" s="89">
        <f t="shared" si="6"/>
        <v>1.1717299517958484</v>
      </c>
      <c r="P74" s="89">
        <f t="shared" si="7"/>
        <v>1.1112299253814912</v>
      </c>
    </row>
    <row r="75" spans="1:16" x14ac:dyDescent="0.35">
      <c r="A75" s="90" t="s">
        <v>80</v>
      </c>
      <c r="B75" s="94" t="s">
        <v>81</v>
      </c>
      <c r="C75" s="91">
        <v>87</v>
      </c>
      <c r="D75" s="94">
        <v>15.789999961853027</v>
      </c>
      <c r="E75" s="97">
        <v>1.926592230796814</v>
      </c>
      <c r="F75" s="97">
        <v>36.302665710449219</v>
      </c>
      <c r="G75" s="97">
        <v>4.6462039947509766</v>
      </c>
      <c r="H75" s="97">
        <f t="shared" si="0"/>
        <v>56.768318057060242</v>
      </c>
      <c r="I75" s="97">
        <v>0.35622000694274902</v>
      </c>
      <c r="J75" s="98">
        <f t="shared" si="1"/>
        <v>21.983432362336156</v>
      </c>
      <c r="K75" s="89">
        <f t="shared" si="2"/>
        <v>0.13761373077120101</v>
      </c>
      <c r="L75" s="89">
        <f t="shared" si="3"/>
        <v>3.025222142537435</v>
      </c>
      <c r="M75" s="89">
        <f t="shared" si="4"/>
        <v>4.6462039947509766</v>
      </c>
      <c r="N75" s="89">
        <f t="shared" si="5"/>
        <v>3.5480198785662651</v>
      </c>
      <c r="O75" s="89">
        <f t="shared" si="6"/>
        <v>1.5358224209128415</v>
      </c>
      <c r="P75" s="89">
        <f t="shared" si="7"/>
        <v>1.1728130072426113</v>
      </c>
    </row>
    <row r="76" spans="1:16" x14ac:dyDescent="0.35">
      <c r="A76" s="90" t="s">
        <v>80</v>
      </c>
      <c r="B76" s="94" t="s">
        <v>81</v>
      </c>
      <c r="C76" s="94">
        <v>199</v>
      </c>
      <c r="D76" s="94">
        <v>20.610000610351563</v>
      </c>
      <c r="E76" s="97">
        <v>1.9400480985641479</v>
      </c>
      <c r="F76" s="97">
        <v>37.040443420410156</v>
      </c>
      <c r="G76" s="97">
        <v>4.202214241027832</v>
      </c>
      <c r="H76" s="97">
        <f t="shared" si="0"/>
        <v>56.437590777873993</v>
      </c>
      <c r="I76" s="97">
        <v>0.37970346212387085</v>
      </c>
      <c r="J76" s="98">
        <f t="shared" si="1"/>
        <v>22.274628494586423</v>
      </c>
      <c r="K76" s="89">
        <f t="shared" si="2"/>
        <v>0.13857486418315343</v>
      </c>
      <c r="L76" s="89">
        <f t="shared" si="3"/>
        <v>3.0867036183675132</v>
      </c>
      <c r="M76" s="89">
        <f t="shared" si="4"/>
        <v>4.202214241027832</v>
      </c>
      <c r="N76" s="89">
        <f t="shared" si="5"/>
        <v>3.5273494236171246</v>
      </c>
      <c r="O76" s="89">
        <f t="shared" si="6"/>
        <v>1.3613922036513135</v>
      </c>
      <c r="P76" s="89">
        <f t="shared" si="7"/>
        <v>1.142756111285689</v>
      </c>
    </row>
    <row r="77" spans="1:16" x14ac:dyDescent="0.35">
      <c r="A77" s="90" t="s">
        <v>80</v>
      </c>
      <c r="B77" s="94" t="s">
        <v>81</v>
      </c>
      <c r="C77" s="91">
        <v>199</v>
      </c>
      <c r="D77" s="94">
        <v>19.989999771118164</v>
      </c>
      <c r="E77" s="97">
        <v>2.0898749828338623</v>
      </c>
      <c r="F77" s="97">
        <v>38.975471496582031</v>
      </c>
      <c r="G77" s="97">
        <v>4.3789658546447754</v>
      </c>
      <c r="H77" s="97">
        <f t="shared" si="0"/>
        <v>54.18867501616478</v>
      </c>
      <c r="I77" s="97">
        <v>0.36701264977455139</v>
      </c>
      <c r="J77" s="98">
        <f t="shared" si="1"/>
        <v>21.757944272350692</v>
      </c>
      <c r="K77" s="89">
        <f t="shared" si="2"/>
        <v>0.14927678448813303</v>
      </c>
      <c r="L77" s="89">
        <f t="shared" si="3"/>
        <v>3.2479559580485025</v>
      </c>
      <c r="M77" s="89">
        <f t="shared" si="4"/>
        <v>4.3789658546447754</v>
      </c>
      <c r="N77" s="89">
        <f t="shared" si="5"/>
        <v>3.3867921885102987</v>
      </c>
      <c r="O77" s="89">
        <f t="shared" si="6"/>
        <v>1.3482220544874097</v>
      </c>
      <c r="P77" s="89">
        <f t="shared" si="7"/>
        <v>1.0427457244664162</v>
      </c>
    </row>
    <row r="78" spans="1:16" x14ac:dyDescent="0.35">
      <c r="A78" s="90" t="s">
        <v>80</v>
      </c>
      <c r="B78" s="94" t="s">
        <v>81</v>
      </c>
      <c r="C78" s="94">
        <v>200</v>
      </c>
      <c r="D78" s="94">
        <v>16.790000915527344</v>
      </c>
      <c r="E78" s="97">
        <v>1.9369051456451416</v>
      </c>
      <c r="F78" s="97">
        <v>37.249408721923828</v>
      </c>
      <c r="G78" s="97">
        <v>4.4312939643859863</v>
      </c>
      <c r="H78" s="97">
        <f t="shared" si="0"/>
        <v>56.012015372514725</v>
      </c>
      <c r="I78" s="97">
        <v>0.37037679553031921</v>
      </c>
      <c r="J78" s="98">
        <f t="shared" si="1"/>
        <v>22.436640021644592</v>
      </c>
      <c r="K78" s="89">
        <f t="shared" si="2"/>
        <v>0.13835036754608154</v>
      </c>
      <c r="L78" s="89">
        <f t="shared" si="3"/>
        <v>3.1041173934936523</v>
      </c>
      <c r="M78" s="89">
        <f t="shared" si="4"/>
        <v>4.4312939643859863</v>
      </c>
      <c r="N78" s="89">
        <f t="shared" si="5"/>
        <v>3.5007509607821703</v>
      </c>
      <c r="O78" s="89">
        <f t="shared" si="6"/>
        <v>1.4275536014437296</v>
      </c>
      <c r="P78" s="89">
        <f t="shared" si="7"/>
        <v>1.12777660024066</v>
      </c>
    </row>
    <row r="79" spans="1:16" x14ac:dyDescent="0.35">
      <c r="A79" s="90" t="s">
        <v>80</v>
      </c>
      <c r="B79" s="94" t="s">
        <v>81</v>
      </c>
      <c r="C79" s="91">
        <v>200</v>
      </c>
      <c r="D79" s="94">
        <v>16.930000305175781</v>
      </c>
      <c r="E79" s="97">
        <v>2.0434982776641846</v>
      </c>
      <c r="F79" s="97">
        <v>39.683330535888672</v>
      </c>
      <c r="G79" s="97">
        <v>4.4792327880859375</v>
      </c>
      <c r="H79" s="97">
        <f t="shared" si="0"/>
        <v>53.43281501531601</v>
      </c>
      <c r="I79" s="97">
        <v>0.36112338304519653</v>
      </c>
      <c r="J79" s="98">
        <f t="shared" si="1"/>
        <v>22.655863948883137</v>
      </c>
      <c r="K79" s="89">
        <f t="shared" si="2"/>
        <v>0.14596416269029891</v>
      </c>
      <c r="L79" s="89">
        <f t="shared" si="3"/>
        <v>3.3069442113240561</v>
      </c>
      <c r="M79" s="89">
        <f t="shared" si="4"/>
        <v>4.4792327880859375</v>
      </c>
      <c r="N79" s="89">
        <f t="shared" si="5"/>
        <v>3.3395509384572506</v>
      </c>
      <c r="O79" s="89">
        <f t="shared" si="6"/>
        <v>1.3544930007429767</v>
      </c>
      <c r="P79" s="89">
        <f t="shared" si="7"/>
        <v>1.0098600777786146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90"/>
  <sheetViews>
    <sheetView workbookViewId="0"/>
  </sheetViews>
  <sheetFormatPr defaultColWidth="11.25" defaultRowHeight="15" customHeight="1" x14ac:dyDescent="0.35"/>
  <sheetData>
    <row r="1" spans="1:17" x14ac:dyDescent="0.35">
      <c r="A1" s="90" t="s">
        <v>109</v>
      </c>
      <c r="B1" s="90" t="s">
        <v>68</v>
      </c>
      <c r="C1" s="91" t="s">
        <v>65</v>
      </c>
      <c r="D1" s="92" t="s">
        <v>93</v>
      </c>
      <c r="E1" s="93" t="s">
        <v>94</v>
      </c>
      <c r="F1" s="93" t="s">
        <v>95</v>
      </c>
      <c r="G1" s="93" t="s">
        <v>96</v>
      </c>
      <c r="H1" s="94" t="s">
        <v>97</v>
      </c>
      <c r="I1" s="93" t="s">
        <v>98</v>
      </c>
      <c r="J1" s="95" t="s">
        <v>99</v>
      </c>
      <c r="K1" s="96" t="s">
        <v>100</v>
      </c>
      <c r="L1" s="2" t="s">
        <v>101</v>
      </c>
      <c r="M1" s="2" t="s">
        <v>102</v>
      </c>
      <c r="N1" s="2" t="s">
        <v>103</v>
      </c>
      <c r="O1" s="2" t="s">
        <v>104</v>
      </c>
      <c r="P1" s="2" t="s">
        <v>105</v>
      </c>
      <c r="Q1" s="2"/>
    </row>
    <row r="2" spans="1:17" x14ac:dyDescent="0.35">
      <c r="A2" s="90" t="s">
        <v>73</v>
      </c>
      <c r="B2" s="94" t="s">
        <v>72</v>
      </c>
      <c r="C2" s="94">
        <v>4</v>
      </c>
      <c r="D2" s="94">
        <v>15.539999961853027</v>
      </c>
      <c r="E2" s="97">
        <v>2.2364072799682617</v>
      </c>
      <c r="F2" s="97">
        <v>41.915252685546875</v>
      </c>
      <c r="G2" s="97">
        <v>4.5484055519103999</v>
      </c>
      <c r="H2" s="97">
        <f t="shared" ref="H2:H90" si="0">100-E2-F2-G2-I2</f>
        <v>50.908757930994035</v>
      </c>
      <c r="I2" s="97">
        <v>0.39117655158042908</v>
      </c>
      <c r="J2" s="98">
        <f t="shared" ref="J2:J90" si="1">L2/K2</f>
        <v>21.865931385195637</v>
      </c>
      <c r="K2" s="89">
        <f t="shared" ref="K2:K90" si="2">E2/14</f>
        <v>0.15974337714059011</v>
      </c>
      <c r="L2" s="89">
        <f t="shared" ref="L2:L90" si="3">F2/12</f>
        <v>3.4929377237955728</v>
      </c>
      <c r="M2" s="89">
        <f t="shared" ref="M2:M90" si="4">G2/1</f>
        <v>4.5484055519103999</v>
      </c>
      <c r="N2" s="89">
        <f t="shared" ref="N2:N90" si="5">H2/16</f>
        <v>3.1817973706871272</v>
      </c>
      <c r="O2" s="89">
        <f t="shared" ref="O2:O90" si="6">M2/L2</f>
        <v>1.3021719571249359</v>
      </c>
      <c r="P2" s="89">
        <f t="shared" ref="P2:P90" si="7">N2/L2</f>
        <v>0.91092301732469838</v>
      </c>
    </row>
    <row r="3" spans="1:17" x14ac:dyDescent="0.35">
      <c r="A3" s="90" t="s">
        <v>73</v>
      </c>
      <c r="B3" s="94" t="s">
        <v>72</v>
      </c>
      <c r="C3" s="91">
        <v>4</v>
      </c>
      <c r="D3" s="94">
        <v>17.819999694824219</v>
      </c>
      <c r="E3" s="97">
        <v>2.057837963104248</v>
      </c>
      <c r="F3" s="97">
        <v>38.774574279785156</v>
      </c>
      <c r="G3" s="97">
        <v>4.517796516418457</v>
      </c>
      <c r="H3" s="97">
        <f t="shared" si="0"/>
        <v>54.271414697170258</v>
      </c>
      <c r="I3" s="97">
        <v>0.3783765435218811</v>
      </c>
      <c r="J3" s="98">
        <f t="shared" si="1"/>
        <v>21.982781996195662</v>
      </c>
      <c r="K3" s="89">
        <f t="shared" si="2"/>
        <v>0.14698842593601771</v>
      </c>
      <c r="L3" s="89">
        <f t="shared" si="3"/>
        <v>3.2312145233154297</v>
      </c>
      <c r="M3" s="89">
        <f t="shared" si="4"/>
        <v>4.517796516418457</v>
      </c>
      <c r="N3" s="89">
        <f t="shared" si="5"/>
        <v>3.3919634185731411</v>
      </c>
      <c r="O3" s="89">
        <f t="shared" si="6"/>
        <v>1.3981728801413387</v>
      </c>
      <c r="P3" s="89">
        <f t="shared" si="7"/>
        <v>1.0497487536335943</v>
      </c>
    </row>
    <row r="4" spans="1:17" x14ac:dyDescent="0.35">
      <c r="A4" s="90" t="s">
        <v>73</v>
      </c>
      <c r="B4" s="94" t="s">
        <v>72</v>
      </c>
      <c r="C4" s="91">
        <v>4</v>
      </c>
      <c r="D4" s="94">
        <v>20.550000915527299</v>
      </c>
      <c r="E4" s="97">
        <v>2.23287127017975</v>
      </c>
      <c r="F4" s="97">
        <v>40.109390258789098</v>
      </c>
      <c r="G4" s="97">
        <v>4.2110052871704102</v>
      </c>
      <c r="H4" s="97">
        <f t="shared" si="0"/>
        <v>53.137697465419741</v>
      </c>
      <c r="I4" s="97">
        <v>0.30903571844100952</v>
      </c>
      <c r="J4" s="98">
        <f t="shared" si="1"/>
        <v>20.957002430098413</v>
      </c>
      <c r="K4" s="89">
        <f t="shared" si="2"/>
        <v>0.15949080501283927</v>
      </c>
      <c r="L4" s="89">
        <f t="shared" si="3"/>
        <v>3.342449188232425</v>
      </c>
      <c r="M4" s="89">
        <f t="shared" si="4"/>
        <v>4.2110052871704102</v>
      </c>
      <c r="N4" s="89">
        <f t="shared" si="5"/>
        <v>3.3211060915887338</v>
      </c>
      <c r="O4" s="89">
        <f t="shared" si="6"/>
        <v>1.2598561862947273</v>
      </c>
      <c r="P4" s="89">
        <f t="shared" si="7"/>
        <v>0.99361453370216291</v>
      </c>
    </row>
    <row r="5" spans="1:17" x14ac:dyDescent="0.35">
      <c r="A5" s="90" t="s">
        <v>73</v>
      </c>
      <c r="B5" s="94" t="s">
        <v>72</v>
      </c>
      <c r="C5" s="94">
        <v>8</v>
      </c>
      <c r="D5" s="94">
        <v>17.780000686645508</v>
      </c>
      <c r="E5" s="97">
        <v>2.1339168548583984</v>
      </c>
      <c r="F5" s="97">
        <v>40.051975250244141</v>
      </c>
      <c r="G5" s="97">
        <v>4.7721691131591797</v>
      </c>
      <c r="H5" s="97">
        <f t="shared" si="0"/>
        <v>52.648956626653671</v>
      </c>
      <c r="I5" s="97">
        <v>0.39298215508460999</v>
      </c>
      <c r="J5" s="98">
        <f t="shared" si="1"/>
        <v>21.89743445356444</v>
      </c>
      <c r="K5" s="89">
        <f t="shared" si="2"/>
        <v>0.15242263248988561</v>
      </c>
      <c r="L5" s="89">
        <f t="shared" si="3"/>
        <v>3.3376646041870117</v>
      </c>
      <c r="M5" s="89">
        <f t="shared" si="4"/>
        <v>4.7721691131591797</v>
      </c>
      <c r="N5" s="89">
        <f t="shared" si="5"/>
        <v>3.2905597891658545</v>
      </c>
      <c r="O5" s="89">
        <f t="shared" si="6"/>
        <v>1.4297928878691466</v>
      </c>
      <c r="P5" s="89">
        <f t="shared" si="7"/>
        <v>0.98588689379931538</v>
      </c>
    </row>
    <row r="6" spans="1:17" x14ac:dyDescent="0.35">
      <c r="A6" s="90" t="s">
        <v>73</v>
      </c>
      <c r="B6" s="94" t="s">
        <v>72</v>
      </c>
      <c r="C6" s="91">
        <v>8</v>
      </c>
      <c r="D6" s="94">
        <v>16.129999160766602</v>
      </c>
      <c r="E6" s="97">
        <v>2.1567139625549316</v>
      </c>
      <c r="F6" s="97">
        <v>41.379623413085938</v>
      </c>
      <c r="G6" s="97">
        <v>4.6624090576171904</v>
      </c>
      <c r="H6" s="97">
        <f t="shared" si="0"/>
        <v>51.443878570795057</v>
      </c>
      <c r="I6" s="97">
        <v>0.35737499594688416</v>
      </c>
      <c r="J6" s="98">
        <f t="shared" si="1"/>
        <v>22.384158564113402</v>
      </c>
      <c r="K6" s="89">
        <f t="shared" si="2"/>
        <v>0.15405099732535227</v>
      </c>
      <c r="L6" s="89">
        <f t="shared" si="3"/>
        <v>3.4483019510904946</v>
      </c>
      <c r="M6" s="89">
        <f t="shared" si="4"/>
        <v>4.6624090576171904</v>
      </c>
      <c r="N6" s="89">
        <f t="shared" si="5"/>
        <v>3.2152424106746911</v>
      </c>
      <c r="O6" s="89">
        <f t="shared" si="6"/>
        <v>1.3520883970566282</v>
      </c>
      <c r="P6" s="89">
        <f t="shared" si="7"/>
        <v>0.93241324462838859</v>
      </c>
    </row>
    <row r="7" spans="1:17" x14ac:dyDescent="0.35">
      <c r="A7" s="90" t="s">
        <v>73</v>
      </c>
      <c r="B7" s="94" t="s">
        <v>72</v>
      </c>
      <c r="C7" s="91">
        <v>8</v>
      </c>
      <c r="D7" s="94">
        <v>20.2300003051758</v>
      </c>
      <c r="E7" s="97">
        <v>2.1396974945068399</v>
      </c>
      <c r="F7" s="97">
        <v>40.414901733398402</v>
      </c>
      <c r="G7" s="97">
        <v>4.884185791015625</v>
      </c>
      <c r="H7" s="97">
        <f t="shared" si="0"/>
        <v>52.18397840619091</v>
      </c>
      <c r="I7" s="97">
        <v>0.37723657488822937</v>
      </c>
      <c r="J7" s="98">
        <f t="shared" si="1"/>
        <v>22.03616109754438</v>
      </c>
      <c r="K7" s="89">
        <f t="shared" si="2"/>
        <v>0.15283553532191713</v>
      </c>
      <c r="L7" s="89">
        <f t="shared" si="3"/>
        <v>3.3679084777832</v>
      </c>
      <c r="M7" s="89">
        <f t="shared" si="4"/>
        <v>4.884185791015625</v>
      </c>
      <c r="N7" s="89">
        <f t="shared" si="5"/>
        <v>3.2614986503869319</v>
      </c>
      <c r="O7" s="89">
        <f t="shared" si="6"/>
        <v>1.4502133366256016</v>
      </c>
      <c r="P7" s="89">
        <f t="shared" si="7"/>
        <v>0.96840477462549446</v>
      </c>
    </row>
    <row r="8" spans="1:17" x14ac:dyDescent="0.35">
      <c r="A8" s="90" t="s">
        <v>73</v>
      </c>
      <c r="B8" s="94" t="s">
        <v>72</v>
      </c>
      <c r="C8" s="94">
        <v>12</v>
      </c>
      <c r="D8" s="94">
        <v>21.040000915527344</v>
      </c>
      <c r="E8" s="97">
        <v>2.2604362964630127</v>
      </c>
      <c r="F8" s="97">
        <v>43.595645904541016</v>
      </c>
      <c r="G8" s="97">
        <v>4.6867437362670898</v>
      </c>
      <c r="H8" s="97">
        <f t="shared" si="0"/>
        <v>49.058663308620453</v>
      </c>
      <c r="I8" s="97">
        <v>0.39851075410842896</v>
      </c>
      <c r="J8" s="98">
        <f t="shared" si="1"/>
        <v>22.500783131210628</v>
      </c>
      <c r="K8" s="89">
        <f t="shared" si="2"/>
        <v>0.16145973546164377</v>
      </c>
      <c r="L8" s="89">
        <f t="shared" si="3"/>
        <v>3.6329704920450845</v>
      </c>
      <c r="M8" s="89">
        <f t="shared" si="4"/>
        <v>4.6867437362670898</v>
      </c>
      <c r="N8" s="89">
        <f t="shared" si="5"/>
        <v>3.0661664567887783</v>
      </c>
      <c r="O8" s="89">
        <f t="shared" si="6"/>
        <v>1.2900582998208752</v>
      </c>
      <c r="P8" s="89">
        <f t="shared" si="7"/>
        <v>0.84398330883848194</v>
      </c>
    </row>
    <row r="9" spans="1:17" x14ac:dyDescent="0.35">
      <c r="A9" s="90" t="s">
        <v>73</v>
      </c>
      <c r="B9" s="94" t="s">
        <v>72</v>
      </c>
      <c r="C9" s="91">
        <v>12</v>
      </c>
      <c r="D9" s="94">
        <v>16.409999847412109</v>
      </c>
      <c r="E9" s="97">
        <v>2.209770679473877</v>
      </c>
      <c r="F9" s="97">
        <v>42.545845031738281</v>
      </c>
      <c r="G9" s="97">
        <v>5.0982027053833008</v>
      </c>
      <c r="H9" s="97">
        <f t="shared" si="0"/>
        <v>49.769356966018677</v>
      </c>
      <c r="I9" s="97">
        <v>0.37682461738586426</v>
      </c>
      <c r="J9" s="98">
        <f t="shared" si="1"/>
        <v>22.462429999982017</v>
      </c>
      <c r="K9" s="89">
        <f t="shared" si="2"/>
        <v>0.15784076281956264</v>
      </c>
      <c r="L9" s="89">
        <f t="shared" si="3"/>
        <v>3.54548708597819</v>
      </c>
      <c r="M9" s="89">
        <f t="shared" si="4"/>
        <v>5.0982027053833008</v>
      </c>
      <c r="N9" s="89">
        <f t="shared" si="5"/>
        <v>3.1105848103761673</v>
      </c>
      <c r="O9" s="89">
        <f t="shared" si="6"/>
        <v>1.4379414116457629</v>
      </c>
      <c r="P9" s="89">
        <f t="shared" si="7"/>
        <v>0.87733638141794712</v>
      </c>
    </row>
    <row r="10" spans="1:17" x14ac:dyDescent="0.35">
      <c r="A10" s="90" t="s">
        <v>73</v>
      </c>
      <c r="B10" s="94" t="s">
        <v>72</v>
      </c>
      <c r="C10" s="91">
        <v>12</v>
      </c>
      <c r="D10" s="94">
        <v>21.160000610111599</v>
      </c>
      <c r="E10" s="97">
        <v>2.1332150459289601</v>
      </c>
      <c r="F10" s="97">
        <v>40.374420703124997</v>
      </c>
      <c r="G10" s="97">
        <v>4.5210052871704098</v>
      </c>
      <c r="H10" s="97">
        <f t="shared" si="0"/>
        <v>52.58584521107673</v>
      </c>
      <c r="I10" s="97">
        <v>0.38551375269889832</v>
      </c>
      <c r="J10" s="98">
        <f t="shared" si="1"/>
        <v>22.080985651308374</v>
      </c>
      <c r="K10" s="89">
        <f t="shared" si="2"/>
        <v>0.15237250328064</v>
      </c>
      <c r="L10" s="89">
        <f t="shared" si="3"/>
        <v>3.3645350585937499</v>
      </c>
      <c r="M10" s="89">
        <f t="shared" si="4"/>
        <v>4.5210052871704098</v>
      </c>
      <c r="N10" s="89">
        <f t="shared" si="5"/>
        <v>3.2866153256922956</v>
      </c>
      <c r="O10" s="89">
        <f t="shared" si="6"/>
        <v>1.343723637422884</v>
      </c>
      <c r="P10" s="89">
        <f t="shared" si="7"/>
        <v>0.97684086165117212</v>
      </c>
    </row>
    <row r="11" spans="1:17" x14ac:dyDescent="0.35">
      <c r="A11" s="90" t="s">
        <v>74</v>
      </c>
      <c r="B11" s="94" t="s">
        <v>72</v>
      </c>
      <c r="C11" s="94">
        <v>46</v>
      </c>
      <c r="D11" s="94">
        <v>22.229999542236328</v>
      </c>
      <c r="E11" s="97">
        <v>1.9950345754623413</v>
      </c>
      <c r="F11" s="97">
        <v>37.895233154296875</v>
      </c>
      <c r="G11" s="97">
        <v>4.1382551193237305</v>
      </c>
      <c r="H11" s="97">
        <f t="shared" si="0"/>
        <v>55.603728592395782</v>
      </c>
      <c r="I11" s="97">
        <v>0.36774855852127075</v>
      </c>
      <c r="J11" s="98">
        <f t="shared" si="1"/>
        <v>22.16057099483298</v>
      </c>
      <c r="K11" s="89">
        <f t="shared" si="2"/>
        <v>0.14250246967588151</v>
      </c>
      <c r="L11" s="89">
        <f t="shared" si="3"/>
        <v>3.1579360961914063</v>
      </c>
      <c r="M11" s="89">
        <f t="shared" si="4"/>
        <v>4.1382551193237305</v>
      </c>
      <c r="N11" s="89">
        <f t="shared" si="5"/>
        <v>3.4752330370247364</v>
      </c>
      <c r="O11" s="89">
        <f t="shared" si="6"/>
        <v>1.310430291580196</v>
      </c>
      <c r="P11" s="89">
        <f t="shared" si="7"/>
        <v>1.1004760486496237</v>
      </c>
    </row>
    <row r="12" spans="1:17" x14ac:dyDescent="0.35">
      <c r="A12" s="90" t="s">
        <v>74</v>
      </c>
      <c r="B12" s="94" t="s">
        <v>72</v>
      </c>
      <c r="C12" s="91">
        <v>46</v>
      </c>
      <c r="D12" s="94">
        <v>18.540000915527344</v>
      </c>
      <c r="E12" s="97">
        <v>1.6328712701797485</v>
      </c>
      <c r="F12" s="97">
        <v>38.109390258789063</v>
      </c>
      <c r="G12" s="97">
        <v>4.2110052871704102</v>
      </c>
      <c r="H12" s="97">
        <f t="shared" si="0"/>
        <v>55.737697465419771</v>
      </c>
      <c r="I12" s="97">
        <v>0.30903571844100952</v>
      </c>
      <c r="J12" s="98">
        <f t="shared" si="1"/>
        <v>27.228695925935579</v>
      </c>
      <c r="K12" s="89">
        <f t="shared" si="2"/>
        <v>0.11663366215569633</v>
      </c>
      <c r="L12" s="89">
        <f t="shared" si="3"/>
        <v>3.1757825215657554</v>
      </c>
      <c r="M12" s="89">
        <f t="shared" si="4"/>
        <v>4.2110052871704102</v>
      </c>
      <c r="N12" s="89">
        <f t="shared" si="5"/>
        <v>3.4836060915887357</v>
      </c>
      <c r="O12" s="89">
        <f t="shared" si="6"/>
        <v>1.3259740736573673</v>
      </c>
      <c r="P12" s="89">
        <f t="shared" si="7"/>
        <v>1.0969284162037689</v>
      </c>
    </row>
    <row r="13" spans="1:17" x14ac:dyDescent="0.35">
      <c r="A13" s="90" t="s">
        <v>74</v>
      </c>
      <c r="B13" s="94" t="s">
        <v>72</v>
      </c>
      <c r="C13" s="91">
        <v>46</v>
      </c>
      <c r="D13" s="94">
        <v>21.310000110311599</v>
      </c>
      <c r="E13" s="97">
        <v>2.0132150459289599</v>
      </c>
      <c r="F13" s="97">
        <v>38.336220703125001</v>
      </c>
      <c r="G13" s="97">
        <v>4.0215101051330597</v>
      </c>
      <c r="H13" s="97">
        <f t="shared" si="0"/>
        <v>55.243540393114081</v>
      </c>
      <c r="I13" s="97">
        <v>0.38551375269889832</v>
      </c>
      <c r="J13" s="98">
        <f t="shared" si="1"/>
        <v>22.216002662385591</v>
      </c>
      <c r="K13" s="89">
        <f t="shared" si="2"/>
        <v>0.14380107470921141</v>
      </c>
      <c r="L13" s="89">
        <f t="shared" si="3"/>
        <v>3.1946850585937501</v>
      </c>
      <c r="M13" s="89">
        <f t="shared" si="4"/>
        <v>4.0215101051330597</v>
      </c>
      <c r="N13" s="89">
        <f t="shared" si="5"/>
        <v>3.4527212745696301</v>
      </c>
      <c r="O13" s="89">
        <f t="shared" si="6"/>
        <v>1.2588126940134954</v>
      </c>
      <c r="P13" s="89">
        <f t="shared" si="7"/>
        <v>1.0807704707172179</v>
      </c>
    </row>
    <row r="14" spans="1:17" x14ac:dyDescent="0.35">
      <c r="A14" s="90" t="s">
        <v>74</v>
      </c>
      <c r="B14" s="94" t="s">
        <v>72</v>
      </c>
      <c r="C14" s="94">
        <v>51</v>
      </c>
      <c r="D14" s="94">
        <v>18.520000457763672</v>
      </c>
      <c r="E14" s="97">
        <v>2.3420169353485107</v>
      </c>
      <c r="F14" s="97">
        <v>43.538864135742188</v>
      </c>
      <c r="G14" s="97">
        <v>4.7453227043151855</v>
      </c>
      <c r="H14" s="97">
        <f t="shared" si="0"/>
        <v>48.962561219930649</v>
      </c>
      <c r="I14" s="97">
        <v>0.41123500466346741</v>
      </c>
      <c r="J14" s="98">
        <f t="shared" si="1"/>
        <v>21.688716560941717</v>
      </c>
      <c r="K14" s="89">
        <f t="shared" si="2"/>
        <v>0.16728692395346506</v>
      </c>
      <c r="L14" s="89">
        <f t="shared" si="3"/>
        <v>3.6282386779785156</v>
      </c>
      <c r="M14" s="89">
        <f t="shared" si="4"/>
        <v>4.7453227043151855</v>
      </c>
      <c r="N14" s="89">
        <f t="shared" si="5"/>
        <v>3.0601600762456656</v>
      </c>
      <c r="O14" s="89">
        <f t="shared" si="6"/>
        <v>1.3078860365820963</v>
      </c>
      <c r="P14" s="89">
        <f t="shared" si="7"/>
        <v>0.84342854697493141</v>
      </c>
    </row>
    <row r="15" spans="1:17" x14ac:dyDescent="0.35">
      <c r="A15" s="90" t="s">
        <v>74</v>
      </c>
      <c r="B15" s="94" t="s">
        <v>72</v>
      </c>
      <c r="C15" s="91">
        <v>51</v>
      </c>
      <c r="D15" s="94">
        <v>19.690000534057617</v>
      </c>
      <c r="E15" s="97">
        <v>2.0715103149414063</v>
      </c>
      <c r="F15" s="97">
        <v>40.628578186035156</v>
      </c>
      <c r="G15" s="97">
        <v>4.5787992477416992</v>
      </c>
      <c r="H15" s="97">
        <f t="shared" si="0"/>
        <v>52.357379257678986</v>
      </c>
      <c r="I15" s="97">
        <v>0.36373299360275269</v>
      </c>
      <c r="J15" s="98">
        <f t="shared" si="1"/>
        <v>22.881859453858631</v>
      </c>
      <c r="K15" s="89">
        <f t="shared" si="2"/>
        <v>0.14796502249581472</v>
      </c>
      <c r="L15" s="89">
        <f t="shared" si="3"/>
        <v>3.3857148488362632</v>
      </c>
      <c r="M15" s="89">
        <f t="shared" si="4"/>
        <v>4.5787992477416992</v>
      </c>
      <c r="N15" s="89">
        <f t="shared" si="5"/>
        <v>3.2723362036049366</v>
      </c>
      <c r="O15" s="89">
        <f t="shared" si="6"/>
        <v>1.3523877385348984</v>
      </c>
      <c r="P15" s="89">
        <f t="shared" si="7"/>
        <v>0.96651264199928211</v>
      </c>
    </row>
    <row r="16" spans="1:17" x14ac:dyDescent="0.35">
      <c r="A16" s="90" t="s">
        <v>74</v>
      </c>
      <c r="B16" s="94" t="s">
        <v>72</v>
      </c>
      <c r="C16" s="91">
        <v>51</v>
      </c>
      <c r="D16" s="94">
        <v>21.879999160766602</v>
      </c>
      <c r="E16" s="97">
        <v>1.0321364402770996</v>
      </c>
      <c r="F16" s="97">
        <v>38.476898193359403</v>
      </c>
      <c r="G16" s="97">
        <v>4.0750489234924299</v>
      </c>
      <c r="H16" s="97">
        <f t="shared" si="0"/>
        <v>56.209940269589396</v>
      </c>
      <c r="I16" s="97">
        <v>0.20597617328166962</v>
      </c>
      <c r="J16" s="98">
        <f t="shared" si="1"/>
        <v>43.492035361979546</v>
      </c>
      <c r="K16" s="89">
        <f t="shared" si="2"/>
        <v>7.3724031448364258E-2</v>
      </c>
      <c r="L16" s="89">
        <f t="shared" si="3"/>
        <v>3.2064081827799504</v>
      </c>
      <c r="M16" s="89">
        <f t="shared" si="4"/>
        <v>4.0750489234924299</v>
      </c>
      <c r="N16" s="89">
        <f t="shared" si="5"/>
        <v>3.5131212668493372</v>
      </c>
      <c r="O16" s="89">
        <f t="shared" si="6"/>
        <v>1.2709077232828696</v>
      </c>
      <c r="P16" s="89">
        <f t="shared" si="7"/>
        <v>1.0956562816040056</v>
      </c>
    </row>
    <row r="17" spans="1:16" x14ac:dyDescent="0.35">
      <c r="A17" s="90" t="s">
        <v>74</v>
      </c>
      <c r="B17" s="94" t="s">
        <v>72</v>
      </c>
      <c r="C17" s="94">
        <v>61</v>
      </c>
      <c r="D17" s="94">
        <v>20.229999542236328</v>
      </c>
      <c r="E17" s="97">
        <v>1.9758462905883789</v>
      </c>
      <c r="F17" s="97">
        <v>38.192031860351563</v>
      </c>
      <c r="G17" s="97">
        <v>4.288482666015625</v>
      </c>
      <c r="H17" s="97">
        <f t="shared" si="0"/>
        <v>55.193069189786911</v>
      </c>
      <c r="I17" s="97">
        <v>0.35056999325752258</v>
      </c>
      <c r="J17" s="98">
        <f t="shared" si="1"/>
        <v>22.551030773995549</v>
      </c>
      <c r="K17" s="89">
        <f t="shared" si="2"/>
        <v>0.14113187789916992</v>
      </c>
      <c r="L17" s="89">
        <f t="shared" si="3"/>
        <v>3.1826693216959634</v>
      </c>
      <c r="M17" s="89">
        <f t="shared" si="4"/>
        <v>4.288482666015625</v>
      </c>
      <c r="N17" s="89">
        <f t="shared" si="5"/>
        <v>3.4495668243616819</v>
      </c>
      <c r="O17" s="89">
        <f t="shared" si="6"/>
        <v>1.3474483939570581</v>
      </c>
      <c r="P17" s="89">
        <f t="shared" si="7"/>
        <v>1.0838596397201252</v>
      </c>
    </row>
    <row r="18" spans="1:16" x14ac:dyDescent="0.35">
      <c r="A18" s="90" t="s">
        <v>74</v>
      </c>
      <c r="B18" s="94" t="s">
        <v>72</v>
      </c>
      <c r="C18" s="91">
        <v>61</v>
      </c>
      <c r="D18" s="94">
        <v>18.459999084472656</v>
      </c>
      <c r="E18" s="97">
        <v>2.0184445381164551</v>
      </c>
      <c r="F18" s="97">
        <v>38.963993072509766</v>
      </c>
      <c r="G18" s="97">
        <v>4.5933642387390137</v>
      </c>
      <c r="H18" s="97">
        <f t="shared" si="0"/>
        <v>54.070294946432114</v>
      </c>
      <c r="I18" s="97">
        <v>0.35390320420265198</v>
      </c>
      <c r="J18" s="98">
        <f t="shared" si="1"/>
        <v>22.521298484796585</v>
      </c>
      <c r="K18" s="89">
        <f t="shared" si="2"/>
        <v>0.14417460986546107</v>
      </c>
      <c r="L18" s="89">
        <f t="shared" si="3"/>
        <v>3.246999422709147</v>
      </c>
      <c r="M18" s="89">
        <f t="shared" si="4"/>
        <v>4.5933642387390137</v>
      </c>
      <c r="N18" s="89">
        <f t="shared" si="5"/>
        <v>3.3793934341520071</v>
      </c>
      <c r="O18" s="89">
        <f t="shared" si="6"/>
        <v>1.4146489237458877</v>
      </c>
      <c r="P18" s="89">
        <f t="shared" si="7"/>
        <v>1.040774263930234</v>
      </c>
    </row>
    <row r="19" spans="1:16" x14ac:dyDescent="0.35">
      <c r="A19" s="90" t="s">
        <v>74</v>
      </c>
      <c r="B19" s="94" t="s">
        <v>72</v>
      </c>
      <c r="C19" s="91">
        <v>61</v>
      </c>
      <c r="D19" s="94">
        <v>22.889999389648398</v>
      </c>
      <c r="E19" s="97">
        <v>1.9952482223510699</v>
      </c>
      <c r="F19" s="97">
        <v>39.011783599853501</v>
      </c>
      <c r="G19" s="97">
        <v>4.6631196607336403</v>
      </c>
      <c r="H19" s="97">
        <f t="shared" si="0"/>
        <v>54.011585618139826</v>
      </c>
      <c r="I19" s="97">
        <v>0.31826289892196702</v>
      </c>
      <c r="J19" s="98">
        <f t="shared" si="1"/>
        <v>22.811070333661043</v>
      </c>
      <c r="K19" s="89">
        <f t="shared" si="2"/>
        <v>0.14251773016793357</v>
      </c>
      <c r="L19" s="89">
        <f t="shared" si="3"/>
        <v>3.2509819666544586</v>
      </c>
      <c r="M19" s="89">
        <f t="shared" si="4"/>
        <v>4.6631196607336403</v>
      </c>
      <c r="N19" s="89">
        <f t="shared" si="5"/>
        <v>3.3757241011337391</v>
      </c>
      <c r="O19" s="89">
        <f t="shared" si="6"/>
        <v>1.434372662956477</v>
      </c>
      <c r="P19" s="89">
        <f t="shared" si="7"/>
        <v>1.0383706017931718</v>
      </c>
    </row>
    <row r="20" spans="1:16" x14ac:dyDescent="0.35">
      <c r="A20" s="90" t="s">
        <v>75</v>
      </c>
      <c r="B20" s="94" t="s">
        <v>72</v>
      </c>
      <c r="C20" s="94">
        <v>69</v>
      </c>
      <c r="D20" s="94">
        <v>19.639999389648438</v>
      </c>
      <c r="E20" s="97">
        <v>2.3060619831085205</v>
      </c>
      <c r="F20" s="97">
        <v>44.995506286621094</v>
      </c>
      <c r="G20" s="97">
        <v>4.8136134147644043</v>
      </c>
      <c r="H20" s="97">
        <f t="shared" si="0"/>
        <v>47.484582811594009</v>
      </c>
      <c r="I20" s="97">
        <v>0.40023550391197205</v>
      </c>
      <c r="J20" s="98">
        <f t="shared" si="1"/>
        <v>22.763810217984474</v>
      </c>
      <c r="K20" s="89">
        <f t="shared" si="2"/>
        <v>0.16471871307918004</v>
      </c>
      <c r="L20" s="89">
        <f t="shared" si="3"/>
        <v>3.7496255238850913</v>
      </c>
      <c r="M20" s="89">
        <f t="shared" si="4"/>
        <v>4.8136134147644043</v>
      </c>
      <c r="N20" s="89">
        <f t="shared" si="5"/>
        <v>2.9677864257246256</v>
      </c>
      <c r="O20" s="89">
        <f t="shared" si="6"/>
        <v>1.2837584404367095</v>
      </c>
      <c r="P20" s="89">
        <f t="shared" si="7"/>
        <v>0.7914887518286412</v>
      </c>
    </row>
    <row r="21" spans="1:16" x14ac:dyDescent="0.35">
      <c r="A21" s="90" t="s">
        <v>75</v>
      </c>
      <c r="B21" s="94" t="s">
        <v>72</v>
      </c>
      <c r="C21" s="91">
        <v>69</v>
      </c>
      <c r="D21" s="94">
        <v>21.25</v>
      </c>
      <c r="E21" s="97">
        <v>2.3176298141479492</v>
      </c>
      <c r="F21" s="97">
        <v>44.289409637451172</v>
      </c>
      <c r="G21" s="97">
        <v>4.7441949844360352</v>
      </c>
      <c r="H21" s="97">
        <f t="shared" si="0"/>
        <v>48.270633518695831</v>
      </c>
      <c r="I21" s="97">
        <v>0.37813204526901245</v>
      </c>
      <c r="J21" s="98">
        <f t="shared" si="1"/>
        <v>22.294750263797393</v>
      </c>
      <c r="K21" s="89">
        <f t="shared" si="2"/>
        <v>0.16554498672485352</v>
      </c>
      <c r="L21" s="89">
        <f t="shared" si="3"/>
        <v>3.6907841364542642</v>
      </c>
      <c r="M21" s="89">
        <f t="shared" si="4"/>
        <v>4.7441949844360352</v>
      </c>
      <c r="N21" s="89">
        <f t="shared" si="5"/>
        <v>3.0169145949184895</v>
      </c>
      <c r="O21" s="89">
        <f t="shared" si="6"/>
        <v>1.2854165426737156</v>
      </c>
      <c r="P21" s="89">
        <f t="shared" si="7"/>
        <v>0.81741832721131147</v>
      </c>
    </row>
    <row r="22" spans="1:16" x14ac:dyDescent="0.35">
      <c r="A22" s="90" t="s">
        <v>75</v>
      </c>
      <c r="B22" s="94" t="s">
        <v>72</v>
      </c>
      <c r="C22" s="91">
        <v>69</v>
      </c>
      <c r="D22" s="94">
        <v>20.339999237330499</v>
      </c>
      <c r="E22" s="97">
        <v>2.32040572166443</v>
      </c>
      <c r="F22" s="97">
        <v>44.426506042480497</v>
      </c>
      <c r="G22" s="97">
        <v>4.6596566026122996</v>
      </c>
      <c r="H22" s="97">
        <f t="shared" si="0"/>
        <v>48.276769321688818</v>
      </c>
      <c r="I22" s="97">
        <v>0.31666231155395508</v>
      </c>
      <c r="J22" s="98">
        <f t="shared" si="1"/>
        <v>22.337009098154116</v>
      </c>
      <c r="K22" s="89">
        <f t="shared" si="2"/>
        <v>0.16574326583317359</v>
      </c>
      <c r="L22" s="89">
        <f t="shared" si="3"/>
        <v>3.7022088368733748</v>
      </c>
      <c r="M22" s="89">
        <f t="shared" si="4"/>
        <v>4.6596566026122996</v>
      </c>
      <c r="N22" s="89">
        <f t="shared" si="5"/>
        <v>3.0172980826055511</v>
      </c>
      <c r="O22" s="89">
        <f t="shared" si="6"/>
        <v>1.2586152775075536</v>
      </c>
      <c r="P22" s="89">
        <f t="shared" si="7"/>
        <v>0.81499942751845111</v>
      </c>
    </row>
    <row r="23" spans="1:16" x14ac:dyDescent="0.35">
      <c r="A23" s="90" t="s">
        <v>75</v>
      </c>
      <c r="B23" s="94" t="s">
        <v>72</v>
      </c>
      <c r="C23" s="94">
        <v>144</v>
      </c>
      <c r="D23" s="94">
        <v>20.700000762939453</v>
      </c>
      <c r="E23" s="97">
        <v>2.1671514511108398</v>
      </c>
      <c r="F23" s="97">
        <v>42.784915924072266</v>
      </c>
      <c r="G23" s="97">
        <v>4.6154985427856445</v>
      </c>
      <c r="H23" s="97">
        <f t="shared" si="0"/>
        <v>50.061132431030273</v>
      </c>
      <c r="I23" s="97">
        <v>0.37130165100097656</v>
      </c>
      <c r="J23" s="98">
        <f t="shared" si="1"/>
        <v>23.032878121722934</v>
      </c>
      <c r="K23" s="89">
        <f t="shared" si="2"/>
        <v>0.15479653222220285</v>
      </c>
      <c r="L23" s="89">
        <f t="shared" si="3"/>
        <v>3.5654096603393555</v>
      </c>
      <c r="M23" s="89">
        <f t="shared" si="4"/>
        <v>4.6154985427856445</v>
      </c>
      <c r="N23" s="89">
        <f t="shared" si="5"/>
        <v>3.1288207769393921</v>
      </c>
      <c r="O23" s="89">
        <f t="shared" si="6"/>
        <v>1.29452124229291</v>
      </c>
      <c r="P23" s="89">
        <f t="shared" si="7"/>
        <v>0.8775487461492969</v>
      </c>
    </row>
    <row r="24" spans="1:16" x14ac:dyDescent="0.35">
      <c r="A24" s="90" t="s">
        <v>75</v>
      </c>
      <c r="B24" s="94" t="s">
        <v>72</v>
      </c>
      <c r="C24" s="91">
        <v>144</v>
      </c>
      <c r="D24" s="94">
        <v>18.620000839233398</v>
      </c>
      <c r="E24" s="97">
        <v>2.0011000633239746</v>
      </c>
      <c r="F24" s="97">
        <v>38.363834381103516</v>
      </c>
      <c r="G24" s="97">
        <v>4.4499959945678711</v>
      </c>
      <c r="H24" s="97">
        <f t="shared" si="0"/>
        <v>54.85672265291214</v>
      </c>
      <c r="I24" s="97">
        <v>0.32834690809249878</v>
      </c>
      <c r="J24" s="98">
        <f t="shared" si="1"/>
        <v>22.366601050228386</v>
      </c>
      <c r="K24" s="89">
        <f t="shared" si="2"/>
        <v>0.14293571880885533</v>
      </c>
      <c r="L24" s="89">
        <f t="shared" si="3"/>
        <v>3.196986198425293</v>
      </c>
      <c r="M24" s="89">
        <f t="shared" si="4"/>
        <v>4.4499959945678711</v>
      </c>
      <c r="N24" s="89">
        <f t="shared" si="5"/>
        <v>3.4285451658070087</v>
      </c>
      <c r="O24" s="89">
        <f t="shared" si="6"/>
        <v>1.3919346904781011</v>
      </c>
      <c r="P24" s="89">
        <f t="shared" si="7"/>
        <v>1.0724303931921171</v>
      </c>
    </row>
    <row r="25" spans="1:16" x14ac:dyDescent="0.35">
      <c r="A25" s="90" t="s">
        <v>75</v>
      </c>
      <c r="B25" s="94" t="s">
        <v>72</v>
      </c>
      <c r="C25" s="91">
        <v>144</v>
      </c>
      <c r="D25" s="94">
        <v>19.449999160766598</v>
      </c>
      <c r="E25" s="97">
        <v>2.1559022599533102</v>
      </c>
      <c r="F25" s="97">
        <v>40.552533874511703</v>
      </c>
      <c r="G25" s="97">
        <v>4.5500343325553896</v>
      </c>
      <c r="H25" s="97">
        <f t="shared" si="0"/>
        <v>52.400821307014098</v>
      </c>
      <c r="I25" s="97">
        <v>0.34070822596549988</v>
      </c>
      <c r="J25" s="98">
        <f t="shared" si="1"/>
        <v>21.945006691206984</v>
      </c>
      <c r="K25" s="89">
        <f t="shared" si="2"/>
        <v>0.15399301856809358</v>
      </c>
      <c r="L25" s="89">
        <f t="shared" si="3"/>
        <v>3.3793778228759752</v>
      </c>
      <c r="M25" s="89">
        <f t="shared" si="4"/>
        <v>4.5500343325553896</v>
      </c>
      <c r="N25" s="89">
        <f t="shared" si="5"/>
        <v>3.2750513316883811</v>
      </c>
      <c r="O25" s="89">
        <f t="shared" si="6"/>
        <v>1.3464118459187682</v>
      </c>
      <c r="P25" s="89">
        <f t="shared" si="7"/>
        <v>0.96912849149882618</v>
      </c>
    </row>
    <row r="26" spans="1:16" x14ac:dyDescent="0.35">
      <c r="A26" s="90" t="s">
        <v>75</v>
      </c>
      <c r="B26" s="94" t="s">
        <v>72</v>
      </c>
      <c r="C26" s="94">
        <v>149</v>
      </c>
      <c r="D26" s="94">
        <v>22.889999389648438</v>
      </c>
      <c r="E26" s="97">
        <v>2.1159005165100098</v>
      </c>
      <c r="F26" s="97">
        <v>38.443618774414063</v>
      </c>
      <c r="G26" s="97">
        <v>4.2611899375915527</v>
      </c>
      <c r="H26" s="97">
        <f t="shared" si="0"/>
        <v>54.497052133083344</v>
      </c>
      <c r="I26" s="97">
        <v>0.68223863840103149</v>
      </c>
      <c r="J26" s="98">
        <f t="shared" si="1"/>
        <v>21.19706868077489</v>
      </c>
      <c r="K26" s="89">
        <f t="shared" si="2"/>
        <v>0.1511357511792864</v>
      </c>
      <c r="L26" s="89">
        <f t="shared" si="3"/>
        <v>3.2036348978678384</v>
      </c>
      <c r="M26" s="89">
        <f t="shared" si="4"/>
        <v>4.2611899375915527</v>
      </c>
      <c r="N26" s="89">
        <f t="shared" si="5"/>
        <v>3.406065758317709</v>
      </c>
      <c r="O26" s="89">
        <f t="shared" si="6"/>
        <v>1.330110975013902</v>
      </c>
      <c r="P26" s="89">
        <f t="shared" si="7"/>
        <v>1.0631878684380038</v>
      </c>
    </row>
    <row r="27" spans="1:16" x14ac:dyDescent="0.35">
      <c r="A27" s="90" t="s">
        <v>75</v>
      </c>
      <c r="B27" s="94" t="s">
        <v>72</v>
      </c>
      <c r="C27" s="91">
        <v>149</v>
      </c>
      <c r="D27" s="94">
        <v>18.989999771118164</v>
      </c>
      <c r="E27" s="97">
        <v>1.9931702613830566</v>
      </c>
      <c r="F27" s="97">
        <v>38.9031372070312</v>
      </c>
      <c r="G27" s="97">
        <v>4.3498568534851074</v>
      </c>
      <c r="H27" s="97">
        <f t="shared" si="0"/>
        <v>54.299427062273075</v>
      </c>
      <c r="I27" s="97">
        <v>0.45440861582756042</v>
      </c>
      <c r="J27" s="98">
        <f t="shared" si="1"/>
        <v>22.77125757270186</v>
      </c>
      <c r="K27" s="89">
        <f t="shared" si="2"/>
        <v>0.14236930438450404</v>
      </c>
      <c r="L27" s="89">
        <f t="shared" si="3"/>
        <v>3.2419281005859335</v>
      </c>
      <c r="M27" s="89">
        <f t="shared" si="4"/>
        <v>4.3498568534851074</v>
      </c>
      <c r="N27" s="89">
        <f t="shared" si="5"/>
        <v>3.3937141913920672</v>
      </c>
      <c r="O27" s="89">
        <f t="shared" si="6"/>
        <v>1.3417499458729301</v>
      </c>
      <c r="P27" s="89">
        <f t="shared" si="7"/>
        <v>1.0468196968275454</v>
      </c>
    </row>
    <row r="28" spans="1:16" x14ac:dyDescent="0.35">
      <c r="A28" s="90" t="s">
        <v>75</v>
      </c>
      <c r="B28" s="94" t="s">
        <v>72</v>
      </c>
      <c r="C28" s="91">
        <v>149</v>
      </c>
      <c r="D28" s="94">
        <v>20.550000762939501</v>
      </c>
      <c r="E28" s="97">
        <v>2.2591097831726099</v>
      </c>
      <c r="F28" s="97">
        <v>38.695182800292997</v>
      </c>
      <c r="G28" s="97">
        <v>4.2566626167297397</v>
      </c>
      <c r="H28" s="97">
        <f t="shared" si="0"/>
        <v>54.438829543590515</v>
      </c>
      <c r="I28" s="97">
        <v>0.35021525621414185</v>
      </c>
      <c r="J28" s="98">
        <f t="shared" si="1"/>
        <v>19.98326078260618</v>
      </c>
      <c r="K28" s="89">
        <f t="shared" si="2"/>
        <v>0.16136498451232928</v>
      </c>
      <c r="L28" s="89">
        <f t="shared" si="3"/>
        <v>3.2245985666910832</v>
      </c>
      <c r="M28" s="89">
        <f t="shared" si="4"/>
        <v>4.2566626167297397</v>
      </c>
      <c r="N28" s="89">
        <f t="shared" si="5"/>
        <v>3.4024268464744072</v>
      </c>
      <c r="O28" s="89">
        <f t="shared" si="6"/>
        <v>1.3200597000505732</v>
      </c>
      <c r="P28" s="89">
        <f t="shared" si="7"/>
        <v>1.0551474163699708</v>
      </c>
    </row>
    <row r="29" spans="1:16" x14ac:dyDescent="0.35">
      <c r="A29" s="90" t="s">
        <v>76</v>
      </c>
      <c r="B29" s="94" t="s">
        <v>72</v>
      </c>
      <c r="C29" s="94">
        <v>96</v>
      </c>
      <c r="D29" s="94">
        <v>19.729999542236328</v>
      </c>
      <c r="E29" s="97">
        <v>2.1483702659606934</v>
      </c>
      <c r="F29" s="97">
        <v>38.562351226806641</v>
      </c>
      <c r="G29" s="97">
        <v>4.641693115234375</v>
      </c>
      <c r="H29" s="97">
        <f t="shared" si="0"/>
        <v>54.187200725078583</v>
      </c>
      <c r="I29" s="97">
        <v>0.46038466691970825</v>
      </c>
      <c r="J29" s="98">
        <f t="shared" si="1"/>
        <v>20.941180613710316</v>
      </c>
      <c r="K29" s="89">
        <f t="shared" si="2"/>
        <v>0.15345501899719238</v>
      </c>
      <c r="L29" s="89">
        <f t="shared" si="3"/>
        <v>3.2135292689005532</v>
      </c>
      <c r="M29" s="89">
        <f t="shared" si="4"/>
        <v>4.641693115234375</v>
      </c>
      <c r="N29" s="89">
        <f t="shared" si="5"/>
        <v>3.3867000453174114</v>
      </c>
      <c r="O29" s="89">
        <f t="shared" si="6"/>
        <v>1.4444222307713539</v>
      </c>
      <c r="P29" s="89">
        <f t="shared" si="7"/>
        <v>1.0538880345957158</v>
      </c>
    </row>
    <row r="30" spans="1:16" x14ac:dyDescent="0.35">
      <c r="A30" s="90" t="s">
        <v>76</v>
      </c>
      <c r="B30" s="94" t="s">
        <v>72</v>
      </c>
      <c r="C30" s="91">
        <v>96</v>
      </c>
      <c r="D30" s="94">
        <v>20.399999618530273</v>
      </c>
      <c r="E30" s="97">
        <v>2.1617686748504639</v>
      </c>
      <c r="F30" s="97">
        <v>39.636760711669922</v>
      </c>
      <c r="G30" s="97">
        <v>4.2579760551452637</v>
      </c>
      <c r="H30" s="97">
        <f t="shared" si="0"/>
        <v>53.565019994974136</v>
      </c>
      <c r="I30" s="97">
        <v>0.37847456336021423</v>
      </c>
      <c r="J30" s="98">
        <f t="shared" si="1"/>
        <v>21.391228411683318</v>
      </c>
      <c r="K30" s="89">
        <f t="shared" si="2"/>
        <v>0.15441204820360457</v>
      </c>
      <c r="L30" s="89">
        <f t="shared" si="3"/>
        <v>3.3030633926391602</v>
      </c>
      <c r="M30" s="89">
        <f t="shared" si="4"/>
        <v>4.2579760551452637</v>
      </c>
      <c r="N30" s="89">
        <f t="shared" si="5"/>
        <v>3.3478137496858835</v>
      </c>
      <c r="O30" s="89">
        <f t="shared" si="6"/>
        <v>1.2890991025585872</v>
      </c>
      <c r="P30" s="89">
        <f t="shared" si="7"/>
        <v>1.0135481375096975</v>
      </c>
    </row>
    <row r="31" spans="1:16" x14ac:dyDescent="0.35">
      <c r="A31" s="90" t="s">
        <v>76</v>
      </c>
      <c r="B31" s="94" t="s">
        <v>72</v>
      </c>
      <c r="C31" s="91">
        <v>96</v>
      </c>
      <c r="D31" s="94">
        <v>17.220000422263698</v>
      </c>
      <c r="E31" s="97">
        <v>2.1514320373535156</v>
      </c>
      <c r="F31" s="97">
        <v>38.069011688232401</v>
      </c>
      <c r="G31" s="97">
        <v>4.5041622161865202</v>
      </c>
      <c r="H31" s="97">
        <f t="shared" si="0"/>
        <v>54.858633434772514</v>
      </c>
      <c r="I31" s="97">
        <v>0.416760623455048</v>
      </c>
      <c r="J31" s="98">
        <f t="shared" si="1"/>
        <v>20.643853116660893</v>
      </c>
      <c r="K31" s="89">
        <f t="shared" si="2"/>
        <v>0.15367371695382254</v>
      </c>
      <c r="L31" s="89">
        <f t="shared" si="3"/>
        <v>3.1724176406860334</v>
      </c>
      <c r="M31" s="89">
        <f t="shared" si="4"/>
        <v>4.5041622161865202</v>
      </c>
      <c r="N31" s="89">
        <f t="shared" si="5"/>
        <v>3.4286645896732821</v>
      </c>
      <c r="O31" s="89">
        <f t="shared" si="6"/>
        <v>1.4197885418429643</v>
      </c>
      <c r="P31" s="89">
        <f t="shared" si="7"/>
        <v>1.0807733968254682</v>
      </c>
    </row>
    <row r="32" spans="1:16" x14ac:dyDescent="0.35">
      <c r="A32" s="90" t="s">
        <v>76</v>
      </c>
      <c r="B32" s="94" t="s">
        <v>72</v>
      </c>
      <c r="C32" s="94">
        <v>97</v>
      </c>
      <c r="D32" s="94">
        <v>18.850000381469727</v>
      </c>
      <c r="E32" s="97">
        <v>3.5502079874277115E-2</v>
      </c>
      <c r="F32" s="97">
        <v>0.10131163895130157</v>
      </c>
      <c r="G32" s="97">
        <v>3.2049241065979004</v>
      </c>
      <c r="H32" s="97">
        <f t="shared" si="0"/>
        <v>96.548913072794676</v>
      </c>
      <c r="I32" s="97">
        <v>0.10934910178184509</v>
      </c>
      <c r="J32" s="98">
        <f t="shared" si="1"/>
        <v>3.3292954251812983</v>
      </c>
      <c r="K32" s="89">
        <f t="shared" si="2"/>
        <v>2.5358628481626511E-3</v>
      </c>
      <c r="L32" s="89">
        <f t="shared" si="3"/>
        <v>8.4426365792751312E-3</v>
      </c>
      <c r="M32" s="89">
        <f t="shared" si="4"/>
        <v>3.2049241065979004</v>
      </c>
      <c r="N32" s="89">
        <f t="shared" si="5"/>
        <v>6.0343070670496672</v>
      </c>
      <c r="O32" s="89">
        <f t="shared" si="6"/>
        <v>379.61175712162054</v>
      </c>
      <c r="P32" s="89">
        <f t="shared" si="7"/>
        <v>714.74201339692888</v>
      </c>
    </row>
    <row r="33" spans="1:16" x14ac:dyDescent="0.35">
      <c r="A33" s="90" t="s">
        <v>76</v>
      </c>
      <c r="B33" s="94" t="s">
        <v>72</v>
      </c>
      <c r="C33" s="91">
        <v>97</v>
      </c>
      <c r="D33" s="94">
        <v>36</v>
      </c>
      <c r="E33" s="97">
        <v>2.0952482223510742</v>
      </c>
      <c r="F33" s="97">
        <v>40.011783599853516</v>
      </c>
      <c r="G33" s="97">
        <v>3.7631192207336426</v>
      </c>
      <c r="H33" s="97">
        <f t="shared" si="0"/>
        <v>53.711586058139801</v>
      </c>
      <c r="I33" s="97">
        <v>0.41826289892196655</v>
      </c>
      <c r="J33" s="98">
        <f t="shared" si="1"/>
        <v>22.279180911295128</v>
      </c>
      <c r="K33" s="89">
        <f t="shared" si="2"/>
        <v>0.14966058731079102</v>
      </c>
      <c r="L33" s="89">
        <f t="shared" si="3"/>
        <v>3.334315299987793</v>
      </c>
      <c r="M33" s="89">
        <f t="shared" si="4"/>
        <v>3.7631192207336426</v>
      </c>
      <c r="N33" s="89">
        <f t="shared" si="5"/>
        <v>3.3569741286337376</v>
      </c>
      <c r="O33" s="89">
        <f t="shared" si="6"/>
        <v>1.1286032909807358</v>
      </c>
      <c r="P33" s="89">
        <f t="shared" si="7"/>
        <v>1.0067956466642574</v>
      </c>
    </row>
    <row r="34" spans="1:16" x14ac:dyDescent="0.35">
      <c r="A34" s="90" t="s">
        <v>76</v>
      </c>
      <c r="B34" s="94" t="s">
        <v>72</v>
      </c>
      <c r="C34" s="91">
        <v>97</v>
      </c>
      <c r="D34" s="94">
        <v>24.069999694824219</v>
      </c>
      <c r="E34" s="97">
        <v>1.9853109121322632</v>
      </c>
      <c r="F34" s="97">
        <v>39.043758392333984</v>
      </c>
      <c r="G34" s="97">
        <v>4.0882930755615234</v>
      </c>
      <c r="H34" s="97">
        <f t="shared" si="0"/>
        <v>54.544452548027039</v>
      </c>
      <c r="I34" s="97">
        <v>0.33818507194519043</v>
      </c>
      <c r="J34" s="98">
        <f t="shared" si="1"/>
        <v>22.944039233028871</v>
      </c>
      <c r="K34" s="89">
        <f t="shared" si="2"/>
        <v>0.14180792229516165</v>
      </c>
      <c r="L34" s="89">
        <f t="shared" si="3"/>
        <v>3.2536465326944985</v>
      </c>
      <c r="M34" s="89">
        <f t="shared" si="4"/>
        <v>4.0882930755615234</v>
      </c>
      <c r="N34" s="89">
        <f t="shared" si="5"/>
        <v>3.4090282842516899</v>
      </c>
      <c r="O34" s="89">
        <f t="shared" si="6"/>
        <v>1.2565264955735111</v>
      </c>
      <c r="P34" s="89">
        <f t="shared" si="7"/>
        <v>1.047756186787909</v>
      </c>
    </row>
    <row r="35" spans="1:16" x14ac:dyDescent="0.35">
      <c r="A35" s="90" t="s">
        <v>76</v>
      </c>
      <c r="B35" s="94" t="s">
        <v>72</v>
      </c>
      <c r="C35" s="94">
        <v>154</v>
      </c>
      <c r="D35" s="94">
        <v>19.170000076293945</v>
      </c>
      <c r="E35" s="97">
        <v>1.9762299060821533</v>
      </c>
      <c r="F35" s="97">
        <v>38.914039611816406</v>
      </c>
      <c r="G35" s="97">
        <v>4.6316142082214355</v>
      </c>
      <c r="H35" s="97">
        <f t="shared" si="0"/>
        <v>54.08629235625267</v>
      </c>
      <c r="I35" s="97">
        <v>0.39182391762733459</v>
      </c>
      <c r="J35" s="98">
        <f t="shared" si="1"/>
        <v>22.972890320467187</v>
      </c>
      <c r="K35" s="89">
        <f t="shared" si="2"/>
        <v>0.14115927900586808</v>
      </c>
      <c r="L35" s="89">
        <f t="shared" si="3"/>
        <v>3.2428366343180337</v>
      </c>
      <c r="M35" s="89">
        <f t="shared" si="4"/>
        <v>4.6316142082214355</v>
      </c>
      <c r="N35" s="89">
        <f t="shared" si="5"/>
        <v>3.3803932722657919</v>
      </c>
      <c r="O35" s="89">
        <f t="shared" si="6"/>
        <v>1.4282601100549923</v>
      </c>
      <c r="P35" s="89">
        <f t="shared" si="7"/>
        <v>1.0424186147683281</v>
      </c>
    </row>
    <row r="36" spans="1:16" x14ac:dyDescent="0.35">
      <c r="A36" s="90" t="s">
        <v>76</v>
      </c>
      <c r="B36" s="94" t="s">
        <v>72</v>
      </c>
      <c r="C36" s="91">
        <v>154</v>
      </c>
      <c r="D36" s="94">
        <v>24.100000381469727</v>
      </c>
      <c r="E36" s="97">
        <v>1.5785529613494873</v>
      </c>
      <c r="F36" s="97">
        <v>37.824573516845703</v>
      </c>
      <c r="G36" s="97">
        <v>3.5380384922027588</v>
      </c>
      <c r="H36" s="97">
        <f t="shared" si="0"/>
        <v>56.754412472248077</v>
      </c>
      <c r="I36" s="97">
        <v>0.30442255735397339</v>
      </c>
      <c r="J36" s="98">
        <f t="shared" si="1"/>
        <v>27.95514004500777</v>
      </c>
      <c r="K36" s="89">
        <f t="shared" si="2"/>
        <v>0.1127537829535348</v>
      </c>
      <c r="L36" s="89">
        <f t="shared" si="3"/>
        <v>3.1520477930704751</v>
      </c>
      <c r="M36" s="89">
        <f t="shared" si="4"/>
        <v>3.5380384922027588</v>
      </c>
      <c r="N36" s="89">
        <f t="shared" si="5"/>
        <v>3.5471507795155048</v>
      </c>
      <c r="O36" s="89">
        <f t="shared" si="6"/>
        <v>1.122457121361184</v>
      </c>
      <c r="P36" s="89">
        <f t="shared" si="7"/>
        <v>1.1253480316236422</v>
      </c>
    </row>
    <row r="37" spans="1:16" x14ac:dyDescent="0.35">
      <c r="A37" s="90" t="s">
        <v>76</v>
      </c>
      <c r="B37" s="94" t="s">
        <v>72</v>
      </c>
      <c r="C37" s="91">
        <v>154</v>
      </c>
      <c r="D37" s="94">
        <v>20.889999618830299</v>
      </c>
      <c r="E37" s="97">
        <v>2.0617686748504598</v>
      </c>
      <c r="F37" s="97">
        <v>39.036760711669899</v>
      </c>
      <c r="G37" s="97">
        <v>4.2679760551452599</v>
      </c>
      <c r="H37" s="97">
        <f t="shared" si="0"/>
        <v>54.25501999497417</v>
      </c>
      <c r="I37" s="97">
        <v>0.37847456336021423</v>
      </c>
      <c r="J37" s="98">
        <f t="shared" si="1"/>
        <v>22.089232440322842</v>
      </c>
      <c r="K37" s="89">
        <f t="shared" si="2"/>
        <v>0.14726919106074712</v>
      </c>
      <c r="L37" s="89">
        <f t="shared" si="3"/>
        <v>3.2530633926391581</v>
      </c>
      <c r="M37" s="89">
        <f t="shared" si="4"/>
        <v>4.2679760551452599</v>
      </c>
      <c r="N37" s="89">
        <f t="shared" si="5"/>
        <v>3.3909387496858856</v>
      </c>
      <c r="O37" s="89">
        <f t="shared" si="6"/>
        <v>1.3119867460322436</v>
      </c>
      <c r="P37" s="89">
        <f t="shared" si="7"/>
        <v>1.0423832370923678</v>
      </c>
    </row>
    <row r="38" spans="1:16" x14ac:dyDescent="0.35">
      <c r="A38" s="90" t="s">
        <v>77</v>
      </c>
      <c r="B38" s="94" t="s">
        <v>72</v>
      </c>
      <c r="C38" s="94">
        <v>281</v>
      </c>
      <c r="D38" s="94">
        <v>21.600000381469727</v>
      </c>
      <c r="E38" s="97">
        <v>2.3231353759765625</v>
      </c>
      <c r="F38" s="97">
        <v>44.261714935302734</v>
      </c>
      <c r="G38" s="97">
        <v>4.7785706520080566</v>
      </c>
      <c r="H38" s="97">
        <f t="shared" si="0"/>
        <v>48.198260247707367</v>
      </c>
      <c r="I38" s="97">
        <v>0.43831878900527954</v>
      </c>
      <c r="J38" s="98">
        <f t="shared" si="1"/>
        <v>22.228006150013027</v>
      </c>
      <c r="K38" s="89">
        <f t="shared" si="2"/>
        <v>0.16593824114118302</v>
      </c>
      <c r="L38" s="89">
        <f t="shared" si="3"/>
        <v>3.688476244608561</v>
      </c>
      <c r="M38" s="89">
        <f t="shared" si="4"/>
        <v>4.7785706520080566</v>
      </c>
      <c r="N38" s="89">
        <f t="shared" si="5"/>
        <v>3.0123912654817104</v>
      </c>
      <c r="O38" s="89">
        <f t="shared" si="6"/>
        <v>1.2955405796615567</v>
      </c>
      <c r="P38" s="89">
        <f t="shared" si="7"/>
        <v>0.81670344763231628</v>
      </c>
    </row>
    <row r="39" spans="1:16" x14ac:dyDescent="0.35">
      <c r="A39" s="90" t="s">
        <v>77</v>
      </c>
      <c r="B39" s="94" t="s">
        <v>72</v>
      </c>
      <c r="C39" s="91">
        <v>281</v>
      </c>
      <c r="D39" s="94">
        <v>20.370000839233398</v>
      </c>
      <c r="E39" s="97">
        <v>2.3275465965270996</v>
      </c>
      <c r="F39" s="97">
        <v>45.234817504882813</v>
      </c>
      <c r="G39" s="97">
        <v>5.0139355659484863</v>
      </c>
      <c r="H39" s="97">
        <f t="shared" si="0"/>
        <v>46.988070875406265</v>
      </c>
      <c r="I39" s="97">
        <v>0.4356294572353363</v>
      </c>
      <c r="J39" s="98">
        <f t="shared" si="1"/>
        <v>22.673640061358988</v>
      </c>
      <c r="K39" s="89">
        <f t="shared" si="2"/>
        <v>0.16625332832336426</v>
      </c>
      <c r="L39" s="89">
        <f t="shared" si="3"/>
        <v>3.7695681254069009</v>
      </c>
      <c r="M39" s="89">
        <f t="shared" si="4"/>
        <v>5.0139355659484863</v>
      </c>
      <c r="N39" s="89">
        <f t="shared" si="5"/>
        <v>2.9367544297128916</v>
      </c>
      <c r="O39" s="89">
        <f t="shared" si="6"/>
        <v>1.3301087549405315</v>
      </c>
      <c r="P39" s="89">
        <f t="shared" si="7"/>
        <v>0.77906920156692683</v>
      </c>
    </row>
    <row r="40" spans="1:16" x14ac:dyDescent="0.35">
      <c r="A40" s="90" t="s">
        <v>77</v>
      </c>
      <c r="B40" s="94" t="s">
        <v>72</v>
      </c>
      <c r="C40" s="91">
        <v>281</v>
      </c>
      <c r="D40" s="94">
        <v>19.810000419616699</v>
      </c>
      <c r="E40" s="97">
        <v>2.28576552227889</v>
      </c>
      <c r="F40" s="97">
        <v>43.031425476074197</v>
      </c>
      <c r="G40" s="97">
        <v>4.6402966499328597</v>
      </c>
      <c r="H40" s="97">
        <f t="shared" si="0"/>
        <v>49.71325998946277</v>
      </c>
      <c r="I40" s="97">
        <v>0.32925236225128174</v>
      </c>
      <c r="J40" s="98">
        <f t="shared" si="1"/>
        <v>21.963464420459996</v>
      </c>
      <c r="K40" s="89">
        <f t="shared" si="2"/>
        <v>0.16326896587706358</v>
      </c>
      <c r="L40" s="89">
        <f t="shared" si="3"/>
        <v>3.5859521230061833</v>
      </c>
      <c r="M40" s="89">
        <f t="shared" si="4"/>
        <v>4.6402966499328597</v>
      </c>
      <c r="N40" s="89">
        <f t="shared" si="5"/>
        <v>3.1070787493414231</v>
      </c>
      <c r="O40" s="89">
        <f t="shared" si="6"/>
        <v>1.2940208041714722</v>
      </c>
      <c r="P40" s="89">
        <f t="shared" si="7"/>
        <v>0.866458514436799</v>
      </c>
    </row>
    <row r="41" spans="1:16" x14ac:dyDescent="0.35">
      <c r="A41" s="90" t="s">
        <v>77</v>
      </c>
      <c r="B41" s="94" t="s">
        <v>72</v>
      </c>
      <c r="C41" s="94">
        <v>283</v>
      </c>
      <c r="D41" s="94">
        <v>23.200000762939453</v>
      </c>
      <c r="E41" s="97">
        <v>2.0221142768859863</v>
      </c>
      <c r="F41" s="97">
        <v>39.249050140380859</v>
      </c>
      <c r="G41" s="97">
        <v>4.290931224822998</v>
      </c>
      <c r="H41" s="97">
        <f t="shared" si="0"/>
        <v>54.073484569787979</v>
      </c>
      <c r="I41" s="97">
        <v>0.36441978812217712</v>
      </c>
      <c r="J41" s="98">
        <f t="shared" si="1"/>
        <v>22.644891547686168</v>
      </c>
      <c r="K41" s="89">
        <f t="shared" si="2"/>
        <v>0.14443673406328475</v>
      </c>
      <c r="L41" s="89">
        <f t="shared" si="3"/>
        <v>3.2707541783650718</v>
      </c>
      <c r="M41" s="89">
        <f t="shared" si="4"/>
        <v>4.290931224822998</v>
      </c>
      <c r="N41" s="89">
        <f t="shared" si="5"/>
        <v>3.3795927856117487</v>
      </c>
      <c r="O41" s="89">
        <f t="shared" si="6"/>
        <v>1.3119088108810044</v>
      </c>
      <c r="P41" s="89">
        <f t="shared" si="7"/>
        <v>1.0332763030516348</v>
      </c>
    </row>
    <row r="42" spans="1:16" x14ac:dyDescent="0.35">
      <c r="A42" s="90" t="s">
        <v>77</v>
      </c>
      <c r="B42" s="94" t="s">
        <v>72</v>
      </c>
      <c r="C42" s="91">
        <v>283</v>
      </c>
      <c r="D42" s="94">
        <v>19.559999465942383</v>
      </c>
      <c r="E42" s="97">
        <v>2.1554446220397949</v>
      </c>
      <c r="F42" s="97">
        <v>41.879032135009766</v>
      </c>
      <c r="G42" s="97">
        <v>4.6253576278686523</v>
      </c>
      <c r="H42" s="97">
        <f t="shared" si="0"/>
        <v>50.96329852938652</v>
      </c>
      <c r="I42" s="97">
        <v>0.37686708569526672</v>
      </c>
      <c r="J42" s="98">
        <f t="shared" si="1"/>
        <v>22.667653032969458</v>
      </c>
      <c r="K42" s="89">
        <f t="shared" si="2"/>
        <v>0.15396033014569963</v>
      </c>
      <c r="L42" s="89">
        <f t="shared" si="3"/>
        <v>3.489919344584147</v>
      </c>
      <c r="M42" s="89">
        <f t="shared" si="4"/>
        <v>4.6253576278686523</v>
      </c>
      <c r="N42" s="89">
        <f t="shared" si="5"/>
        <v>3.1852061580866575</v>
      </c>
      <c r="O42" s="89">
        <f t="shared" si="6"/>
        <v>1.3253480012500982</v>
      </c>
      <c r="P42" s="89">
        <f t="shared" si="7"/>
        <v>0.91268761354890326</v>
      </c>
    </row>
    <row r="43" spans="1:16" x14ac:dyDescent="0.35">
      <c r="A43" s="90" t="s">
        <v>77</v>
      </c>
      <c r="B43" s="94" t="s">
        <v>72</v>
      </c>
      <c r="C43" s="91">
        <v>283</v>
      </c>
      <c r="D43" s="94">
        <v>22.840000152587901</v>
      </c>
      <c r="E43" s="97">
        <v>2.7289903163909899</v>
      </c>
      <c r="F43" s="97">
        <v>39.215141296386697</v>
      </c>
      <c r="G43" s="97">
        <v>4.65360074043274</v>
      </c>
      <c r="H43" s="97">
        <f t="shared" si="0"/>
        <v>53.085539203882234</v>
      </c>
      <c r="I43" s="97">
        <v>0.31672844290733337</v>
      </c>
      <c r="J43" s="98">
        <f t="shared" si="1"/>
        <v>16.764807813470799</v>
      </c>
      <c r="K43" s="89">
        <f t="shared" si="2"/>
        <v>0.19492787974221357</v>
      </c>
      <c r="L43" s="89">
        <f t="shared" si="3"/>
        <v>3.2679284413655583</v>
      </c>
      <c r="M43" s="89">
        <f t="shared" si="4"/>
        <v>4.65360074043274</v>
      </c>
      <c r="N43" s="89">
        <f t="shared" si="5"/>
        <v>3.3178462002426397</v>
      </c>
      <c r="O43" s="89">
        <f t="shared" si="6"/>
        <v>1.4240216161184225</v>
      </c>
      <c r="P43" s="89">
        <f t="shared" si="7"/>
        <v>1.0152750464928242</v>
      </c>
    </row>
    <row r="44" spans="1:16" x14ac:dyDescent="0.35">
      <c r="A44" s="90" t="s">
        <v>77</v>
      </c>
      <c r="B44" s="94" t="s">
        <v>72</v>
      </c>
      <c r="C44" s="94">
        <v>284</v>
      </c>
      <c r="D44" s="94">
        <v>23.120000839233398</v>
      </c>
      <c r="E44" s="97">
        <v>1.35910978317261</v>
      </c>
      <c r="F44" s="97">
        <v>36.570980072021484</v>
      </c>
      <c r="G44" s="97">
        <v>3.2140429019927979</v>
      </c>
      <c r="H44" s="97">
        <f t="shared" si="0"/>
        <v>58.606539463996882</v>
      </c>
      <c r="I44" s="97">
        <v>0.24932777881622314</v>
      </c>
      <c r="J44" s="98">
        <f t="shared" si="1"/>
        <v>31.39271304321095</v>
      </c>
      <c r="K44" s="89">
        <f t="shared" si="2"/>
        <v>9.7079270226615E-2</v>
      </c>
      <c r="L44" s="89">
        <f t="shared" si="3"/>
        <v>3.047581672668457</v>
      </c>
      <c r="M44" s="89">
        <f t="shared" si="4"/>
        <v>3.2140429019927979</v>
      </c>
      <c r="N44" s="89">
        <f t="shared" si="5"/>
        <v>3.6629087164998051</v>
      </c>
      <c r="O44" s="89">
        <f t="shared" si="6"/>
        <v>1.0546207607222509</v>
      </c>
      <c r="P44" s="89">
        <f t="shared" si="7"/>
        <v>1.2019066623709445</v>
      </c>
    </row>
    <row r="45" spans="1:16" x14ac:dyDescent="0.35">
      <c r="A45" s="90" t="s">
        <v>77</v>
      </c>
      <c r="B45" s="94" t="s">
        <v>72</v>
      </c>
      <c r="C45" s="91">
        <v>284</v>
      </c>
      <c r="D45" s="94">
        <v>18.600000381469727</v>
      </c>
      <c r="E45" s="97">
        <v>1.2937054634094238</v>
      </c>
      <c r="F45" s="97">
        <v>35.669639587402344</v>
      </c>
      <c r="G45" s="97">
        <v>4.2744808197021484</v>
      </c>
      <c r="H45" s="97">
        <f t="shared" si="0"/>
        <v>58.414691299200058</v>
      </c>
      <c r="I45" s="97">
        <v>0.347482830286026</v>
      </c>
      <c r="J45" s="98">
        <f t="shared" si="1"/>
        <v>32.166965894203805</v>
      </c>
      <c r="K45" s="89">
        <f t="shared" si="2"/>
        <v>9.2407533100673137E-2</v>
      </c>
      <c r="L45" s="89">
        <f t="shared" si="3"/>
        <v>2.9724699656168618</v>
      </c>
      <c r="M45" s="89">
        <f t="shared" si="4"/>
        <v>4.2744808197021484</v>
      </c>
      <c r="N45" s="89">
        <f t="shared" si="5"/>
        <v>3.6509182062000036</v>
      </c>
      <c r="O45" s="89">
        <f t="shared" si="6"/>
        <v>1.4380232160949982</v>
      </c>
      <c r="P45" s="89">
        <f t="shared" si="7"/>
        <v>1.2282439346506053</v>
      </c>
    </row>
    <row r="46" spans="1:16" x14ac:dyDescent="0.35">
      <c r="A46" s="90" t="s">
        <v>77</v>
      </c>
      <c r="B46" s="94" t="s">
        <v>72</v>
      </c>
      <c r="C46" s="91">
        <v>284</v>
      </c>
      <c r="D46" s="94">
        <v>20.550000765539501</v>
      </c>
      <c r="E46" s="97">
        <v>1.8678723573684692</v>
      </c>
      <c r="F46" s="97">
        <v>36.695182800292997</v>
      </c>
      <c r="G46" s="97">
        <v>4.0466626167297397</v>
      </c>
      <c r="H46" s="97">
        <f t="shared" si="0"/>
        <v>57.040066969394651</v>
      </c>
      <c r="I46" s="97">
        <v>0.35021525621414185</v>
      </c>
      <c r="J46" s="98">
        <f t="shared" si="1"/>
        <v>22.919685294050652</v>
      </c>
      <c r="K46" s="89">
        <f t="shared" si="2"/>
        <v>0.1334194540977478</v>
      </c>
      <c r="L46" s="89">
        <f t="shared" si="3"/>
        <v>3.0579319000244163</v>
      </c>
      <c r="M46" s="89">
        <f t="shared" si="4"/>
        <v>4.0466626167297397</v>
      </c>
      <c r="N46" s="89">
        <f t="shared" si="5"/>
        <v>3.5650041855871657</v>
      </c>
      <c r="O46" s="89">
        <f t="shared" si="6"/>
        <v>1.3233331378953954</v>
      </c>
      <c r="P46" s="89">
        <f t="shared" si="7"/>
        <v>1.1658219679642638</v>
      </c>
    </row>
    <row r="47" spans="1:16" x14ac:dyDescent="0.35">
      <c r="A47" s="90" t="s">
        <v>78</v>
      </c>
      <c r="B47" s="94" t="s">
        <v>72</v>
      </c>
      <c r="C47" s="94">
        <v>271</v>
      </c>
      <c r="D47" s="94">
        <v>22.100000381469727</v>
      </c>
      <c r="E47" s="97">
        <v>1.8784599304199219</v>
      </c>
      <c r="F47" s="97">
        <v>37.026264190673828</v>
      </c>
      <c r="G47" s="97">
        <v>4.1187329292297363</v>
      </c>
      <c r="H47" s="97">
        <f t="shared" si="0"/>
        <v>56.620858550071716</v>
      </c>
      <c r="I47" s="97">
        <v>0.35568439960479736</v>
      </c>
      <c r="J47" s="98">
        <f t="shared" si="1"/>
        <v>22.996129713981293</v>
      </c>
      <c r="K47" s="89">
        <f t="shared" si="2"/>
        <v>0.13417570931570871</v>
      </c>
      <c r="L47" s="89">
        <f t="shared" si="3"/>
        <v>3.0855220158894858</v>
      </c>
      <c r="M47" s="89">
        <f t="shared" si="4"/>
        <v>4.1187329292297363</v>
      </c>
      <c r="N47" s="89">
        <f t="shared" si="5"/>
        <v>3.5388036593794823</v>
      </c>
      <c r="O47" s="89">
        <f t="shared" si="6"/>
        <v>1.3348577349374056</v>
      </c>
      <c r="P47" s="89">
        <f t="shared" si="7"/>
        <v>1.146905982571421</v>
      </c>
    </row>
    <row r="48" spans="1:16" x14ac:dyDescent="0.35">
      <c r="A48" s="90" t="s">
        <v>78</v>
      </c>
      <c r="B48" s="94" t="s">
        <v>72</v>
      </c>
      <c r="C48" s="91">
        <v>271</v>
      </c>
      <c r="D48" s="94">
        <v>21.25</v>
      </c>
      <c r="E48" s="97">
        <v>1.9861584901809692</v>
      </c>
      <c r="F48" s="97">
        <v>38.405345916748047</v>
      </c>
      <c r="G48" s="97">
        <v>4.3476533889770508</v>
      </c>
      <c r="H48" s="97">
        <f t="shared" si="0"/>
        <v>54.904082834720612</v>
      </c>
      <c r="I48" s="97">
        <v>0.35675936937332153</v>
      </c>
      <c r="J48" s="98">
        <f t="shared" si="1"/>
        <v>22.559245460210072</v>
      </c>
      <c r="K48" s="89">
        <f t="shared" si="2"/>
        <v>0.14186846358435495</v>
      </c>
      <c r="L48" s="89">
        <f t="shared" si="3"/>
        <v>3.2004454930623374</v>
      </c>
      <c r="M48" s="89">
        <f t="shared" si="4"/>
        <v>4.3476533889770508</v>
      </c>
      <c r="N48" s="89">
        <f t="shared" si="5"/>
        <v>3.4315051771700382</v>
      </c>
      <c r="O48" s="89">
        <f t="shared" si="6"/>
        <v>1.3584525649324559</v>
      </c>
      <c r="P48" s="89">
        <f t="shared" si="7"/>
        <v>1.0721961003893279</v>
      </c>
    </row>
    <row r="49" spans="1:16" x14ac:dyDescent="0.35">
      <c r="A49" s="90" t="s">
        <v>78</v>
      </c>
      <c r="B49" s="94" t="s">
        <v>72</v>
      </c>
      <c r="C49" s="91">
        <v>271</v>
      </c>
      <c r="D49" s="94">
        <v>19.540000915527301</v>
      </c>
      <c r="E49" s="97">
        <v>2.0020810794830299</v>
      </c>
      <c r="F49" s="97">
        <v>39.297828674316399</v>
      </c>
      <c r="G49" s="97">
        <v>4.0305979728698702</v>
      </c>
      <c r="H49" s="97">
        <f t="shared" si="0"/>
        <v>54.270282863378533</v>
      </c>
      <c r="I49" s="97">
        <v>0.3992094099521637</v>
      </c>
      <c r="J49" s="98">
        <f t="shared" si="1"/>
        <v>22.899905131984482</v>
      </c>
      <c r="K49" s="89">
        <f t="shared" si="2"/>
        <v>0.14300579139164499</v>
      </c>
      <c r="L49" s="89">
        <f t="shared" si="3"/>
        <v>3.2748190561930333</v>
      </c>
      <c r="M49" s="89">
        <f t="shared" si="4"/>
        <v>4.0305979728698702</v>
      </c>
      <c r="N49" s="89">
        <f t="shared" si="5"/>
        <v>3.3918926789611583</v>
      </c>
      <c r="O49" s="89">
        <f t="shared" si="6"/>
        <v>1.2307849391701744</v>
      </c>
      <c r="P49" s="89">
        <f t="shared" si="7"/>
        <v>1.0357496462428135</v>
      </c>
    </row>
    <row r="50" spans="1:16" x14ac:dyDescent="0.35">
      <c r="A50" s="90" t="s">
        <v>78</v>
      </c>
      <c r="B50" s="94" t="s">
        <v>72</v>
      </c>
      <c r="C50" s="94">
        <v>272</v>
      </c>
      <c r="D50" s="94">
        <v>21.350000381469727</v>
      </c>
      <c r="E50" s="97">
        <v>1.734065055847168</v>
      </c>
      <c r="F50" s="97">
        <v>39.398921966552734</v>
      </c>
      <c r="G50" s="97">
        <v>3.9894113540649414</v>
      </c>
      <c r="H50" s="97">
        <f t="shared" si="0"/>
        <v>54.556876659393311</v>
      </c>
      <c r="I50" s="97">
        <v>0.3207249641418457</v>
      </c>
      <c r="J50" s="98">
        <f t="shared" si="1"/>
        <v>26.507315170203949</v>
      </c>
      <c r="K50" s="89">
        <f t="shared" si="2"/>
        <v>0.12386178970336914</v>
      </c>
      <c r="L50" s="89">
        <f t="shared" si="3"/>
        <v>3.283243497212728</v>
      </c>
      <c r="M50" s="89">
        <f t="shared" si="4"/>
        <v>3.9894113540649414</v>
      </c>
      <c r="N50" s="89">
        <f t="shared" si="5"/>
        <v>3.4098047912120819</v>
      </c>
      <c r="O50" s="89">
        <f t="shared" si="6"/>
        <v>1.2150823895491476</v>
      </c>
      <c r="P50" s="89">
        <f t="shared" si="7"/>
        <v>1.0385476417167343</v>
      </c>
    </row>
    <row r="51" spans="1:16" x14ac:dyDescent="0.35">
      <c r="A51" s="90" t="s">
        <v>78</v>
      </c>
      <c r="B51" s="94" t="s">
        <v>72</v>
      </c>
      <c r="C51" s="91">
        <v>272</v>
      </c>
      <c r="D51" s="94">
        <v>19.010000228881836</v>
      </c>
      <c r="E51" s="97">
        <v>2.01792311668396</v>
      </c>
      <c r="F51" s="97">
        <v>38.958568572998047</v>
      </c>
      <c r="G51" s="97">
        <v>4.619102954864502</v>
      </c>
      <c r="H51" s="97">
        <f t="shared" si="0"/>
        <v>54.00377032160759</v>
      </c>
      <c r="I51" s="97">
        <v>0.40063503384590149</v>
      </c>
      <c r="J51" s="98">
        <f t="shared" si="1"/>
        <v>22.523981691559595</v>
      </c>
      <c r="K51" s="89">
        <f t="shared" si="2"/>
        <v>0.1441373654774257</v>
      </c>
      <c r="L51" s="89">
        <f t="shared" si="3"/>
        <v>3.2465473810831704</v>
      </c>
      <c r="M51" s="89">
        <f t="shared" si="4"/>
        <v>4.619102954864502</v>
      </c>
      <c r="N51" s="89">
        <f t="shared" si="5"/>
        <v>3.3752356451004744</v>
      </c>
      <c r="O51" s="89">
        <f t="shared" si="6"/>
        <v>1.4227739233928554</v>
      </c>
      <c r="P51" s="89">
        <f t="shared" si="7"/>
        <v>1.0396384986608047</v>
      </c>
    </row>
    <row r="52" spans="1:16" x14ac:dyDescent="0.35">
      <c r="A52" s="90" t="s">
        <v>78</v>
      </c>
      <c r="B52" s="94" t="s">
        <v>72</v>
      </c>
      <c r="C52" s="91">
        <v>272</v>
      </c>
      <c r="D52" s="94">
        <v>20.739997700048399</v>
      </c>
      <c r="E52" s="97">
        <v>2.0560619831085201</v>
      </c>
      <c r="F52" s="97">
        <v>39.4455062844211</v>
      </c>
      <c r="G52" s="97">
        <v>4.3136134147643999</v>
      </c>
      <c r="H52" s="97">
        <f t="shared" si="0"/>
        <v>53.78458281379401</v>
      </c>
      <c r="I52" s="97">
        <v>0.40023550391197205</v>
      </c>
      <c r="J52" s="98">
        <f t="shared" si="1"/>
        <v>22.382475679185628</v>
      </c>
      <c r="K52" s="89">
        <f t="shared" si="2"/>
        <v>0.14686157022203714</v>
      </c>
      <c r="L52" s="89">
        <f t="shared" si="3"/>
        <v>3.2871255237017585</v>
      </c>
      <c r="M52" s="89">
        <f t="shared" si="4"/>
        <v>4.3136134147643999</v>
      </c>
      <c r="N52" s="89">
        <f t="shared" si="5"/>
        <v>3.3615364258621256</v>
      </c>
      <c r="O52" s="89">
        <f t="shared" si="6"/>
        <v>1.3122752336840102</v>
      </c>
      <c r="P52" s="89">
        <f t="shared" si="7"/>
        <v>1.0226370735233044</v>
      </c>
    </row>
    <row r="53" spans="1:16" x14ac:dyDescent="0.35">
      <c r="A53" s="90" t="s">
        <v>78</v>
      </c>
      <c r="B53" s="94" t="s">
        <v>72</v>
      </c>
      <c r="C53" s="94">
        <v>273</v>
      </c>
      <c r="D53" s="94">
        <v>23.25</v>
      </c>
      <c r="E53" s="97">
        <v>1.6957817077636719</v>
      </c>
      <c r="F53" s="97">
        <v>36.077285766601563</v>
      </c>
      <c r="G53" s="97">
        <v>3.8872780799865723</v>
      </c>
      <c r="H53" s="97">
        <f t="shared" si="0"/>
        <v>58.015086710453033</v>
      </c>
      <c r="I53" s="97">
        <v>0.32456773519515991</v>
      </c>
      <c r="J53" s="98">
        <f t="shared" si="1"/>
        <v>24.820509936511009</v>
      </c>
      <c r="K53" s="89">
        <f t="shared" si="2"/>
        <v>0.12112726484026227</v>
      </c>
      <c r="L53" s="89">
        <f t="shared" si="3"/>
        <v>3.0064404805501304</v>
      </c>
      <c r="M53" s="89">
        <f t="shared" si="4"/>
        <v>3.8872780799865723</v>
      </c>
      <c r="N53" s="89">
        <f t="shared" si="5"/>
        <v>3.6259429194033146</v>
      </c>
      <c r="O53" s="89">
        <f t="shared" si="6"/>
        <v>1.2929835481975891</v>
      </c>
      <c r="P53" s="89">
        <f t="shared" si="7"/>
        <v>1.2060584411569077</v>
      </c>
    </row>
    <row r="54" spans="1:16" x14ac:dyDescent="0.35">
      <c r="A54" s="90" t="s">
        <v>78</v>
      </c>
      <c r="B54" s="94" t="s">
        <v>72</v>
      </c>
      <c r="C54" s="91">
        <v>273</v>
      </c>
      <c r="D54" s="94">
        <v>24.030000686645508</v>
      </c>
      <c r="E54" s="97">
        <v>1.8706107139587402</v>
      </c>
      <c r="F54" s="97">
        <v>36.066555023193359</v>
      </c>
      <c r="G54" s="97">
        <v>4.1296119689941406</v>
      </c>
      <c r="H54" s="97">
        <f t="shared" si="0"/>
        <v>57.574120372533798</v>
      </c>
      <c r="I54" s="97">
        <v>0.35910192131996155</v>
      </c>
      <c r="J54" s="98">
        <f t="shared" si="1"/>
        <v>22.494069564057366</v>
      </c>
      <c r="K54" s="89">
        <f t="shared" si="2"/>
        <v>0.13361505099705287</v>
      </c>
      <c r="L54" s="89">
        <f t="shared" si="3"/>
        <v>3.0055462519327798</v>
      </c>
      <c r="M54" s="89">
        <f t="shared" si="4"/>
        <v>4.1296119689941406</v>
      </c>
      <c r="N54" s="89">
        <f t="shared" si="5"/>
        <v>3.5983825232833624</v>
      </c>
      <c r="O54" s="89">
        <f t="shared" si="6"/>
        <v>1.3739971448912178</v>
      </c>
      <c r="P54" s="89">
        <f t="shared" si="7"/>
        <v>1.1972474291384958</v>
      </c>
    </row>
    <row r="55" spans="1:16" x14ac:dyDescent="0.35">
      <c r="A55" s="90" t="s">
        <v>78</v>
      </c>
      <c r="B55" s="94" t="s">
        <v>72</v>
      </c>
      <c r="C55" s="91">
        <v>273</v>
      </c>
      <c r="D55" s="94">
        <v>20.879999160766602</v>
      </c>
      <c r="E55" s="97">
        <v>1.5558068752288818</v>
      </c>
      <c r="F55" s="97">
        <v>30.986522674560547</v>
      </c>
      <c r="G55" s="97">
        <v>3.6121091842651367</v>
      </c>
      <c r="H55" s="97">
        <f t="shared" si="0"/>
        <v>63.599602997303009</v>
      </c>
      <c r="I55" s="97">
        <v>0.24595826864242554</v>
      </c>
      <c r="J55" s="98">
        <f t="shared" si="1"/>
        <v>23.236137913969756</v>
      </c>
      <c r="K55" s="89">
        <f t="shared" si="2"/>
        <v>0.1111290625163487</v>
      </c>
      <c r="L55" s="89">
        <f t="shared" si="3"/>
        <v>2.5822102228800454</v>
      </c>
      <c r="M55" s="89">
        <f t="shared" si="4"/>
        <v>3.6121091842651367</v>
      </c>
      <c r="N55" s="89">
        <f t="shared" si="5"/>
        <v>3.9749751873314381</v>
      </c>
      <c r="O55" s="89">
        <f t="shared" si="6"/>
        <v>1.3988439640814381</v>
      </c>
      <c r="P55" s="89">
        <f t="shared" si="7"/>
        <v>1.5393693170720952</v>
      </c>
    </row>
    <row r="56" spans="1:16" x14ac:dyDescent="0.35">
      <c r="A56" s="90" t="s">
        <v>79</v>
      </c>
      <c r="B56" s="94" t="s">
        <v>72</v>
      </c>
      <c r="C56" s="94">
        <v>341</v>
      </c>
      <c r="D56" s="94">
        <v>23.379999160766602</v>
      </c>
      <c r="E56" s="97">
        <v>1.8925379514694214</v>
      </c>
      <c r="F56" s="97">
        <v>37.454330444335938</v>
      </c>
      <c r="G56" s="97">
        <v>4.2135066986083984</v>
      </c>
      <c r="H56" s="97">
        <f t="shared" si="0"/>
        <v>56.097436279058456</v>
      </c>
      <c r="I56" s="97">
        <v>0.34218862652778625</v>
      </c>
      <c r="J56" s="98">
        <f t="shared" si="1"/>
        <v>23.088952492497107</v>
      </c>
      <c r="K56" s="89">
        <f t="shared" si="2"/>
        <v>0.13518128224781581</v>
      </c>
      <c r="L56" s="89">
        <f t="shared" si="3"/>
        <v>3.1211942036946616</v>
      </c>
      <c r="M56" s="89">
        <f t="shared" si="4"/>
        <v>4.2135066986083984</v>
      </c>
      <c r="N56" s="89">
        <f t="shared" si="5"/>
        <v>3.5060897674411535</v>
      </c>
      <c r="O56" s="89">
        <f t="shared" si="6"/>
        <v>1.3499662064028985</v>
      </c>
      <c r="P56" s="89">
        <f t="shared" si="7"/>
        <v>1.1233167623119633</v>
      </c>
    </row>
    <row r="57" spans="1:16" x14ac:dyDescent="0.35">
      <c r="A57" s="90" t="s">
        <v>79</v>
      </c>
      <c r="B57" s="94" t="s">
        <v>72</v>
      </c>
      <c r="C57" s="91">
        <v>341</v>
      </c>
      <c r="D57" s="94">
        <v>21.870000839233398</v>
      </c>
      <c r="E57" s="97">
        <v>1.7571456432342529</v>
      </c>
      <c r="F57" s="97">
        <v>38.495189666748047</v>
      </c>
      <c r="G57" s="97">
        <v>4.2598142623901367</v>
      </c>
      <c r="H57" s="97">
        <f t="shared" si="0"/>
        <v>55.141204953193665</v>
      </c>
      <c r="I57" s="97">
        <v>0.34664547443389893</v>
      </c>
      <c r="J57" s="98">
        <f t="shared" si="1"/>
        <v>25.55909624460126</v>
      </c>
      <c r="K57" s="89">
        <f t="shared" si="2"/>
        <v>0.12551040308816092</v>
      </c>
      <c r="L57" s="89">
        <f t="shared" si="3"/>
        <v>3.2079324722290039</v>
      </c>
      <c r="M57" s="89">
        <f t="shared" si="4"/>
        <v>4.2598142623901367</v>
      </c>
      <c r="N57" s="89">
        <f t="shared" si="5"/>
        <v>3.446325309574604</v>
      </c>
      <c r="O57" s="89">
        <f t="shared" si="6"/>
        <v>1.327900228345593</v>
      </c>
      <c r="P57" s="89">
        <f t="shared" si="7"/>
        <v>1.0743135460017819</v>
      </c>
    </row>
    <row r="58" spans="1:16" x14ac:dyDescent="0.35">
      <c r="A58" s="90" t="s">
        <v>79</v>
      </c>
      <c r="B58" s="94" t="s">
        <v>72</v>
      </c>
      <c r="C58" s="91">
        <v>341</v>
      </c>
      <c r="D58" s="94">
        <v>20.800000150879001</v>
      </c>
      <c r="E58" s="97">
        <v>1.86203291416168</v>
      </c>
      <c r="F58" s="97">
        <v>39.062158584594698</v>
      </c>
      <c r="G58" s="97">
        <v>4.4083001422882102</v>
      </c>
      <c r="H58" s="97">
        <f t="shared" si="0"/>
        <v>54.395569796562228</v>
      </c>
      <c r="I58" s="97">
        <v>0.27193856239318848</v>
      </c>
      <c r="J58" s="98">
        <f t="shared" si="1"/>
        <v>24.474604074982938</v>
      </c>
      <c r="K58" s="89">
        <f t="shared" si="2"/>
        <v>0.13300235101154859</v>
      </c>
      <c r="L58" s="89">
        <f t="shared" si="3"/>
        <v>3.2551798820495583</v>
      </c>
      <c r="M58" s="89">
        <f t="shared" si="4"/>
        <v>4.4083001422882102</v>
      </c>
      <c r="N58" s="89">
        <f t="shared" si="5"/>
        <v>3.3997231122851392</v>
      </c>
      <c r="O58" s="89">
        <f t="shared" si="6"/>
        <v>1.3542416401002739</v>
      </c>
      <c r="P58" s="89">
        <f t="shared" si="7"/>
        <v>1.0444040684303357</v>
      </c>
    </row>
    <row r="59" spans="1:16" x14ac:dyDescent="0.35">
      <c r="A59" s="90" t="s">
        <v>79</v>
      </c>
      <c r="B59" s="94" t="s">
        <v>72</v>
      </c>
      <c r="C59" s="94">
        <v>342</v>
      </c>
      <c r="D59" s="94">
        <v>20.280000686645508</v>
      </c>
      <c r="E59" s="97">
        <v>2.1723229885101318</v>
      </c>
      <c r="F59" s="97">
        <v>39.410987854003906</v>
      </c>
      <c r="G59" s="97">
        <v>4.6399836540222168</v>
      </c>
      <c r="H59" s="97">
        <f t="shared" si="0"/>
        <v>53.414941042661667</v>
      </c>
      <c r="I59" s="97">
        <v>0.36176446080207825</v>
      </c>
      <c r="J59" s="98">
        <f t="shared" si="1"/>
        <v>21.166044862051493</v>
      </c>
      <c r="K59" s="89">
        <f t="shared" si="2"/>
        <v>0.15516592775072371</v>
      </c>
      <c r="L59" s="89">
        <f t="shared" si="3"/>
        <v>3.2842489878336587</v>
      </c>
      <c r="M59" s="89">
        <f t="shared" si="4"/>
        <v>4.6399836540222168</v>
      </c>
      <c r="N59" s="89">
        <f t="shared" si="5"/>
        <v>3.3384338151663542</v>
      </c>
      <c r="O59" s="89">
        <f t="shared" si="6"/>
        <v>1.4127989903356328</v>
      </c>
      <c r="P59" s="89">
        <f t="shared" si="7"/>
        <v>1.0164983920322181</v>
      </c>
    </row>
    <row r="60" spans="1:16" x14ac:dyDescent="0.35">
      <c r="A60" s="90" t="s">
        <v>79</v>
      </c>
      <c r="B60" s="94" t="s">
        <v>72</v>
      </c>
      <c r="C60" s="91">
        <v>342</v>
      </c>
      <c r="D60" s="94">
        <v>26.719999313354492</v>
      </c>
      <c r="E60" s="97">
        <v>1.9849574565887451</v>
      </c>
      <c r="F60" s="97">
        <v>38.162498474121094</v>
      </c>
      <c r="G60" s="97">
        <v>4.0462379455566406</v>
      </c>
      <c r="H60" s="97">
        <f t="shared" si="0"/>
        <v>55.453284025192261</v>
      </c>
      <c r="I60" s="97">
        <v>0.35302209854125977</v>
      </c>
      <c r="J60" s="98">
        <f t="shared" si="1"/>
        <v>22.430160776840832</v>
      </c>
      <c r="K60" s="89">
        <f t="shared" si="2"/>
        <v>0.14178267547062465</v>
      </c>
      <c r="L60" s="89">
        <f t="shared" si="3"/>
        <v>3.1802082061767578</v>
      </c>
      <c r="M60" s="89">
        <f t="shared" si="4"/>
        <v>4.0462379455566406</v>
      </c>
      <c r="N60" s="89">
        <f t="shared" si="5"/>
        <v>3.4658302515745163</v>
      </c>
      <c r="O60" s="89">
        <f t="shared" si="6"/>
        <v>1.2723185663434982</v>
      </c>
      <c r="P60" s="89">
        <f t="shared" si="7"/>
        <v>1.0898123729267188</v>
      </c>
    </row>
    <row r="61" spans="1:16" x14ac:dyDescent="0.35">
      <c r="A61" s="90" t="s">
        <v>79</v>
      </c>
      <c r="B61" s="94" t="s">
        <v>72</v>
      </c>
      <c r="C61" s="91">
        <v>342</v>
      </c>
      <c r="D61" s="94">
        <v>14.850000381469727</v>
      </c>
      <c r="E61" s="97">
        <v>2.0561993026733401</v>
      </c>
      <c r="F61" s="97">
        <v>39.022213745117199</v>
      </c>
      <c r="G61" s="97">
        <v>4.4506072998046902</v>
      </c>
      <c r="H61" s="97">
        <f t="shared" si="0"/>
        <v>54.080448082685464</v>
      </c>
      <c r="I61" s="97">
        <v>0.39053156971931458</v>
      </c>
      <c r="J61" s="98">
        <f t="shared" si="1"/>
        <v>22.140809004642769</v>
      </c>
      <c r="K61" s="89">
        <f t="shared" si="2"/>
        <v>0.14687137876238143</v>
      </c>
      <c r="L61" s="89">
        <f t="shared" si="3"/>
        <v>3.2518511454264334</v>
      </c>
      <c r="M61" s="89">
        <f t="shared" si="4"/>
        <v>4.4506072998046902</v>
      </c>
      <c r="N61" s="89">
        <f t="shared" si="5"/>
        <v>3.3800280051678415</v>
      </c>
      <c r="O61" s="89">
        <f t="shared" si="6"/>
        <v>1.3686380774422124</v>
      </c>
      <c r="P61" s="89">
        <f t="shared" si="7"/>
        <v>1.0394165827429347</v>
      </c>
    </row>
    <row r="62" spans="1:16" x14ac:dyDescent="0.35">
      <c r="A62" s="90" t="s">
        <v>79</v>
      </c>
      <c r="B62" s="94" t="s">
        <v>72</v>
      </c>
      <c r="C62" s="94">
        <v>343</v>
      </c>
      <c r="D62" s="94">
        <v>25.870000839233398</v>
      </c>
      <c r="E62" s="97">
        <v>1.4714267253875732</v>
      </c>
      <c r="F62" s="97">
        <v>32.930488586425803</v>
      </c>
      <c r="G62" s="97">
        <v>3.5780806541442902</v>
      </c>
      <c r="H62" s="97">
        <f t="shared" si="0"/>
        <v>61.758016973733874</v>
      </c>
      <c r="I62" s="97">
        <v>0.26198706030845642</v>
      </c>
      <c r="J62" s="98">
        <f t="shared" si="1"/>
        <v>26.109967073427036</v>
      </c>
      <c r="K62" s="89">
        <f t="shared" si="2"/>
        <v>0.10510190895625524</v>
      </c>
      <c r="L62" s="89">
        <f t="shared" si="3"/>
        <v>2.7442073822021502</v>
      </c>
      <c r="M62" s="89">
        <f t="shared" si="4"/>
        <v>3.5780806541442902</v>
      </c>
      <c r="N62" s="89">
        <f t="shared" si="5"/>
        <v>3.8598760608583671</v>
      </c>
      <c r="O62" s="89">
        <f t="shared" si="6"/>
        <v>1.3038667111495705</v>
      </c>
      <c r="P62" s="89">
        <f t="shared" si="7"/>
        <v>1.4065540694526242</v>
      </c>
    </row>
    <row r="63" spans="1:16" x14ac:dyDescent="0.35">
      <c r="A63" s="90" t="s">
        <v>79</v>
      </c>
      <c r="B63" s="94" t="s">
        <v>72</v>
      </c>
      <c r="C63" s="91">
        <v>343</v>
      </c>
      <c r="D63" s="94">
        <v>18.639999389648438</v>
      </c>
      <c r="E63" s="97">
        <v>1.5632604360580444</v>
      </c>
      <c r="F63" s="97">
        <v>34.116413116455078</v>
      </c>
      <c r="G63" s="97">
        <v>3.442486047744751</v>
      </c>
      <c r="H63" s="97">
        <f t="shared" si="0"/>
        <v>60.583582371473312</v>
      </c>
      <c r="I63" s="97">
        <v>0.29425802826881409</v>
      </c>
      <c r="J63" s="98">
        <f t="shared" si="1"/>
        <v>25.461197028413572</v>
      </c>
      <c r="K63" s="89">
        <f t="shared" si="2"/>
        <v>0.11166145971843175</v>
      </c>
      <c r="L63" s="89">
        <f t="shared" si="3"/>
        <v>2.8430344263712564</v>
      </c>
      <c r="M63" s="89">
        <f t="shared" si="4"/>
        <v>3.442486047744751</v>
      </c>
      <c r="N63" s="89">
        <f t="shared" si="5"/>
        <v>3.786473898217082</v>
      </c>
      <c r="O63" s="89">
        <f t="shared" si="6"/>
        <v>1.2108492306013376</v>
      </c>
      <c r="P63" s="89">
        <f t="shared" si="7"/>
        <v>1.3318424367621875</v>
      </c>
    </row>
    <row r="64" spans="1:16" x14ac:dyDescent="0.35">
      <c r="A64" s="90" t="s">
        <v>79</v>
      </c>
      <c r="B64" s="94" t="s">
        <v>72</v>
      </c>
      <c r="C64" s="91">
        <v>343</v>
      </c>
      <c r="D64" s="94">
        <v>18.690000534057599</v>
      </c>
      <c r="E64" s="97">
        <v>1.5674462318420399</v>
      </c>
      <c r="F64" s="97">
        <v>34.483230590820298</v>
      </c>
      <c r="G64" s="97">
        <v>3.9596726894378662</v>
      </c>
      <c r="H64" s="97">
        <f t="shared" si="0"/>
        <v>59.610774785280242</v>
      </c>
      <c r="I64" s="97">
        <v>0.37887570261955261</v>
      </c>
      <c r="J64" s="98">
        <f t="shared" si="1"/>
        <v>25.666230121343382</v>
      </c>
      <c r="K64" s="89">
        <f t="shared" si="2"/>
        <v>0.11196044513157428</v>
      </c>
      <c r="L64" s="89">
        <f t="shared" si="3"/>
        <v>2.873602549235025</v>
      </c>
      <c r="M64" s="89">
        <f t="shared" si="4"/>
        <v>3.9596726894378662</v>
      </c>
      <c r="N64" s="89">
        <f t="shared" si="5"/>
        <v>3.7256734240800151</v>
      </c>
      <c r="O64" s="89">
        <f t="shared" si="6"/>
        <v>1.3779472357762077</v>
      </c>
      <c r="P64" s="89">
        <f t="shared" si="7"/>
        <v>1.2965166059836</v>
      </c>
    </row>
    <row r="65" spans="1:16" x14ac:dyDescent="0.35">
      <c r="A65" s="90" t="s">
        <v>80</v>
      </c>
      <c r="B65" s="94" t="s">
        <v>72</v>
      </c>
      <c r="C65" s="94">
        <v>246</v>
      </c>
      <c r="D65" s="94">
        <v>23.180000305175781</v>
      </c>
      <c r="E65" s="97">
        <v>1.8623808622360229</v>
      </c>
      <c r="F65" s="97">
        <v>39.825408935546875</v>
      </c>
      <c r="G65" s="97">
        <v>4.1572904586791992</v>
      </c>
      <c r="H65" s="97">
        <f t="shared" si="0"/>
        <v>53.790185511112213</v>
      </c>
      <c r="I65" s="97">
        <v>0.3647342324256897</v>
      </c>
      <c r="J65" s="98">
        <f t="shared" si="1"/>
        <v>24.948160729962989</v>
      </c>
      <c r="K65" s="89">
        <f t="shared" si="2"/>
        <v>0.1330272044454302</v>
      </c>
      <c r="L65" s="89">
        <f t="shared" si="3"/>
        <v>3.3187840779622397</v>
      </c>
      <c r="M65" s="89">
        <f t="shared" si="4"/>
        <v>4.1572904586791992</v>
      </c>
      <c r="N65" s="89">
        <f t="shared" si="5"/>
        <v>3.3618865944445133</v>
      </c>
      <c r="O65" s="89">
        <f t="shared" si="6"/>
        <v>1.2526546955208395</v>
      </c>
      <c r="P65" s="89">
        <f t="shared" si="7"/>
        <v>1.0129874422287632</v>
      </c>
    </row>
    <row r="66" spans="1:16" x14ac:dyDescent="0.35">
      <c r="A66" s="90" t="s">
        <v>80</v>
      </c>
      <c r="B66" s="94" t="s">
        <v>72</v>
      </c>
      <c r="C66" s="91">
        <v>246</v>
      </c>
      <c r="D66" s="94">
        <v>19.729999542236328</v>
      </c>
      <c r="E66" s="97">
        <v>2.0379912853240967</v>
      </c>
      <c r="F66" s="97">
        <v>40.228874206542969</v>
      </c>
      <c r="G66" s="97">
        <v>4.646629810333252</v>
      </c>
      <c r="H66" s="97">
        <f t="shared" si="0"/>
        <v>52.709343403577805</v>
      </c>
      <c r="I66" s="97">
        <v>0.37716129422187805</v>
      </c>
      <c r="J66" s="98">
        <f t="shared" si="1"/>
        <v>23.029385313017361</v>
      </c>
      <c r="K66" s="89">
        <f t="shared" si="2"/>
        <v>0.14557080609457834</v>
      </c>
      <c r="L66" s="89">
        <f t="shared" si="3"/>
        <v>3.3524061838785806</v>
      </c>
      <c r="M66" s="89">
        <f t="shared" si="4"/>
        <v>4.646629810333252</v>
      </c>
      <c r="N66" s="89">
        <f t="shared" si="5"/>
        <v>3.2943339627236128</v>
      </c>
      <c r="O66" s="89">
        <f t="shared" si="6"/>
        <v>1.3860581192930845</v>
      </c>
      <c r="P66" s="89">
        <f t="shared" si="7"/>
        <v>0.98267745077126034</v>
      </c>
    </row>
    <row r="67" spans="1:16" x14ac:dyDescent="0.35">
      <c r="A67" s="90" t="s">
        <v>80</v>
      </c>
      <c r="B67" s="94" t="s">
        <v>72</v>
      </c>
      <c r="C67" s="91">
        <v>246</v>
      </c>
      <c r="D67" s="94">
        <v>19.950000799939499</v>
      </c>
      <c r="E67" s="97">
        <v>2.00288241006414</v>
      </c>
      <c r="F67" s="97">
        <v>39.795090774619098</v>
      </c>
      <c r="G67" s="97">
        <v>4.5524116897582996</v>
      </c>
      <c r="H67" s="97">
        <f t="shared" si="0"/>
        <v>53.271678374908049</v>
      </c>
      <c r="I67" s="97">
        <v>0.37793675065040588</v>
      </c>
      <c r="J67" s="98">
        <f t="shared" si="1"/>
        <v>23.180395249582073</v>
      </c>
      <c r="K67" s="89">
        <f t="shared" si="2"/>
        <v>0.14306302929029571</v>
      </c>
      <c r="L67" s="89">
        <f t="shared" si="3"/>
        <v>3.3162575645515915</v>
      </c>
      <c r="M67" s="89">
        <f t="shared" si="4"/>
        <v>4.5524116897582996</v>
      </c>
      <c r="N67" s="89">
        <f t="shared" si="5"/>
        <v>3.3294798984317531</v>
      </c>
      <c r="O67" s="89">
        <f t="shared" si="6"/>
        <v>1.3727557649382565</v>
      </c>
      <c r="P67" s="89">
        <f t="shared" si="7"/>
        <v>1.0039871251321064</v>
      </c>
    </row>
    <row r="68" spans="1:16" x14ac:dyDescent="0.35">
      <c r="A68" s="90" t="s">
        <v>80</v>
      </c>
      <c r="B68" s="94" t="s">
        <v>72</v>
      </c>
      <c r="C68" s="94">
        <v>247</v>
      </c>
      <c r="D68" s="94">
        <v>20.909999847412109</v>
      </c>
      <c r="E68" s="97">
        <v>2.2104806900024414</v>
      </c>
      <c r="F68" s="97">
        <v>39.855804443359375</v>
      </c>
      <c r="G68" s="97">
        <v>4.699040412902832</v>
      </c>
      <c r="H68" s="97">
        <f t="shared" si="0"/>
        <v>52.843710780143738</v>
      </c>
      <c r="I68" s="97">
        <v>0.39096367359161377</v>
      </c>
      <c r="J68" s="98">
        <f t="shared" si="1"/>
        <v>21.03544207717157</v>
      </c>
      <c r="K68" s="89">
        <f t="shared" si="2"/>
        <v>0.15789147785731725</v>
      </c>
      <c r="L68" s="89">
        <f t="shared" si="3"/>
        <v>3.3213170369466147</v>
      </c>
      <c r="M68" s="89">
        <f t="shared" si="4"/>
        <v>4.699040412902832</v>
      </c>
      <c r="N68" s="89">
        <f t="shared" si="5"/>
        <v>3.3027319237589836</v>
      </c>
      <c r="O68" s="89">
        <f t="shared" si="6"/>
        <v>1.4148123652847062</v>
      </c>
      <c r="P68" s="89">
        <f t="shared" si="7"/>
        <v>0.9944042941456992</v>
      </c>
    </row>
    <row r="69" spans="1:16" x14ac:dyDescent="0.35">
      <c r="A69" s="90" t="s">
        <v>80</v>
      </c>
      <c r="B69" s="94" t="s">
        <v>72</v>
      </c>
      <c r="C69" s="91">
        <v>247</v>
      </c>
      <c r="D69" s="94">
        <v>21.280000686645508</v>
      </c>
      <c r="E69" s="97">
        <v>1.8820849657058716</v>
      </c>
      <c r="F69" s="97">
        <v>37.424869537353516</v>
      </c>
      <c r="G69" s="97">
        <v>4.3349857330322266</v>
      </c>
      <c r="H69" s="97">
        <f t="shared" si="0"/>
        <v>56.019862443208694</v>
      </c>
      <c r="I69" s="97">
        <v>0.33819732069969177</v>
      </c>
      <c r="J69" s="98">
        <f t="shared" si="1"/>
        <v>23.198924909962095</v>
      </c>
      <c r="K69" s="89">
        <f t="shared" si="2"/>
        <v>0.13443464040756226</v>
      </c>
      <c r="L69" s="89">
        <f t="shared" si="3"/>
        <v>3.118739128112793</v>
      </c>
      <c r="M69" s="89">
        <f t="shared" si="4"/>
        <v>4.3349857330322266</v>
      </c>
      <c r="N69" s="89">
        <f t="shared" si="5"/>
        <v>3.5012414027005434</v>
      </c>
      <c r="O69" s="89">
        <f t="shared" si="6"/>
        <v>1.3899802307785221</v>
      </c>
      <c r="P69" s="89">
        <f t="shared" si="7"/>
        <v>1.1226464474504507</v>
      </c>
    </row>
    <row r="70" spans="1:16" x14ac:dyDescent="0.35">
      <c r="A70" s="90" t="s">
        <v>80</v>
      </c>
      <c r="B70" s="94" t="s">
        <v>72</v>
      </c>
      <c r="C70" s="91">
        <v>247</v>
      </c>
      <c r="D70" s="94">
        <v>19.860000610351602</v>
      </c>
      <c r="E70" s="97">
        <v>2.2982878446578998</v>
      </c>
      <c r="F70" s="97">
        <v>39.7068481445312</v>
      </c>
      <c r="G70" s="97">
        <v>4.2870880126953104</v>
      </c>
      <c r="H70" s="97">
        <f t="shared" si="0"/>
        <v>53.406535196304361</v>
      </c>
      <c r="I70" s="97">
        <v>0.30124080181121826</v>
      </c>
      <c r="J70" s="98">
        <f t="shared" si="1"/>
        <v>20.156159410709133</v>
      </c>
      <c r="K70" s="89">
        <f t="shared" si="2"/>
        <v>0.16416341747556426</v>
      </c>
      <c r="L70" s="89">
        <f t="shared" si="3"/>
        <v>3.3089040120442665</v>
      </c>
      <c r="M70" s="89">
        <f t="shared" si="4"/>
        <v>4.2870880126953104</v>
      </c>
      <c r="N70" s="89">
        <f t="shared" si="5"/>
        <v>3.3379084497690226</v>
      </c>
      <c r="O70" s="89">
        <f t="shared" si="6"/>
        <v>1.2956217518219013</v>
      </c>
      <c r="P70" s="89">
        <f t="shared" si="7"/>
        <v>1.0087655724128537</v>
      </c>
    </row>
    <row r="71" spans="1:16" x14ac:dyDescent="0.35">
      <c r="A71" s="90" t="s">
        <v>80</v>
      </c>
      <c r="B71" s="94" t="s">
        <v>72</v>
      </c>
      <c r="C71" s="94">
        <v>248</v>
      </c>
      <c r="D71" s="94">
        <v>22.450000762939453</v>
      </c>
      <c r="E71" s="97">
        <v>1.9961988925933838</v>
      </c>
      <c r="F71" s="97">
        <v>39.494789123535156</v>
      </c>
      <c r="G71" s="97">
        <v>4.4670886993408203</v>
      </c>
      <c r="H71" s="97">
        <f t="shared" si="0"/>
        <v>53.699564963579178</v>
      </c>
      <c r="I71" s="97">
        <v>0.34235832095146179</v>
      </c>
      <c r="J71" s="98">
        <f t="shared" si="1"/>
        <v>23.082496512958141</v>
      </c>
      <c r="K71" s="89">
        <f t="shared" si="2"/>
        <v>0.1425856351852417</v>
      </c>
      <c r="L71" s="89">
        <f t="shared" si="3"/>
        <v>3.2912324269612632</v>
      </c>
      <c r="M71" s="89">
        <f t="shared" si="4"/>
        <v>4.4670886993408203</v>
      </c>
      <c r="N71" s="89">
        <f t="shared" si="5"/>
        <v>3.3562228102236986</v>
      </c>
      <c r="O71" s="89">
        <f t="shared" si="6"/>
        <v>1.3572692899921397</v>
      </c>
      <c r="P71" s="89">
        <f t="shared" si="7"/>
        <v>1.019746518881512</v>
      </c>
    </row>
    <row r="72" spans="1:16" x14ac:dyDescent="0.35">
      <c r="A72" s="90" t="s">
        <v>80</v>
      </c>
      <c r="B72" s="94" t="s">
        <v>72</v>
      </c>
      <c r="C72" s="91">
        <v>248</v>
      </c>
      <c r="D72" s="94">
        <v>23.25</v>
      </c>
      <c r="E72" s="97">
        <v>2.0031299591064453</v>
      </c>
      <c r="F72" s="97">
        <v>39.069694519042969</v>
      </c>
      <c r="G72" s="97">
        <v>4.4016165733337402</v>
      </c>
      <c r="H72" s="97">
        <f t="shared" si="0"/>
        <v>54.166430741548538</v>
      </c>
      <c r="I72" s="97">
        <v>0.3591282069683075</v>
      </c>
      <c r="J72" s="98">
        <f t="shared" si="1"/>
        <v>22.7550439575821</v>
      </c>
      <c r="K72" s="89">
        <f t="shared" si="2"/>
        <v>0.14308071136474609</v>
      </c>
      <c r="L72" s="89">
        <f t="shared" si="3"/>
        <v>3.2558078765869141</v>
      </c>
      <c r="M72" s="89">
        <f t="shared" si="4"/>
        <v>4.4016165733337402</v>
      </c>
      <c r="N72" s="89">
        <f t="shared" si="5"/>
        <v>3.3854019213467836</v>
      </c>
      <c r="O72" s="89">
        <f t="shared" si="6"/>
        <v>1.351927613722707</v>
      </c>
      <c r="P72" s="89">
        <f t="shared" si="7"/>
        <v>1.0398039594694155</v>
      </c>
    </row>
    <row r="73" spans="1:16" x14ac:dyDescent="0.35">
      <c r="A73" s="90" t="s">
        <v>80</v>
      </c>
      <c r="B73" s="94" t="s">
        <v>72</v>
      </c>
      <c r="C73" s="91">
        <v>248</v>
      </c>
      <c r="D73" s="94">
        <v>18.6600003814697</v>
      </c>
      <c r="E73" s="97">
        <v>2.03670380115509</v>
      </c>
      <c r="F73" s="97">
        <v>38.995325775146497</v>
      </c>
      <c r="G73" s="97">
        <v>4.40506916046143</v>
      </c>
      <c r="H73" s="97">
        <f t="shared" si="0"/>
        <v>54.197660123109806</v>
      </c>
      <c r="I73" s="97">
        <v>0.36524114012718201</v>
      </c>
      <c r="J73" s="98">
        <f t="shared" si="1"/>
        <v>22.337340712905469</v>
      </c>
      <c r="K73" s="89">
        <f t="shared" si="2"/>
        <v>0.14547884293964927</v>
      </c>
      <c r="L73" s="89">
        <f t="shared" si="3"/>
        <v>3.249610481262208</v>
      </c>
      <c r="M73" s="89">
        <f t="shared" si="4"/>
        <v>4.40506916046143</v>
      </c>
      <c r="N73" s="89">
        <f t="shared" si="5"/>
        <v>3.3873537576943629</v>
      </c>
      <c r="O73" s="89">
        <f t="shared" si="6"/>
        <v>1.3555683629966693</v>
      </c>
      <c r="P73" s="89">
        <f t="shared" si="7"/>
        <v>1.0423876268329406</v>
      </c>
    </row>
    <row r="74" spans="1:16" x14ac:dyDescent="0.35">
      <c r="A74" s="90" t="s">
        <v>80</v>
      </c>
      <c r="B74" s="94" t="s">
        <v>81</v>
      </c>
      <c r="C74" s="94">
        <v>87</v>
      </c>
      <c r="D74" s="94">
        <v>26.760000228881836</v>
      </c>
      <c r="E74" s="97">
        <v>1.2673548460006714</v>
      </c>
      <c r="F74" s="97">
        <v>30.704668045043945</v>
      </c>
      <c r="G74" s="97">
        <v>3.6832120418548584</v>
      </c>
      <c r="H74" s="97">
        <f t="shared" si="0"/>
        <v>64.138490542769432</v>
      </c>
      <c r="I74" s="97">
        <v>0.20627452433109283</v>
      </c>
      <c r="J74" s="98">
        <f t="shared" si="1"/>
        <v>28.265258804398783</v>
      </c>
      <c r="K74" s="89">
        <f t="shared" si="2"/>
        <v>9.0525346142905097E-2</v>
      </c>
      <c r="L74" s="89">
        <f t="shared" si="3"/>
        <v>2.5587223370869956</v>
      </c>
      <c r="M74" s="89">
        <f t="shared" si="4"/>
        <v>3.6832120418548584</v>
      </c>
      <c r="N74" s="89">
        <f t="shared" si="5"/>
        <v>4.0086556589230895</v>
      </c>
      <c r="O74" s="89">
        <f t="shared" si="6"/>
        <v>1.4394731262822562</v>
      </c>
      <c r="P74" s="89">
        <f t="shared" si="7"/>
        <v>1.566663018030626</v>
      </c>
    </row>
    <row r="75" spans="1:16" x14ac:dyDescent="0.35">
      <c r="A75" s="90" t="s">
        <v>80</v>
      </c>
      <c r="B75" s="94" t="s">
        <v>81</v>
      </c>
      <c r="C75" s="91">
        <v>87</v>
      </c>
      <c r="D75" s="94">
        <v>22.219999313354492</v>
      </c>
      <c r="E75" s="97">
        <v>1.5150710344314575</v>
      </c>
      <c r="F75" s="97">
        <v>28.865755081176758</v>
      </c>
      <c r="G75" s="97">
        <v>3.3786344528198242</v>
      </c>
      <c r="H75" s="97">
        <f t="shared" si="0"/>
        <v>65.973251432180405</v>
      </c>
      <c r="I75" s="97">
        <v>0.26728799939155579</v>
      </c>
      <c r="J75" s="98">
        <f t="shared" si="1"/>
        <v>22.227812093319002</v>
      </c>
      <c r="K75" s="89">
        <f t="shared" si="2"/>
        <v>0.10821935960224696</v>
      </c>
      <c r="L75" s="89">
        <f t="shared" si="3"/>
        <v>2.405479590098063</v>
      </c>
      <c r="M75" s="89">
        <f t="shared" si="4"/>
        <v>3.3786344528198242</v>
      </c>
      <c r="N75" s="89">
        <f t="shared" si="5"/>
        <v>4.1233282145112753</v>
      </c>
      <c r="O75" s="89">
        <f t="shared" si="6"/>
        <v>1.4045575222203772</v>
      </c>
      <c r="P75" s="89">
        <f t="shared" si="7"/>
        <v>1.7141397630163147</v>
      </c>
    </row>
    <row r="76" spans="1:16" x14ac:dyDescent="0.35">
      <c r="A76" s="90" t="s">
        <v>80</v>
      </c>
      <c r="B76" s="94" t="s">
        <v>81</v>
      </c>
      <c r="C76" s="94">
        <v>199</v>
      </c>
      <c r="D76" s="94">
        <v>21.870000839233398</v>
      </c>
      <c r="E76" s="97">
        <v>1.6554925441741943</v>
      </c>
      <c r="F76" s="97">
        <v>37.820476531982422</v>
      </c>
      <c r="G76" s="97">
        <v>4.0137772560119629</v>
      </c>
      <c r="H76" s="97">
        <f t="shared" si="0"/>
        <v>56.211531549692154</v>
      </c>
      <c r="I76" s="97">
        <v>0.29872211813926697</v>
      </c>
      <c r="J76" s="98">
        <f t="shared" si="1"/>
        <v>26.653028092810317</v>
      </c>
      <c r="K76" s="89">
        <f t="shared" si="2"/>
        <v>0.11824946744101388</v>
      </c>
      <c r="L76" s="89">
        <f t="shared" si="3"/>
        <v>3.1517063776652017</v>
      </c>
      <c r="M76" s="89">
        <f t="shared" si="4"/>
        <v>4.0137772560119629</v>
      </c>
      <c r="N76" s="89">
        <f t="shared" si="5"/>
        <v>3.5132207218557596</v>
      </c>
      <c r="O76" s="89">
        <f t="shared" si="6"/>
        <v>1.2735251241853904</v>
      </c>
      <c r="P76" s="89">
        <f t="shared" si="7"/>
        <v>1.1147043223164619</v>
      </c>
    </row>
    <row r="77" spans="1:16" x14ac:dyDescent="0.35">
      <c r="A77" s="90" t="s">
        <v>80</v>
      </c>
      <c r="B77" s="94" t="s">
        <v>81</v>
      </c>
      <c r="C77" s="91">
        <v>199</v>
      </c>
      <c r="D77" s="94">
        <v>21.079999923706055</v>
      </c>
      <c r="E77" s="97">
        <v>1.8859516382217407</v>
      </c>
      <c r="F77" s="97">
        <v>36.535068511962891</v>
      </c>
      <c r="G77" s="97">
        <v>4.0209217071533203</v>
      </c>
      <c r="H77" s="97">
        <f t="shared" si="0"/>
        <v>57.22328132390976</v>
      </c>
      <c r="I77" s="97">
        <v>0.33477681875228882</v>
      </c>
      <c r="J77" s="98">
        <f t="shared" si="1"/>
        <v>22.60092238498774</v>
      </c>
      <c r="K77" s="89">
        <f t="shared" si="2"/>
        <v>0.1347108313015529</v>
      </c>
      <c r="L77" s="89">
        <f t="shared" si="3"/>
        <v>3.0445890426635742</v>
      </c>
      <c r="M77" s="89">
        <f t="shared" si="4"/>
        <v>4.0209217071533203</v>
      </c>
      <c r="N77" s="89">
        <f t="shared" si="5"/>
        <v>3.57645508274436</v>
      </c>
      <c r="O77" s="89">
        <f t="shared" si="6"/>
        <v>1.3206779801176702</v>
      </c>
      <c r="P77" s="89">
        <f t="shared" si="7"/>
        <v>1.1746922269730959</v>
      </c>
    </row>
    <row r="78" spans="1:16" x14ac:dyDescent="0.35">
      <c r="A78" s="90" t="s">
        <v>80</v>
      </c>
      <c r="B78" s="94" t="s">
        <v>81</v>
      </c>
      <c r="C78" s="94">
        <v>199</v>
      </c>
      <c r="D78" s="94">
        <v>19.549999237060547</v>
      </c>
      <c r="E78" s="97">
        <v>1.8919829130172729</v>
      </c>
      <c r="F78" s="97">
        <v>36.751308441162109</v>
      </c>
      <c r="G78" s="97">
        <v>4.131535530090332</v>
      </c>
      <c r="H78" s="97">
        <f t="shared" si="0"/>
        <v>56.880279511213303</v>
      </c>
      <c r="I78" s="97">
        <v>0.34489360451698303</v>
      </c>
      <c r="J78" s="98">
        <f t="shared" si="1"/>
        <v>22.662216566380632</v>
      </c>
      <c r="K78" s="89">
        <f t="shared" si="2"/>
        <v>0.13514163664409093</v>
      </c>
      <c r="L78" s="89">
        <f t="shared" si="3"/>
        <v>3.0626090367635093</v>
      </c>
      <c r="M78" s="89">
        <f t="shared" si="4"/>
        <v>4.131535530090332</v>
      </c>
      <c r="N78" s="89">
        <f t="shared" si="5"/>
        <v>3.5550174694508314</v>
      </c>
      <c r="O78" s="89">
        <f t="shared" si="6"/>
        <v>1.3490247956874177</v>
      </c>
      <c r="P78" s="89">
        <f t="shared" si="7"/>
        <v>1.1607807025893475</v>
      </c>
    </row>
    <row r="79" spans="1:16" x14ac:dyDescent="0.35">
      <c r="A79" s="90" t="s">
        <v>80</v>
      </c>
      <c r="B79" s="94" t="s">
        <v>81</v>
      </c>
      <c r="C79" s="91">
        <v>200</v>
      </c>
      <c r="D79" s="94">
        <v>21.989999771118164</v>
      </c>
      <c r="E79" s="97">
        <v>1.4839789867401123</v>
      </c>
      <c r="F79" s="97">
        <v>39.075670242309599</v>
      </c>
      <c r="G79" s="97">
        <v>4.0761497974395802</v>
      </c>
      <c r="H79" s="97">
        <f t="shared" si="0"/>
        <v>55.092528605461084</v>
      </c>
      <c r="I79" s="97">
        <v>0.27167236804962158</v>
      </c>
      <c r="J79" s="98">
        <f t="shared" si="1"/>
        <v>30.720301538437504</v>
      </c>
      <c r="K79" s="89">
        <f t="shared" si="2"/>
        <v>0.10599849905286517</v>
      </c>
      <c r="L79" s="89">
        <f t="shared" si="3"/>
        <v>3.2563058535258</v>
      </c>
      <c r="M79" s="89">
        <f t="shared" si="4"/>
        <v>4.0761497974395802</v>
      </c>
      <c r="N79" s="89">
        <f t="shared" si="5"/>
        <v>3.4432830378413177</v>
      </c>
      <c r="O79" s="89">
        <f t="shared" si="6"/>
        <v>1.2517711728540748</v>
      </c>
      <c r="P79" s="89">
        <f t="shared" si="7"/>
        <v>1.0574200313871212</v>
      </c>
    </row>
    <row r="80" spans="1:16" x14ac:dyDescent="0.35">
      <c r="A80" s="90" t="s">
        <v>80</v>
      </c>
      <c r="B80" s="94" t="s">
        <v>81</v>
      </c>
      <c r="C80" s="94">
        <v>200</v>
      </c>
      <c r="D80" s="94">
        <v>22.170000076293945</v>
      </c>
      <c r="E80" s="97">
        <v>1.7047175168991089</v>
      </c>
      <c r="F80" s="97">
        <v>38.113807678222656</v>
      </c>
      <c r="G80" s="97">
        <v>4.0895184516906697</v>
      </c>
      <c r="H80" s="97">
        <f t="shared" si="0"/>
        <v>55.795700645446779</v>
      </c>
      <c r="I80" s="97">
        <v>0.29625570774078369</v>
      </c>
      <c r="J80" s="98">
        <f t="shared" si="1"/>
        <v>26.084150903083664</v>
      </c>
      <c r="K80" s="89">
        <f t="shared" si="2"/>
        <v>0.12176553692136492</v>
      </c>
      <c r="L80" s="89">
        <f t="shared" si="3"/>
        <v>3.1761506398518882</v>
      </c>
      <c r="M80" s="89">
        <f t="shared" si="4"/>
        <v>4.0895184516906697</v>
      </c>
      <c r="N80" s="89">
        <f t="shared" si="5"/>
        <v>3.4872312903404237</v>
      </c>
      <c r="O80" s="89">
        <f t="shared" si="6"/>
        <v>1.2875706839526271</v>
      </c>
      <c r="P80" s="89">
        <f t="shared" si="7"/>
        <v>1.0979426626008653</v>
      </c>
    </row>
    <row r="81" spans="1:16" x14ac:dyDescent="0.35">
      <c r="A81" s="90" t="s">
        <v>80</v>
      </c>
      <c r="B81" s="94" t="s">
        <v>81</v>
      </c>
      <c r="C81" s="91">
        <v>200</v>
      </c>
      <c r="D81" s="94">
        <v>24.049999237060547</v>
      </c>
      <c r="E81" s="97">
        <v>1.8006695508956909</v>
      </c>
      <c r="F81" s="97">
        <v>35.246990203857422</v>
      </c>
      <c r="G81" s="97">
        <v>4.0675052642822296</v>
      </c>
      <c r="H81" s="97">
        <f t="shared" si="0"/>
        <v>58.594305968284601</v>
      </c>
      <c r="I81" s="97">
        <v>0.29052901268005371</v>
      </c>
      <c r="J81" s="98">
        <f t="shared" si="1"/>
        <v>22.836776770458687</v>
      </c>
      <c r="K81" s="89">
        <f t="shared" si="2"/>
        <v>0.12861925363540649</v>
      </c>
      <c r="L81" s="89">
        <f t="shared" si="3"/>
        <v>2.9372491836547852</v>
      </c>
      <c r="M81" s="89">
        <f t="shared" si="4"/>
        <v>4.0675052642822296</v>
      </c>
      <c r="N81" s="89">
        <f t="shared" si="5"/>
        <v>3.6621441230177876</v>
      </c>
      <c r="O81" s="89">
        <f t="shared" si="6"/>
        <v>1.3848008833969885</v>
      </c>
      <c r="P81" s="89">
        <f t="shared" si="7"/>
        <v>1.2467938176293998</v>
      </c>
    </row>
    <row r="82" spans="1:16" x14ac:dyDescent="0.35">
      <c r="A82" s="90" t="s">
        <v>106</v>
      </c>
      <c r="B82" s="90" t="s">
        <v>106</v>
      </c>
      <c r="C82" s="91" t="s">
        <v>107</v>
      </c>
      <c r="D82" s="94">
        <v>24.959999084472656</v>
      </c>
      <c r="E82" s="97">
        <v>2.0267651081085205</v>
      </c>
      <c r="F82" s="97">
        <v>39.851573944091797</v>
      </c>
      <c r="G82" s="97">
        <v>4.0462651252746582</v>
      </c>
      <c r="H82" s="97">
        <f t="shared" si="0"/>
        <v>53.719876080751419</v>
      </c>
      <c r="I82" s="97">
        <v>0.35551974177360535</v>
      </c>
      <c r="J82" s="98">
        <f t="shared" si="1"/>
        <v>22.93975890386422</v>
      </c>
      <c r="K82" s="89">
        <f t="shared" si="2"/>
        <v>0.14476893629346574</v>
      </c>
      <c r="L82" s="89">
        <f t="shared" si="3"/>
        <v>3.3209644953409829</v>
      </c>
      <c r="M82" s="89">
        <f t="shared" si="4"/>
        <v>4.0462651252746582</v>
      </c>
      <c r="N82" s="89">
        <f t="shared" si="5"/>
        <v>3.3574922550469637</v>
      </c>
      <c r="O82" s="89">
        <f t="shared" si="6"/>
        <v>1.2184005974623358</v>
      </c>
      <c r="P82" s="89">
        <f t="shared" si="7"/>
        <v>1.0109991418930331</v>
      </c>
    </row>
    <row r="83" spans="1:16" x14ac:dyDescent="0.35">
      <c r="A83" s="90" t="s">
        <v>106</v>
      </c>
      <c r="B83" s="90" t="s">
        <v>106</v>
      </c>
      <c r="C83" s="91" t="s">
        <v>107</v>
      </c>
      <c r="D83" s="94">
        <v>22.389999389648438</v>
      </c>
      <c r="E83" s="97">
        <v>2.1393415927886963</v>
      </c>
      <c r="F83" s="97">
        <v>38.349174499511719</v>
      </c>
      <c r="G83" s="97">
        <v>4.4732670783996582</v>
      </c>
      <c r="H83" s="97">
        <f t="shared" si="0"/>
        <v>54.687139332294464</v>
      </c>
      <c r="I83" s="97">
        <v>0.35107749700546265</v>
      </c>
      <c r="J83" s="98">
        <f t="shared" si="1"/>
        <v>20.913305165278825</v>
      </c>
      <c r="K83" s="89">
        <f t="shared" si="2"/>
        <v>0.15281011377062118</v>
      </c>
      <c r="L83" s="89">
        <f t="shared" si="3"/>
        <v>3.1957645416259766</v>
      </c>
      <c r="M83" s="89">
        <f t="shared" si="4"/>
        <v>4.4732670783996582</v>
      </c>
      <c r="N83" s="89">
        <f t="shared" si="5"/>
        <v>3.417946208268404</v>
      </c>
      <c r="O83" s="89">
        <f t="shared" si="6"/>
        <v>1.3997486423463787</v>
      </c>
      <c r="P83" s="89">
        <f t="shared" si="7"/>
        <v>1.0695237911768629</v>
      </c>
    </row>
    <row r="84" spans="1:16" x14ac:dyDescent="0.35">
      <c r="A84" s="90" t="s">
        <v>106</v>
      </c>
      <c r="B84" s="90" t="s">
        <v>106</v>
      </c>
      <c r="C84" s="91" t="s">
        <v>107</v>
      </c>
      <c r="D84" s="94">
        <v>24.440000534057617</v>
      </c>
      <c r="E84" s="97">
        <v>1.8907450437545776</v>
      </c>
      <c r="F84" s="97">
        <v>38.164836883544922</v>
      </c>
      <c r="G84" s="97">
        <v>4.0125584602355957</v>
      </c>
      <c r="H84" s="97">
        <f t="shared" si="0"/>
        <v>55.608800619840622</v>
      </c>
      <c r="I84" s="97">
        <v>0.32305899262428284</v>
      </c>
      <c r="J84" s="98">
        <f t="shared" si="1"/>
        <v>23.549258096895439</v>
      </c>
      <c r="K84" s="89">
        <f t="shared" si="2"/>
        <v>0.13505321741104126</v>
      </c>
      <c r="L84" s="89">
        <f t="shared" si="3"/>
        <v>3.1804030736287436</v>
      </c>
      <c r="M84" s="89">
        <f t="shared" si="4"/>
        <v>4.0125584602355957</v>
      </c>
      <c r="N84" s="89">
        <f t="shared" si="5"/>
        <v>3.4755500387400389</v>
      </c>
      <c r="O84" s="89">
        <f t="shared" si="6"/>
        <v>1.2616509188746909</v>
      </c>
      <c r="P84" s="89">
        <f t="shared" si="7"/>
        <v>1.0928017481678953</v>
      </c>
    </row>
    <row r="85" spans="1:16" x14ac:dyDescent="0.35">
      <c r="A85" s="90" t="s">
        <v>106</v>
      </c>
      <c r="B85" s="90" t="s">
        <v>106</v>
      </c>
      <c r="C85" s="91" t="s">
        <v>108</v>
      </c>
      <c r="D85" s="94">
        <v>19.690000534057617</v>
      </c>
      <c r="E85" s="97">
        <v>1.939592719078064</v>
      </c>
      <c r="F85" s="97">
        <v>39.201118469238281</v>
      </c>
      <c r="G85" s="97">
        <v>4.3278665542602539</v>
      </c>
      <c r="H85" s="97">
        <f t="shared" si="0"/>
        <v>54.197852462530136</v>
      </c>
      <c r="I85" s="97">
        <v>0.33356979489326477</v>
      </c>
      <c r="J85" s="98">
        <f t="shared" si="1"/>
        <v>23.579506029415356</v>
      </c>
      <c r="K85" s="89">
        <f t="shared" si="2"/>
        <v>0.13854233707700456</v>
      </c>
      <c r="L85" s="89">
        <f t="shared" si="3"/>
        <v>3.2667598724365234</v>
      </c>
      <c r="M85" s="89">
        <f t="shared" si="4"/>
        <v>4.3278665542602539</v>
      </c>
      <c r="N85" s="89">
        <f t="shared" si="5"/>
        <v>3.3873657789081335</v>
      </c>
      <c r="O85" s="89">
        <f t="shared" si="6"/>
        <v>1.3248193082010342</v>
      </c>
      <c r="P85" s="89">
        <f t="shared" si="7"/>
        <v>1.0369191220601273</v>
      </c>
    </row>
    <row r="86" spans="1:16" x14ac:dyDescent="0.35">
      <c r="A86" s="90" t="s">
        <v>106</v>
      </c>
      <c r="B86" s="90" t="s">
        <v>106</v>
      </c>
      <c r="C86" s="91" t="s">
        <v>108</v>
      </c>
      <c r="D86" s="94">
        <v>24.420000076293945</v>
      </c>
      <c r="E86" s="97">
        <v>1.967074990272522</v>
      </c>
      <c r="F86" s="97">
        <v>38.687305450439453</v>
      </c>
      <c r="G86" s="97">
        <v>4.0659365653991699</v>
      </c>
      <c r="H86" s="97">
        <f t="shared" si="0"/>
        <v>54.939191818237305</v>
      </c>
      <c r="I86" s="97">
        <v>0.34049117565155029</v>
      </c>
      <c r="J86" s="98">
        <f t="shared" si="1"/>
        <v>22.945332493870129</v>
      </c>
      <c r="K86" s="89">
        <f t="shared" si="2"/>
        <v>0.14050535644803727</v>
      </c>
      <c r="L86" s="89">
        <f t="shared" si="3"/>
        <v>3.2239421208699546</v>
      </c>
      <c r="M86" s="89">
        <f t="shared" si="4"/>
        <v>4.0659365653991699</v>
      </c>
      <c r="N86" s="89">
        <f t="shared" si="5"/>
        <v>3.4336994886398315</v>
      </c>
      <c r="O86" s="89">
        <f t="shared" si="6"/>
        <v>1.2611692186030963</v>
      </c>
      <c r="P86" s="89">
        <f t="shared" si="7"/>
        <v>1.0650623863288451</v>
      </c>
    </row>
    <row r="87" spans="1:16" x14ac:dyDescent="0.35">
      <c r="A87" s="90" t="s">
        <v>106</v>
      </c>
      <c r="B87" s="90" t="s">
        <v>106</v>
      </c>
      <c r="C87" s="91" t="s">
        <v>108</v>
      </c>
      <c r="D87" s="94">
        <v>18.120000839233398</v>
      </c>
      <c r="E87" s="97">
        <v>1.7990436553955078</v>
      </c>
      <c r="F87" s="97">
        <v>37.079830169677734</v>
      </c>
      <c r="G87" s="97">
        <v>4.3122162818908691</v>
      </c>
      <c r="H87" s="97">
        <f t="shared" si="0"/>
        <v>56.492711097002029</v>
      </c>
      <c r="I87" s="97">
        <v>0.31619879603385925</v>
      </c>
      <c r="J87" s="98">
        <f t="shared" si="1"/>
        <v>24.045998958882208</v>
      </c>
      <c r="K87" s="89">
        <f t="shared" si="2"/>
        <v>0.12850311824253627</v>
      </c>
      <c r="L87" s="89">
        <f t="shared" si="3"/>
        <v>3.0899858474731445</v>
      </c>
      <c r="M87" s="89">
        <f t="shared" si="4"/>
        <v>4.3122162818908691</v>
      </c>
      <c r="N87" s="89">
        <f t="shared" si="5"/>
        <v>3.5307944435626268</v>
      </c>
      <c r="O87" s="89">
        <f t="shared" si="6"/>
        <v>1.3955456415495273</v>
      </c>
      <c r="P87" s="89">
        <f t="shared" si="7"/>
        <v>1.1426571569736983</v>
      </c>
    </row>
    <row r="88" spans="1:16" x14ac:dyDescent="0.35">
      <c r="A88" s="90" t="s">
        <v>106</v>
      </c>
      <c r="B88" s="90" t="s">
        <v>106</v>
      </c>
      <c r="C88" s="91" t="s">
        <v>101</v>
      </c>
      <c r="D88" s="94">
        <v>23.260000228881836</v>
      </c>
      <c r="E88" s="97">
        <v>1.7418664693832397</v>
      </c>
      <c r="F88" s="97">
        <v>35.582023620605469</v>
      </c>
      <c r="G88" s="97">
        <v>3.7495832443237305</v>
      </c>
      <c r="H88" s="97">
        <f t="shared" si="0"/>
        <v>58.603600412607193</v>
      </c>
      <c r="I88" s="97">
        <v>0.32292625308036804</v>
      </c>
      <c r="J88" s="98">
        <f t="shared" si="1"/>
        <v>23.832114355703212</v>
      </c>
      <c r="K88" s="89">
        <f t="shared" si="2"/>
        <v>0.12441903352737427</v>
      </c>
      <c r="L88" s="89">
        <f t="shared" si="3"/>
        <v>2.9651686350504556</v>
      </c>
      <c r="M88" s="89">
        <f t="shared" si="4"/>
        <v>3.7495832443237305</v>
      </c>
      <c r="N88" s="89">
        <f t="shared" si="5"/>
        <v>3.6627250257879496</v>
      </c>
      <c r="O88" s="89">
        <f t="shared" si="6"/>
        <v>1.2645430010289878</v>
      </c>
      <c r="P88" s="89">
        <f t="shared" si="7"/>
        <v>1.235250158285053</v>
      </c>
    </row>
    <row r="89" spans="1:16" x14ac:dyDescent="0.35">
      <c r="A89" s="90" t="s">
        <v>106</v>
      </c>
      <c r="B89" s="90" t="s">
        <v>106</v>
      </c>
      <c r="C89" s="91" t="s">
        <v>101</v>
      </c>
      <c r="D89" s="94">
        <v>19.930000305175781</v>
      </c>
      <c r="E89" s="97">
        <v>1.9976203441619873</v>
      </c>
      <c r="F89" s="97">
        <v>36.036289215087891</v>
      </c>
      <c r="G89" s="97">
        <v>4.4670991897583008</v>
      </c>
      <c r="H89" s="97">
        <f t="shared" si="0"/>
        <v>57.127367794513702</v>
      </c>
      <c r="I89" s="97">
        <v>0.3716234564781189</v>
      </c>
      <c r="J89" s="98">
        <f t="shared" si="1"/>
        <v>21.046210077140323</v>
      </c>
      <c r="K89" s="89">
        <f t="shared" si="2"/>
        <v>0.14268716744014195</v>
      </c>
      <c r="L89" s="89">
        <f t="shared" si="3"/>
        <v>3.0030241012573242</v>
      </c>
      <c r="M89" s="89">
        <f t="shared" si="4"/>
        <v>4.4670991897583008</v>
      </c>
      <c r="N89" s="89">
        <f t="shared" si="5"/>
        <v>3.5704604871571064</v>
      </c>
      <c r="O89" s="89">
        <f t="shared" si="6"/>
        <v>1.4875335791970463</v>
      </c>
      <c r="P89" s="89">
        <f t="shared" si="7"/>
        <v>1.1889549889600302</v>
      </c>
    </row>
    <row r="90" spans="1:16" x14ac:dyDescent="0.35">
      <c r="A90" s="90" t="s">
        <v>106</v>
      </c>
      <c r="B90" s="90" t="s">
        <v>106</v>
      </c>
      <c r="C90" s="91" t="s">
        <v>101</v>
      </c>
      <c r="D90" s="94">
        <v>25.520000457763672</v>
      </c>
      <c r="E90" s="97">
        <v>1.5498312711715698</v>
      </c>
      <c r="F90" s="97">
        <v>34.171783447265625</v>
      </c>
      <c r="G90" s="97">
        <v>3.5305988788604736</v>
      </c>
      <c r="H90" s="97">
        <f t="shared" si="0"/>
        <v>60.450719922780991</v>
      </c>
      <c r="I90" s="97">
        <v>0.29706647992134094</v>
      </c>
      <c r="J90" s="98">
        <f t="shared" si="1"/>
        <v>25.72349740906937</v>
      </c>
      <c r="K90" s="89">
        <f t="shared" si="2"/>
        <v>0.11070223365511213</v>
      </c>
      <c r="L90" s="89">
        <f t="shared" si="3"/>
        <v>2.8476486206054688</v>
      </c>
      <c r="M90" s="89">
        <f t="shared" si="4"/>
        <v>3.5305988788604736</v>
      </c>
      <c r="N90" s="89">
        <f t="shared" si="5"/>
        <v>3.7781699951738119</v>
      </c>
      <c r="O90" s="89">
        <f t="shared" si="6"/>
        <v>1.2398295398221553</v>
      </c>
      <c r="P90" s="89">
        <f t="shared" si="7"/>
        <v>1.3267683266239831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6</vt:i4>
      </vt:variant>
    </vt:vector>
  </HeadingPairs>
  <TitlesOfParts>
    <vt:vector size="6" baseType="lpstr">
      <vt:lpstr>komposts</vt:lpstr>
      <vt:lpstr>Vizuālais_novērtējums</vt:lpstr>
      <vt:lpstr>vizuālais_statistikai</vt:lpstr>
      <vt:lpstr>pH_Mitrums_masa</vt:lpstr>
      <vt:lpstr>CHNS_pirms</vt:lpstr>
      <vt:lpstr>CHNS_pec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Gustavs Loris</dc:creator>
  <cp:lastModifiedBy>Mikus Kampuss</cp:lastModifiedBy>
  <dcterms:created xsi:type="dcterms:W3CDTF">2021-11-03T15:56:34Z</dcterms:created>
  <dcterms:modified xsi:type="dcterms:W3CDTF">2026-05-28T11:18:45Z</dcterms:modified>
</cp:coreProperties>
</file>