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ietotajs\Documents\Mikus\4SemDarbini\MD\"/>
    </mc:Choice>
  </mc:AlternateContent>
  <xr:revisionPtr revIDLastSave="0" documentId="13_ncr:1_{DFDF10C1-CCA3-412E-94E8-63D82B63CA4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tatistikai" sheetId="2" r:id="rId2"/>
    <sheet name="mean_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AKHvgO0R0SzRa3202tDh3uGrISkSOLJ9HQ+Iu7SQcw=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74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2" i="2"/>
  <c r="T75" i="1"/>
  <c r="S75" i="1"/>
  <c r="R75" i="1"/>
  <c r="Q75" i="1"/>
  <c r="P75" i="1"/>
  <c r="U74" i="1"/>
  <c r="T74" i="1"/>
  <c r="V74" i="1" s="1"/>
  <c r="S74" i="1"/>
  <c r="R74" i="1"/>
  <c r="Q74" i="1"/>
  <c r="P74" i="1"/>
  <c r="T73" i="1"/>
  <c r="S73" i="1"/>
  <c r="R73" i="1"/>
  <c r="Q73" i="1"/>
  <c r="P73" i="1"/>
  <c r="T72" i="1"/>
  <c r="S72" i="1"/>
  <c r="R72" i="1"/>
  <c r="Q72" i="1"/>
  <c r="P72" i="1"/>
  <c r="T71" i="1"/>
  <c r="V71" i="1" s="1"/>
  <c r="S71" i="1"/>
  <c r="R71" i="1"/>
  <c r="Q71" i="1"/>
  <c r="P71" i="1"/>
  <c r="T70" i="1"/>
  <c r="S70" i="1"/>
  <c r="U70" i="1" s="1"/>
  <c r="R70" i="1"/>
  <c r="Q70" i="1"/>
  <c r="P70" i="1"/>
  <c r="T69" i="1"/>
  <c r="V69" i="1" s="1"/>
  <c r="S69" i="1"/>
  <c r="U69" i="1" s="1"/>
  <c r="R69" i="1"/>
  <c r="Q69" i="1"/>
  <c r="P69" i="1"/>
  <c r="T68" i="1"/>
  <c r="S68" i="1"/>
  <c r="U68" i="1" s="1"/>
  <c r="R68" i="1"/>
  <c r="Q68" i="1"/>
  <c r="P68" i="1"/>
  <c r="T67" i="1"/>
  <c r="V67" i="1" s="1"/>
  <c r="S67" i="1"/>
  <c r="U67" i="1" s="1"/>
  <c r="R67" i="1"/>
  <c r="Q67" i="1"/>
  <c r="Y67" i="1" s="1"/>
  <c r="P67" i="1"/>
  <c r="X67" i="1" s="1"/>
  <c r="T66" i="1"/>
  <c r="S66" i="1"/>
  <c r="U66" i="1" s="1"/>
  <c r="R66" i="1"/>
  <c r="Q66" i="1"/>
  <c r="P66" i="1"/>
  <c r="T65" i="1"/>
  <c r="V65" i="1" s="1"/>
  <c r="S65" i="1"/>
  <c r="U65" i="1" s="1"/>
  <c r="R65" i="1"/>
  <c r="Q65" i="1"/>
  <c r="P65" i="1"/>
  <c r="W64" i="1"/>
  <c r="T64" i="1"/>
  <c r="S64" i="1"/>
  <c r="R64" i="1"/>
  <c r="Q64" i="1"/>
  <c r="P64" i="1"/>
  <c r="T63" i="1"/>
  <c r="V63" i="1" s="1"/>
  <c r="S63" i="1"/>
  <c r="U63" i="1" s="1"/>
  <c r="R63" i="1"/>
  <c r="Q63" i="1"/>
  <c r="P63" i="1"/>
  <c r="U62" i="1"/>
  <c r="AB61" i="1" s="1"/>
  <c r="T62" i="1"/>
  <c r="S62" i="1"/>
  <c r="R62" i="1"/>
  <c r="V62" i="1" s="1"/>
  <c r="Q62" i="1"/>
  <c r="P62" i="1"/>
  <c r="U61" i="1"/>
  <c r="T61" i="1"/>
  <c r="V61" i="1" s="1"/>
  <c r="S61" i="1"/>
  <c r="R61" i="1"/>
  <c r="Q61" i="1"/>
  <c r="P61" i="1"/>
  <c r="W61" i="1" s="1"/>
  <c r="T60" i="1"/>
  <c r="S60" i="1"/>
  <c r="R60" i="1"/>
  <c r="Q60" i="1"/>
  <c r="P60" i="1"/>
  <c r="T59" i="1"/>
  <c r="V59" i="1" s="1"/>
  <c r="S59" i="1"/>
  <c r="R59" i="1"/>
  <c r="Q59" i="1"/>
  <c r="P59" i="1"/>
  <c r="U58" i="1"/>
  <c r="T58" i="1"/>
  <c r="S58" i="1"/>
  <c r="R58" i="1"/>
  <c r="V58" i="1" s="1"/>
  <c r="Q58" i="1"/>
  <c r="Z58" i="1" s="1"/>
  <c r="P58" i="1"/>
  <c r="T57" i="1"/>
  <c r="V57" i="1" s="1"/>
  <c r="S57" i="1"/>
  <c r="U57" i="1" s="1"/>
  <c r="R57" i="1"/>
  <c r="Q57" i="1"/>
  <c r="P57" i="1"/>
  <c r="T56" i="1"/>
  <c r="V56" i="1" s="1"/>
  <c r="S56" i="1"/>
  <c r="U56" i="1" s="1"/>
  <c r="R56" i="1"/>
  <c r="Q56" i="1"/>
  <c r="P56" i="1"/>
  <c r="T55" i="1"/>
  <c r="V55" i="1" s="1"/>
  <c r="AD55" i="1" s="1"/>
  <c r="S55" i="1"/>
  <c r="U55" i="1" s="1"/>
  <c r="R55" i="1"/>
  <c r="Q55" i="1"/>
  <c r="Y55" i="1" s="1"/>
  <c r="P55" i="1"/>
  <c r="X55" i="1" s="1"/>
  <c r="T54" i="1"/>
  <c r="S54" i="1"/>
  <c r="U54" i="1" s="1"/>
  <c r="R54" i="1"/>
  <c r="V54" i="1" s="1"/>
  <c r="Q54" i="1"/>
  <c r="P54" i="1"/>
  <c r="U53" i="1"/>
  <c r="T53" i="1"/>
  <c r="V53" i="1" s="1"/>
  <c r="S53" i="1"/>
  <c r="R53" i="1"/>
  <c r="Q53" i="1"/>
  <c r="P53" i="1"/>
  <c r="W52" i="1" s="1"/>
  <c r="T52" i="1"/>
  <c r="S52" i="1"/>
  <c r="R52" i="1"/>
  <c r="Q52" i="1"/>
  <c r="P52" i="1"/>
  <c r="T51" i="1"/>
  <c r="V51" i="1" s="1"/>
  <c r="S51" i="1"/>
  <c r="R51" i="1"/>
  <c r="Q51" i="1"/>
  <c r="P51" i="1"/>
  <c r="X49" i="1" s="1"/>
  <c r="T50" i="1"/>
  <c r="S50" i="1"/>
  <c r="U50" i="1" s="1"/>
  <c r="R50" i="1"/>
  <c r="V50" i="1" s="1"/>
  <c r="Q50" i="1"/>
  <c r="P50" i="1"/>
  <c r="U49" i="1"/>
  <c r="T49" i="1"/>
  <c r="S49" i="1"/>
  <c r="R49" i="1"/>
  <c r="Q49" i="1"/>
  <c r="Z49" i="1" s="1"/>
  <c r="P49" i="1"/>
  <c r="T48" i="1"/>
  <c r="S48" i="1"/>
  <c r="R48" i="1"/>
  <c r="Q48" i="1"/>
  <c r="P48" i="1"/>
  <c r="T47" i="1"/>
  <c r="V47" i="1" s="1"/>
  <c r="S47" i="1"/>
  <c r="R47" i="1"/>
  <c r="Q47" i="1"/>
  <c r="P47" i="1"/>
  <c r="T46" i="1"/>
  <c r="S46" i="1"/>
  <c r="U46" i="1" s="1"/>
  <c r="R46" i="1"/>
  <c r="V46" i="1" s="1"/>
  <c r="Q46" i="1"/>
  <c r="P46" i="1"/>
  <c r="U45" i="1"/>
  <c r="T45" i="1"/>
  <c r="V45" i="1" s="1"/>
  <c r="S45" i="1"/>
  <c r="R45" i="1"/>
  <c r="Q45" i="1"/>
  <c r="P45" i="1"/>
  <c r="T44" i="1"/>
  <c r="S44" i="1"/>
  <c r="R44" i="1"/>
  <c r="Q44" i="1"/>
  <c r="P44" i="1"/>
  <c r="T43" i="1"/>
  <c r="V43" i="1" s="1"/>
  <c r="S43" i="1"/>
  <c r="R43" i="1"/>
  <c r="Q43" i="1"/>
  <c r="Z43" i="1" s="1"/>
  <c r="P43" i="1"/>
  <c r="X43" i="1" s="1"/>
  <c r="T42" i="1"/>
  <c r="S42" i="1"/>
  <c r="U42" i="1" s="1"/>
  <c r="R42" i="1"/>
  <c r="V42" i="1" s="1"/>
  <c r="Q42" i="1"/>
  <c r="P42" i="1"/>
  <c r="U41" i="1"/>
  <c r="T41" i="1"/>
  <c r="V41" i="1" s="1"/>
  <c r="S41" i="1"/>
  <c r="R41" i="1"/>
  <c r="Q41" i="1"/>
  <c r="P41" i="1"/>
  <c r="W40" i="1" s="1"/>
  <c r="T40" i="1"/>
  <c r="S40" i="1"/>
  <c r="R40" i="1"/>
  <c r="Q40" i="1"/>
  <c r="Z40" i="1" s="1"/>
  <c r="P40" i="1"/>
  <c r="T39" i="1"/>
  <c r="V39" i="1" s="1"/>
  <c r="S39" i="1"/>
  <c r="R39" i="1"/>
  <c r="Q39" i="1"/>
  <c r="P39" i="1"/>
  <c r="U38" i="1"/>
  <c r="T38" i="1"/>
  <c r="S38" i="1"/>
  <c r="R38" i="1"/>
  <c r="V38" i="1" s="1"/>
  <c r="Q38" i="1"/>
  <c r="P38" i="1"/>
  <c r="T37" i="1"/>
  <c r="V37" i="1" s="1"/>
  <c r="S37" i="1"/>
  <c r="U37" i="1" s="1"/>
  <c r="R37" i="1"/>
  <c r="Q37" i="1"/>
  <c r="P37" i="1"/>
  <c r="W37" i="1" s="1"/>
  <c r="T36" i="1"/>
  <c r="V36" i="1" s="1"/>
  <c r="S36" i="1"/>
  <c r="R36" i="1"/>
  <c r="Q36" i="1"/>
  <c r="P36" i="1"/>
  <c r="T35" i="1"/>
  <c r="S35" i="1"/>
  <c r="R35" i="1"/>
  <c r="V35" i="1" s="1"/>
  <c r="Q35" i="1"/>
  <c r="P35" i="1"/>
  <c r="U34" i="1"/>
  <c r="T34" i="1"/>
  <c r="S34" i="1"/>
  <c r="R34" i="1"/>
  <c r="Q34" i="1"/>
  <c r="P34" i="1"/>
  <c r="X34" i="1" s="1"/>
  <c r="T33" i="1"/>
  <c r="S33" i="1"/>
  <c r="U33" i="1" s="1"/>
  <c r="R33" i="1"/>
  <c r="Q33" i="1"/>
  <c r="P33" i="1"/>
  <c r="T32" i="1"/>
  <c r="V32" i="1" s="1"/>
  <c r="S32" i="1"/>
  <c r="U32" i="1" s="1"/>
  <c r="R32" i="1"/>
  <c r="Q32" i="1"/>
  <c r="P32" i="1"/>
  <c r="V31" i="1"/>
  <c r="T31" i="1"/>
  <c r="S31" i="1"/>
  <c r="R31" i="1"/>
  <c r="Q31" i="1"/>
  <c r="P31" i="1"/>
  <c r="T30" i="1"/>
  <c r="S30" i="1"/>
  <c r="U30" i="1" s="1"/>
  <c r="R30" i="1"/>
  <c r="Q30" i="1"/>
  <c r="P30" i="1"/>
  <c r="U29" i="1"/>
  <c r="T29" i="1"/>
  <c r="S29" i="1"/>
  <c r="R29" i="1"/>
  <c r="Q29" i="1"/>
  <c r="P29" i="1"/>
  <c r="T28" i="1"/>
  <c r="V28" i="1" s="1"/>
  <c r="S28" i="1"/>
  <c r="U28" i="1" s="1"/>
  <c r="R28" i="1"/>
  <c r="Q28" i="1"/>
  <c r="P28" i="1"/>
  <c r="W28" i="1" s="1"/>
  <c r="V27" i="1"/>
  <c r="T27" i="1"/>
  <c r="S27" i="1"/>
  <c r="R27" i="1"/>
  <c r="Q27" i="1"/>
  <c r="P27" i="1"/>
  <c r="T26" i="1"/>
  <c r="S26" i="1"/>
  <c r="U26" i="1" s="1"/>
  <c r="R26" i="1"/>
  <c r="Q26" i="1"/>
  <c r="P26" i="1"/>
  <c r="U25" i="1"/>
  <c r="T25" i="1"/>
  <c r="S25" i="1"/>
  <c r="R25" i="1"/>
  <c r="Q25" i="1"/>
  <c r="Z25" i="1" s="1"/>
  <c r="P25" i="1"/>
  <c r="T24" i="1"/>
  <c r="S24" i="1"/>
  <c r="R24" i="1"/>
  <c r="Q24" i="1"/>
  <c r="P24" i="1"/>
  <c r="T23" i="1"/>
  <c r="V23" i="1" s="1"/>
  <c r="S23" i="1"/>
  <c r="R23" i="1"/>
  <c r="Q23" i="1"/>
  <c r="P23" i="1"/>
  <c r="T22" i="1"/>
  <c r="S22" i="1"/>
  <c r="R22" i="1"/>
  <c r="Q22" i="1"/>
  <c r="Z22" i="1" s="1"/>
  <c r="P22" i="1"/>
  <c r="U21" i="1"/>
  <c r="T21" i="1"/>
  <c r="S21" i="1"/>
  <c r="R21" i="1"/>
  <c r="Q21" i="1"/>
  <c r="P21" i="1"/>
  <c r="T20" i="1"/>
  <c r="S20" i="1"/>
  <c r="R20" i="1"/>
  <c r="Q20" i="1"/>
  <c r="P20" i="1"/>
  <c r="V19" i="1"/>
  <c r="T19" i="1"/>
  <c r="S19" i="1"/>
  <c r="R19" i="1"/>
  <c r="Q19" i="1"/>
  <c r="Z19" i="1" s="1"/>
  <c r="P19" i="1"/>
  <c r="T18" i="1"/>
  <c r="S18" i="1"/>
  <c r="R18" i="1"/>
  <c r="U18" i="1" s="1"/>
  <c r="Q18" i="1"/>
  <c r="P18" i="1"/>
  <c r="U17" i="1"/>
  <c r="T17" i="1"/>
  <c r="V17" i="1" s="1"/>
  <c r="S17" i="1"/>
  <c r="R17" i="1"/>
  <c r="Q17" i="1"/>
  <c r="P17" i="1"/>
  <c r="X16" i="1" s="1"/>
  <c r="T16" i="1"/>
  <c r="S16" i="1"/>
  <c r="R16" i="1"/>
  <c r="Q16" i="1"/>
  <c r="Z16" i="1" s="1"/>
  <c r="P16" i="1"/>
  <c r="T15" i="1"/>
  <c r="V15" i="1" s="1"/>
  <c r="S15" i="1"/>
  <c r="U15" i="1" s="1"/>
  <c r="R15" i="1"/>
  <c r="Q15" i="1"/>
  <c r="P15" i="1"/>
  <c r="T14" i="1"/>
  <c r="S14" i="1"/>
  <c r="R14" i="1"/>
  <c r="U14" i="1" s="1"/>
  <c r="Q14" i="1"/>
  <c r="P14" i="1"/>
  <c r="T13" i="1"/>
  <c r="S13" i="1"/>
  <c r="U13" i="1" s="1"/>
  <c r="R13" i="1"/>
  <c r="Q13" i="1"/>
  <c r="P13" i="1"/>
  <c r="T12" i="1"/>
  <c r="V12" i="1" s="1"/>
  <c r="S12" i="1"/>
  <c r="U12" i="1" s="1"/>
  <c r="R12" i="1"/>
  <c r="Q12" i="1"/>
  <c r="P12" i="1"/>
  <c r="W10" i="1" s="1"/>
  <c r="V11" i="1"/>
  <c r="T11" i="1"/>
  <c r="S11" i="1"/>
  <c r="R11" i="1"/>
  <c r="Q11" i="1"/>
  <c r="P11" i="1"/>
  <c r="V10" i="1"/>
  <c r="AC10" i="1" s="1"/>
  <c r="T10" i="1"/>
  <c r="S10" i="1"/>
  <c r="R10" i="1"/>
  <c r="U10" i="1" s="1"/>
  <c r="Q10" i="1"/>
  <c r="Y10" i="1" s="1"/>
  <c r="P10" i="1"/>
  <c r="T9" i="1"/>
  <c r="V9" i="1" s="1"/>
  <c r="S9" i="1"/>
  <c r="U9" i="1" s="1"/>
  <c r="R9" i="1"/>
  <c r="Q9" i="1"/>
  <c r="P9" i="1"/>
  <c r="T8" i="1"/>
  <c r="V8" i="1" s="1"/>
  <c r="S8" i="1"/>
  <c r="U8" i="1" s="1"/>
  <c r="R8" i="1"/>
  <c r="Q8" i="1"/>
  <c r="P8" i="1"/>
  <c r="T7" i="1"/>
  <c r="V7" i="1" s="1"/>
  <c r="S7" i="1"/>
  <c r="U7" i="1" s="1"/>
  <c r="R7" i="1"/>
  <c r="Q7" i="1"/>
  <c r="Z7" i="1" s="1"/>
  <c r="P7" i="1"/>
  <c r="V6" i="1"/>
  <c r="T6" i="1"/>
  <c r="S6" i="1"/>
  <c r="R6" i="1"/>
  <c r="U6" i="1" s="1"/>
  <c r="Q6" i="1"/>
  <c r="P6" i="1"/>
  <c r="T5" i="1"/>
  <c r="V5" i="1" s="1"/>
  <c r="S5" i="1"/>
  <c r="U5" i="1" s="1"/>
  <c r="R5" i="1"/>
  <c r="Q5" i="1"/>
  <c r="P5" i="1"/>
  <c r="X4" i="1" s="1"/>
  <c r="W4" i="1"/>
  <c r="T4" i="1"/>
  <c r="S4" i="1"/>
  <c r="R4" i="1"/>
  <c r="Q4" i="1"/>
  <c r="Z4" i="1" s="1"/>
  <c r="P4" i="1"/>
  <c r="AD67" i="1" l="1"/>
  <c r="U20" i="1"/>
  <c r="Z34" i="1"/>
  <c r="U72" i="1"/>
  <c r="U4" i="1"/>
  <c r="Z10" i="1"/>
  <c r="U11" i="1"/>
  <c r="AB10" i="1" s="1"/>
  <c r="V13" i="1"/>
  <c r="AC13" i="1" s="1"/>
  <c r="AB13" i="1"/>
  <c r="U16" i="1"/>
  <c r="U19" i="1"/>
  <c r="AB19" i="1" s="1"/>
  <c r="V20" i="1"/>
  <c r="AC19" i="1" s="1"/>
  <c r="Y22" i="1"/>
  <c r="W22" i="1"/>
  <c r="V24" i="1"/>
  <c r="U31" i="1"/>
  <c r="AA28" i="1" s="1"/>
  <c r="V33" i="1"/>
  <c r="V34" i="1"/>
  <c r="Y34" i="1"/>
  <c r="Z37" i="1"/>
  <c r="U40" i="1"/>
  <c r="U44" i="1"/>
  <c r="X46" i="1"/>
  <c r="W46" i="1"/>
  <c r="V48" i="1"/>
  <c r="V52" i="1"/>
  <c r="Z55" i="1"/>
  <c r="U60" i="1"/>
  <c r="X61" i="1"/>
  <c r="U64" i="1"/>
  <c r="AA64" i="1" s="1"/>
  <c r="V66" i="1"/>
  <c r="AD64" i="1" s="1"/>
  <c r="Z67" i="1"/>
  <c r="V68" i="1"/>
  <c r="AC67" i="1" s="1"/>
  <c r="X70" i="1"/>
  <c r="V70" i="1"/>
  <c r="V72" i="1"/>
  <c r="AC70" i="1" s="1"/>
  <c r="U73" i="1"/>
  <c r="W34" i="1"/>
  <c r="W43" i="1"/>
  <c r="X22" i="1"/>
  <c r="U24" i="1"/>
  <c r="Y43" i="1"/>
  <c r="U48" i="1"/>
  <c r="U52" i="1"/>
  <c r="AA52" i="1" s="1"/>
  <c r="W55" i="1"/>
  <c r="V4" i="1"/>
  <c r="X10" i="1"/>
  <c r="Z13" i="1"/>
  <c r="V16" i="1"/>
  <c r="W19" i="1"/>
  <c r="V21" i="1"/>
  <c r="U22" i="1"/>
  <c r="AB22" i="1" s="1"/>
  <c r="U23" i="1"/>
  <c r="V25" i="1"/>
  <c r="V26" i="1"/>
  <c r="AD25" i="1" s="1"/>
  <c r="V29" i="1"/>
  <c r="AC28" i="1" s="1"/>
  <c r="V30" i="1"/>
  <c r="U36" i="1"/>
  <c r="V40" i="1"/>
  <c r="AC40" i="1" s="1"/>
  <c r="V44" i="1"/>
  <c r="AC43" i="1" s="1"/>
  <c r="W49" i="1"/>
  <c r="V49" i="1"/>
  <c r="X58" i="1"/>
  <c r="V60" i="1"/>
  <c r="AC58" i="1" s="1"/>
  <c r="V64" i="1"/>
  <c r="Z64" i="1"/>
  <c r="Z70" i="1"/>
  <c r="W73" i="1"/>
  <c r="V73" i="1"/>
  <c r="AA10" i="1"/>
  <c r="AB4" i="1"/>
  <c r="AD34" i="1"/>
  <c r="AC34" i="1"/>
  <c r="Z61" i="1"/>
  <c r="AA61" i="1"/>
  <c r="AB7" i="1"/>
  <c r="AA7" i="1"/>
  <c r="Z46" i="1"/>
  <c r="Y46" i="1"/>
  <c r="AB55" i="1"/>
  <c r="AA55" i="1"/>
  <c r="AB16" i="1"/>
  <c r="Y64" i="1"/>
  <c r="W25" i="1"/>
  <c r="X25" i="1"/>
  <c r="AD10" i="1"/>
  <c r="W13" i="1"/>
  <c r="X13" i="1"/>
  <c r="AD13" i="1"/>
  <c r="V14" i="1"/>
  <c r="W16" i="1"/>
  <c r="V18" i="1"/>
  <c r="AC16" i="1" s="1"/>
  <c r="V22" i="1"/>
  <c r="AB40" i="1"/>
  <c r="AA40" i="1"/>
  <c r="AB67" i="1"/>
  <c r="AA67" i="1"/>
  <c r="X7" i="1"/>
  <c r="AA13" i="1"/>
  <c r="X19" i="1"/>
  <c r="U35" i="1"/>
  <c r="AB34" i="1" s="1"/>
  <c r="AD37" i="1"/>
  <c r="AC37" i="1"/>
  <c r="X40" i="1"/>
  <c r="AD40" i="1"/>
  <c r="AD46" i="1"/>
  <c r="AB52" i="1"/>
  <c r="Y70" i="1"/>
  <c r="AA4" i="1"/>
  <c r="Y7" i="1"/>
  <c r="AC7" i="1"/>
  <c r="AD7" i="1"/>
  <c r="AA16" i="1"/>
  <c r="Y19" i="1"/>
  <c r="X28" i="1"/>
  <c r="AD28" i="1"/>
  <c r="U39" i="1"/>
  <c r="AB37" i="1" s="1"/>
  <c r="AC46" i="1"/>
  <c r="U47" i="1"/>
  <c r="AA46" i="1" s="1"/>
  <c r="AD49" i="1"/>
  <c r="AC49" i="1"/>
  <c r="X52" i="1"/>
  <c r="AD52" i="1"/>
  <c r="AC52" i="1"/>
  <c r="AC55" i="1"/>
  <c r="Y58" i="1"/>
  <c r="AB64" i="1"/>
  <c r="U71" i="1"/>
  <c r="U75" i="1"/>
  <c r="AB73" i="1" s="1"/>
  <c r="AD4" i="1"/>
  <c r="AC4" i="1"/>
  <c r="W7" i="1"/>
  <c r="Y13" i="1"/>
  <c r="AD16" i="1"/>
  <c r="Y25" i="1"/>
  <c r="U27" i="1"/>
  <c r="AB25" i="1" s="1"/>
  <c r="Z28" i="1"/>
  <c r="X37" i="1"/>
  <c r="U43" i="1"/>
  <c r="U51" i="1"/>
  <c r="AB49" i="1" s="1"/>
  <c r="Z52" i="1"/>
  <c r="U59" i="1"/>
  <c r="AD61" i="1"/>
  <c r="AC61" i="1"/>
  <c r="X64" i="1"/>
  <c r="AC64" i="1"/>
  <c r="AD70" i="1"/>
  <c r="Z73" i="1"/>
  <c r="X73" i="1"/>
  <c r="V75" i="1"/>
  <c r="AD73" i="1" s="1"/>
  <c r="Y37" i="1"/>
  <c r="Y49" i="1"/>
  <c r="Y61" i="1"/>
  <c r="W67" i="1"/>
  <c r="Y73" i="1"/>
  <c r="Y4" i="1"/>
  <c r="Y16" i="1"/>
  <c r="Y28" i="1"/>
  <c r="Y40" i="1"/>
  <c r="Y52" i="1"/>
  <c r="W58" i="1"/>
  <c r="W70" i="1"/>
  <c r="AB46" i="1" l="1"/>
  <c r="AD58" i="1"/>
  <c r="AA22" i="1"/>
  <c r="AA58" i="1"/>
  <c r="AD43" i="1"/>
  <c r="AA70" i="1"/>
  <c r="AD19" i="1"/>
  <c r="AA19" i="1"/>
  <c r="AC25" i="1"/>
  <c r="AB28" i="1"/>
  <c r="AB58" i="1"/>
  <c r="AB43" i="1"/>
  <c r="AA43" i="1"/>
  <c r="AB70" i="1"/>
  <c r="AA37" i="1"/>
  <c r="AA73" i="1"/>
  <c r="AA49" i="1"/>
  <c r="AA34" i="1"/>
  <c r="AC73" i="1"/>
  <c r="AC22" i="1"/>
  <c r="AD22" i="1"/>
  <c r="AA25" i="1"/>
</calcChain>
</file>

<file path=xl/sharedStrings.xml><?xml version="1.0" encoding="utf-8"?>
<sst xmlns="http://schemas.openxmlformats.org/spreadsheetml/2006/main" count="649" uniqueCount="147">
  <si>
    <t>Paraugs</t>
  </si>
  <si>
    <t>Kondicionēts</t>
  </si>
  <si>
    <t>Pēc 2h ūdenī</t>
  </si>
  <si>
    <t>Pēc 24h ūdenī</t>
  </si>
  <si>
    <t>Ūdens uzsūcamība (%)</t>
  </si>
  <si>
    <r>
      <rPr>
        <sz val="14"/>
        <color theme="1"/>
        <rFont val="Calibri"/>
      </rPr>
      <t>Tilpums, cm</t>
    </r>
    <r>
      <rPr>
        <vertAlign val="superscript"/>
        <sz val="14"/>
        <color theme="1"/>
        <rFont val="Calibri (Body)"/>
      </rPr>
      <t>3</t>
    </r>
  </si>
  <si>
    <t>Tilpuma izmaiņas (%)</t>
  </si>
  <si>
    <t>Vidējā ūdens uzsūc. pa grupām (%)</t>
  </si>
  <si>
    <t>Vidējās tilp. izm. pa grupām (%)</t>
  </si>
  <si>
    <t>Hito apstrāde</t>
  </si>
  <si>
    <t>masa, g</t>
  </si>
  <si>
    <t>biezums, mm</t>
  </si>
  <si>
    <t>platums, mm</t>
  </si>
  <si>
    <t>garums, mm</t>
  </si>
  <si>
    <t>masa</t>
  </si>
  <si>
    <t>biezums</t>
  </si>
  <si>
    <t>platums</t>
  </si>
  <si>
    <t>garums</t>
  </si>
  <si>
    <t>pēc 2h</t>
  </si>
  <si>
    <t>pēc 24h</t>
  </si>
  <si>
    <t>pirms</t>
  </si>
  <si>
    <t>Vid pēc 2h</t>
  </si>
  <si>
    <t>STDEV</t>
  </si>
  <si>
    <t>Vid pēc 24h</t>
  </si>
  <si>
    <t>Bez apstrādes</t>
  </si>
  <si>
    <t>Sl1</t>
  </si>
  <si>
    <t>Sl2</t>
  </si>
  <si>
    <t>Sl3</t>
  </si>
  <si>
    <t>Sl4</t>
  </si>
  <si>
    <t>Sa1</t>
  </si>
  <si>
    <t>Sa2</t>
  </si>
  <si>
    <t>Sa3</t>
  </si>
  <si>
    <t>Sa4</t>
  </si>
  <si>
    <t>Virsmas apstāde</t>
  </si>
  <si>
    <t>Sl11</t>
  </si>
  <si>
    <t>Sl - 22</t>
  </si>
  <si>
    <t>Sl - 23</t>
  </si>
  <si>
    <t>Sl - 31</t>
  </si>
  <si>
    <t>Sl - 32</t>
  </si>
  <si>
    <t>Sl - 41</t>
  </si>
  <si>
    <t>Sl - 42</t>
  </si>
  <si>
    <t>Sa11</t>
  </si>
  <si>
    <t>Sa12</t>
  </si>
  <si>
    <t>Sa21</t>
  </si>
  <si>
    <t>Sa22</t>
  </si>
  <si>
    <t>Saz32</t>
  </si>
  <si>
    <t>Saz33</t>
  </si>
  <si>
    <t>Sa42</t>
  </si>
  <si>
    <t>Sa43</t>
  </si>
  <si>
    <t>substrate</t>
  </si>
  <si>
    <t>layers</t>
  </si>
  <si>
    <t>id</t>
  </si>
  <si>
    <t>time</t>
  </si>
  <si>
    <t>delta_m</t>
  </si>
  <si>
    <t>delta_v</t>
  </si>
  <si>
    <t>BSD1</t>
  </si>
  <si>
    <t>BSD2</t>
  </si>
  <si>
    <t>BSD3</t>
  </si>
  <si>
    <t>BSD4</t>
  </si>
  <si>
    <t>WS1</t>
  </si>
  <si>
    <t>WS2</t>
  </si>
  <si>
    <t>WS3</t>
  </si>
  <si>
    <t>WS4</t>
  </si>
  <si>
    <t>WSz3</t>
  </si>
  <si>
    <t>mean_delta_m</t>
  </si>
  <si>
    <t>sd_delta_m</t>
  </si>
  <si>
    <t>mean_delta_v</t>
  </si>
  <si>
    <t>sd_delta_v</t>
  </si>
  <si>
    <t>0</t>
  </si>
  <si>
    <t>2</t>
  </si>
  <si>
    <t>4</t>
  </si>
  <si>
    <t>24</t>
  </si>
  <si>
    <t>317c</t>
  </si>
  <si>
    <t>321c</t>
  </si>
  <si>
    <t>324c</t>
  </si>
  <si>
    <t>333c</t>
  </si>
  <si>
    <t>337c</t>
  </si>
  <si>
    <t>342c</t>
  </si>
  <si>
    <t>349c</t>
  </si>
  <si>
    <t>353c</t>
  </si>
  <si>
    <t>358c</t>
  </si>
  <si>
    <t>369c</t>
  </si>
  <si>
    <t>373c</t>
  </si>
  <si>
    <t>378c</t>
  </si>
  <si>
    <t>388c</t>
  </si>
  <si>
    <t>391c</t>
  </si>
  <si>
    <t>397c</t>
  </si>
  <si>
    <t>404c</t>
  </si>
  <si>
    <t>412c</t>
  </si>
  <si>
    <t>414c</t>
  </si>
  <si>
    <t>424c</t>
  </si>
  <si>
    <t>432c</t>
  </si>
  <si>
    <t>434c</t>
  </si>
  <si>
    <t>440c</t>
  </si>
  <si>
    <t>444c</t>
  </si>
  <si>
    <t>446c</t>
  </si>
  <si>
    <t>296c</t>
  </si>
  <si>
    <t>299c</t>
  </si>
  <si>
    <t>303c</t>
  </si>
  <si>
    <t>307c</t>
  </si>
  <si>
    <t>310c</t>
  </si>
  <si>
    <t>313c</t>
  </si>
  <si>
    <t>7c</t>
  </si>
  <si>
    <t>11c</t>
  </si>
  <si>
    <t>15c</t>
  </si>
  <si>
    <t>27c</t>
  </si>
  <si>
    <t>31c</t>
  </si>
  <si>
    <t>35c</t>
  </si>
  <si>
    <t>47c</t>
  </si>
  <si>
    <t>51c</t>
  </si>
  <si>
    <t>55c</t>
  </si>
  <si>
    <t>68c</t>
  </si>
  <si>
    <t>72c</t>
  </si>
  <si>
    <t>76c</t>
  </si>
  <si>
    <t>88c</t>
  </si>
  <si>
    <t>92c</t>
  </si>
  <si>
    <t>96c</t>
  </si>
  <si>
    <t>108c</t>
  </si>
  <si>
    <t>112c</t>
  </si>
  <si>
    <t>116c</t>
  </si>
  <si>
    <t>129c</t>
  </si>
  <si>
    <t>134c</t>
  </si>
  <si>
    <t>138c</t>
  </si>
  <si>
    <t>151c</t>
  </si>
  <si>
    <t>155c</t>
  </si>
  <si>
    <t>160c</t>
  </si>
  <si>
    <t>192c</t>
  </si>
  <si>
    <t>199c</t>
  </si>
  <si>
    <t>201c</t>
  </si>
  <si>
    <t>231c</t>
  </si>
  <si>
    <t>240c</t>
  </si>
  <si>
    <t>243c</t>
  </si>
  <si>
    <t>256c</t>
  </si>
  <si>
    <t>265c</t>
  </si>
  <si>
    <t>271c</t>
  </si>
  <si>
    <t>275c</t>
  </si>
  <si>
    <t>283c</t>
  </si>
  <si>
    <t>288c</t>
  </si>
  <si>
    <t>167c</t>
  </si>
  <si>
    <t>171c</t>
  </si>
  <si>
    <t>176c</t>
  </si>
  <si>
    <t>212c</t>
  </si>
  <si>
    <t>215c</t>
  </si>
  <si>
    <t>224c</t>
  </si>
  <si>
    <t>tilpums</t>
  </si>
  <si>
    <t>tilpumprocenti</t>
  </si>
  <si>
    <t>ūdens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</si>
</sst>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Calibri"/>
    </font>
    <font>
      <sz val="11"/>
      <name val="Calibri"/>
    </font>
    <font>
      <sz val="14"/>
      <color theme="1"/>
      <name val="Calibri"/>
    </font>
    <font>
      <sz val="12"/>
      <color rgb="FF1CAC20"/>
      <name val="Calibri"/>
    </font>
    <font>
      <sz val="11"/>
      <color theme="1"/>
      <name val="Calibri"/>
      <scheme val="minor"/>
    </font>
    <font>
      <sz val="12"/>
      <color theme="1"/>
      <name val="Calibri"/>
    </font>
    <font>
      <sz val="11"/>
      <color theme="1"/>
      <name val="Arial"/>
    </font>
    <font>
      <vertAlign val="superscript"/>
      <sz val="14"/>
      <color theme="1"/>
      <name val="Calibri (Body)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1" xfId="0" applyFont="1" applyBorder="1"/>
    <xf numFmtId="0" fontId="1" fillId="0" borderId="8" xfId="0" applyFont="1" applyBorder="1"/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5" fillId="0" borderId="18" xfId="0" applyFont="1" applyBorder="1"/>
    <xf numFmtId="0" fontId="1" fillId="0" borderId="19" xfId="0" applyFont="1" applyBorder="1"/>
    <xf numFmtId="0" fontId="1" fillId="0" borderId="18" xfId="0" applyFont="1" applyBorder="1"/>
    <xf numFmtId="0" fontId="1" fillId="0" borderId="20" xfId="0" applyFont="1" applyBorder="1"/>
    <xf numFmtId="0" fontId="6" fillId="0" borderId="21" xfId="0" applyFont="1" applyBorder="1"/>
    <xf numFmtId="0" fontId="1" fillId="0" borderId="22" xfId="0" applyFont="1" applyBorder="1"/>
    <xf numFmtId="164" fontId="1" fillId="0" borderId="19" xfId="0" applyNumberFormat="1" applyFont="1" applyBorder="1"/>
    <xf numFmtId="164" fontId="1" fillId="0" borderId="21" xfId="0" applyNumberFormat="1" applyFont="1" applyBorder="1"/>
    <xf numFmtId="165" fontId="1" fillId="0" borderId="7" xfId="0" applyNumberFormat="1" applyFont="1" applyBorder="1"/>
    <xf numFmtId="165" fontId="1" fillId="0" borderId="21" xfId="0" applyNumberFormat="1" applyFont="1" applyBorder="1"/>
    <xf numFmtId="165" fontId="1" fillId="0" borderId="22" xfId="0" applyNumberFormat="1" applyFont="1" applyBorder="1"/>
    <xf numFmtId="2" fontId="1" fillId="0" borderId="21" xfId="0" applyNumberFormat="1" applyFont="1" applyBorder="1"/>
    <xf numFmtId="164" fontId="1" fillId="0" borderId="17" xfId="0" applyNumberFormat="1" applyFont="1" applyBorder="1" applyAlignment="1">
      <alignment vertical="center"/>
    </xf>
    <xf numFmtId="2" fontId="4" fillId="0" borderId="23" xfId="0" applyNumberFormat="1" applyFont="1" applyBorder="1" applyAlignment="1">
      <alignment vertical="center"/>
    </xf>
    <xf numFmtId="164" fontId="1" fillId="0" borderId="23" xfId="0" applyNumberFormat="1" applyFont="1" applyBorder="1" applyAlignment="1">
      <alignment vertical="center"/>
    </xf>
    <xf numFmtId="2" fontId="4" fillId="0" borderId="24" xfId="0" applyNumberFormat="1" applyFont="1" applyBorder="1" applyAlignment="1">
      <alignment vertical="center"/>
    </xf>
    <xf numFmtId="2" fontId="1" fillId="0" borderId="23" xfId="0" applyNumberFormat="1" applyFont="1" applyBorder="1" applyAlignment="1">
      <alignment vertical="center"/>
    </xf>
    <xf numFmtId="0" fontId="1" fillId="0" borderId="25" xfId="0" applyFont="1" applyBorder="1"/>
    <xf numFmtId="0" fontId="1" fillId="0" borderId="26" xfId="0" applyFont="1" applyBorder="1" applyAlignment="1">
      <alignment vertical="center"/>
    </xf>
    <xf numFmtId="0" fontId="5" fillId="0" borderId="27" xfId="0" applyFont="1" applyBorder="1"/>
    <xf numFmtId="0" fontId="1" fillId="0" borderId="28" xfId="0" applyFont="1" applyBorder="1"/>
    <xf numFmtId="0" fontId="1" fillId="0" borderId="27" xfId="0" applyFont="1" applyBorder="1"/>
    <xf numFmtId="0" fontId="1" fillId="0" borderId="21" xfId="0" applyFont="1" applyBorder="1"/>
    <xf numFmtId="0" fontId="1" fillId="0" borderId="29" xfId="0" applyFont="1" applyBorder="1"/>
    <xf numFmtId="164" fontId="1" fillId="0" borderId="28" xfId="0" applyNumberFormat="1" applyFont="1" applyBorder="1"/>
    <xf numFmtId="165" fontId="1" fillId="0" borderId="26" xfId="0" applyNumberFormat="1" applyFont="1" applyBorder="1"/>
    <xf numFmtId="165" fontId="1" fillId="0" borderId="29" xfId="0" applyNumberFormat="1" applyFont="1" applyBorder="1"/>
    <xf numFmtId="0" fontId="1" fillId="0" borderId="30" xfId="0" applyFont="1" applyBorder="1" applyAlignment="1">
      <alignment vertical="center"/>
    </xf>
    <xf numFmtId="2" fontId="4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2" fontId="4" fillId="0" borderId="31" xfId="0" applyNumberFormat="1" applyFont="1" applyBorder="1" applyAlignment="1">
      <alignment vertical="center"/>
    </xf>
    <xf numFmtId="2" fontId="1" fillId="0" borderId="0" xfId="0" applyNumberFormat="1" applyFont="1" applyAlignment="1">
      <alignment vertical="center"/>
    </xf>
    <xf numFmtId="164" fontId="1" fillId="0" borderId="30" xfId="0" applyNumberFormat="1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0" fontId="7" fillId="0" borderId="26" xfId="0" applyFont="1" applyBorder="1" applyAlignment="1">
      <alignment vertical="center"/>
    </xf>
    <xf numFmtId="164" fontId="7" fillId="0" borderId="30" xfId="0" applyNumberFormat="1" applyFont="1" applyBorder="1" applyAlignment="1">
      <alignment vertical="center"/>
    </xf>
    <xf numFmtId="164" fontId="7" fillId="0" borderId="0" xfId="0" applyNumberFormat="1" applyFont="1" applyAlignment="1">
      <alignment vertical="center"/>
    </xf>
    <xf numFmtId="2" fontId="7" fillId="0" borderId="0" xfId="0" applyNumberFormat="1" applyFont="1" applyAlignment="1">
      <alignment vertical="center"/>
    </xf>
    <xf numFmtId="0" fontId="7" fillId="0" borderId="3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24" xfId="0" applyFont="1" applyBorder="1" applyAlignment="1">
      <alignment vertical="center"/>
    </xf>
    <xf numFmtId="0" fontId="5" fillId="0" borderId="16" xfId="0" applyFont="1" applyBorder="1"/>
    <xf numFmtId="0" fontId="1" fillId="0" borderId="14" xfId="0" applyFont="1" applyBorder="1"/>
    <xf numFmtId="0" fontId="1" fillId="0" borderId="16" xfId="0" applyFont="1" applyBorder="1"/>
    <xf numFmtId="0" fontId="1" fillId="0" borderId="15" xfId="0" applyFont="1" applyBorder="1"/>
    <xf numFmtId="0" fontId="1" fillId="0" borderId="17" xfId="0" applyFont="1" applyBorder="1"/>
    <xf numFmtId="164" fontId="1" fillId="0" borderId="14" xfId="0" applyNumberFormat="1" applyFont="1" applyBorder="1"/>
    <xf numFmtId="165" fontId="1" fillId="0" borderId="24" xfId="0" applyNumberFormat="1" applyFont="1" applyBorder="1"/>
    <xf numFmtId="165" fontId="1" fillId="0" borderId="17" xfId="0" applyNumberFormat="1" applyFont="1" applyBorder="1"/>
    <xf numFmtId="0" fontId="7" fillId="0" borderId="32" xfId="0" applyFont="1" applyBorder="1" applyAlignment="1">
      <alignment vertical="center"/>
    </xf>
    <xf numFmtId="2" fontId="4" fillId="0" borderId="33" xfId="0" applyNumberFormat="1" applyFont="1" applyBorder="1" applyAlignment="1">
      <alignment vertical="center"/>
    </xf>
    <xf numFmtId="0" fontId="7" fillId="0" borderId="33" xfId="0" applyFont="1" applyBorder="1" applyAlignment="1">
      <alignment vertical="center"/>
    </xf>
    <xf numFmtId="2" fontId="4" fillId="0" borderId="34" xfId="0" applyNumberFormat="1" applyFont="1" applyBorder="1" applyAlignment="1">
      <alignment vertical="center"/>
    </xf>
    <xf numFmtId="2" fontId="7" fillId="0" borderId="33" xfId="0" applyNumberFormat="1" applyFont="1" applyBorder="1" applyAlignment="1">
      <alignment vertical="center"/>
    </xf>
    <xf numFmtId="0" fontId="1" fillId="0" borderId="26" xfId="0" applyFont="1" applyBorder="1"/>
    <xf numFmtId="0" fontId="1" fillId="0" borderId="35" xfId="0" applyFont="1" applyBorder="1"/>
    <xf numFmtId="0" fontId="6" fillId="0" borderId="30" xfId="0" applyFont="1" applyBorder="1"/>
    <xf numFmtId="0" fontId="6" fillId="0" borderId="31" xfId="0" applyFont="1" applyBorder="1"/>
    <xf numFmtId="0" fontId="6" fillId="0" borderId="0" xfId="0" applyFont="1"/>
    <xf numFmtId="0" fontId="8" fillId="0" borderId="21" xfId="0" applyFont="1" applyBorder="1"/>
    <xf numFmtId="165" fontId="1" fillId="0" borderId="14" xfId="0" applyNumberFormat="1" applyFont="1" applyBorder="1"/>
    <xf numFmtId="0" fontId="1" fillId="0" borderId="36" xfId="0" applyFont="1" applyBorder="1"/>
    <xf numFmtId="0" fontId="6" fillId="0" borderId="32" xfId="0" applyFont="1" applyBorder="1"/>
    <xf numFmtId="0" fontId="6" fillId="0" borderId="33" xfId="0" applyFont="1" applyBorder="1"/>
    <xf numFmtId="0" fontId="6" fillId="0" borderId="34" xfId="0" applyFont="1" applyBorder="1"/>
    <xf numFmtId="164" fontId="6" fillId="0" borderId="0" xfId="0" applyNumberFormat="1" applyFont="1"/>
    <xf numFmtId="2" fontId="6" fillId="0" borderId="0" xfId="0" applyNumberFormat="1" applyFont="1"/>
    <xf numFmtId="0" fontId="10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9" xfId="0" applyFont="1" applyBorder="1"/>
    <xf numFmtId="0" fontId="3" fillId="0" borderId="10" xfId="0" applyFont="1" applyBorder="1"/>
    <xf numFmtId="0" fontId="4" fillId="0" borderId="4" xfId="0" applyFont="1" applyBorder="1" applyAlignment="1">
      <alignment horizontal="center" vertical="center"/>
    </xf>
    <xf numFmtId="0" fontId="3" fillId="0" borderId="7" xfId="0" applyFont="1" applyBorder="1"/>
  </cellXfs>
  <cellStyles count="1">
    <cellStyle name="Parast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D1000"/>
  <sheetViews>
    <sheetView zoomScale="55" zoomScaleNormal="55" workbookViewId="0">
      <selection activeCell="D4" sqref="D4:D5"/>
    </sheetView>
  </sheetViews>
  <sheetFormatPr defaultColWidth="14.453125" defaultRowHeight="15" customHeight="1"/>
  <cols>
    <col min="1" max="1" width="13.26953125" customWidth="1"/>
    <col min="2" max="4" width="8.7265625" customWidth="1"/>
    <col min="5" max="5" width="12.26953125" customWidth="1"/>
    <col min="6" max="6" width="14.81640625" customWidth="1"/>
    <col min="7" max="7" width="16.453125" customWidth="1"/>
    <col min="8" max="8" width="8.7265625" customWidth="1"/>
    <col min="9" max="9" width="10.7265625" customWidth="1"/>
    <col min="10" max="16" width="8.7265625" customWidth="1"/>
    <col min="17" max="17" width="19.26953125" customWidth="1"/>
    <col min="18" max="18" width="15.453125" customWidth="1"/>
    <col min="19" max="19" width="10.453125" customWidth="1"/>
    <col min="20" max="21" width="8.7265625" customWidth="1"/>
    <col min="22" max="22" width="20" customWidth="1"/>
    <col min="23" max="23" width="14" customWidth="1"/>
    <col min="24" max="24" width="16.453125" customWidth="1"/>
    <col min="25" max="25" width="15.81640625" customWidth="1"/>
    <col min="26" max="26" width="12.26953125" customWidth="1"/>
    <col min="27" max="27" width="13.1796875" customWidth="1"/>
    <col min="28" max="28" width="8.7265625" customWidth="1"/>
    <col min="29" max="29" width="18.1796875" customWidth="1"/>
    <col min="30" max="30" width="8.7265625" customWidth="1"/>
  </cols>
  <sheetData>
    <row r="2" spans="1:30" ht="21.5">
      <c r="A2" s="1"/>
      <c r="B2" s="85" t="s">
        <v>0</v>
      </c>
      <c r="C2" s="86"/>
      <c r="D2" s="89" t="s">
        <v>1</v>
      </c>
      <c r="E2" s="83"/>
      <c r="F2" s="83"/>
      <c r="G2" s="84"/>
      <c r="H2" s="82" t="s">
        <v>2</v>
      </c>
      <c r="I2" s="83"/>
      <c r="J2" s="83"/>
      <c r="K2" s="84"/>
      <c r="L2" s="82" t="s">
        <v>3</v>
      </c>
      <c r="M2" s="83"/>
      <c r="N2" s="83"/>
      <c r="O2" s="90"/>
      <c r="P2" s="82" t="s">
        <v>4</v>
      </c>
      <c r="Q2" s="84"/>
      <c r="R2" s="82" t="s">
        <v>5</v>
      </c>
      <c r="S2" s="83"/>
      <c r="T2" s="84"/>
      <c r="U2" s="82" t="s">
        <v>6</v>
      </c>
      <c r="V2" s="90"/>
      <c r="W2" s="82" t="s">
        <v>7</v>
      </c>
      <c r="X2" s="83"/>
      <c r="Y2" s="83"/>
      <c r="Z2" s="84"/>
      <c r="AA2" s="82" t="s">
        <v>8</v>
      </c>
      <c r="AB2" s="83"/>
      <c r="AC2" s="83"/>
      <c r="AD2" s="84"/>
    </row>
    <row r="3" spans="1:30" ht="18.5">
      <c r="A3" s="2" t="s">
        <v>9</v>
      </c>
      <c r="B3" s="87"/>
      <c r="C3" s="88"/>
      <c r="D3" s="3" t="s">
        <v>10</v>
      </c>
      <c r="E3" s="4" t="s">
        <v>11</v>
      </c>
      <c r="F3" s="4" t="s">
        <v>12</v>
      </c>
      <c r="G3" s="5" t="s">
        <v>13</v>
      </c>
      <c r="H3" s="6" t="s">
        <v>14</v>
      </c>
      <c r="I3" s="7" t="s">
        <v>15</v>
      </c>
      <c r="J3" s="7" t="s">
        <v>16</v>
      </c>
      <c r="K3" s="8" t="s">
        <v>17</v>
      </c>
      <c r="L3" s="6" t="s">
        <v>14</v>
      </c>
      <c r="M3" s="7" t="s">
        <v>15</v>
      </c>
      <c r="N3" s="7" t="s">
        <v>16</v>
      </c>
      <c r="O3" s="9" t="s">
        <v>17</v>
      </c>
      <c r="P3" s="3" t="s">
        <v>18</v>
      </c>
      <c r="Q3" s="8" t="s">
        <v>19</v>
      </c>
      <c r="R3" s="3" t="s">
        <v>20</v>
      </c>
      <c r="S3" s="7" t="s">
        <v>18</v>
      </c>
      <c r="T3" s="5" t="s">
        <v>19</v>
      </c>
      <c r="U3" s="6" t="s">
        <v>18</v>
      </c>
      <c r="V3" s="9" t="s">
        <v>19</v>
      </c>
      <c r="W3" s="10" t="s">
        <v>21</v>
      </c>
      <c r="X3" s="11" t="s">
        <v>22</v>
      </c>
      <c r="Y3" s="11" t="s">
        <v>23</v>
      </c>
      <c r="Z3" s="12" t="s">
        <v>22</v>
      </c>
      <c r="AA3" s="10" t="s">
        <v>21</v>
      </c>
      <c r="AB3" s="11" t="s">
        <v>22</v>
      </c>
      <c r="AC3" s="11" t="s">
        <v>23</v>
      </c>
      <c r="AD3" s="12" t="s">
        <v>22</v>
      </c>
    </row>
    <row r="4" spans="1:30" ht="15.75" customHeight="1">
      <c r="A4" s="1" t="s">
        <v>24</v>
      </c>
      <c r="B4" s="13" t="s">
        <v>25</v>
      </c>
      <c r="C4" s="14">
        <v>317</v>
      </c>
      <c r="D4" s="15">
        <v>7</v>
      </c>
      <c r="E4" s="16">
        <v>30.66</v>
      </c>
      <c r="F4" s="17">
        <v>30.07</v>
      </c>
      <c r="G4" s="17">
        <v>30.23</v>
      </c>
      <c r="H4" s="15">
        <v>28.9</v>
      </c>
      <c r="I4" s="18">
        <v>31.96</v>
      </c>
      <c r="J4" s="17">
        <v>30.79</v>
      </c>
      <c r="K4" s="16">
        <v>30.66</v>
      </c>
      <c r="L4" s="15">
        <v>30.3</v>
      </c>
      <c r="M4" s="17">
        <v>31.26</v>
      </c>
      <c r="N4" s="17">
        <v>30.81</v>
      </c>
      <c r="O4" s="19">
        <v>30.43</v>
      </c>
      <c r="P4" s="20">
        <f t="shared" ref="P4:P75" si="0">(H4-D4)/D4*100</f>
        <v>312.85714285714283</v>
      </c>
      <c r="Q4" s="21">
        <f t="shared" ref="Q4:Q75" si="1">(L4-D4)/D4*100</f>
        <v>332.85714285714289</v>
      </c>
      <c r="R4" s="22">
        <f t="shared" ref="R4:R75" si="2">G4*F4*E4/1000</f>
        <v>27.870433626000001</v>
      </c>
      <c r="S4" s="23">
        <f t="shared" ref="S4:S38" si="3">I4*J4*K4/1000</f>
        <v>30.170923944000002</v>
      </c>
      <c r="T4" s="24">
        <f t="shared" ref="T4:T75" si="4">M4*N4*O4/1000</f>
        <v>29.307759857999997</v>
      </c>
      <c r="U4" s="25">
        <f t="shared" ref="U4:U75" si="5">(S4-R4)/R4*100</f>
        <v>8.2542322407710973</v>
      </c>
      <c r="V4" s="25">
        <f t="shared" ref="V4:V75" si="6">(T4-R4)/R4*100</f>
        <v>5.1571721175487273</v>
      </c>
      <c r="W4" s="26">
        <f>AVERAGE(P4:P6)</f>
        <v>301.38843597140345</v>
      </c>
      <c r="X4" s="27">
        <f>_xlfn.STDEV.S(P4:P6)</f>
        <v>16.60026474158829</v>
      </c>
      <c r="Y4" s="28">
        <f>AVERAGE(Q4:Q6)</f>
        <v>326.81424808729463</v>
      </c>
      <c r="Z4" s="29">
        <f>_xlfn.STDEV.S(Q4:Q6)</f>
        <v>13.117259542256821</v>
      </c>
      <c r="AA4" s="30">
        <f>AVERAGE(U4:U6)</f>
        <v>7.6233142594070342</v>
      </c>
      <c r="AB4" s="27">
        <f>_xlfn.STDEV.S(U4:U6)</f>
        <v>0.67535454522909621</v>
      </c>
      <c r="AC4" s="30">
        <f>AVERAGE(V4:V6)</f>
        <v>6.9653434106658771</v>
      </c>
      <c r="AD4" s="29">
        <f>_xlfn.STDEV.S(V4:V6)</f>
        <v>2.2083768810818576</v>
      </c>
    </row>
    <row r="5" spans="1:30" ht="15.75" customHeight="1">
      <c r="A5" s="31"/>
      <c r="B5" s="32"/>
      <c r="C5" s="33">
        <v>321</v>
      </c>
      <c r="D5" s="34">
        <v>6.7</v>
      </c>
      <c r="E5" s="35">
        <v>30.53</v>
      </c>
      <c r="F5" s="36">
        <v>30.11</v>
      </c>
      <c r="G5" s="36">
        <v>30.33</v>
      </c>
      <c r="H5" s="34">
        <v>27.4</v>
      </c>
      <c r="I5" s="18">
        <v>31.98</v>
      </c>
      <c r="J5" s="36">
        <v>30.52</v>
      </c>
      <c r="K5" s="35">
        <v>30.54</v>
      </c>
      <c r="L5" s="34">
        <v>29.2</v>
      </c>
      <c r="M5" s="36">
        <v>32.19</v>
      </c>
      <c r="N5" s="36">
        <v>30.28</v>
      </c>
      <c r="O5" s="37">
        <v>30.41</v>
      </c>
      <c r="P5" s="38">
        <f t="shared" si="0"/>
        <v>308.95522388059698</v>
      </c>
      <c r="Q5" s="21">
        <f t="shared" si="1"/>
        <v>335.82089552238801</v>
      </c>
      <c r="R5" s="39">
        <f t="shared" si="2"/>
        <v>27.881104238999999</v>
      </c>
      <c r="S5" s="23">
        <f t="shared" si="3"/>
        <v>29.807943983999998</v>
      </c>
      <c r="T5" s="40">
        <f t="shared" si="4"/>
        <v>29.641028411999997</v>
      </c>
      <c r="U5" s="25">
        <f t="shared" si="5"/>
        <v>6.9109161835302828</v>
      </c>
      <c r="V5" s="25">
        <f t="shared" si="6"/>
        <v>6.3122470254898371</v>
      </c>
      <c r="W5" s="41"/>
      <c r="X5" s="42"/>
      <c r="Y5" s="43"/>
      <c r="Z5" s="44"/>
      <c r="AA5" s="45"/>
      <c r="AB5" s="42"/>
      <c r="AC5" s="45"/>
      <c r="AD5" s="44"/>
    </row>
    <row r="6" spans="1:30" ht="15.75" customHeight="1">
      <c r="A6" s="31"/>
      <c r="B6" s="32"/>
      <c r="C6" s="33">
        <v>324</v>
      </c>
      <c r="D6" s="34">
        <v>6.8</v>
      </c>
      <c r="E6" s="35">
        <v>30.3</v>
      </c>
      <c r="F6" s="36">
        <v>30.09</v>
      </c>
      <c r="G6" s="36">
        <v>30.06</v>
      </c>
      <c r="H6" s="34">
        <v>26</v>
      </c>
      <c r="I6" s="18">
        <v>31.93</v>
      </c>
      <c r="J6" s="36">
        <v>30.42</v>
      </c>
      <c r="K6" s="35">
        <v>30.39</v>
      </c>
      <c r="L6" s="34">
        <v>28</v>
      </c>
      <c r="M6" s="36">
        <v>31.82</v>
      </c>
      <c r="N6" s="36">
        <v>30.68</v>
      </c>
      <c r="O6" s="37">
        <v>30.72</v>
      </c>
      <c r="P6" s="38">
        <f t="shared" si="0"/>
        <v>282.35294117647061</v>
      </c>
      <c r="Q6" s="21">
        <f t="shared" si="1"/>
        <v>311.76470588235293</v>
      </c>
      <c r="R6" s="39">
        <f t="shared" si="2"/>
        <v>27.406513620000002</v>
      </c>
      <c r="S6" s="23">
        <f t="shared" si="3"/>
        <v>29.518129134000002</v>
      </c>
      <c r="T6" s="40">
        <f t="shared" si="4"/>
        <v>29.990019071999999</v>
      </c>
      <c r="U6" s="25">
        <f t="shared" si="5"/>
        <v>7.7047943539197234</v>
      </c>
      <c r="V6" s="25">
        <f t="shared" si="6"/>
        <v>9.4266110889590671</v>
      </c>
      <c r="W6" s="41"/>
      <c r="X6" s="42"/>
      <c r="Y6" s="43"/>
      <c r="Z6" s="44"/>
      <c r="AA6" s="45"/>
      <c r="AB6" s="42"/>
      <c r="AC6" s="45"/>
      <c r="AD6" s="44"/>
    </row>
    <row r="7" spans="1:30" ht="15.75" customHeight="1">
      <c r="A7" s="31"/>
      <c r="B7" s="32" t="s">
        <v>26</v>
      </c>
      <c r="C7" s="33">
        <v>333</v>
      </c>
      <c r="D7" s="34">
        <v>4</v>
      </c>
      <c r="E7" s="35">
        <v>29.72</v>
      </c>
      <c r="F7" s="36">
        <v>30</v>
      </c>
      <c r="G7" s="36">
        <v>30.25</v>
      </c>
      <c r="H7" s="34">
        <v>24.7</v>
      </c>
      <c r="I7" s="18">
        <v>30.12</v>
      </c>
      <c r="J7" s="36">
        <v>30.22</v>
      </c>
      <c r="K7" s="35">
        <v>30.42</v>
      </c>
      <c r="L7" s="34">
        <v>26.8</v>
      </c>
      <c r="M7" s="36">
        <v>30.34</v>
      </c>
      <c r="N7" s="36">
        <v>30.23</v>
      </c>
      <c r="O7" s="37">
        <v>30.16</v>
      </c>
      <c r="P7" s="38">
        <f t="shared" si="0"/>
        <v>517.5</v>
      </c>
      <c r="Q7" s="21">
        <f t="shared" si="1"/>
        <v>570</v>
      </c>
      <c r="R7" s="39">
        <f t="shared" si="2"/>
        <v>26.970899999999997</v>
      </c>
      <c r="S7" s="23">
        <f t="shared" si="3"/>
        <v>27.689087088000001</v>
      </c>
      <c r="T7" s="40">
        <f t="shared" si="4"/>
        <v>27.662094512000003</v>
      </c>
      <c r="U7" s="25">
        <f t="shared" si="5"/>
        <v>2.6628221082722647</v>
      </c>
      <c r="V7" s="25">
        <f t="shared" si="6"/>
        <v>2.5627417401718384</v>
      </c>
      <c r="W7" s="26">
        <f>AVERAGE(P7:P9)</f>
        <v>530.29914529914538</v>
      </c>
      <c r="X7" s="27">
        <f>_xlfn.STDEV.S(P7:P9)</f>
        <v>11.113309282890572</v>
      </c>
      <c r="Y7" s="28">
        <f>AVERAGE(Q7:Q9)</f>
        <v>563.88888888888891</v>
      </c>
      <c r="Z7" s="29">
        <f>_xlfn.STDEV.S(Q7:Q9)</f>
        <v>7.8763593770876943</v>
      </c>
      <c r="AA7" s="30">
        <f>AVERAGE(U7:U9)</f>
        <v>3.2403621047968301</v>
      </c>
      <c r="AB7" s="27">
        <f>_xlfn.STDEV.S(U7:U9)</f>
        <v>1.4356313716497495</v>
      </c>
      <c r="AC7" s="30">
        <f>AVERAGE(V7:V9)</f>
        <v>3.1376912333028977</v>
      </c>
      <c r="AD7" s="29">
        <f>_xlfn.STDEV.S(V7:V9)</f>
        <v>1.8930777933399465</v>
      </c>
    </row>
    <row r="8" spans="1:30" ht="15.75" customHeight="1">
      <c r="A8" s="31"/>
      <c r="B8" s="32"/>
      <c r="C8" s="33">
        <v>337</v>
      </c>
      <c r="D8" s="34">
        <v>3.9</v>
      </c>
      <c r="E8" s="35">
        <v>29.2</v>
      </c>
      <c r="F8" s="36">
        <v>29.86</v>
      </c>
      <c r="G8" s="36">
        <v>30.19</v>
      </c>
      <c r="H8" s="34">
        <v>24.8</v>
      </c>
      <c r="I8" s="18">
        <v>30.42</v>
      </c>
      <c r="J8" s="36">
        <v>30.01</v>
      </c>
      <c r="K8" s="35">
        <v>30.24</v>
      </c>
      <c r="L8" s="34">
        <v>26</v>
      </c>
      <c r="M8" s="36">
        <v>30.95</v>
      </c>
      <c r="N8" s="36">
        <v>29.72</v>
      </c>
      <c r="O8" s="37">
        <v>30.12</v>
      </c>
      <c r="P8" s="38">
        <f t="shared" si="0"/>
        <v>535.89743589743591</v>
      </c>
      <c r="Q8" s="21">
        <f t="shared" si="1"/>
        <v>566.66666666666674</v>
      </c>
      <c r="R8" s="39">
        <f t="shared" si="2"/>
        <v>26.323023279999997</v>
      </c>
      <c r="S8" s="23">
        <f t="shared" si="3"/>
        <v>27.606223008000001</v>
      </c>
      <c r="T8" s="40">
        <f t="shared" si="4"/>
        <v>27.70540008</v>
      </c>
      <c r="U8" s="25">
        <f t="shared" si="5"/>
        <v>4.8748189535469013</v>
      </c>
      <c r="V8" s="25">
        <f t="shared" si="6"/>
        <v>5.251588259051994</v>
      </c>
      <c r="W8" s="41"/>
      <c r="X8" s="42"/>
      <c r="Y8" s="43"/>
      <c r="Z8" s="44"/>
      <c r="AA8" s="45"/>
      <c r="AB8" s="42"/>
      <c r="AC8" s="45"/>
      <c r="AD8" s="44"/>
    </row>
    <row r="9" spans="1:30" ht="15.75" customHeight="1">
      <c r="A9" s="31"/>
      <c r="B9" s="32"/>
      <c r="C9" s="33">
        <v>342</v>
      </c>
      <c r="D9" s="34">
        <v>4</v>
      </c>
      <c r="E9" s="35">
        <v>29.37</v>
      </c>
      <c r="F9" s="36">
        <v>30.01</v>
      </c>
      <c r="G9" s="36">
        <v>30.43</v>
      </c>
      <c r="H9" s="34">
        <v>25.5</v>
      </c>
      <c r="I9" s="18">
        <v>30.28</v>
      </c>
      <c r="J9" s="36">
        <v>30</v>
      </c>
      <c r="K9" s="35">
        <v>30.17</v>
      </c>
      <c r="L9" s="34">
        <v>26.2</v>
      </c>
      <c r="M9" s="36">
        <v>30.42</v>
      </c>
      <c r="N9" s="36">
        <v>29.77</v>
      </c>
      <c r="O9" s="37">
        <v>30.09</v>
      </c>
      <c r="P9" s="38">
        <f t="shared" si="0"/>
        <v>537.5</v>
      </c>
      <c r="Q9" s="21">
        <f t="shared" si="1"/>
        <v>555</v>
      </c>
      <c r="R9" s="39">
        <f t="shared" si="2"/>
        <v>26.820810291000001</v>
      </c>
      <c r="S9" s="23">
        <f t="shared" si="3"/>
        <v>27.406428000000002</v>
      </c>
      <c r="T9" s="40">
        <f t="shared" si="4"/>
        <v>27.249606306</v>
      </c>
      <c r="U9" s="25">
        <f t="shared" si="5"/>
        <v>2.1834452525713255</v>
      </c>
      <c r="V9" s="25">
        <f t="shared" si="6"/>
        <v>1.5987437006848615</v>
      </c>
      <c r="W9" s="41"/>
      <c r="X9" s="42"/>
      <c r="Y9" s="43"/>
      <c r="Z9" s="44"/>
      <c r="AA9" s="45"/>
      <c r="AB9" s="42"/>
      <c r="AC9" s="45"/>
      <c r="AD9" s="44"/>
    </row>
    <row r="10" spans="1:30" ht="15.75" customHeight="1">
      <c r="A10" s="31"/>
      <c r="B10" s="32" t="s">
        <v>27</v>
      </c>
      <c r="C10" s="33">
        <v>349</v>
      </c>
      <c r="D10" s="34">
        <v>5.2</v>
      </c>
      <c r="E10" s="35">
        <v>29.89</v>
      </c>
      <c r="F10" s="36">
        <v>29.65</v>
      </c>
      <c r="G10" s="36">
        <v>29.47</v>
      </c>
      <c r="H10" s="34">
        <v>21.4</v>
      </c>
      <c r="I10" s="18">
        <v>30.69</v>
      </c>
      <c r="J10" s="36">
        <v>29.46</v>
      </c>
      <c r="K10" s="35">
        <v>29.37</v>
      </c>
      <c r="L10" s="34">
        <v>25.1</v>
      </c>
      <c r="M10" s="36">
        <v>30.3</v>
      </c>
      <c r="N10" s="36">
        <v>29.57</v>
      </c>
      <c r="O10" s="37">
        <v>29.35</v>
      </c>
      <c r="P10" s="38">
        <f t="shared" si="0"/>
        <v>311.53846153846149</v>
      </c>
      <c r="Q10" s="21">
        <f t="shared" si="1"/>
        <v>382.69230769230774</v>
      </c>
      <c r="R10" s="39">
        <f t="shared" si="2"/>
        <v>26.117448594999999</v>
      </c>
      <c r="S10" s="23">
        <f t="shared" si="3"/>
        <v>26.554221738000003</v>
      </c>
      <c r="T10" s="40">
        <f t="shared" si="4"/>
        <v>26.29674885</v>
      </c>
      <c r="U10" s="25">
        <f t="shared" si="5"/>
        <v>1.6723423094383751</v>
      </c>
      <c r="V10" s="25">
        <f t="shared" si="6"/>
        <v>0.6865152020796047</v>
      </c>
      <c r="W10" s="26">
        <f>AVERAGE(P10:P12)</f>
        <v>320.5128205128205</v>
      </c>
      <c r="X10" s="27">
        <f>_xlfn.STDEV.S(P10:P12)</f>
        <v>10.981827455229833</v>
      </c>
      <c r="Y10" s="28">
        <f>AVERAGE(Q10:Q12)</f>
        <v>348.82847038019457</v>
      </c>
      <c r="Z10" s="29">
        <f>_xlfn.STDEV.S(Q10:Q12)</f>
        <v>29.642008714974963</v>
      </c>
      <c r="AA10" s="30">
        <f>AVERAGE(U10:U12)</f>
        <v>1.7869159171883435</v>
      </c>
      <c r="AB10" s="27">
        <f>_xlfn.STDEV.S(U10:U12)</f>
        <v>1.2338592057070379</v>
      </c>
      <c r="AC10" s="30">
        <f>AVERAGE(V10:V12)</f>
        <v>1.7890192177663968</v>
      </c>
      <c r="AD10" s="29">
        <f>_xlfn.STDEV.S(V10:V12)</f>
        <v>1.4553381500087246</v>
      </c>
    </row>
    <row r="11" spans="1:30" ht="15.75" customHeight="1">
      <c r="A11" s="31"/>
      <c r="B11" s="32"/>
      <c r="C11" s="33">
        <v>353</v>
      </c>
      <c r="D11" s="34">
        <v>5.8</v>
      </c>
      <c r="E11" s="35">
        <v>31.07</v>
      </c>
      <c r="F11" s="36">
        <v>29.91</v>
      </c>
      <c r="G11" s="36">
        <v>30.13</v>
      </c>
      <c r="H11" s="34">
        <v>24.2</v>
      </c>
      <c r="I11" s="18">
        <v>32.229999999999997</v>
      </c>
      <c r="J11" s="36">
        <v>30.14</v>
      </c>
      <c r="K11" s="35">
        <v>29.71</v>
      </c>
      <c r="L11" s="34">
        <v>24.8</v>
      </c>
      <c r="M11" s="36">
        <v>32.299999999999997</v>
      </c>
      <c r="N11" s="36">
        <v>30.1</v>
      </c>
      <c r="O11" s="37">
        <v>29.79</v>
      </c>
      <c r="P11" s="38">
        <f t="shared" si="0"/>
        <v>317.24137931034477</v>
      </c>
      <c r="Q11" s="21">
        <f t="shared" si="1"/>
        <v>327.58620689655174</v>
      </c>
      <c r="R11" s="39">
        <f t="shared" si="2"/>
        <v>27.999920481</v>
      </c>
      <c r="S11" s="23">
        <f t="shared" si="3"/>
        <v>28.860656461999994</v>
      </c>
      <c r="T11" s="40">
        <f t="shared" si="4"/>
        <v>28.962731699999996</v>
      </c>
      <c r="U11" s="25">
        <f t="shared" si="5"/>
        <v>3.074065805237078</v>
      </c>
      <c r="V11" s="25">
        <f t="shared" si="6"/>
        <v>3.4386212619901309</v>
      </c>
      <c r="W11" s="41"/>
      <c r="X11" s="42"/>
      <c r="Y11" s="43"/>
      <c r="Z11" s="44"/>
      <c r="AA11" s="45"/>
      <c r="AB11" s="42"/>
      <c r="AC11" s="45"/>
      <c r="AD11" s="44"/>
    </row>
    <row r="12" spans="1:30" ht="15.75" customHeight="1">
      <c r="A12" s="31"/>
      <c r="B12" s="32"/>
      <c r="C12" s="33">
        <v>358</v>
      </c>
      <c r="D12" s="34">
        <v>5.8</v>
      </c>
      <c r="E12" s="35">
        <v>30.6</v>
      </c>
      <c r="F12" s="36">
        <v>29.85</v>
      </c>
      <c r="G12" s="36">
        <v>30.37</v>
      </c>
      <c r="H12" s="34">
        <v>25.1</v>
      </c>
      <c r="I12" s="18">
        <v>30.89</v>
      </c>
      <c r="J12" s="36">
        <v>29.83</v>
      </c>
      <c r="K12" s="35">
        <v>30.29</v>
      </c>
      <c r="L12" s="34">
        <v>25.3</v>
      </c>
      <c r="M12" s="36">
        <v>31.52</v>
      </c>
      <c r="N12" s="36">
        <v>29.76</v>
      </c>
      <c r="O12" s="37">
        <v>29.94</v>
      </c>
      <c r="P12" s="38">
        <f t="shared" si="0"/>
        <v>332.75862068965523</v>
      </c>
      <c r="Q12" s="21">
        <f t="shared" si="1"/>
        <v>336.20689655172413</v>
      </c>
      <c r="R12" s="39">
        <f t="shared" si="2"/>
        <v>27.740261700000001</v>
      </c>
      <c r="S12" s="23">
        <f t="shared" si="3"/>
        <v>27.910681123</v>
      </c>
      <c r="T12" s="40">
        <f t="shared" si="4"/>
        <v>28.084773888000004</v>
      </c>
      <c r="U12" s="25">
        <f t="shared" si="5"/>
        <v>0.61433963688957727</v>
      </c>
      <c r="V12" s="25">
        <f t="shared" si="6"/>
        <v>1.241921189229455</v>
      </c>
      <c r="W12" s="46"/>
      <c r="X12" s="42"/>
      <c r="Y12" s="47"/>
      <c r="Z12" s="44"/>
      <c r="AA12" s="45"/>
      <c r="AB12" s="42"/>
      <c r="AC12" s="45"/>
      <c r="AD12" s="44"/>
    </row>
    <row r="13" spans="1:30" ht="15.75" customHeight="1">
      <c r="A13" s="31"/>
      <c r="B13" s="32" t="s">
        <v>28</v>
      </c>
      <c r="C13" s="33">
        <v>369</v>
      </c>
      <c r="D13" s="34">
        <v>6.5</v>
      </c>
      <c r="E13" s="35">
        <v>31.21</v>
      </c>
      <c r="F13" s="36">
        <v>29.95</v>
      </c>
      <c r="G13" s="36">
        <v>30.31</v>
      </c>
      <c r="H13" s="34">
        <v>26.9</v>
      </c>
      <c r="I13" s="18">
        <v>31.66</v>
      </c>
      <c r="J13" s="36">
        <v>30.84</v>
      </c>
      <c r="K13" s="35">
        <v>32.409999999999997</v>
      </c>
      <c r="L13" s="34">
        <v>28.6</v>
      </c>
      <c r="M13" s="36">
        <v>31.98</v>
      </c>
      <c r="N13" s="36">
        <v>30.63</v>
      </c>
      <c r="O13" s="37">
        <v>30.53</v>
      </c>
      <c r="P13" s="38">
        <f t="shared" si="0"/>
        <v>313.84615384615387</v>
      </c>
      <c r="Q13" s="21">
        <f t="shared" si="1"/>
        <v>340.00000000000006</v>
      </c>
      <c r="R13" s="39">
        <f t="shared" si="2"/>
        <v>28.331954245000002</v>
      </c>
      <c r="S13" s="23">
        <f t="shared" si="3"/>
        <v>31.644942503999999</v>
      </c>
      <c r="T13" s="40">
        <f t="shared" si="4"/>
        <v>29.905582121999998</v>
      </c>
      <c r="U13" s="25">
        <f t="shared" si="5"/>
        <v>11.693468902113134</v>
      </c>
      <c r="V13" s="25">
        <f t="shared" si="6"/>
        <v>5.5542510883367981</v>
      </c>
      <c r="W13" s="26">
        <f>AVERAGE(P13:P15)</f>
        <v>317.71062271062272</v>
      </c>
      <c r="X13" s="27">
        <f>_xlfn.STDEV.S(P13:P15)</f>
        <v>6.316610586000456</v>
      </c>
      <c r="Y13" s="28">
        <f>AVERAGE(Q13:Q15)</f>
        <v>341.69808201058203</v>
      </c>
      <c r="Z13" s="29">
        <f>_xlfn.STDEV.S(Q13:Q15)</f>
        <v>3.7822228184955415</v>
      </c>
      <c r="AA13" s="30">
        <f>AVERAGE(U13:U15)</f>
        <v>4.8818275953008223</v>
      </c>
      <c r="AB13" s="27">
        <f>_xlfn.STDEV.S(U13:U15)</f>
        <v>6.8671074631934266</v>
      </c>
      <c r="AC13" s="30">
        <f>AVERAGE(V13:V15)</f>
        <v>6.0002185767300062</v>
      </c>
      <c r="AD13" s="29">
        <f>_xlfn.STDEV.S(V13:V15)</f>
        <v>1.489874271670188</v>
      </c>
    </row>
    <row r="14" spans="1:30" ht="15.75" customHeight="1">
      <c r="A14" s="31"/>
      <c r="B14" s="32"/>
      <c r="C14" s="33">
        <v>373</v>
      </c>
      <c r="D14" s="34">
        <v>6.4</v>
      </c>
      <c r="E14" s="35">
        <v>30.06</v>
      </c>
      <c r="F14" s="36">
        <v>30.23</v>
      </c>
      <c r="G14" s="36">
        <v>31.28</v>
      </c>
      <c r="H14" s="34">
        <v>27.2</v>
      </c>
      <c r="I14" s="18">
        <v>30.17</v>
      </c>
      <c r="J14" s="36">
        <v>30.49</v>
      </c>
      <c r="K14" s="35">
        <v>30.27</v>
      </c>
      <c r="L14" s="34">
        <v>28.1</v>
      </c>
      <c r="M14" s="36">
        <v>30.41</v>
      </c>
      <c r="N14" s="36">
        <v>30.22</v>
      </c>
      <c r="O14" s="37">
        <v>32.409999999999997</v>
      </c>
      <c r="P14" s="38">
        <f t="shared" si="0"/>
        <v>324.99999999999994</v>
      </c>
      <c r="Q14" s="21">
        <f t="shared" si="1"/>
        <v>339.06250000000006</v>
      </c>
      <c r="R14" s="39">
        <f t="shared" si="2"/>
        <v>28.424567664000001</v>
      </c>
      <c r="S14" s="23">
        <f t="shared" si="3"/>
        <v>27.844867490999999</v>
      </c>
      <c r="T14" s="40">
        <f t="shared" si="4"/>
        <v>29.784472381999997</v>
      </c>
      <c r="U14" s="25">
        <f t="shared" si="5"/>
        <v>-2.0394335627281981</v>
      </c>
      <c r="V14" s="25">
        <f t="shared" si="6"/>
        <v>4.7842582306795416</v>
      </c>
      <c r="W14" s="41"/>
      <c r="X14" s="42"/>
      <c r="Y14" s="43"/>
      <c r="Z14" s="44"/>
      <c r="AA14" s="45"/>
      <c r="AB14" s="42"/>
      <c r="AC14" s="45"/>
      <c r="AD14" s="44"/>
    </row>
    <row r="15" spans="1:30" ht="15.75" customHeight="1">
      <c r="A15" s="31"/>
      <c r="B15" s="32"/>
      <c r="C15" s="33">
        <v>378</v>
      </c>
      <c r="D15" s="34">
        <v>6.3</v>
      </c>
      <c r="E15" s="35">
        <v>29.91</v>
      </c>
      <c r="F15" s="36">
        <v>31.21</v>
      </c>
      <c r="G15" s="36">
        <v>30.1</v>
      </c>
      <c r="H15" s="34">
        <v>26.1</v>
      </c>
      <c r="I15" s="18">
        <v>30.48</v>
      </c>
      <c r="J15" s="36">
        <v>32.229999999999997</v>
      </c>
      <c r="K15" s="35">
        <v>30.03</v>
      </c>
      <c r="L15" s="34">
        <v>28.1</v>
      </c>
      <c r="M15" s="36">
        <v>30.35</v>
      </c>
      <c r="N15" s="36">
        <v>32.520000000000003</v>
      </c>
      <c r="O15" s="37">
        <v>30.65</v>
      </c>
      <c r="P15" s="38">
        <f t="shared" si="0"/>
        <v>314.28571428571433</v>
      </c>
      <c r="Q15" s="21">
        <f t="shared" si="1"/>
        <v>346.03174603174602</v>
      </c>
      <c r="R15" s="39">
        <f t="shared" si="2"/>
        <v>28.098082110000004</v>
      </c>
      <c r="S15" s="23">
        <f t="shared" si="3"/>
        <v>29.500583111999997</v>
      </c>
      <c r="T15" s="40">
        <f t="shared" si="4"/>
        <v>30.250998300000003</v>
      </c>
      <c r="U15" s="25">
        <f t="shared" si="5"/>
        <v>4.9914474465175296</v>
      </c>
      <c r="V15" s="25">
        <f t="shared" si="6"/>
        <v>7.6621464111736799</v>
      </c>
      <c r="W15" s="41"/>
      <c r="X15" s="42"/>
      <c r="Y15" s="43"/>
      <c r="Z15" s="44"/>
      <c r="AA15" s="45"/>
      <c r="AB15" s="42"/>
      <c r="AC15" s="45"/>
      <c r="AD15" s="44"/>
    </row>
    <row r="16" spans="1:30" ht="15.75" customHeight="1">
      <c r="A16" s="31"/>
      <c r="B16" s="32" t="s">
        <v>29</v>
      </c>
      <c r="C16" s="33">
        <v>388</v>
      </c>
      <c r="D16" s="34">
        <v>3.1</v>
      </c>
      <c r="E16" s="35">
        <v>28.78</v>
      </c>
      <c r="F16" s="36">
        <v>29.96</v>
      </c>
      <c r="G16" s="36">
        <v>29.89</v>
      </c>
      <c r="H16" s="34">
        <v>18.2</v>
      </c>
      <c r="I16" s="18">
        <v>29.45</v>
      </c>
      <c r="J16" s="36">
        <v>29.54</v>
      </c>
      <c r="K16" s="35">
        <v>27.57</v>
      </c>
      <c r="L16" s="34">
        <v>20</v>
      </c>
      <c r="M16" s="36">
        <v>28.65</v>
      </c>
      <c r="N16" s="36">
        <v>30.01</v>
      </c>
      <c r="O16" s="37">
        <v>29.98</v>
      </c>
      <c r="P16" s="38">
        <f t="shared" si="0"/>
        <v>487.09677419354841</v>
      </c>
      <c r="Q16" s="21">
        <f t="shared" si="1"/>
        <v>545.16129032258061</v>
      </c>
      <c r="R16" s="39">
        <f t="shared" si="2"/>
        <v>25.772616632000002</v>
      </c>
      <c r="S16" s="23">
        <f t="shared" si="3"/>
        <v>23.984604210000001</v>
      </c>
      <c r="T16" s="40">
        <f t="shared" si="4"/>
        <v>25.776399270000002</v>
      </c>
      <c r="U16" s="25">
        <f t="shared" si="5"/>
        <v>-6.9376441186804252</v>
      </c>
      <c r="V16" s="25">
        <f t="shared" si="6"/>
        <v>1.467696530007718E-2</v>
      </c>
      <c r="W16" s="26">
        <f>AVERAGE(P16:P18)</f>
        <v>376.5022137887413</v>
      </c>
      <c r="X16" s="27">
        <f>_xlfn.STDEV.S(P16:P18)</f>
        <v>112.72314874439493</v>
      </c>
      <c r="Y16" s="28">
        <f>AVERAGE(Q16:Q18)</f>
        <v>440.60721062618603</v>
      </c>
      <c r="Z16" s="29">
        <f>_xlfn.STDEV.S(Q16:Q18)</f>
        <v>102.08887367120444</v>
      </c>
      <c r="AA16" s="30">
        <f>AVERAGE(U16:U18)</f>
        <v>-4.0843947126771987</v>
      </c>
      <c r="AB16" s="27">
        <f>_xlfn.STDEV.S(U16:U18)</f>
        <v>2.7466474692313678</v>
      </c>
      <c r="AC16" s="30">
        <f>AVERAGE(V16:V18)</f>
        <v>-3.1501170833403247</v>
      </c>
      <c r="AD16" s="29">
        <f>_xlfn.STDEV.S(V16:V18)</f>
        <v>3.127080199241115</v>
      </c>
    </row>
    <row r="17" spans="1:30" ht="15.75" customHeight="1">
      <c r="A17" s="31"/>
      <c r="B17" s="32"/>
      <c r="C17" s="33">
        <v>391</v>
      </c>
      <c r="D17" s="34">
        <v>3.1</v>
      </c>
      <c r="E17" s="35">
        <v>29.86</v>
      </c>
      <c r="F17" s="36">
        <v>29.68</v>
      </c>
      <c r="G17" s="36">
        <v>29.84</v>
      </c>
      <c r="H17" s="34">
        <v>14.9</v>
      </c>
      <c r="I17" s="18">
        <v>28.66</v>
      </c>
      <c r="J17" s="36">
        <v>29.84</v>
      </c>
      <c r="K17" s="35">
        <v>29.73</v>
      </c>
      <c r="L17" s="34">
        <v>16.600000000000001</v>
      </c>
      <c r="M17" s="36">
        <v>29.19</v>
      </c>
      <c r="N17" s="36">
        <v>29.7</v>
      </c>
      <c r="O17" s="37">
        <v>29.52</v>
      </c>
      <c r="P17" s="38">
        <f t="shared" si="0"/>
        <v>380.64516129032262</v>
      </c>
      <c r="Q17" s="21">
        <f t="shared" si="1"/>
        <v>435.48387096774201</v>
      </c>
      <c r="R17" s="39">
        <f t="shared" si="2"/>
        <v>26.445544832</v>
      </c>
      <c r="S17" s="23">
        <f t="shared" si="3"/>
        <v>25.425524111999998</v>
      </c>
      <c r="T17" s="40">
        <f t="shared" si="4"/>
        <v>25.592157359999998</v>
      </c>
      <c r="U17" s="25">
        <f t="shared" si="5"/>
        <v>-3.8570607127962897</v>
      </c>
      <c r="V17" s="25">
        <f t="shared" si="6"/>
        <v>-3.2269612043211673</v>
      </c>
      <c r="W17" s="41"/>
      <c r="X17" s="42"/>
      <c r="Y17" s="43"/>
      <c r="Z17" s="44"/>
      <c r="AA17" s="45"/>
      <c r="AB17" s="42"/>
      <c r="AC17" s="45"/>
      <c r="AD17" s="44"/>
    </row>
    <row r="18" spans="1:30" ht="15.75" customHeight="1">
      <c r="A18" s="31"/>
      <c r="B18" s="32"/>
      <c r="C18" s="33">
        <v>397</v>
      </c>
      <c r="D18" s="34">
        <v>3.4</v>
      </c>
      <c r="E18" s="35">
        <v>30.55</v>
      </c>
      <c r="F18" s="36">
        <v>29.93</v>
      </c>
      <c r="G18" s="36">
        <v>29.1</v>
      </c>
      <c r="H18" s="34">
        <v>12.3</v>
      </c>
      <c r="I18" s="18">
        <v>30.98</v>
      </c>
      <c r="J18" s="36">
        <v>29.78</v>
      </c>
      <c r="K18" s="35">
        <v>28.42</v>
      </c>
      <c r="L18" s="34">
        <v>15</v>
      </c>
      <c r="M18" s="36">
        <v>30.24</v>
      </c>
      <c r="N18" s="36">
        <v>29.37</v>
      </c>
      <c r="O18" s="37">
        <v>28.09</v>
      </c>
      <c r="P18" s="38">
        <f t="shared" si="0"/>
        <v>261.76470588235293</v>
      </c>
      <c r="Q18" s="21">
        <f t="shared" si="1"/>
        <v>341.1764705882353</v>
      </c>
      <c r="R18" s="39">
        <f t="shared" si="2"/>
        <v>26.607919650000003</v>
      </c>
      <c r="S18" s="23">
        <f t="shared" si="3"/>
        <v>26.219848648000003</v>
      </c>
      <c r="T18" s="40">
        <f t="shared" si="4"/>
        <v>24.948099791999997</v>
      </c>
      <c r="U18" s="25">
        <f t="shared" si="5"/>
        <v>-1.458479306554882</v>
      </c>
      <c r="V18" s="25">
        <f t="shared" si="6"/>
        <v>-6.2380670109998837</v>
      </c>
      <c r="W18" s="41"/>
      <c r="X18" s="42"/>
      <c r="Y18" s="43"/>
      <c r="Z18" s="44"/>
      <c r="AA18" s="45"/>
      <c r="AB18" s="42"/>
      <c r="AC18" s="45"/>
      <c r="AD18" s="44"/>
    </row>
    <row r="19" spans="1:30" ht="15.75" customHeight="1">
      <c r="A19" s="31"/>
      <c r="B19" s="32" t="s">
        <v>30</v>
      </c>
      <c r="C19" s="33">
        <v>404</v>
      </c>
      <c r="D19" s="34">
        <v>3.6</v>
      </c>
      <c r="E19" s="35">
        <v>33.81</v>
      </c>
      <c r="F19" s="36">
        <v>29.76</v>
      </c>
      <c r="G19" s="36">
        <v>30.21</v>
      </c>
      <c r="H19" s="34">
        <v>24.6</v>
      </c>
      <c r="I19" s="18">
        <v>34.520000000000003</v>
      </c>
      <c r="J19" s="36">
        <v>29.76</v>
      </c>
      <c r="K19" s="35">
        <v>30.11</v>
      </c>
      <c r="L19" s="34">
        <v>26.7</v>
      </c>
      <c r="M19" s="36">
        <v>35.01</v>
      </c>
      <c r="N19" s="36">
        <v>29.63</v>
      </c>
      <c r="O19" s="37">
        <v>30.11</v>
      </c>
      <c r="P19" s="38">
        <f t="shared" si="0"/>
        <v>583.33333333333326</v>
      </c>
      <c r="Q19" s="21">
        <f t="shared" si="1"/>
        <v>641.66666666666663</v>
      </c>
      <c r="R19" s="39">
        <f t="shared" si="2"/>
        <v>30.396866976000005</v>
      </c>
      <c r="S19" s="23">
        <f t="shared" si="3"/>
        <v>30.932460672000005</v>
      </c>
      <c r="T19" s="40">
        <f t="shared" si="4"/>
        <v>31.234497092999998</v>
      </c>
      <c r="U19" s="25">
        <f t="shared" si="5"/>
        <v>1.7620029604461538</v>
      </c>
      <c r="V19" s="25">
        <f t="shared" si="6"/>
        <v>2.7556462238734922</v>
      </c>
      <c r="W19" s="26">
        <f>AVERAGE(P19:P21)</f>
        <v>580.27417027417016</v>
      </c>
      <c r="X19" s="27">
        <f>_xlfn.STDEV.S(P19:P21)</f>
        <v>27.444191753007896</v>
      </c>
      <c r="Y19" s="28">
        <f>AVERAGE(Q19:Q21)</f>
        <v>655.38961038961031</v>
      </c>
      <c r="Z19" s="29">
        <f>_xlfn.STDEV.S(Q19:Q21)</f>
        <v>20.364307697948277</v>
      </c>
      <c r="AA19" s="30">
        <f>AVERAGE(U19:U21)</f>
        <v>0.95311407518423874</v>
      </c>
      <c r="AB19" s="27">
        <f>_xlfn.STDEV.S(U19:U21)</f>
        <v>0.84911740424786675</v>
      </c>
      <c r="AC19" s="30">
        <f>AVERAGE(V19:V21)</f>
        <v>0.20544698937518122</v>
      </c>
      <c r="AD19" s="29">
        <f>_xlfn.STDEV.S(V19:V21)</f>
        <v>2.2086816760200376</v>
      </c>
    </row>
    <row r="20" spans="1:30" ht="15.75" customHeight="1">
      <c r="A20" s="31"/>
      <c r="B20" s="48"/>
      <c r="C20" s="33">
        <v>412</v>
      </c>
      <c r="D20" s="34">
        <v>3.5</v>
      </c>
      <c r="E20" s="35">
        <v>33.4</v>
      </c>
      <c r="F20" s="36">
        <v>29.5</v>
      </c>
      <c r="G20" s="36">
        <v>30.31</v>
      </c>
      <c r="H20" s="34">
        <v>22.8</v>
      </c>
      <c r="I20" s="18">
        <v>33.880000000000003</v>
      </c>
      <c r="J20" s="36">
        <v>29.42</v>
      </c>
      <c r="K20" s="35">
        <v>30.27</v>
      </c>
      <c r="L20" s="34">
        <v>26.1</v>
      </c>
      <c r="M20" s="36">
        <v>33.72</v>
      </c>
      <c r="N20" s="36">
        <v>29.39</v>
      </c>
      <c r="O20" s="37">
        <v>29.82</v>
      </c>
      <c r="P20" s="38">
        <f t="shared" si="0"/>
        <v>551.42857142857144</v>
      </c>
      <c r="Q20" s="21">
        <f t="shared" si="1"/>
        <v>645.71428571428578</v>
      </c>
      <c r="R20" s="39">
        <f t="shared" si="2"/>
        <v>29.864442999999998</v>
      </c>
      <c r="S20" s="23">
        <f t="shared" si="3"/>
        <v>30.171610392000002</v>
      </c>
      <c r="T20" s="40">
        <f t="shared" si="4"/>
        <v>29.552538456000001</v>
      </c>
      <c r="U20" s="25">
        <f t="shared" si="5"/>
        <v>1.0285388279299359</v>
      </c>
      <c r="V20" s="25">
        <f t="shared" si="6"/>
        <v>-1.044401008918858</v>
      </c>
      <c r="W20" s="49"/>
      <c r="X20" s="42"/>
      <c r="Y20" s="50"/>
      <c r="Z20" s="44"/>
      <c r="AA20" s="51"/>
      <c r="AB20" s="42"/>
      <c r="AC20" s="51"/>
      <c r="AD20" s="44"/>
    </row>
    <row r="21" spans="1:30" ht="15.75" customHeight="1">
      <c r="A21" s="31"/>
      <c r="B21" s="48"/>
      <c r="C21" s="33">
        <v>414</v>
      </c>
      <c r="D21" s="34">
        <v>3.3</v>
      </c>
      <c r="E21" s="35">
        <v>32.71</v>
      </c>
      <c r="F21" s="36">
        <v>30.12</v>
      </c>
      <c r="G21" s="36">
        <v>29.66</v>
      </c>
      <c r="H21" s="34">
        <v>23.3</v>
      </c>
      <c r="I21" s="18">
        <v>32.78</v>
      </c>
      <c r="J21" s="36">
        <v>30.26</v>
      </c>
      <c r="K21" s="35">
        <v>29.48</v>
      </c>
      <c r="L21" s="34">
        <v>25.7</v>
      </c>
      <c r="M21" s="36">
        <v>32.64</v>
      </c>
      <c r="N21" s="36">
        <v>30.19</v>
      </c>
      <c r="O21" s="37">
        <v>29.33</v>
      </c>
      <c r="P21" s="38">
        <f t="shared" si="0"/>
        <v>606.06060606060601</v>
      </c>
      <c r="Q21" s="21">
        <f t="shared" si="1"/>
        <v>678.78787878787875</v>
      </c>
      <c r="R21" s="39">
        <f t="shared" si="2"/>
        <v>29.221779431999998</v>
      </c>
      <c r="S21" s="23">
        <f t="shared" si="3"/>
        <v>29.241884144000004</v>
      </c>
      <c r="T21" s="40">
        <f t="shared" si="4"/>
        <v>28.901828928</v>
      </c>
      <c r="U21" s="25">
        <f t="shared" si="5"/>
        <v>6.8800437176626483E-2</v>
      </c>
      <c r="V21" s="25">
        <f t="shared" si="6"/>
        <v>-1.0949042468290906</v>
      </c>
      <c r="W21" s="52"/>
      <c r="X21" s="42"/>
      <c r="Y21" s="53"/>
      <c r="Z21" s="44"/>
      <c r="AA21" s="51"/>
      <c r="AB21" s="42"/>
      <c r="AC21" s="51"/>
      <c r="AD21" s="44"/>
    </row>
    <row r="22" spans="1:30" ht="15.75" customHeight="1">
      <c r="A22" s="31"/>
      <c r="B22" s="48" t="s">
        <v>31</v>
      </c>
      <c r="C22" s="33">
        <v>424</v>
      </c>
      <c r="D22" s="34">
        <v>4.0999999999999996</v>
      </c>
      <c r="E22" s="35">
        <v>32.01</v>
      </c>
      <c r="F22" s="36">
        <v>30.21</v>
      </c>
      <c r="G22" s="36">
        <v>28.78</v>
      </c>
      <c r="H22" s="34">
        <v>17.3</v>
      </c>
      <c r="I22" s="18">
        <v>33.049999999999997</v>
      </c>
      <c r="J22" s="36">
        <v>30.14</v>
      </c>
      <c r="K22" s="35">
        <v>28.29</v>
      </c>
      <c r="L22" s="34">
        <v>21.8</v>
      </c>
      <c r="M22" s="36">
        <v>32.590000000000003</v>
      </c>
      <c r="N22" s="36">
        <v>30.22</v>
      </c>
      <c r="O22" s="37">
        <v>28.39</v>
      </c>
      <c r="P22" s="38">
        <f t="shared" si="0"/>
        <v>321.95121951219517</v>
      </c>
      <c r="Q22" s="21">
        <f t="shared" si="1"/>
        <v>431.70731707317083</v>
      </c>
      <c r="R22" s="39">
        <f t="shared" si="2"/>
        <v>27.830896037999999</v>
      </c>
      <c r="S22" s="23">
        <f t="shared" si="3"/>
        <v>28.180432829999997</v>
      </c>
      <c r="T22" s="40">
        <f t="shared" si="4"/>
        <v>27.960453621999999</v>
      </c>
      <c r="U22" s="25">
        <f t="shared" si="5"/>
        <v>1.2559307882963771</v>
      </c>
      <c r="V22" s="25">
        <f t="shared" si="6"/>
        <v>0.46551711386907557</v>
      </c>
      <c r="W22" s="26">
        <f>AVERAGE(P22:P24)</f>
        <v>292.51456301938441</v>
      </c>
      <c r="X22" s="27">
        <f>_xlfn.STDEV.S(P22:P24)</f>
        <v>115.52774548299858</v>
      </c>
      <c r="Y22" s="28">
        <f>AVERAGE(Q22:Q24)</f>
        <v>380.79797243155161</v>
      </c>
      <c r="Z22" s="29">
        <f>_xlfn.STDEV.S(Q22:Q24)</f>
        <v>113.1255920225199</v>
      </c>
      <c r="AA22" s="30">
        <f>AVERAGE(U22:U24)</f>
        <v>2.680251779194363</v>
      </c>
      <c r="AB22" s="27">
        <f>_xlfn.STDEV.S(U22:U24)</f>
        <v>1.3931996557259112</v>
      </c>
      <c r="AC22" s="30">
        <f>AVERAGE(V22:V24)</f>
        <v>0.59801817311632821</v>
      </c>
      <c r="AD22" s="29">
        <f>_xlfn.STDEV.S(V22:V24)</f>
        <v>0.65946987226867448</v>
      </c>
    </row>
    <row r="23" spans="1:30" ht="15.75" customHeight="1">
      <c r="A23" s="31"/>
      <c r="B23" s="48"/>
      <c r="C23" s="33">
        <v>432</v>
      </c>
      <c r="D23" s="34">
        <v>4.3</v>
      </c>
      <c r="E23" s="35">
        <v>31.8</v>
      </c>
      <c r="F23" s="36">
        <v>30.43</v>
      </c>
      <c r="G23" s="36">
        <v>29.48</v>
      </c>
      <c r="H23" s="34">
        <v>11.4</v>
      </c>
      <c r="I23" s="18">
        <v>33.17</v>
      </c>
      <c r="J23" s="36">
        <v>30.58</v>
      </c>
      <c r="K23" s="35">
        <v>29.26</v>
      </c>
      <c r="L23" s="34">
        <v>15.1</v>
      </c>
      <c r="M23" s="36">
        <v>32.86</v>
      </c>
      <c r="N23" s="36">
        <v>30.35</v>
      </c>
      <c r="O23" s="37">
        <v>28.98</v>
      </c>
      <c r="P23" s="38">
        <f t="shared" si="0"/>
        <v>165.11627906976747</v>
      </c>
      <c r="Q23" s="21">
        <f t="shared" si="1"/>
        <v>251.16279069767447</v>
      </c>
      <c r="R23" s="39">
        <f t="shared" si="2"/>
        <v>28.527029519999999</v>
      </c>
      <c r="S23" s="23">
        <f t="shared" si="3"/>
        <v>29.679547436000004</v>
      </c>
      <c r="T23" s="40">
        <f t="shared" si="4"/>
        <v>28.90178298</v>
      </c>
      <c r="U23" s="25">
        <f t="shared" si="5"/>
        <v>4.0400908730857736</v>
      </c>
      <c r="V23" s="25">
        <f t="shared" si="6"/>
        <v>1.3136785228103234</v>
      </c>
      <c r="W23" s="52"/>
      <c r="X23" s="42"/>
      <c r="Y23" s="53"/>
      <c r="Z23" s="44"/>
      <c r="AA23" s="51"/>
      <c r="AB23" s="42"/>
      <c r="AC23" s="51"/>
      <c r="AD23" s="44"/>
    </row>
    <row r="24" spans="1:30" ht="15.75" customHeight="1">
      <c r="A24" s="31"/>
      <c r="B24" s="48"/>
      <c r="C24" s="33">
        <v>434</v>
      </c>
      <c r="D24" s="34">
        <v>4.2</v>
      </c>
      <c r="E24" s="35">
        <v>31.99</v>
      </c>
      <c r="F24" s="36">
        <v>28.61</v>
      </c>
      <c r="G24" s="36">
        <v>30.3</v>
      </c>
      <c r="H24" s="34">
        <v>20.6</v>
      </c>
      <c r="I24" s="18">
        <v>32.380000000000003</v>
      </c>
      <c r="J24" s="36">
        <v>29.07</v>
      </c>
      <c r="K24" s="35">
        <v>30.27</v>
      </c>
      <c r="L24" s="34">
        <v>23.5</v>
      </c>
      <c r="M24" s="36">
        <v>31.97</v>
      </c>
      <c r="N24" s="36">
        <v>28.67</v>
      </c>
      <c r="O24" s="37">
        <v>30.26</v>
      </c>
      <c r="P24" s="38">
        <f t="shared" si="0"/>
        <v>390.47619047619048</v>
      </c>
      <c r="Q24" s="21">
        <f t="shared" si="1"/>
        <v>459.52380952380952</v>
      </c>
      <c r="R24" s="39">
        <f t="shared" si="2"/>
        <v>27.731587169999997</v>
      </c>
      <c r="S24" s="23">
        <f t="shared" si="3"/>
        <v>28.492745382000006</v>
      </c>
      <c r="T24" s="40">
        <f t="shared" si="4"/>
        <v>27.735707774000002</v>
      </c>
      <c r="U24" s="25">
        <f t="shared" si="5"/>
        <v>2.744733676200938</v>
      </c>
      <c r="V24" s="25">
        <f t="shared" si="6"/>
        <v>1.4858882669585537E-2</v>
      </c>
      <c r="W24" s="52"/>
      <c r="X24" s="42"/>
      <c r="Y24" s="53"/>
      <c r="Z24" s="44"/>
      <c r="AA24" s="51"/>
      <c r="AB24" s="42"/>
      <c r="AC24" s="51"/>
      <c r="AD24" s="44"/>
    </row>
    <row r="25" spans="1:30" ht="15.75" customHeight="1">
      <c r="A25" s="31"/>
      <c r="B25" s="48" t="s">
        <v>32</v>
      </c>
      <c r="C25" s="33">
        <v>440</v>
      </c>
      <c r="D25" s="34">
        <v>3</v>
      </c>
      <c r="E25" s="35">
        <v>32.08</v>
      </c>
      <c r="F25" s="36">
        <v>30.16</v>
      </c>
      <c r="G25" s="36">
        <v>29.42</v>
      </c>
      <c r="H25" s="34">
        <v>9</v>
      </c>
      <c r="I25" s="18">
        <v>32.33</v>
      </c>
      <c r="J25" s="36">
        <v>29.78</v>
      </c>
      <c r="K25" s="35">
        <v>28.37</v>
      </c>
      <c r="L25" s="34">
        <v>12.6</v>
      </c>
      <c r="M25" s="36">
        <v>32.08</v>
      </c>
      <c r="N25" s="36">
        <v>29.53</v>
      </c>
      <c r="O25" s="37">
        <v>28.27</v>
      </c>
      <c r="P25" s="38">
        <f t="shared" si="0"/>
        <v>200</v>
      </c>
      <c r="Q25" s="21">
        <f t="shared" si="1"/>
        <v>320</v>
      </c>
      <c r="R25" s="39">
        <f t="shared" si="2"/>
        <v>28.464814976000003</v>
      </c>
      <c r="S25" s="23">
        <f t="shared" si="3"/>
        <v>27.314278538</v>
      </c>
      <c r="T25" s="40">
        <f t="shared" si="4"/>
        <v>26.780804247999999</v>
      </c>
      <c r="U25" s="25">
        <f t="shared" si="5"/>
        <v>-4.041960009120289</v>
      </c>
      <c r="V25" s="25">
        <f t="shared" si="6"/>
        <v>-5.9161133821522149</v>
      </c>
      <c r="W25" s="26">
        <f>AVERAGE(P25:P27)</f>
        <v>216.969696969697</v>
      </c>
      <c r="X25" s="27">
        <f>_xlfn.STDEV.S(P25:P27)</f>
        <v>35.323508171873442</v>
      </c>
      <c r="Y25" s="28">
        <f>AVERAGE(Q25:Q27)</f>
        <v>312.32323232323233</v>
      </c>
      <c r="Z25" s="29">
        <f>_xlfn.STDEV.S(Q25:Q27)</f>
        <v>22.808608666982234</v>
      </c>
      <c r="AA25" s="30">
        <f>AVERAGE(U25:U27)</f>
        <v>-3.6180865087035947</v>
      </c>
      <c r="AB25" s="27">
        <f>_xlfn.STDEV.S(U25:U27)</f>
        <v>6.8338299982125932</v>
      </c>
      <c r="AC25" s="30">
        <f>AVERAGE(V25:V27)</f>
        <v>-2.7001404206661586</v>
      </c>
      <c r="AD25" s="29">
        <f>_xlfn.STDEV.S(V25:V27)</f>
        <v>8.707526275023902</v>
      </c>
    </row>
    <row r="26" spans="1:30" ht="15.75" customHeight="1">
      <c r="A26" s="31"/>
      <c r="B26" s="48"/>
      <c r="C26" s="33">
        <v>444</v>
      </c>
      <c r="D26" s="34">
        <v>3</v>
      </c>
      <c r="E26" s="35">
        <v>32.92</v>
      </c>
      <c r="F26" s="36">
        <v>29.64</v>
      </c>
      <c r="G26" s="36">
        <v>29.21</v>
      </c>
      <c r="H26" s="34">
        <v>8.8000000000000007</v>
      </c>
      <c r="I26" s="18">
        <v>33.44</v>
      </c>
      <c r="J26" s="36">
        <v>29.48</v>
      </c>
      <c r="K26" s="35">
        <v>29.9</v>
      </c>
      <c r="L26" s="34">
        <v>11.6</v>
      </c>
      <c r="M26" s="36">
        <v>34.14</v>
      </c>
      <c r="N26" s="36">
        <v>29.98</v>
      </c>
      <c r="O26" s="37">
        <v>29.84</v>
      </c>
      <c r="P26" s="38">
        <f t="shared" si="0"/>
        <v>193.33333333333337</v>
      </c>
      <c r="Q26" s="21">
        <f t="shared" si="1"/>
        <v>286.66666666666669</v>
      </c>
      <c r="R26" s="39">
        <f t="shared" si="2"/>
        <v>28.501622448000003</v>
      </c>
      <c r="S26" s="23">
        <f t="shared" si="3"/>
        <v>29.475754879999997</v>
      </c>
      <c r="T26" s="40">
        <f t="shared" si="4"/>
        <v>30.541753247999999</v>
      </c>
      <c r="U26" s="25">
        <f t="shared" si="5"/>
        <v>3.4178139640199681</v>
      </c>
      <c r="V26" s="25">
        <f t="shared" si="6"/>
        <v>7.15794619664943</v>
      </c>
      <c r="W26" s="52"/>
      <c r="X26" s="42"/>
      <c r="Y26" s="53"/>
      <c r="Z26" s="44"/>
      <c r="AA26" s="51"/>
      <c r="AB26" s="42"/>
      <c r="AC26" s="51"/>
      <c r="AD26" s="44"/>
    </row>
    <row r="27" spans="1:30" ht="16.5" customHeight="1">
      <c r="A27" s="31"/>
      <c r="B27" s="54"/>
      <c r="C27" s="55">
        <v>446</v>
      </c>
      <c r="D27" s="56">
        <v>3.3</v>
      </c>
      <c r="E27" s="57">
        <v>33.69</v>
      </c>
      <c r="F27" s="58">
        <v>29.71</v>
      </c>
      <c r="G27" s="58">
        <v>30.03</v>
      </c>
      <c r="H27" s="56">
        <v>11.8</v>
      </c>
      <c r="I27" s="18">
        <v>31.17</v>
      </c>
      <c r="J27" s="58">
        <v>30.3</v>
      </c>
      <c r="K27" s="57">
        <v>28.57</v>
      </c>
      <c r="L27" s="56">
        <v>14.2</v>
      </c>
      <c r="M27" s="58">
        <v>31.53</v>
      </c>
      <c r="N27" s="58">
        <v>29.73</v>
      </c>
      <c r="O27" s="59">
        <v>29.07</v>
      </c>
      <c r="P27" s="60">
        <f t="shared" si="0"/>
        <v>257.57575757575756</v>
      </c>
      <c r="Q27" s="21">
        <f t="shared" si="1"/>
        <v>330.30303030303025</v>
      </c>
      <c r="R27" s="61">
        <f t="shared" si="2"/>
        <v>30.057924896999999</v>
      </c>
      <c r="S27" s="23">
        <f t="shared" si="3"/>
        <v>26.982965070000002</v>
      </c>
      <c r="T27" s="62">
        <f t="shared" si="4"/>
        <v>27.249837183000004</v>
      </c>
      <c r="U27" s="25">
        <f t="shared" si="5"/>
        <v>-10.230113481010463</v>
      </c>
      <c r="V27" s="25">
        <f t="shared" si="6"/>
        <v>-9.3422540764956903</v>
      </c>
      <c r="W27" s="63"/>
      <c r="X27" s="64"/>
      <c r="Y27" s="65"/>
      <c r="Z27" s="66"/>
      <c r="AA27" s="67"/>
      <c r="AB27" s="64"/>
      <c r="AC27" s="67"/>
      <c r="AD27" s="66"/>
    </row>
    <row r="28" spans="1:30" ht="15.75" customHeight="1">
      <c r="A28" s="58" t="s">
        <v>33</v>
      </c>
      <c r="B28" s="68" t="s">
        <v>34</v>
      </c>
      <c r="C28" s="36">
        <v>296</v>
      </c>
      <c r="D28" s="36">
        <v>5.65</v>
      </c>
      <c r="E28" s="36">
        <v>30.7</v>
      </c>
      <c r="F28" s="36">
        <v>29.18</v>
      </c>
      <c r="G28" s="36">
        <v>29.66</v>
      </c>
      <c r="H28" s="36">
        <v>26.2</v>
      </c>
      <c r="I28" s="18">
        <v>32.31</v>
      </c>
      <c r="J28" s="36">
        <v>30.21</v>
      </c>
      <c r="K28" s="36">
        <v>29.97</v>
      </c>
      <c r="L28" s="36">
        <v>28</v>
      </c>
      <c r="M28" s="36">
        <v>32.020000000000003</v>
      </c>
      <c r="N28" s="36">
        <v>30.05</v>
      </c>
      <c r="O28" s="36">
        <v>30.11</v>
      </c>
      <c r="P28" s="60">
        <f t="shared" si="0"/>
        <v>363.71681415929197</v>
      </c>
      <c r="Q28" s="21">
        <f t="shared" si="1"/>
        <v>395.57522123893807</v>
      </c>
      <c r="R28" s="61">
        <f t="shared" si="2"/>
        <v>26.570199160000001</v>
      </c>
      <c r="S28" s="23">
        <f t="shared" si="3"/>
        <v>29.253270447000002</v>
      </c>
      <c r="T28" s="62">
        <f t="shared" si="4"/>
        <v>28.971872110000003</v>
      </c>
      <c r="U28" s="25">
        <f t="shared" si="5"/>
        <v>10.098047330556783</v>
      </c>
      <c r="V28" s="25">
        <f t="shared" si="6"/>
        <v>9.0389723296300719</v>
      </c>
      <c r="W28" s="26">
        <f>AVERAGE(P28:P33)</f>
        <v>362.16693638533161</v>
      </c>
      <c r="X28" s="27">
        <f>_xlfn.STDEV.S(P28:P33)</f>
        <v>12.836883228398703</v>
      </c>
      <c r="Y28" s="28">
        <f>AVERAGE(Q28:Q33)</f>
        <v>393.53958991013019</v>
      </c>
      <c r="Z28" s="29">
        <f>_xlfn.STDEV.S(Q28:Q33)</f>
        <v>8.1251270033465346</v>
      </c>
      <c r="AA28" s="30">
        <f>AVERAGE(U28:U33)</f>
        <v>5.9965037346119603</v>
      </c>
      <c r="AB28" s="27">
        <f>_xlfn.STDEV.S(U28:U33)</f>
        <v>10.496145911698829</v>
      </c>
      <c r="AC28" s="30">
        <f>AVERAGE(V28:V33)</f>
        <v>10.299983194488307</v>
      </c>
      <c r="AD28" s="29">
        <f>_xlfn.STDEV.S(V28:V33)</f>
        <v>1.4303838198145586</v>
      </c>
    </row>
    <row r="29" spans="1:30" ht="15.75" customHeight="1">
      <c r="A29" s="69"/>
      <c r="B29" s="68"/>
      <c r="C29" s="36">
        <v>299</v>
      </c>
      <c r="D29" s="36">
        <v>5.52</v>
      </c>
      <c r="E29" s="36">
        <v>30.38</v>
      </c>
      <c r="F29" s="36">
        <v>29.01</v>
      </c>
      <c r="G29" s="36">
        <v>29.51</v>
      </c>
      <c r="H29" s="36">
        <v>25</v>
      </c>
      <c r="I29" s="18">
        <v>31.63</v>
      </c>
      <c r="J29" s="36">
        <v>29.99</v>
      </c>
      <c r="K29" s="36">
        <v>30.23</v>
      </c>
      <c r="L29" s="36">
        <v>27.3</v>
      </c>
      <c r="M29" s="36">
        <v>31.68</v>
      </c>
      <c r="N29" s="36">
        <v>30.02</v>
      </c>
      <c r="O29" s="36">
        <v>30.22</v>
      </c>
      <c r="P29" s="60">
        <f t="shared" si="0"/>
        <v>352.89855072463769</v>
      </c>
      <c r="Q29" s="21">
        <f t="shared" si="1"/>
        <v>394.56521739130437</v>
      </c>
      <c r="R29" s="61">
        <f t="shared" si="2"/>
        <v>26.007865338000002</v>
      </c>
      <c r="S29" s="23">
        <f t="shared" si="3"/>
        <v>28.675685250999997</v>
      </c>
      <c r="T29" s="62">
        <f t="shared" si="4"/>
        <v>28.740235391999999</v>
      </c>
      <c r="U29" s="25">
        <f t="shared" si="5"/>
        <v>10.257742718707688</v>
      </c>
      <c r="V29" s="25">
        <f t="shared" si="6"/>
        <v>10.505937409664069</v>
      </c>
      <c r="W29" s="70"/>
      <c r="Z29" s="71"/>
      <c r="AD29" s="71"/>
    </row>
    <row r="30" spans="1:30" ht="15.75" customHeight="1">
      <c r="A30" s="69"/>
      <c r="B30" s="68"/>
      <c r="C30" s="36">
        <v>303</v>
      </c>
      <c r="D30" s="36">
        <v>5.58</v>
      </c>
      <c r="E30" s="36">
        <v>30.81</v>
      </c>
      <c r="F30" s="36">
        <v>29.42</v>
      </c>
      <c r="G30" s="36">
        <v>29.1</v>
      </c>
      <c r="H30" s="36">
        <v>26.5</v>
      </c>
      <c r="I30" s="18">
        <v>32.159999999999997</v>
      </c>
      <c r="J30" s="36">
        <v>30.08</v>
      </c>
      <c r="K30" s="36">
        <v>29.94</v>
      </c>
      <c r="L30" s="36">
        <v>27.6</v>
      </c>
      <c r="M30" s="36">
        <v>31.79</v>
      </c>
      <c r="N30" s="36">
        <v>30.15</v>
      </c>
      <c r="O30" s="36">
        <v>29.81</v>
      </c>
      <c r="P30" s="60">
        <f t="shared" si="0"/>
        <v>374.91039426523298</v>
      </c>
      <c r="Q30" s="21">
        <f t="shared" si="1"/>
        <v>394.62365591397855</v>
      </c>
      <c r="R30" s="61">
        <f t="shared" si="2"/>
        <v>26.37711882</v>
      </c>
      <c r="S30" s="23">
        <f t="shared" si="3"/>
        <v>28.963141631999999</v>
      </c>
      <c r="T30" s="62">
        <f t="shared" si="4"/>
        <v>28.571945984999999</v>
      </c>
      <c r="U30" s="25">
        <f t="shared" si="5"/>
        <v>9.8040382258853533</v>
      </c>
      <c r="V30" s="25">
        <f t="shared" si="6"/>
        <v>8.3209511242592935</v>
      </c>
      <c r="W30" s="70"/>
      <c r="Z30" s="71"/>
      <c r="AD30" s="71"/>
    </row>
    <row r="31" spans="1:30" ht="15.75" customHeight="1">
      <c r="A31" s="69"/>
      <c r="B31" s="68"/>
      <c r="C31" s="36">
        <v>307</v>
      </c>
      <c r="D31" s="36">
        <v>5.75</v>
      </c>
      <c r="E31" s="36">
        <v>31.11</v>
      </c>
      <c r="F31" s="36">
        <v>29.23</v>
      </c>
      <c r="G31" s="36">
        <v>29.34</v>
      </c>
      <c r="H31" s="36">
        <v>25.4</v>
      </c>
      <c r="I31" s="18">
        <v>32.64</v>
      </c>
      <c r="J31" s="36">
        <v>30.28</v>
      </c>
      <c r="K31" s="36">
        <v>30.38</v>
      </c>
      <c r="L31" s="36">
        <v>27.5</v>
      </c>
      <c r="M31" s="36">
        <v>32.630000000000003</v>
      </c>
      <c r="N31" s="36">
        <v>29.82</v>
      </c>
      <c r="O31" s="36">
        <v>30.24</v>
      </c>
      <c r="P31" s="60">
        <f t="shared" si="0"/>
        <v>341.73913043478257</v>
      </c>
      <c r="Q31" s="21">
        <f t="shared" si="1"/>
        <v>378.26086956521738</v>
      </c>
      <c r="R31" s="61">
        <f t="shared" si="2"/>
        <v>26.680191102000002</v>
      </c>
      <c r="S31" s="23">
        <f t="shared" si="3"/>
        <v>30.025744895999999</v>
      </c>
      <c r="T31" s="62">
        <f t="shared" si="4"/>
        <v>29.424324383999998</v>
      </c>
      <c r="U31" s="25">
        <f t="shared" si="5"/>
        <v>12.539467132037174</v>
      </c>
      <c r="V31" s="25">
        <f t="shared" si="6"/>
        <v>10.285283458086965</v>
      </c>
      <c r="W31" s="70"/>
      <c r="Z31" s="71"/>
      <c r="AD31" s="71"/>
    </row>
    <row r="32" spans="1:30" ht="15.75" customHeight="1">
      <c r="A32" s="69"/>
      <c r="B32" s="68"/>
      <c r="C32" s="36">
        <v>310</v>
      </c>
      <c r="D32" s="36">
        <v>5.37</v>
      </c>
      <c r="E32" s="36">
        <v>30.91</v>
      </c>
      <c r="F32" s="36">
        <v>28.75</v>
      </c>
      <c r="G32" s="36">
        <v>29.08</v>
      </c>
      <c r="H32" s="36">
        <v>25</v>
      </c>
      <c r="I32" s="18">
        <v>32.15</v>
      </c>
      <c r="J32" s="36">
        <v>29.19</v>
      </c>
      <c r="K32" s="36">
        <v>29.89</v>
      </c>
      <c r="L32" s="36">
        <v>26.6</v>
      </c>
      <c r="M32" s="36">
        <v>32.340000000000003</v>
      </c>
      <c r="N32" s="36">
        <v>29.8</v>
      </c>
      <c r="O32" s="36">
        <v>30.02</v>
      </c>
      <c r="P32" s="60">
        <f t="shared" si="0"/>
        <v>365.54934823091247</v>
      </c>
      <c r="Q32" s="21">
        <f t="shared" si="1"/>
        <v>395.34450651769089</v>
      </c>
      <c r="R32" s="61">
        <f t="shared" si="2"/>
        <v>25.842305499999998</v>
      </c>
      <c r="S32" s="23">
        <f t="shared" si="3"/>
        <v>28.050524565</v>
      </c>
      <c r="T32" s="62">
        <f t="shared" si="4"/>
        <v>28.931234640000003</v>
      </c>
      <c r="U32" s="25">
        <f t="shared" si="5"/>
        <v>8.5449770145314705</v>
      </c>
      <c r="V32" s="25">
        <f t="shared" si="6"/>
        <v>11.952993667689613</v>
      </c>
      <c r="W32" s="70"/>
      <c r="Z32" s="71"/>
      <c r="AD32" s="71"/>
    </row>
    <row r="33" spans="1:30" ht="15.75" customHeight="1">
      <c r="A33" s="69"/>
      <c r="B33" s="68"/>
      <c r="C33" s="36">
        <v>313</v>
      </c>
      <c r="D33" s="36">
        <v>5.23</v>
      </c>
      <c r="E33" s="36">
        <v>30.23</v>
      </c>
      <c r="F33" s="36">
        <v>28.93</v>
      </c>
      <c r="G33" s="36">
        <v>29.51</v>
      </c>
      <c r="H33" s="36">
        <v>24.8</v>
      </c>
      <c r="I33" s="18">
        <v>24.8</v>
      </c>
      <c r="J33" s="36">
        <v>29.65</v>
      </c>
      <c r="K33" s="36">
        <v>29.74</v>
      </c>
      <c r="L33" s="36">
        <v>26.3</v>
      </c>
      <c r="M33" s="36">
        <v>31.66</v>
      </c>
      <c r="N33" s="36">
        <v>30.01</v>
      </c>
      <c r="O33" s="36">
        <v>30.34</v>
      </c>
      <c r="P33" s="60">
        <f t="shared" si="0"/>
        <v>374.18738049713187</v>
      </c>
      <c r="Q33" s="21">
        <f t="shared" si="1"/>
        <v>402.86806883365199</v>
      </c>
      <c r="R33" s="61">
        <f t="shared" si="2"/>
        <v>25.808085589000001</v>
      </c>
      <c r="S33" s="23">
        <f t="shared" si="3"/>
        <v>21.868416799999995</v>
      </c>
      <c r="T33" s="62">
        <f t="shared" si="4"/>
        <v>28.826537643999998</v>
      </c>
      <c r="U33" s="25">
        <f t="shared" si="5"/>
        <v>-15.265250014046696</v>
      </c>
      <c r="V33" s="25">
        <f t="shared" si="6"/>
        <v>11.695761177599826</v>
      </c>
      <c r="W33" s="70"/>
      <c r="Z33" s="71"/>
      <c r="AD33" s="71"/>
    </row>
    <row r="34" spans="1:30" ht="15.75" customHeight="1">
      <c r="A34" s="69"/>
      <c r="B34" s="68" t="s">
        <v>35</v>
      </c>
      <c r="C34" s="36">
        <v>7</v>
      </c>
      <c r="D34" s="36">
        <v>3.9</v>
      </c>
      <c r="E34" s="36">
        <v>31.01</v>
      </c>
      <c r="F34" s="36">
        <v>29.93</v>
      </c>
      <c r="G34" s="36">
        <v>30.31</v>
      </c>
      <c r="H34" s="36">
        <v>26.9</v>
      </c>
      <c r="I34" s="18">
        <v>31.53</v>
      </c>
      <c r="J34" s="36">
        <v>30.27</v>
      </c>
      <c r="K34" s="36">
        <v>30.17</v>
      </c>
      <c r="L34" s="36">
        <v>27.4</v>
      </c>
      <c r="M34" s="36">
        <v>31.76</v>
      </c>
      <c r="N34" s="36">
        <v>30.26</v>
      </c>
      <c r="O34" s="36">
        <v>30.16</v>
      </c>
      <c r="P34" s="60">
        <f t="shared" si="0"/>
        <v>589.74358974358984</v>
      </c>
      <c r="Q34" s="21">
        <f t="shared" si="1"/>
        <v>602.56410256410254</v>
      </c>
      <c r="R34" s="61">
        <f t="shared" si="2"/>
        <v>28.131599082999998</v>
      </c>
      <c r="S34" s="23">
        <f t="shared" si="3"/>
        <v>28.794643227000002</v>
      </c>
      <c r="T34" s="62">
        <f t="shared" si="4"/>
        <v>28.985497216000002</v>
      </c>
      <c r="U34" s="25">
        <f t="shared" si="5"/>
        <v>2.3569372720112574</v>
      </c>
      <c r="V34" s="25">
        <f t="shared" si="6"/>
        <v>3.0353700494616316</v>
      </c>
      <c r="W34" s="26">
        <f>AVERAGE(P34:P36)</f>
        <v>564.17378917378915</v>
      </c>
      <c r="X34" s="27">
        <f>_xlfn.STDEV.S(P34:P36)</f>
        <v>23.207462905852296</v>
      </c>
      <c r="Y34" s="28">
        <f>AVERAGE(Q34:Q36)</f>
        <v>600.85470085470081</v>
      </c>
      <c r="Z34" s="29">
        <f>_xlfn.STDEV.S(Q34:Q36)</f>
        <v>5.749411985928937</v>
      </c>
      <c r="AA34" s="30">
        <f>AVERAGE(U34:U36)</f>
        <v>2.2802962033661207</v>
      </c>
      <c r="AB34" s="27">
        <f>_xlfn.STDEV.S(U34:U36)</f>
        <v>0.76928476473939722</v>
      </c>
      <c r="AC34" s="30">
        <f>AVERAGE(V34:V36)</f>
        <v>1.8083061477728632</v>
      </c>
      <c r="AD34" s="29">
        <f>_xlfn.STDEV.S(V34:V36)</f>
        <v>1.1643582934767367</v>
      </c>
    </row>
    <row r="35" spans="1:30" ht="15.75" customHeight="1">
      <c r="A35" s="69"/>
      <c r="B35" s="68"/>
      <c r="C35" s="36">
        <v>11</v>
      </c>
      <c r="D35" s="36">
        <v>3.6</v>
      </c>
      <c r="E35" s="36">
        <v>30.26</v>
      </c>
      <c r="F35" s="36">
        <v>29.88</v>
      </c>
      <c r="G35" s="36">
        <v>30.14</v>
      </c>
      <c r="H35" s="36">
        <v>23.2</v>
      </c>
      <c r="I35" s="18">
        <v>30.81</v>
      </c>
      <c r="J35" s="36">
        <v>30.05</v>
      </c>
      <c r="K35" s="36">
        <v>30.32</v>
      </c>
      <c r="L35" s="72">
        <v>25</v>
      </c>
      <c r="M35" s="36">
        <v>30.48</v>
      </c>
      <c r="N35" s="36">
        <v>30.2</v>
      </c>
      <c r="O35" s="36">
        <v>30.1</v>
      </c>
      <c r="P35" s="60">
        <f t="shared" si="0"/>
        <v>544.44444444444434</v>
      </c>
      <c r="Q35" s="21">
        <f t="shared" si="1"/>
        <v>594.44444444444434</v>
      </c>
      <c r="R35" s="61">
        <f t="shared" si="2"/>
        <v>27.251647632000005</v>
      </c>
      <c r="S35" s="23">
        <f t="shared" si="3"/>
        <v>28.071483960000002</v>
      </c>
      <c r="T35" s="62">
        <f t="shared" si="4"/>
        <v>27.706929599999999</v>
      </c>
      <c r="U35" s="25">
        <f t="shared" si="5"/>
        <v>3.0083917826579847</v>
      </c>
      <c r="V35" s="25">
        <f t="shared" si="6"/>
        <v>1.6706585016363689</v>
      </c>
      <c r="W35" s="70"/>
      <c r="Z35" s="71"/>
      <c r="AD35" s="71"/>
    </row>
    <row r="36" spans="1:30" ht="15.75" customHeight="1">
      <c r="A36" s="69"/>
      <c r="B36" s="68"/>
      <c r="C36" s="36">
        <v>15</v>
      </c>
      <c r="D36" s="36">
        <v>3.6</v>
      </c>
      <c r="E36" s="36">
        <v>30.51</v>
      </c>
      <c r="F36" s="36">
        <v>30.01</v>
      </c>
      <c r="G36" s="36">
        <v>30.2</v>
      </c>
      <c r="H36" s="36">
        <v>23.7</v>
      </c>
      <c r="I36" s="18">
        <v>31.19</v>
      </c>
      <c r="J36" s="36">
        <v>29.72</v>
      </c>
      <c r="K36" s="36">
        <v>30.27</v>
      </c>
      <c r="L36" s="72">
        <v>25.4</v>
      </c>
      <c r="M36" s="36">
        <v>30.77</v>
      </c>
      <c r="N36" s="36">
        <v>30.03</v>
      </c>
      <c r="O36" s="36">
        <v>30.14</v>
      </c>
      <c r="P36" s="60">
        <f t="shared" si="0"/>
        <v>558.33333333333326</v>
      </c>
      <c r="Q36" s="21">
        <f t="shared" si="1"/>
        <v>605.55555555555543</v>
      </c>
      <c r="R36" s="61">
        <f t="shared" si="2"/>
        <v>27.651274020000002</v>
      </c>
      <c r="S36" s="23">
        <f t="shared" si="3"/>
        <v>28.059285036000002</v>
      </c>
      <c r="T36" s="62">
        <f t="shared" si="4"/>
        <v>27.850056234</v>
      </c>
      <c r="U36" s="25">
        <f t="shared" si="5"/>
        <v>1.4755595554291197</v>
      </c>
      <c r="V36" s="25">
        <f t="shared" si="6"/>
        <v>0.71888989222058897</v>
      </c>
      <c r="W36" s="70"/>
      <c r="Z36" s="71"/>
      <c r="AD36" s="71"/>
    </row>
    <row r="37" spans="1:30" ht="15.75" customHeight="1">
      <c r="A37" s="69"/>
      <c r="B37" s="68" t="s">
        <v>36</v>
      </c>
      <c r="C37" s="36">
        <v>27</v>
      </c>
      <c r="D37" s="36">
        <v>4</v>
      </c>
      <c r="E37" s="36">
        <v>31.65</v>
      </c>
      <c r="F37" s="36">
        <v>30.27</v>
      </c>
      <c r="G37" s="36">
        <v>30</v>
      </c>
      <c r="H37" s="36">
        <v>24.1</v>
      </c>
      <c r="I37" s="18">
        <v>32.25</v>
      </c>
      <c r="J37" s="36">
        <v>30.67</v>
      </c>
      <c r="K37" s="36">
        <v>30.1</v>
      </c>
      <c r="L37" s="36">
        <v>26</v>
      </c>
      <c r="M37" s="36">
        <v>32.299999999999997</v>
      </c>
      <c r="N37" s="36">
        <v>30.22</v>
      </c>
      <c r="O37" s="36">
        <v>30.17</v>
      </c>
      <c r="P37" s="60">
        <f t="shared" si="0"/>
        <v>502.50000000000006</v>
      </c>
      <c r="Q37" s="21">
        <f t="shared" si="1"/>
        <v>550</v>
      </c>
      <c r="R37" s="61">
        <f t="shared" si="2"/>
        <v>28.741364999999998</v>
      </c>
      <c r="S37" s="23">
        <f t="shared" si="3"/>
        <v>29.772135750000004</v>
      </c>
      <c r="T37" s="62">
        <f t="shared" si="4"/>
        <v>29.449118019999997</v>
      </c>
      <c r="U37" s="25">
        <f t="shared" si="5"/>
        <v>3.5863667226661144</v>
      </c>
      <c r="V37" s="25">
        <f t="shared" si="6"/>
        <v>2.4624892380720209</v>
      </c>
      <c r="W37" s="26">
        <f>AVERAGE(P37:P39)</f>
        <v>527.52252252252254</v>
      </c>
      <c r="X37" s="27">
        <f>_xlfn.STDEV.S(P37:P39)</f>
        <v>35.038610481792233</v>
      </c>
      <c r="Y37" s="28">
        <f>AVERAGE(Q37:Q39)</f>
        <v>558.06306306306305</v>
      </c>
      <c r="Z37" s="29">
        <f>_xlfn.STDEV.S(Q37:Q39)</f>
        <v>27.979935591681279</v>
      </c>
      <c r="AA37" s="30">
        <f>AVERAGE(U37:U39)</f>
        <v>2.352797833496568</v>
      </c>
      <c r="AB37" s="27">
        <f>_xlfn.STDEV.S(U37:U39)</f>
        <v>1.1818936038255636</v>
      </c>
      <c r="AC37" s="30">
        <f>AVERAGE(V37:V39)</f>
        <v>1.5088297783410054</v>
      </c>
      <c r="AD37" s="29">
        <f>_xlfn.STDEV.S(V37:V39)</f>
        <v>0.90388117064519369</v>
      </c>
    </row>
    <row r="38" spans="1:30" ht="15.75" customHeight="1">
      <c r="A38" s="69"/>
      <c r="B38" s="68"/>
      <c r="C38" s="36">
        <v>31</v>
      </c>
      <c r="D38" s="36">
        <v>4</v>
      </c>
      <c r="E38" s="36">
        <v>32.17</v>
      </c>
      <c r="F38" s="36">
        <v>30.17</v>
      </c>
      <c r="G38" s="36">
        <v>30</v>
      </c>
      <c r="H38" s="36">
        <v>24.5</v>
      </c>
      <c r="I38" s="18">
        <v>32.18</v>
      </c>
      <c r="J38" s="36">
        <v>30.4</v>
      </c>
      <c r="K38" s="36">
        <v>30.13</v>
      </c>
      <c r="L38" s="36">
        <v>25.4</v>
      </c>
      <c r="M38" s="36">
        <v>32.619999999999997</v>
      </c>
      <c r="N38" s="36">
        <v>30.14</v>
      </c>
      <c r="O38" s="36">
        <v>30.03</v>
      </c>
      <c r="P38" s="60">
        <f t="shared" si="0"/>
        <v>512.5</v>
      </c>
      <c r="Q38" s="21">
        <f t="shared" si="1"/>
        <v>535</v>
      </c>
      <c r="R38" s="61">
        <f t="shared" si="2"/>
        <v>29.117067000000002</v>
      </c>
      <c r="S38" s="23">
        <f t="shared" si="3"/>
        <v>29.475335359999999</v>
      </c>
      <c r="T38" s="62">
        <f t="shared" si="4"/>
        <v>29.524499004000003</v>
      </c>
      <c r="U38" s="25">
        <f t="shared" si="5"/>
        <v>1.2304411017771697</v>
      </c>
      <c r="V38" s="25">
        <f t="shared" si="6"/>
        <v>1.3992893034178213</v>
      </c>
      <c r="W38" s="70"/>
      <c r="Z38" s="71"/>
      <c r="AD38" s="71"/>
    </row>
    <row r="39" spans="1:30" ht="15.75" customHeight="1">
      <c r="A39" s="69"/>
      <c r="B39" s="68"/>
      <c r="C39" s="36">
        <v>35</v>
      </c>
      <c r="D39" s="36">
        <v>3.7</v>
      </c>
      <c r="E39" s="36">
        <v>31.36</v>
      </c>
      <c r="F39" s="36">
        <v>29.95</v>
      </c>
      <c r="G39" s="36">
        <v>30.23</v>
      </c>
      <c r="H39" s="36">
        <v>24.7</v>
      </c>
      <c r="I39" s="18">
        <v>32.25</v>
      </c>
      <c r="J39" s="36">
        <v>30.11</v>
      </c>
      <c r="K39" s="36">
        <v>29.96</v>
      </c>
      <c r="L39" s="36">
        <v>25.5</v>
      </c>
      <c r="M39" s="36">
        <v>31.61</v>
      </c>
      <c r="N39" s="36">
        <v>29.99</v>
      </c>
      <c r="O39" s="36">
        <v>30.15</v>
      </c>
      <c r="P39" s="60">
        <f t="shared" si="0"/>
        <v>567.56756756756749</v>
      </c>
      <c r="Q39" s="21">
        <f t="shared" si="1"/>
        <v>589.18918918918916</v>
      </c>
      <c r="R39" s="61">
        <f t="shared" si="2"/>
        <v>28.392983359999999</v>
      </c>
      <c r="S39" s="23">
        <f t="shared" ref="S39:S58" si="7">I38*J39*K39/1000</f>
        <v>29.029436408000002</v>
      </c>
      <c r="T39" s="62">
        <f t="shared" si="4"/>
        <v>28.581714584999997</v>
      </c>
      <c r="U39" s="25">
        <f t="shared" si="5"/>
        <v>2.2415856760464199</v>
      </c>
      <c r="V39" s="25">
        <f t="shared" si="6"/>
        <v>0.66471079353317364</v>
      </c>
      <c r="W39" s="70"/>
      <c r="Z39" s="71"/>
      <c r="AD39" s="71"/>
    </row>
    <row r="40" spans="1:30" ht="15.75" customHeight="1">
      <c r="A40" s="69"/>
      <c r="B40" s="68" t="s">
        <v>37</v>
      </c>
      <c r="C40" s="36">
        <v>47</v>
      </c>
      <c r="D40" s="36">
        <v>5.3</v>
      </c>
      <c r="E40" s="36">
        <v>30.37</v>
      </c>
      <c r="F40" s="36">
        <v>30.04</v>
      </c>
      <c r="G40" s="36">
        <v>30.1</v>
      </c>
      <c r="H40" s="36">
        <v>21.9</v>
      </c>
      <c r="I40" s="18">
        <v>32.06</v>
      </c>
      <c r="J40" s="36">
        <v>30.16</v>
      </c>
      <c r="K40" s="36">
        <v>30.42</v>
      </c>
      <c r="L40" s="36">
        <v>23.3</v>
      </c>
      <c r="M40" s="36">
        <v>31.58</v>
      </c>
      <c r="N40" s="36">
        <v>30.03</v>
      </c>
      <c r="O40" s="36">
        <v>30.11</v>
      </c>
      <c r="P40" s="60">
        <f t="shared" si="0"/>
        <v>313.20754716981128</v>
      </c>
      <c r="Q40" s="21">
        <f t="shared" si="1"/>
        <v>339.62264150943395</v>
      </c>
      <c r="R40" s="61">
        <f t="shared" si="2"/>
        <v>27.460675480000003</v>
      </c>
      <c r="S40" s="23">
        <f t="shared" si="7"/>
        <v>29.588317200000002</v>
      </c>
      <c r="T40" s="62">
        <f t="shared" si="4"/>
        <v>28.554740213999999</v>
      </c>
      <c r="U40" s="25">
        <f t="shared" si="5"/>
        <v>7.747958427131886</v>
      </c>
      <c r="V40" s="25">
        <f t="shared" si="6"/>
        <v>3.9841144286374854</v>
      </c>
      <c r="W40" s="26">
        <f>AVERAGE(P40:P42)</f>
        <v>312.27820750700818</v>
      </c>
      <c r="X40" s="27">
        <f>_xlfn.STDEV.S(P40:P42)</f>
        <v>19.237787919635853</v>
      </c>
      <c r="Y40" s="28">
        <f>AVERAGE(Q40:Q42)</f>
        <v>339.17604440267633</v>
      </c>
      <c r="Z40" s="29">
        <f>_xlfn.STDEV.S(Q40:Q42)</f>
        <v>9.3311351280141359</v>
      </c>
      <c r="AA40" s="30">
        <f>AVERAGE(U40:U42)</f>
        <v>15.550117288601646</v>
      </c>
      <c r="AB40" s="27">
        <f>_xlfn.STDEV.S(U40:U42)</f>
        <v>19.271409382656429</v>
      </c>
      <c r="AC40" s="30">
        <f>AVERAGE(V40:V42)</f>
        <v>1.6484801534047504</v>
      </c>
      <c r="AD40" s="29">
        <f>_xlfn.STDEV.S(V40:V42)</f>
        <v>2.0265623374150015</v>
      </c>
    </row>
    <row r="41" spans="1:30" ht="15.75" customHeight="1">
      <c r="A41" s="69"/>
      <c r="B41" s="68"/>
      <c r="C41" s="36">
        <v>51</v>
      </c>
      <c r="D41" s="36">
        <v>5.8</v>
      </c>
      <c r="E41" s="36">
        <v>31.72</v>
      </c>
      <c r="F41" s="36">
        <v>29.83</v>
      </c>
      <c r="G41" s="36">
        <v>30.32</v>
      </c>
      <c r="H41" s="36">
        <v>25</v>
      </c>
      <c r="I41" s="18">
        <v>32.83</v>
      </c>
      <c r="J41" s="36">
        <v>29.8</v>
      </c>
      <c r="K41" s="36">
        <v>30.45</v>
      </c>
      <c r="L41" s="36">
        <v>26</v>
      </c>
      <c r="M41" s="36">
        <v>32.57</v>
      </c>
      <c r="N41" s="36">
        <v>29.49</v>
      </c>
      <c r="O41" s="36">
        <v>30.05</v>
      </c>
      <c r="P41" s="60">
        <f t="shared" si="0"/>
        <v>331.0344827586207</v>
      </c>
      <c r="Q41" s="21">
        <f t="shared" si="1"/>
        <v>348.27586206896552</v>
      </c>
      <c r="R41" s="61">
        <f t="shared" si="2"/>
        <v>28.689014432</v>
      </c>
      <c r="S41" s="23">
        <f t="shared" si="7"/>
        <v>29.091564600000005</v>
      </c>
      <c r="T41" s="62">
        <f t="shared" si="4"/>
        <v>28.862703464999999</v>
      </c>
      <c r="U41" s="25">
        <f t="shared" si="5"/>
        <v>1.4031509132324755</v>
      </c>
      <c r="V41" s="25">
        <f t="shared" si="6"/>
        <v>0.6054200063640538</v>
      </c>
      <c r="W41" s="70"/>
      <c r="Z41" s="71"/>
      <c r="AD41" s="71"/>
    </row>
    <row r="42" spans="1:30" ht="15.75" customHeight="1">
      <c r="A42" s="69"/>
      <c r="B42" s="68"/>
      <c r="C42" s="36">
        <v>55</v>
      </c>
      <c r="D42" s="36">
        <v>5.4</v>
      </c>
      <c r="E42" s="36">
        <v>30.65</v>
      </c>
      <c r="F42" s="36">
        <v>30.2</v>
      </c>
      <c r="G42" s="36">
        <v>29.75</v>
      </c>
      <c r="H42" s="36">
        <v>21.2</v>
      </c>
      <c r="I42" s="18">
        <v>31.55</v>
      </c>
      <c r="J42" s="36">
        <v>38.47</v>
      </c>
      <c r="K42" s="36">
        <v>29.98</v>
      </c>
      <c r="L42" s="36">
        <v>23.2</v>
      </c>
      <c r="M42" s="36">
        <v>31.29</v>
      </c>
      <c r="N42" s="36">
        <v>29.99</v>
      </c>
      <c r="O42" s="36">
        <v>29.45</v>
      </c>
      <c r="P42" s="60">
        <f t="shared" si="0"/>
        <v>292.59259259259255</v>
      </c>
      <c r="Q42" s="21">
        <f t="shared" si="1"/>
        <v>329.62962962962956</v>
      </c>
      <c r="R42" s="61">
        <f t="shared" si="2"/>
        <v>27.537492499999995</v>
      </c>
      <c r="S42" s="23">
        <f t="shared" si="7"/>
        <v>37.863843598000003</v>
      </c>
      <c r="T42" s="62">
        <f t="shared" si="4"/>
        <v>27.635500094999994</v>
      </c>
      <c r="U42" s="25">
        <f t="shared" si="5"/>
        <v>37.499242525440572</v>
      </c>
      <c r="V42" s="25">
        <f t="shared" si="6"/>
        <v>0.35590602521271164</v>
      </c>
      <c r="W42" s="70"/>
      <c r="Z42" s="71"/>
      <c r="AD42" s="71"/>
    </row>
    <row r="43" spans="1:30" ht="15.75" customHeight="1">
      <c r="A43" s="69"/>
      <c r="B43" s="68" t="s">
        <v>38</v>
      </c>
      <c r="C43" s="36">
        <v>68</v>
      </c>
      <c r="D43" s="36">
        <v>5.2</v>
      </c>
      <c r="E43" s="36">
        <v>31.31</v>
      </c>
      <c r="F43" s="36">
        <v>30.11</v>
      </c>
      <c r="G43" s="36">
        <v>29.89</v>
      </c>
      <c r="H43" s="36">
        <v>21.1</v>
      </c>
      <c r="I43" s="18">
        <v>31.86</v>
      </c>
      <c r="J43" s="36">
        <v>29.92</v>
      </c>
      <c r="K43" s="36">
        <v>29.76</v>
      </c>
      <c r="L43" s="36">
        <v>23</v>
      </c>
      <c r="M43" s="36">
        <v>31.46</v>
      </c>
      <c r="N43" s="36">
        <v>30.1</v>
      </c>
      <c r="O43" s="36">
        <v>29.65</v>
      </c>
      <c r="P43" s="60">
        <f t="shared" si="0"/>
        <v>305.76923076923077</v>
      </c>
      <c r="Q43" s="21">
        <f t="shared" si="1"/>
        <v>342.30769230769226</v>
      </c>
      <c r="R43" s="61">
        <f t="shared" si="2"/>
        <v>28.178621148999998</v>
      </c>
      <c r="S43" s="23">
        <f t="shared" si="7"/>
        <v>28.092725760000004</v>
      </c>
      <c r="T43" s="62">
        <f t="shared" si="4"/>
        <v>28.076948899999998</v>
      </c>
      <c r="U43" s="25">
        <f t="shared" si="5"/>
        <v>-0.3048246702555284</v>
      </c>
      <c r="V43" s="25">
        <f t="shared" si="6"/>
        <v>-0.3608134282454345</v>
      </c>
      <c r="W43" s="26">
        <f>AVERAGE(P43:P45)</f>
        <v>318.1074740861975</v>
      </c>
      <c r="X43" s="27">
        <f>_xlfn.STDEV.S(P43:P45)</f>
        <v>21.170926718639222</v>
      </c>
      <c r="Y43" s="28">
        <f>AVERAGE(Q43:Q45)</f>
        <v>354.42880523731583</v>
      </c>
      <c r="Z43" s="29">
        <f>_xlfn.STDEV.S(Q43:Q45)</f>
        <v>24.818590285482401</v>
      </c>
      <c r="AA43" s="30">
        <f>AVERAGE(U43:U45)</f>
        <v>9.8776134634324322</v>
      </c>
      <c r="AB43" s="27">
        <f>_xlfn.STDEV.S(U43:U45)</f>
        <v>16.85958886191959</v>
      </c>
      <c r="AC43" s="30">
        <f>AVERAGE(V43:V45)</f>
        <v>-0.63511525244354039</v>
      </c>
      <c r="AD43" s="29">
        <f>_xlfn.STDEV.S(V43:V45)</f>
        <v>0.53550782283786258</v>
      </c>
    </row>
    <row r="44" spans="1:30" ht="15.75" customHeight="1">
      <c r="A44" s="69"/>
      <c r="B44" s="68"/>
      <c r="C44" s="36">
        <v>72</v>
      </c>
      <c r="D44" s="36">
        <v>5</v>
      </c>
      <c r="E44" s="36">
        <v>30.76</v>
      </c>
      <c r="F44" s="36">
        <v>30.3</v>
      </c>
      <c r="G44" s="36">
        <v>29.71</v>
      </c>
      <c r="H44" s="36">
        <v>20.3</v>
      </c>
      <c r="I44" s="18">
        <v>31.01</v>
      </c>
      <c r="J44" s="36">
        <v>38.08</v>
      </c>
      <c r="K44" s="36">
        <v>29.52</v>
      </c>
      <c r="L44" s="36">
        <v>21.9</v>
      </c>
      <c r="M44" s="36">
        <v>31.02</v>
      </c>
      <c r="N44" s="36">
        <v>29.77</v>
      </c>
      <c r="O44" s="36">
        <v>29.61</v>
      </c>
      <c r="P44" s="60">
        <f t="shared" si="0"/>
        <v>306</v>
      </c>
      <c r="Q44" s="21">
        <f t="shared" si="1"/>
        <v>338</v>
      </c>
      <c r="R44" s="61">
        <f t="shared" si="2"/>
        <v>27.690551880000001</v>
      </c>
      <c r="S44" s="23">
        <f t="shared" si="7"/>
        <v>35.814514175999996</v>
      </c>
      <c r="T44" s="62">
        <f t="shared" si="4"/>
        <v>27.343810493999996</v>
      </c>
      <c r="U44" s="25">
        <f t="shared" si="5"/>
        <v>29.338390694436367</v>
      </c>
      <c r="V44" s="25">
        <f t="shared" si="6"/>
        <v>-1.2522010666405146</v>
      </c>
      <c r="W44" s="70"/>
      <c r="Z44" s="71"/>
      <c r="AD44" s="71"/>
    </row>
    <row r="45" spans="1:30" ht="15.75" customHeight="1">
      <c r="A45" s="69"/>
      <c r="B45" s="68"/>
      <c r="C45" s="36">
        <v>76</v>
      </c>
      <c r="D45" s="36">
        <v>4.7</v>
      </c>
      <c r="E45" s="36">
        <v>30.45</v>
      </c>
      <c r="F45" s="36">
        <v>30.42</v>
      </c>
      <c r="G45" s="36">
        <v>30.16</v>
      </c>
      <c r="H45" s="36">
        <v>20.8</v>
      </c>
      <c r="I45" s="18">
        <v>30.78</v>
      </c>
      <c r="J45" s="36">
        <v>29.99</v>
      </c>
      <c r="K45" s="36">
        <v>30.22</v>
      </c>
      <c r="L45" s="36">
        <v>22.7</v>
      </c>
      <c r="M45" s="36">
        <v>30.87</v>
      </c>
      <c r="N45" s="36">
        <v>30.29</v>
      </c>
      <c r="O45" s="36">
        <v>29.79</v>
      </c>
      <c r="P45" s="60">
        <f t="shared" si="0"/>
        <v>342.55319148936172</v>
      </c>
      <c r="Q45" s="21">
        <f t="shared" si="1"/>
        <v>382.97872340425528</v>
      </c>
      <c r="R45" s="61">
        <f t="shared" si="2"/>
        <v>27.93687624</v>
      </c>
      <c r="S45" s="23">
        <f t="shared" si="7"/>
        <v>28.104294778</v>
      </c>
      <c r="T45" s="62">
        <f t="shared" si="4"/>
        <v>27.855208017000002</v>
      </c>
      <c r="U45" s="25">
        <f t="shared" si="5"/>
        <v>0.59927436611645923</v>
      </c>
      <c r="V45" s="25">
        <f t="shared" si="6"/>
        <v>-0.29233126244467211</v>
      </c>
      <c r="W45" s="70"/>
      <c r="Z45" s="71"/>
      <c r="AD45" s="71"/>
    </row>
    <row r="46" spans="1:30" ht="15.75" customHeight="1">
      <c r="A46" s="69"/>
      <c r="B46" s="68" t="s">
        <v>39</v>
      </c>
      <c r="C46" s="36">
        <v>88</v>
      </c>
      <c r="D46" s="36">
        <v>5.2</v>
      </c>
      <c r="E46" s="36">
        <v>31.76</v>
      </c>
      <c r="F46" s="36">
        <v>29.95</v>
      </c>
      <c r="G46" s="36">
        <v>29.99</v>
      </c>
      <c r="H46" s="36">
        <v>28.3</v>
      </c>
      <c r="I46" s="18">
        <v>31.49</v>
      </c>
      <c r="J46" s="36">
        <v>30.09</v>
      </c>
      <c r="K46" s="36">
        <v>30.14</v>
      </c>
      <c r="L46" s="36">
        <v>28.9</v>
      </c>
      <c r="M46" s="36">
        <v>31.46</v>
      </c>
      <c r="N46" s="36">
        <v>30.11</v>
      </c>
      <c r="O46" s="36">
        <v>29.51</v>
      </c>
      <c r="P46" s="60">
        <f t="shared" si="0"/>
        <v>444.23076923076923</v>
      </c>
      <c r="Q46" s="21">
        <f t="shared" si="1"/>
        <v>455.76923076923077</v>
      </c>
      <c r="R46" s="61">
        <f t="shared" si="2"/>
        <v>28.526847879999998</v>
      </c>
      <c r="S46" s="23">
        <f t="shared" si="7"/>
        <v>27.914769828000001</v>
      </c>
      <c r="T46" s="62">
        <f t="shared" si="4"/>
        <v>27.953660306000003</v>
      </c>
      <c r="U46" s="25">
        <f t="shared" si="5"/>
        <v>-2.1456210464427854</v>
      </c>
      <c r="V46" s="25">
        <f t="shared" si="6"/>
        <v>-2.0092916553947529</v>
      </c>
      <c r="W46" s="26">
        <f>AVERAGE(P46:P48)</f>
        <v>443.68673933046853</v>
      </c>
      <c r="X46" s="27">
        <f>_xlfn.STDEV.S(P46:P48)</f>
        <v>7.580323561983449</v>
      </c>
      <c r="Y46" s="28">
        <f>AVERAGE(Q46:Q48)</f>
        <v>457.86708974833283</v>
      </c>
      <c r="Z46" s="29">
        <f>_xlfn.STDEV.S(Q46:Q48)</f>
        <v>13.753525304788626</v>
      </c>
      <c r="AA46" s="30">
        <f>AVERAGE(U46:U48)</f>
        <v>1.3156544380635269</v>
      </c>
      <c r="AB46" s="27">
        <f>_xlfn.STDEV.S(U46:U48)</f>
        <v>3.8303579556130662</v>
      </c>
      <c r="AC46" s="30">
        <f>AVERAGE(V46:V48)</f>
        <v>2.5744453435292773</v>
      </c>
      <c r="AD46" s="29">
        <f>_xlfn.STDEV.S(V46:V48)</f>
        <v>3.9779506750742568</v>
      </c>
    </row>
    <row r="47" spans="1:30" ht="15.75" customHeight="1">
      <c r="A47" s="69"/>
      <c r="B47" s="68"/>
      <c r="C47" s="36">
        <v>92</v>
      </c>
      <c r="D47" s="36">
        <v>5.3</v>
      </c>
      <c r="E47" s="36">
        <v>32.07</v>
      </c>
      <c r="F47" s="36">
        <v>29.82</v>
      </c>
      <c r="G47" s="36">
        <v>30.26</v>
      </c>
      <c r="H47" s="36">
        <v>28.4</v>
      </c>
      <c r="I47" s="18">
        <v>33.18</v>
      </c>
      <c r="J47" s="36">
        <v>30.28</v>
      </c>
      <c r="K47" s="36">
        <v>30.55</v>
      </c>
      <c r="L47" s="36">
        <v>28.9</v>
      </c>
      <c r="M47" s="36">
        <v>32.93</v>
      </c>
      <c r="N47" s="36">
        <v>30.22</v>
      </c>
      <c r="O47" s="36">
        <v>30.42</v>
      </c>
      <c r="P47" s="60">
        <f t="shared" si="0"/>
        <v>435.84905660377353</v>
      </c>
      <c r="Q47" s="21">
        <f t="shared" si="1"/>
        <v>445.28301886792451</v>
      </c>
      <c r="R47" s="61">
        <f t="shared" si="2"/>
        <v>28.938467124000002</v>
      </c>
      <c r="S47" s="23">
        <f t="shared" si="7"/>
        <v>29.12995046</v>
      </c>
      <c r="T47" s="62">
        <f t="shared" si="4"/>
        <v>30.272298731999999</v>
      </c>
      <c r="U47" s="25">
        <f t="shared" si="5"/>
        <v>0.66169135766417808</v>
      </c>
      <c r="V47" s="25">
        <f t="shared" si="6"/>
        <v>4.6091992443296661</v>
      </c>
      <c r="W47" s="70"/>
      <c r="Z47" s="71"/>
      <c r="AD47" s="71"/>
    </row>
    <row r="48" spans="1:30" ht="15.75" customHeight="1">
      <c r="A48" s="69"/>
      <c r="B48" s="68"/>
      <c r="C48" s="36">
        <v>96</v>
      </c>
      <c r="D48" s="36">
        <v>5.0999999999999996</v>
      </c>
      <c r="E48" s="36">
        <v>32.020000000000003</v>
      </c>
      <c r="F48" s="36">
        <v>29.93</v>
      </c>
      <c r="G48" s="36">
        <v>29.85</v>
      </c>
      <c r="H48" s="36">
        <v>28.1</v>
      </c>
      <c r="I48" s="18">
        <v>32.4</v>
      </c>
      <c r="J48" s="36">
        <v>30</v>
      </c>
      <c r="K48" s="36">
        <v>30.3</v>
      </c>
      <c r="L48" s="36">
        <v>29.2</v>
      </c>
      <c r="M48" s="36">
        <v>32.799999999999997</v>
      </c>
      <c r="N48" s="36">
        <v>30.45</v>
      </c>
      <c r="O48" s="36">
        <v>30.11</v>
      </c>
      <c r="P48" s="60">
        <f t="shared" si="0"/>
        <v>450.98039215686276</v>
      </c>
      <c r="Q48" s="21">
        <f t="shared" si="1"/>
        <v>472.54901960784321</v>
      </c>
      <c r="R48" s="61">
        <f t="shared" si="2"/>
        <v>28.607004210000007</v>
      </c>
      <c r="S48" s="23">
        <f t="shared" si="7"/>
        <v>30.160619999999998</v>
      </c>
      <c r="T48" s="62">
        <f t="shared" si="4"/>
        <v>30.072663599999995</v>
      </c>
      <c r="U48" s="25">
        <f t="shared" si="5"/>
        <v>5.4308930029691878</v>
      </c>
      <c r="V48" s="25">
        <f t="shared" si="6"/>
        <v>5.1234284416529192</v>
      </c>
      <c r="W48" s="70"/>
      <c r="Z48" s="71"/>
      <c r="AD48" s="71"/>
    </row>
    <row r="49" spans="1:30" ht="15.75" customHeight="1">
      <c r="A49" s="69"/>
      <c r="B49" s="68" t="s">
        <v>40</v>
      </c>
      <c r="C49" s="36">
        <v>108</v>
      </c>
      <c r="D49" s="36">
        <v>5.7</v>
      </c>
      <c r="E49" s="36">
        <v>32.57</v>
      </c>
      <c r="F49" s="36">
        <v>29.72</v>
      </c>
      <c r="G49" s="36">
        <v>30.07</v>
      </c>
      <c r="H49" s="36">
        <v>28.3</v>
      </c>
      <c r="I49" s="18">
        <v>33.08</v>
      </c>
      <c r="J49" s="36">
        <v>29.86</v>
      </c>
      <c r="K49" s="36">
        <v>30.03</v>
      </c>
      <c r="L49" s="36">
        <v>28.6</v>
      </c>
      <c r="M49" s="36">
        <v>32.909999999999997</v>
      </c>
      <c r="N49" s="36">
        <v>30.06</v>
      </c>
      <c r="O49" s="36">
        <v>30.35</v>
      </c>
      <c r="P49" s="60">
        <f t="shared" si="0"/>
        <v>396.49122807017545</v>
      </c>
      <c r="Q49" s="21">
        <f t="shared" si="1"/>
        <v>401.75438596491233</v>
      </c>
      <c r="R49" s="61">
        <f t="shared" si="2"/>
        <v>29.107170627999999</v>
      </c>
      <c r="S49" s="23">
        <f t="shared" si="7"/>
        <v>29.052943919999997</v>
      </c>
      <c r="T49" s="62">
        <f t="shared" si="4"/>
        <v>30.024484109999996</v>
      </c>
      <c r="U49" s="25">
        <f t="shared" si="5"/>
        <v>-0.18630016875579647</v>
      </c>
      <c r="V49" s="25">
        <f t="shared" si="6"/>
        <v>3.1515034344065591</v>
      </c>
      <c r="W49" s="26">
        <f>AVERAGE(P49:P51)</f>
        <v>399.7431077694236</v>
      </c>
      <c r="X49" s="27">
        <f>_xlfn.STDEV.S(P49:P51)</f>
        <v>14.969670899947007</v>
      </c>
      <c r="Y49" s="28">
        <f>AVERAGE(Q49:Q51)</f>
        <v>408.91812865497076</v>
      </c>
      <c r="Z49" s="29">
        <f>_xlfn.STDEV.S(Q49:Q51)</f>
        <v>13.954906198073292</v>
      </c>
      <c r="AA49" s="30">
        <f>AVERAGE(U49:U51)</f>
        <v>0.38168580205425773</v>
      </c>
      <c r="AB49" s="27">
        <f>_xlfn.STDEV.S(U49:U51)</f>
        <v>1.6196341132936152</v>
      </c>
      <c r="AC49" s="30">
        <f>AVERAGE(V49:V51)</f>
        <v>3.6983905427524761</v>
      </c>
      <c r="AD49" s="29">
        <f>_xlfn.STDEV.S(V49:V51)</f>
        <v>0.95413290845832766</v>
      </c>
    </row>
    <row r="50" spans="1:30" ht="15.75" customHeight="1">
      <c r="A50" s="69"/>
      <c r="B50" s="68"/>
      <c r="C50" s="36">
        <v>112</v>
      </c>
      <c r="D50" s="36">
        <v>5.6</v>
      </c>
      <c r="E50" s="36">
        <v>33.04</v>
      </c>
      <c r="F50" s="36">
        <v>29.69</v>
      </c>
      <c r="G50" s="36">
        <v>30.3</v>
      </c>
      <c r="H50" s="36">
        <v>28.9</v>
      </c>
      <c r="I50" s="18">
        <v>33.43</v>
      </c>
      <c r="J50" s="36">
        <v>30.14</v>
      </c>
      <c r="K50" s="36">
        <v>30.47</v>
      </c>
      <c r="L50" s="36">
        <v>29.4</v>
      </c>
      <c r="M50" s="36">
        <v>33.36</v>
      </c>
      <c r="N50" s="36">
        <v>30.2</v>
      </c>
      <c r="O50" s="36">
        <v>30.43</v>
      </c>
      <c r="P50" s="60">
        <f t="shared" si="0"/>
        <v>416.07142857142856</v>
      </c>
      <c r="Q50" s="21">
        <f t="shared" si="1"/>
        <v>425</v>
      </c>
      <c r="R50" s="61">
        <f t="shared" si="2"/>
        <v>29.723015280000002</v>
      </c>
      <c r="S50" s="23">
        <f t="shared" si="7"/>
        <v>30.379540664</v>
      </c>
      <c r="T50" s="62">
        <f t="shared" si="4"/>
        <v>30.65737296</v>
      </c>
      <c r="U50" s="25">
        <f t="shared" si="5"/>
        <v>2.2088115146304168</v>
      </c>
      <c r="V50" s="25">
        <f t="shared" si="6"/>
        <v>3.1435494387028347</v>
      </c>
      <c r="W50" s="70"/>
      <c r="Z50" s="71"/>
      <c r="AD50" s="71"/>
    </row>
    <row r="51" spans="1:30" ht="15.75" customHeight="1">
      <c r="A51" s="69"/>
      <c r="B51" s="68"/>
      <c r="C51" s="36">
        <v>116</v>
      </c>
      <c r="D51" s="36">
        <v>6</v>
      </c>
      <c r="E51" s="36">
        <v>34.119999999999997</v>
      </c>
      <c r="F51" s="36">
        <v>29.92</v>
      </c>
      <c r="G51" s="36">
        <v>30.01</v>
      </c>
      <c r="H51" s="36">
        <v>29.2</v>
      </c>
      <c r="I51" s="18">
        <v>34.5</v>
      </c>
      <c r="J51" s="36">
        <v>30.31</v>
      </c>
      <c r="K51" s="36">
        <v>29.97</v>
      </c>
      <c r="L51" s="36">
        <v>30</v>
      </c>
      <c r="M51" s="36">
        <v>34.880000000000003</v>
      </c>
      <c r="N51" s="36">
        <v>30.48</v>
      </c>
      <c r="O51" s="36">
        <v>30.2</v>
      </c>
      <c r="P51" s="60">
        <f t="shared" si="0"/>
        <v>386.66666666666669</v>
      </c>
      <c r="Q51" s="21">
        <f t="shared" si="1"/>
        <v>400</v>
      </c>
      <c r="R51" s="61">
        <f t="shared" si="2"/>
        <v>30.636320704000003</v>
      </c>
      <c r="S51" s="23">
        <f t="shared" si="7"/>
        <v>30.367501100999998</v>
      </c>
      <c r="T51" s="62">
        <f t="shared" si="4"/>
        <v>32.106900480000007</v>
      </c>
      <c r="U51" s="25">
        <f t="shared" si="5"/>
        <v>-0.87745393971184693</v>
      </c>
      <c r="V51" s="25">
        <f t="shared" si="6"/>
        <v>4.8001187551480351</v>
      </c>
      <c r="W51" s="70"/>
      <c r="Z51" s="71"/>
      <c r="AD51" s="71"/>
    </row>
    <row r="52" spans="1:30" ht="15.75" customHeight="1">
      <c r="A52" s="69"/>
      <c r="B52" s="68" t="s">
        <v>41</v>
      </c>
      <c r="C52" s="36">
        <v>129</v>
      </c>
      <c r="D52" s="36">
        <v>2.74</v>
      </c>
      <c r="E52" s="36">
        <v>31.07</v>
      </c>
      <c r="F52" s="36">
        <v>28.27</v>
      </c>
      <c r="G52" s="36">
        <v>28.72</v>
      </c>
      <c r="H52" s="36">
        <v>7.4</v>
      </c>
      <c r="I52" s="18">
        <v>31.74</v>
      </c>
      <c r="J52" s="36">
        <v>28.99</v>
      </c>
      <c r="K52" s="36">
        <v>29.02</v>
      </c>
      <c r="L52" s="36">
        <v>10.1</v>
      </c>
      <c r="M52" s="36">
        <v>31.7</v>
      </c>
      <c r="N52" s="36">
        <v>27.87</v>
      </c>
      <c r="O52" s="36">
        <v>28.23</v>
      </c>
      <c r="P52" s="60">
        <f t="shared" si="0"/>
        <v>170.07299270072991</v>
      </c>
      <c r="Q52" s="21">
        <f t="shared" si="1"/>
        <v>268.61313868613132</v>
      </c>
      <c r="R52" s="61">
        <f t="shared" si="2"/>
        <v>25.226180408000001</v>
      </c>
      <c r="S52" s="23">
        <f t="shared" si="7"/>
        <v>29.024498099999995</v>
      </c>
      <c r="T52" s="62">
        <f t="shared" si="4"/>
        <v>24.940612170000001</v>
      </c>
      <c r="U52" s="25">
        <f t="shared" si="5"/>
        <v>15.057046411970598</v>
      </c>
      <c r="V52" s="25">
        <f t="shared" si="6"/>
        <v>-1.1320312206656433</v>
      </c>
      <c r="W52" s="26">
        <f>AVERAGE(P52:P54)</f>
        <v>194.33558695558932</v>
      </c>
      <c r="X52" s="27">
        <f>_xlfn.STDEV.S(P52:P54)</f>
        <v>25.078966865263943</v>
      </c>
      <c r="Y52" s="28">
        <f>AVERAGE(Q52:Q54)</f>
        <v>255.46646645845041</v>
      </c>
      <c r="Z52" s="29">
        <f>_xlfn.STDEV.S(Q52:Q54)</f>
        <v>11.74531830281356</v>
      </c>
      <c r="AA52" s="30">
        <f>AVERAGE(U52:U54)</f>
        <v>2.6756722203420495</v>
      </c>
      <c r="AB52" s="27">
        <f>_xlfn.STDEV.S(U52:U54)</f>
        <v>13.063613235361611</v>
      </c>
      <c r="AC52" s="30">
        <f>AVERAGE(V52:V54)</f>
        <v>2.0764101747867172</v>
      </c>
      <c r="AD52" s="29">
        <f>_xlfn.STDEV.S(V52:V54)</f>
        <v>5.193073104832167</v>
      </c>
    </row>
    <row r="53" spans="1:30" ht="15.75" customHeight="1">
      <c r="A53" s="69"/>
      <c r="B53" s="68"/>
      <c r="C53" s="36">
        <v>134</v>
      </c>
      <c r="D53" s="36">
        <v>2.63</v>
      </c>
      <c r="E53" s="36">
        <v>30.25</v>
      </c>
      <c r="F53" s="36">
        <v>28.82</v>
      </c>
      <c r="G53" s="36">
        <v>28.93</v>
      </c>
      <c r="H53" s="36">
        <v>7.7</v>
      </c>
      <c r="I53" s="18">
        <v>30.92</v>
      </c>
      <c r="J53" s="36">
        <v>28.74</v>
      </c>
      <c r="K53" s="36">
        <v>28.74</v>
      </c>
      <c r="L53" s="36">
        <v>9.1</v>
      </c>
      <c r="M53" s="36">
        <v>30.9</v>
      </c>
      <c r="N53" s="36">
        <v>28.18</v>
      </c>
      <c r="O53" s="36">
        <v>28.76</v>
      </c>
      <c r="P53" s="60">
        <f t="shared" si="0"/>
        <v>192.77566539923956</v>
      </c>
      <c r="Q53" s="21">
        <f t="shared" si="1"/>
        <v>246.00760456273764</v>
      </c>
      <c r="R53" s="61">
        <f t="shared" si="2"/>
        <v>25.221318650000001</v>
      </c>
      <c r="S53" s="23">
        <f t="shared" si="7"/>
        <v>26.216846423999996</v>
      </c>
      <c r="T53" s="62">
        <f t="shared" si="4"/>
        <v>25.04311512</v>
      </c>
      <c r="U53" s="25">
        <f t="shared" si="5"/>
        <v>3.9471678218537387</v>
      </c>
      <c r="V53" s="25">
        <f t="shared" si="6"/>
        <v>-0.70655913147507499</v>
      </c>
      <c r="W53" s="70"/>
      <c r="Z53" s="71"/>
      <c r="AD53" s="71"/>
    </row>
    <row r="54" spans="1:30" ht="15.75" customHeight="1">
      <c r="A54" s="69"/>
      <c r="B54" s="68"/>
      <c r="C54" s="36">
        <v>138</v>
      </c>
      <c r="D54" s="36">
        <v>2.5299999999999998</v>
      </c>
      <c r="E54" s="36">
        <v>31.94</v>
      </c>
      <c r="F54" s="36">
        <v>28.55</v>
      </c>
      <c r="G54" s="36">
        <v>28.7</v>
      </c>
      <c r="H54" s="36">
        <v>8.1</v>
      </c>
      <c r="I54" s="18">
        <v>31.31</v>
      </c>
      <c r="J54" s="36">
        <v>27.45</v>
      </c>
      <c r="K54" s="36">
        <v>27.45</v>
      </c>
      <c r="L54" s="36">
        <v>8.9</v>
      </c>
      <c r="M54" s="36">
        <v>33.4</v>
      </c>
      <c r="N54" s="36">
        <v>28.94</v>
      </c>
      <c r="O54" s="36">
        <v>29.26</v>
      </c>
      <c r="P54" s="60">
        <f t="shared" si="0"/>
        <v>220.15810276679844</v>
      </c>
      <c r="Q54" s="21">
        <f t="shared" si="1"/>
        <v>251.77865612648228</v>
      </c>
      <c r="R54" s="61">
        <f t="shared" si="2"/>
        <v>26.171156900000003</v>
      </c>
      <c r="S54" s="23">
        <f t="shared" si="7"/>
        <v>23.298297299999998</v>
      </c>
      <c r="T54" s="62">
        <f t="shared" si="4"/>
        <v>28.282598960000001</v>
      </c>
      <c r="U54" s="25">
        <f t="shared" si="5"/>
        <v>-10.977197572798186</v>
      </c>
      <c r="V54" s="25">
        <f t="shared" si="6"/>
        <v>8.0678208765008694</v>
      </c>
      <c r="W54" s="70"/>
      <c r="Z54" s="71"/>
      <c r="AD54" s="71"/>
    </row>
    <row r="55" spans="1:30" ht="15.75" customHeight="1">
      <c r="A55" s="69"/>
      <c r="B55" s="68" t="s">
        <v>42</v>
      </c>
      <c r="C55" s="36">
        <v>151</v>
      </c>
      <c r="D55" s="73">
        <v>2.91</v>
      </c>
      <c r="E55" s="36">
        <v>32.9</v>
      </c>
      <c r="F55" s="36">
        <v>28.85</v>
      </c>
      <c r="G55" s="36">
        <v>29.24</v>
      </c>
      <c r="H55" s="36">
        <v>8.4</v>
      </c>
      <c r="I55" s="18">
        <v>33.86</v>
      </c>
      <c r="J55" s="36">
        <v>29.99</v>
      </c>
      <c r="K55" s="36">
        <v>29.99</v>
      </c>
      <c r="L55" s="36">
        <v>10.199999999999999</v>
      </c>
      <c r="M55" s="36">
        <v>33.299999999999997</v>
      </c>
      <c r="N55" s="36">
        <v>28.85</v>
      </c>
      <c r="O55" s="36">
        <v>29.81</v>
      </c>
      <c r="P55" s="60">
        <f t="shared" si="0"/>
        <v>188.65979381443299</v>
      </c>
      <c r="Q55" s="21">
        <f t="shared" si="1"/>
        <v>250.51546391752572</v>
      </c>
      <c r="R55" s="61">
        <f t="shared" si="2"/>
        <v>27.7535846</v>
      </c>
      <c r="S55" s="23">
        <f t="shared" si="7"/>
        <v>28.160217130999992</v>
      </c>
      <c r="T55" s="62">
        <f t="shared" si="4"/>
        <v>28.638616049999996</v>
      </c>
      <c r="U55" s="25">
        <f t="shared" si="5"/>
        <v>1.4651531932202824</v>
      </c>
      <c r="V55" s="25">
        <f t="shared" si="6"/>
        <v>3.1888905982976916</v>
      </c>
      <c r="W55" s="26">
        <f>AVERAGE(P55:P57)</f>
        <v>165.62236455775852</v>
      </c>
      <c r="X55" s="27">
        <f>_xlfn.STDEV.S(P55:P57)</f>
        <v>22.98504796279936</v>
      </c>
      <c r="Y55" s="28">
        <f>AVERAGE(Q55:Q57)</f>
        <v>226.69934701667071</v>
      </c>
      <c r="Z55" s="29">
        <f>_xlfn.STDEV.S(Q55:Q57)</f>
        <v>20.649502214487523</v>
      </c>
      <c r="AA55" s="30">
        <f>AVERAGE(U55:U57)</f>
        <v>5.7905671650995822</v>
      </c>
      <c r="AB55" s="27">
        <f>_xlfn.STDEV.S(U55:U57)</f>
        <v>11.968176893523404</v>
      </c>
      <c r="AC55" s="30">
        <f>AVERAGE(V55:V57)</f>
        <v>3.0044775158282051</v>
      </c>
      <c r="AD55" s="29">
        <f>_xlfn.STDEV.S(V55:V57)</f>
        <v>0.87015745041190196</v>
      </c>
    </row>
    <row r="56" spans="1:30" ht="15.75" customHeight="1">
      <c r="A56" s="69"/>
      <c r="B56" s="68"/>
      <c r="C56" s="36">
        <v>155</v>
      </c>
      <c r="D56" s="36">
        <v>2.9</v>
      </c>
      <c r="E56" s="36">
        <v>29.71</v>
      </c>
      <c r="F56" s="36">
        <v>28.62</v>
      </c>
      <c r="G56" s="36">
        <v>29.28</v>
      </c>
      <c r="H56" s="36">
        <v>7.7</v>
      </c>
      <c r="I56" s="18">
        <v>31.12</v>
      </c>
      <c r="J56" s="36">
        <v>29.62</v>
      </c>
      <c r="K56" s="36">
        <v>29.62</v>
      </c>
      <c r="L56" s="36">
        <v>9.1</v>
      </c>
      <c r="M56" s="36">
        <v>30.32</v>
      </c>
      <c r="N56" s="36">
        <v>28.67</v>
      </c>
      <c r="O56" s="36">
        <v>29.23</v>
      </c>
      <c r="P56" s="60">
        <f t="shared" si="0"/>
        <v>165.51724137931038</v>
      </c>
      <c r="Q56" s="21">
        <f t="shared" si="1"/>
        <v>213.79310344827584</v>
      </c>
      <c r="R56" s="61">
        <f t="shared" si="2"/>
        <v>24.896789855999998</v>
      </c>
      <c r="S56" s="23">
        <f t="shared" si="7"/>
        <v>29.706881384000003</v>
      </c>
      <c r="T56" s="62">
        <f t="shared" si="4"/>
        <v>25.408890712000002</v>
      </c>
      <c r="U56" s="25">
        <f t="shared" si="5"/>
        <v>19.320127437396501</v>
      </c>
      <c r="V56" s="25">
        <f t="shared" si="6"/>
        <v>2.0568951216680245</v>
      </c>
      <c r="W56" s="70"/>
      <c r="Z56" s="71"/>
      <c r="AD56" s="71"/>
    </row>
    <row r="57" spans="1:30" ht="15.75" customHeight="1">
      <c r="A57" s="69"/>
      <c r="B57" s="68"/>
      <c r="C57" s="36">
        <v>160</v>
      </c>
      <c r="D57" s="36">
        <v>3.42</v>
      </c>
      <c r="E57" s="36">
        <v>33.82</v>
      </c>
      <c r="F57" s="36">
        <v>28.19</v>
      </c>
      <c r="G57" s="36">
        <v>29.55</v>
      </c>
      <c r="H57" s="36">
        <v>8.3000000000000007</v>
      </c>
      <c r="I57" s="18">
        <v>34.69</v>
      </c>
      <c r="J57" s="36">
        <v>29.57</v>
      </c>
      <c r="K57" s="36">
        <v>29.57</v>
      </c>
      <c r="L57" s="36">
        <v>10.8</v>
      </c>
      <c r="M57" s="36">
        <v>34.57</v>
      </c>
      <c r="N57" s="36">
        <v>29.07</v>
      </c>
      <c r="O57" s="36">
        <v>29.09</v>
      </c>
      <c r="P57" s="60">
        <f t="shared" si="0"/>
        <v>142.69005847953221</v>
      </c>
      <c r="Q57" s="21">
        <f t="shared" si="1"/>
        <v>215.78947368421058</v>
      </c>
      <c r="R57" s="61">
        <f t="shared" si="2"/>
        <v>28.172550390000005</v>
      </c>
      <c r="S57" s="23">
        <f t="shared" si="7"/>
        <v>27.210858088000005</v>
      </c>
      <c r="T57" s="62">
        <f t="shared" si="4"/>
        <v>29.233992591000003</v>
      </c>
      <c r="U57" s="25">
        <f t="shared" si="5"/>
        <v>-3.4135791353180336</v>
      </c>
      <c r="V57" s="25">
        <f t="shared" si="6"/>
        <v>3.7676468275188992</v>
      </c>
      <c r="W57" s="70"/>
      <c r="Z57" s="71"/>
      <c r="AD57" s="71"/>
    </row>
    <row r="58" spans="1:30" ht="15.75" customHeight="1">
      <c r="A58" s="69"/>
      <c r="B58" s="68" t="s">
        <v>43</v>
      </c>
      <c r="C58" s="36">
        <v>192</v>
      </c>
      <c r="D58" s="36">
        <v>3.47</v>
      </c>
      <c r="E58" s="36">
        <v>33.19</v>
      </c>
      <c r="F58" s="36">
        <v>29.38</v>
      </c>
      <c r="G58" s="36">
        <v>29.98</v>
      </c>
      <c r="H58" s="36">
        <v>14.2</v>
      </c>
      <c r="I58" s="72">
        <v>34.04</v>
      </c>
      <c r="J58" s="36">
        <v>29.76</v>
      </c>
      <c r="K58" s="36">
        <v>29.72</v>
      </c>
      <c r="L58" s="36">
        <v>18.2</v>
      </c>
      <c r="M58" s="36">
        <v>33.6</v>
      </c>
      <c r="N58" s="36">
        <v>29.72</v>
      </c>
      <c r="O58" s="36">
        <v>29.55</v>
      </c>
      <c r="P58" s="60">
        <f t="shared" si="0"/>
        <v>309.22190201729103</v>
      </c>
      <c r="Q58" s="21">
        <f t="shared" si="1"/>
        <v>424.49567723342938</v>
      </c>
      <c r="R58" s="74">
        <f t="shared" si="2"/>
        <v>29.234163555999999</v>
      </c>
      <c r="S58" s="23">
        <f t="shared" si="7"/>
        <v>30.682167167999996</v>
      </c>
      <c r="T58" s="62">
        <f t="shared" si="4"/>
        <v>29.508393599999998</v>
      </c>
      <c r="U58" s="25">
        <f t="shared" si="5"/>
        <v>4.9531214027254427</v>
      </c>
      <c r="V58" s="25">
        <f t="shared" si="6"/>
        <v>0.93804648617598851</v>
      </c>
      <c r="W58" s="26">
        <f>AVERAGE(P58:P60)</f>
        <v>374.69149486440546</v>
      </c>
      <c r="X58" s="27">
        <f>_xlfn.STDEV.S(P58:P60)</f>
        <v>72.941028302283129</v>
      </c>
      <c r="Y58" s="28">
        <f>AVERAGE(Q58:Q60)</f>
        <v>464.60613425070682</v>
      </c>
      <c r="Z58" s="29">
        <f>_xlfn.STDEV.S(Q58:Q60)</f>
        <v>41.887489098003236</v>
      </c>
      <c r="AA58" s="30">
        <f>AVERAGE(U58:U60)</f>
        <v>3.4868310065624879</v>
      </c>
      <c r="AB58" s="27">
        <f>_xlfn.STDEV.S(U58:U60)</f>
        <v>2.9643764832558079</v>
      </c>
      <c r="AC58" s="30">
        <f>AVERAGE(V58:V60)</f>
        <v>-0.44137820475165013</v>
      </c>
      <c r="AD58" s="29">
        <f>_xlfn.STDEV.S(V58:V60)</f>
        <v>2.9696470753902453</v>
      </c>
    </row>
    <row r="59" spans="1:30" ht="15.75" customHeight="1">
      <c r="A59" s="69"/>
      <c r="B59" s="68"/>
      <c r="C59" s="36">
        <v>199</v>
      </c>
      <c r="D59" s="36">
        <v>3.51</v>
      </c>
      <c r="E59" s="36">
        <v>34.01</v>
      </c>
      <c r="F59" s="36">
        <v>30.06</v>
      </c>
      <c r="G59" s="36">
        <v>29.83</v>
      </c>
      <c r="H59" s="36">
        <v>16.2</v>
      </c>
      <c r="I59" s="18">
        <v>34.520000000000003</v>
      </c>
      <c r="J59" s="36">
        <v>29.99</v>
      </c>
      <c r="K59" s="36">
        <v>29.48</v>
      </c>
      <c r="L59" s="36">
        <v>19.7</v>
      </c>
      <c r="M59" s="36">
        <v>35.25</v>
      </c>
      <c r="N59" s="36">
        <v>30.14</v>
      </c>
      <c r="O59" s="36">
        <v>29.16</v>
      </c>
      <c r="P59" s="60">
        <f t="shared" si="0"/>
        <v>361.53846153846155</v>
      </c>
      <c r="Q59" s="21">
        <f t="shared" si="1"/>
        <v>461.2535612535612</v>
      </c>
      <c r="R59" s="74">
        <f t="shared" si="2"/>
        <v>30.496420097999994</v>
      </c>
      <c r="S59" s="23">
        <f t="shared" ref="S59:S65" si="8">I59*J59*K59/1000</f>
        <v>30.519311503999997</v>
      </c>
      <c r="T59" s="62">
        <f t="shared" si="4"/>
        <v>30.980604599999999</v>
      </c>
      <c r="U59" s="25">
        <f t="shared" si="5"/>
        <v>7.5062600549315628E-2</v>
      </c>
      <c r="V59" s="25">
        <f t="shared" si="6"/>
        <v>1.5876765221756592</v>
      </c>
      <c r="W59" s="70"/>
      <c r="Z59" s="71"/>
      <c r="AD59" s="71"/>
    </row>
    <row r="60" spans="1:30" ht="15.75" customHeight="1">
      <c r="A60" s="69"/>
      <c r="B60" s="68"/>
      <c r="C60" s="36">
        <v>201</v>
      </c>
      <c r="D60" s="36">
        <v>3.47</v>
      </c>
      <c r="E60" s="36">
        <v>34.4</v>
      </c>
      <c r="F60" s="36">
        <v>29.71</v>
      </c>
      <c r="G60" s="36">
        <v>29.97</v>
      </c>
      <c r="H60" s="36">
        <v>19.2</v>
      </c>
      <c r="I60" s="18">
        <v>35.22</v>
      </c>
      <c r="J60" s="36">
        <v>31.04</v>
      </c>
      <c r="K60" s="36">
        <v>29.54</v>
      </c>
      <c r="L60" s="36">
        <v>21.1</v>
      </c>
      <c r="M60" s="36">
        <v>33.86</v>
      </c>
      <c r="N60" s="36">
        <v>29.91</v>
      </c>
      <c r="O60" s="36">
        <v>29.08</v>
      </c>
      <c r="P60" s="60">
        <f t="shared" si="0"/>
        <v>453.31412103746391</v>
      </c>
      <c r="Q60" s="21">
        <f t="shared" si="1"/>
        <v>508.06916426512976</v>
      </c>
      <c r="R60" s="74">
        <f t="shared" si="2"/>
        <v>30.630059279999998</v>
      </c>
      <c r="S60" s="23">
        <f t="shared" si="8"/>
        <v>32.293978751999994</v>
      </c>
      <c r="T60" s="62">
        <f t="shared" si="4"/>
        <v>29.450845607999998</v>
      </c>
      <c r="U60" s="25">
        <f t="shared" si="5"/>
        <v>5.432309016412705</v>
      </c>
      <c r="V60" s="25">
        <f t="shared" si="6"/>
        <v>-3.8498576226065979</v>
      </c>
      <c r="W60" s="70"/>
      <c r="Z60" s="71"/>
      <c r="AD60" s="71"/>
    </row>
    <row r="61" spans="1:30" ht="15.75" customHeight="1">
      <c r="A61" s="69"/>
      <c r="B61" s="68" t="s">
        <v>44</v>
      </c>
      <c r="C61" s="36">
        <v>231</v>
      </c>
      <c r="D61" s="36">
        <v>3.77</v>
      </c>
      <c r="E61" s="36">
        <v>32.08</v>
      </c>
      <c r="F61" s="36">
        <v>29.1</v>
      </c>
      <c r="G61" s="36">
        <v>30</v>
      </c>
      <c r="H61" s="36">
        <v>13.6</v>
      </c>
      <c r="I61" s="18">
        <v>33.57</v>
      </c>
      <c r="J61" s="36">
        <v>29.5</v>
      </c>
      <c r="K61" s="36">
        <v>29.83</v>
      </c>
      <c r="L61" s="36">
        <v>17</v>
      </c>
      <c r="M61" s="36">
        <v>33.19</v>
      </c>
      <c r="N61" s="36">
        <v>29.49</v>
      </c>
      <c r="O61" s="36">
        <v>30.12</v>
      </c>
      <c r="P61" s="60">
        <f t="shared" si="0"/>
        <v>260.74270557029178</v>
      </c>
      <c r="Q61" s="21">
        <f t="shared" si="1"/>
        <v>350.92838196286471</v>
      </c>
      <c r="R61" s="74">
        <f t="shared" si="2"/>
        <v>28.005839999999999</v>
      </c>
      <c r="S61" s="23">
        <f t="shared" si="8"/>
        <v>29.541096450000001</v>
      </c>
      <c r="T61" s="62">
        <f t="shared" si="4"/>
        <v>29.480645771999995</v>
      </c>
      <c r="U61" s="25">
        <f t="shared" si="5"/>
        <v>5.4819153790780861</v>
      </c>
      <c r="V61" s="25">
        <f t="shared" si="6"/>
        <v>5.2660651207033826</v>
      </c>
      <c r="W61" s="26">
        <f>AVERAGE(P61:P63)</f>
        <v>227.88012922308201</v>
      </c>
      <c r="X61" s="27">
        <f>_xlfn.STDEV.S(P61:P63)</f>
        <v>28.516955064044581</v>
      </c>
      <c r="Y61" s="28">
        <f>AVERAGE(Q61:Q63)</f>
        <v>319.98104037418301</v>
      </c>
      <c r="Z61" s="29">
        <f>_xlfn.STDEV.S(Q61:Q63)</f>
        <v>29.258227130980849</v>
      </c>
      <c r="AA61" s="30">
        <f>AVERAGE(U61:U63)</f>
        <v>4.9725168970636044</v>
      </c>
      <c r="AB61" s="27">
        <f>_xlfn.STDEV.S(U61:U63)</f>
        <v>1.7101898229406005</v>
      </c>
      <c r="AC61" s="30">
        <f>AVERAGE(V61:V63)</f>
        <v>3.6901970601648397</v>
      </c>
      <c r="AD61" s="29">
        <f>_xlfn.STDEV.S(V61:V63)</f>
        <v>1.3799460539663597</v>
      </c>
    </row>
    <row r="62" spans="1:30" ht="15.75" customHeight="1">
      <c r="A62" s="69"/>
      <c r="B62" s="68"/>
      <c r="C62" s="36">
        <v>240</v>
      </c>
      <c r="D62" s="36">
        <v>4.1500000000000004</v>
      </c>
      <c r="E62" s="36">
        <v>33.32</v>
      </c>
      <c r="F62" s="36">
        <v>29.56</v>
      </c>
      <c r="G62" s="36">
        <v>29.73</v>
      </c>
      <c r="H62" s="36">
        <v>13</v>
      </c>
      <c r="I62" s="18">
        <v>33.909999999999997</v>
      </c>
      <c r="J62" s="36">
        <v>29.91</v>
      </c>
      <c r="K62" s="36">
        <v>30.71</v>
      </c>
      <c r="L62" s="36">
        <v>16.3</v>
      </c>
      <c r="M62" s="36">
        <v>33.83</v>
      </c>
      <c r="N62" s="36">
        <v>29.71</v>
      </c>
      <c r="O62" s="36">
        <v>29.92</v>
      </c>
      <c r="P62" s="60">
        <f t="shared" si="0"/>
        <v>213.25301204819277</v>
      </c>
      <c r="Q62" s="21">
        <f t="shared" si="1"/>
        <v>292.77108433734941</v>
      </c>
      <c r="R62" s="74">
        <f t="shared" si="2"/>
        <v>29.282242416000003</v>
      </c>
      <c r="S62" s="23">
        <f t="shared" si="8"/>
        <v>31.147559150999999</v>
      </c>
      <c r="T62" s="62">
        <f t="shared" si="4"/>
        <v>30.072271856</v>
      </c>
      <c r="U62" s="25">
        <f t="shared" si="5"/>
        <v>6.3701294064172354</v>
      </c>
      <c r="V62" s="25">
        <f t="shared" si="6"/>
        <v>2.6979813525767438</v>
      </c>
      <c r="W62" s="70"/>
      <c r="Z62" s="71"/>
      <c r="AD62" s="71"/>
    </row>
    <row r="63" spans="1:30" ht="15.75" customHeight="1">
      <c r="A63" s="69"/>
      <c r="B63" s="68"/>
      <c r="C63" s="36">
        <v>243</v>
      </c>
      <c r="D63" s="36">
        <v>3.94</v>
      </c>
      <c r="E63" s="36">
        <v>32.43</v>
      </c>
      <c r="F63" s="36">
        <v>29.55</v>
      </c>
      <c r="G63" s="36">
        <v>30.27</v>
      </c>
      <c r="H63" s="36">
        <v>12.2</v>
      </c>
      <c r="I63" s="18">
        <v>33.1</v>
      </c>
      <c r="J63" s="36">
        <v>30.31</v>
      </c>
      <c r="K63" s="36">
        <v>29.8</v>
      </c>
      <c r="L63" s="36">
        <v>16.399999999999999</v>
      </c>
      <c r="M63" s="36">
        <v>33.31</v>
      </c>
      <c r="N63" s="36">
        <v>29.95</v>
      </c>
      <c r="O63" s="36">
        <v>29.98</v>
      </c>
      <c r="P63" s="60">
        <f t="shared" si="0"/>
        <v>209.64467005076145</v>
      </c>
      <c r="Q63" s="21">
        <f t="shared" si="1"/>
        <v>316.24365482233497</v>
      </c>
      <c r="R63" s="74">
        <f t="shared" si="2"/>
        <v>29.007937755000004</v>
      </c>
      <c r="S63" s="23">
        <f t="shared" si="8"/>
        <v>29.897177800000001</v>
      </c>
      <c r="T63" s="62">
        <f t="shared" si="4"/>
        <v>29.909082310000002</v>
      </c>
      <c r="U63" s="25">
        <f t="shared" si="5"/>
        <v>3.0655059056954923</v>
      </c>
      <c r="V63" s="25">
        <f t="shared" si="6"/>
        <v>3.1065447072143932</v>
      </c>
      <c r="W63" s="70"/>
      <c r="Z63" s="71"/>
      <c r="AD63" s="71"/>
    </row>
    <row r="64" spans="1:30" ht="15.75" customHeight="1">
      <c r="A64" s="69"/>
      <c r="B64" s="68" t="s">
        <v>45</v>
      </c>
      <c r="C64" s="36">
        <v>256</v>
      </c>
      <c r="D64" s="36">
        <v>3.8</v>
      </c>
      <c r="E64" s="36">
        <v>31.12</v>
      </c>
      <c r="F64" s="36">
        <v>29.57</v>
      </c>
      <c r="G64" s="36">
        <v>29.44</v>
      </c>
      <c r="H64" s="36">
        <v>13.6</v>
      </c>
      <c r="I64" s="18">
        <v>32.020000000000003</v>
      </c>
      <c r="J64" s="36">
        <v>29.82</v>
      </c>
      <c r="K64" s="36">
        <v>29.25</v>
      </c>
      <c r="L64" s="36">
        <v>15.6</v>
      </c>
      <c r="M64" s="36">
        <v>32.14</v>
      </c>
      <c r="N64" s="36">
        <v>29.16</v>
      </c>
      <c r="O64" s="36">
        <v>28.38</v>
      </c>
      <c r="P64" s="60">
        <f t="shared" si="0"/>
        <v>257.89473684210532</v>
      </c>
      <c r="Q64" s="21">
        <f t="shared" si="1"/>
        <v>310.5263157894737</v>
      </c>
      <c r="R64" s="74">
        <f t="shared" si="2"/>
        <v>27.091229696000003</v>
      </c>
      <c r="S64" s="23">
        <f t="shared" si="8"/>
        <v>27.928964700000005</v>
      </c>
      <c r="T64" s="62">
        <f t="shared" si="4"/>
        <v>26.597804111999999</v>
      </c>
      <c r="U64" s="25">
        <f t="shared" si="5"/>
        <v>3.0922738221945432</v>
      </c>
      <c r="V64" s="25">
        <f t="shared" si="6"/>
        <v>-1.8213480507784332</v>
      </c>
      <c r="W64" s="26">
        <f>AVERAGE(P64:P66)</f>
        <v>251.63823537337967</v>
      </c>
      <c r="X64" s="27">
        <f>_xlfn.STDEV.S(P64:P66)</f>
        <v>17.920171183253366</v>
      </c>
      <c r="Y64" s="28">
        <f>AVERAGE(Q64:Q66)</f>
        <v>300.20718462823726</v>
      </c>
      <c r="Z64" s="29">
        <f>_xlfn.STDEV.S(Q64:Q66)</f>
        <v>23.393301838277299</v>
      </c>
      <c r="AA64" s="30">
        <f>AVERAGE(U64:U66)</f>
        <v>2.5177203729065036</v>
      </c>
      <c r="AB64" s="27">
        <f>_xlfn.STDEV.S(U64:U66)</f>
        <v>4.026580096844059</v>
      </c>
      <c r="AC64" s="30">
        <f>AVERAGE(V64:V66)</f>
        <v>-1.3394914678989431</v>
      </c>
      <c r="AD64" s="29">
        <f>_xlfn.STDEV.S(V64:V66)</f>
        <v>0.67731268843443138</v>
      </c>
    </row>
    <row r="65" spans="1:30" ht="15.75" customHeight="1">
      <c r="A65" s="69"/>
      <c r="B65" s="68"/>
      <c r="C65" s="36">
        <v>265</v>
      </c>
      <c r="D65" s="36">
        <v>3.5</v>
      </c>
      <c r="E65" s="36">
        <v>32.83</v>
      </c>
      <c r="F65" s="36">
        <v>29.71</v>
      </c>
      <c r="G65" s="36">
        <v>29</v>
      </c>
      <c r="H65" s="36">
        <v>11.6</v>
      </c>
      <c r="I65" s="18">
        <v>33.450000000000003</v>
      </c>
      <c r="J65" s="36">
        <v>29.52</v>
      </c>
      <c r="K65" s="36">
        <v>28.14</v>
      </c>
      <c r="L65" s="36">
        <v>13.07</v>
      </c>
      <c r="M65" s="36">
        <v>33.200000000000003</v>
      </c>
      <c r="N65" s="36">
        <v>30.17</v>
      </c>
      <c r="O65" s="36">
        <v>28.08</v>
      </c>
      <c r="P65" s="60">
        <f t="shared" si="0"/>
        <v>231.42857142857142</v>
      </c>
      <c r="Q65" s="21">
        <f t="shared" si="1"/>
        <v>273.42857142857144</v>
      </c>
      <c r="R65" s="74">
        <f t="shared" si="2"/>
        <v>28.285999700000001</v>
      </c>
      <c r="S65" s="23">
        <f t="shared" si="8"/>
        <v>27.786674160000004</v>
      </c>
      <c r="T65" s="62">
        <f t="shared" si="4"/>
        <v>28.126163520000002</v>
      </c>
      <c r="U65" s="25">
        <f t="shared" si="5"/>
        <v>-1.7652745007983486</v>
      </c>
      <c r="V65" s="25">
        <f t="shared" si="6"/>
        <v>-0.5650717022386138</v>
      </c>
      <c r="W65" s="70"/>
      <c r="Z65" s="71"/>
      <c r="AD65" s="71"/>
    </row>
    <row r="66" spans="1:30" ht="15.75" customHeight="1">
      <c r="A66" s="69"/>
      <c r="B66" s="68"/>
      <c r="C66" s="36">
        <v>271</v>
      </c>
      <c r="D66" s="36">
        <v>3.72</v>
      </c>
      <c r="E66" s="36">
        <v>32.79</v>
      </c>
      <c r="F66" s="36">
        <v>28.84</v>
      </c>
      <c r="G66" s="36">
        <v>28.89</v>
      </c>
      <c r="H66" s="36">
        <v>13.6</v>
      </c>
      <c r="I66" s="18">
        <v>33.61</v>
      </c>
      <c r="J66" s="36">
        <v>30.48</v>
      </c>
      <c r="K66" s="36">
        <v>28.25</v>
      </c>
      <c r="L66" s="36">
        <v>15.5</v>
      </c>
      <c r="M66" s="36">
        <v>33.340000000000003</v>
      </c>
      <c r="N66" s="36">
        <v>28.85</v>
      </c>
      <c r="O66" s="36">
        <v>27.94</v>
      </c>
      <c r="P66" s="60">
        <f t="shared" si="0"/>
        <v>265.59139784946228</v>
      </c>
      <c r="Q66" s="21">
        <f t="shared" si="1"/>
        <v>316.66666666666663</v>
      </c>
      <c r="R66" s="74">
        <f t="shared" si="2"/>
        <v>27.320221404000002</v>
      </c>
      <c r="S66" s="23">
        <f>I67*J67*K67/1000</f>
        <v>29.021222591999997</v>
      </c>
      <c r="T66" s="62">
        <f t="shared" si="4"/>
        <v>26.874340460000006</v>
      </c>
      <c r="U66" s="25">
        <f t="shared" si="5"/>
        <v>6.2261617973233161</v>
      </c>
      <c r="V66" s="25">
        <f t="shared" si="6"/>
        <v>-1.6320546506797824</v>
      </c>
      <c r="W66" s="70"/>
      <c r="Z66" s="71"/>
      <c r="AD66" s="71"/>
    </row>
    <row r="67" spans="1:30" ht="15.75" customHeight="1">
      <c r="A67" s="69"/>
      <c r="B67" s="68" t="s">
        <v>46</v>
      </c>
      <c r="C67" s="36">
        <v>275</v>
      </c>
      <c r="D67" s="36">
        <v>4.3899999999999997</v>
      </c>
      <c r="E67" s="36">
        <v>31.15</v>
      </c>
      <c r="F67" s="36">
        <v>29.21</v>
      </c>
      <c r="G67" s="36">
        <v>29.56</v>
      </c>
      <c r="H67" s="36">
        <v>9</v>
      </c>
      <c r="I67" s="18">
        <v>32.159999999999997</v>
      </c>
      <c r="J67" s="36">
        <v>30.02</v>
      </c>
      <c r="K67" s="36">
        <v>30.06</v>
      </c>
      <c r="L67" s="36">
        <v>11.3</v>
      </c>
      <c r="M67" s="36">
        <v>31.26</v>
      </c>
      <c r="N67" s="36">
        <v>29.28</v>
      </c>
      <c r="O67" s="36">
        <v>29.76</v>
      </c>
      <c r="P67" s="60">
        <f t="shared" si="0"/>
        <v>105.01138952164011</v>
      </c>
      <c r="Q67" s="21">
        <f t="shared" si="1"/>
        <v>157.40318906605927</v>
      </c>
      <c r="R67" s="74">
        <f t="shared" si="2"/>
        <v>26.89639274</v>
      </c>
      <c r="S67" s="23">
        <f>I66*J66*K66/1000</f>
        <v>28.940226600000003</v>
      </c>
      <c r="T67" s="62">
        <f t="shared" si="4"/>
        <v>27.239113728000003</v>
      </c>
      <c r="U67" s="25">
        <f t="shared" si="5"/>
        <v>7.5989143962804997</v>
      </c>
      <c r="V67" s="25">
        <f t="shared" si="6"/>
        <v>1.2742265898367586</v>
      </c>
      <c r="W67" s="26">
        <f>AVERAGE(P67:P69)</f>
        <v>111.65270368310264</v>
      </c>
      <c r="X67" s="27">
        <f>_xlfn.STDEV.S(P67:P69)</f>
        <v>13.965517781857448</v>
      </c>
      <c r="Y67" s="28">
        <f>AVERAGE(Q67:Q69)</f>
        <v>165.87350767746804</v>
      </c>
      <c r="Z67" s="29">
        <f>_xlfn.STDEV.S(Q67:Q69)</f>
        <v>15.74241871783841</v>
      </c>
      <c r="AA67" s="30">
        <f>AVERAGE(U67:U69)</f>
        <v>5.6116784302542966</v>
      </c>
      <c r="AB67" s="27">
        <f>_xlfn.STDEV.S(U67:U69)</f>
        <v>2.8316836275457509</v>
      </c>
      <c r="AC67" s="30">
        <f>AVERAGE(V67:V69)</f>
        <v>4.6006891158595087</v>
      </c>
      <c r="AD67" s="29">
        <f>_xlfn.STDEV.S(V67:V69)</f>
        <v>3.6412122189260612</v>
      </c>
    </row>
    <row r="68" spans="1:30" ht="15.75" customHeight="1">
      <c r="A68" s="69"/>
      <c r="B68" s="68"/>
      <c r="C68" s="36">
        <v>283</v>
      </c>
      <c r="D68" s="36">
        <v>4.26</v>
      </c>
      <c r="E68" s="36">
        <v>31.14</v>
      </c>
      <c r="F68" s="36">
        <v>29.38</v>
      </c>
      <c r="G68" s="36">
        <v>28.55</v>
      </c>
      <c r="H68" s="36">
        <v>9.6999999999999993</v>
      </c>
      <c r="I68" s="18">
        <v>32.64</v>
      </c>
      <c r="J68" s="36">
        <v>29.85</v>
      </c>
      <c r="K68" s="36">
        <v>28.65</v>
      </c>
      <c r="L68" s="36">
        <v>12.1</v>
      </c>
      <c r="M68" s="36">
        <v>32.72</v>
      </c>
      <c r="N68" s="36">
        <v>30.02</v>
      </c>
      <c r="O68" s="36">
        <v>28.85</v>
      </c>
      <c r="P68" s="60">
        <f t="shared" si="0"/>
        <v>127.69953051643192</v>
      </c>
      <c r="Q68" s="21">
        <f t="shared" si="1"/>
        <v>184.03755868544602</v>
      </c>
      <c r="R68" s="74">
        <f t="shared" si="2"/>
        <v>26.120200860000001</v>
      </c>
      <c r="S68" s="23">
        <f t="shared" ref="S68:S75" si="9">I68*J68*K68/1000</f>
        <v>27.9138096</v>
      </c>
      <c r="T68" s="62">
        <f t="shared" si="4"/>
        <v>28.338039439999999</v>
      </c>
      <c r="U68" s="25">
        <f t="shared" si="5"/>
        <v>6.8667494159537625</v>
      </c>
      <c r="V68" s="25">
        <f t="shared" si="6"/>
        <v>8.4908940474357397</v>
      </c>
      <c r="W68" s="70"/>
      <c r="Z68" s="71"/>
      <c r="AD68" s="71"/>
    </row>
    <row r="69" spans="1:30" ht="15.75" customHeight="1">
      <c r="A69" s="69"/>
      <c r="B69" s="68"/>
      <c r="C69" s="36">
        <v>288</v>
      </c>
      <c r="D69" s="36">
        <v>4.45</v>
      </c>
      <c r="E69" s="36">
        <v>31</v>
      </c>
      <c r="F69" s="36">
        <v>29.23</v>
      </c>
      <c r="G69" s="36">
        <v>28.97</v>
      </c>
      <c r="H69" s="36">
        <v>9</v>
      </c>
      <c r="I69" s="18">
        <v>31.2</v>
      </c>
      <c r="J69" s="36">
        <v>29.7</v>
      </c>
      <c r="K69" s="36">
        <v>29</v>
      </c>
      <c r="L69" s="36">
        <v>11.4</v>
      </c>
      <c r="M69" s="36">
        <v>31.12</v>
      </c>
      <c r="N69" s="36">
        <v>29.87</v>
      </c>
      <c r="O69" s="36">
        <v>29.38</v>
      </c>
      <c r="P69" s="60">
        <f t="shared" si="0"/>
        <v>102.24719101123594</v>
      </c>
      <c r="Q69" s="21">
        <f t="shared" si="1"/>
        <v>156.17977528089887</v>
      </c>
      <c r="R69" s="74">
        <f t="shared" si="2"/>
        <v>26.2505861</v>
      </c>
      <c r="S69" s="23">
        <f t="shared" si="9"/>
        <v>26.87256</v>
      </c>
      <c r="T69" s="62">
        <f t="shared" si="4"/>
        <v>27.310308272</v>
      </c>
      <c r="U69" s="25">
        <f t="shared" si="5"/>
        <v>2.369371478528628</v>
      </c>
      <c r="V69" s="25">
        <f t="shared" si="6"/>
        <v>4.036946710306025</v>
      </c>
      <c r="W69" s="70"/>
      <c r="Z69" s="71"/>
      <c r="AD69" s="71"/>
    </row>
    <row r="70" spans="1:30" ht="15.75" customHeight="1">
      <c r="A70" s="69"/>
      <c r="B70" s="68" t="s">
        <v>47</v>
      </c>
      <c r="C70" s="36">
        <v>167</v>
      </c>
      <c r="D70" s="36">
        <v>2.9</v>
      </c>
      <c r="E70" s="36">
        <v>33.11</v>
      </c>
      <c r="F70" s="36">
        <v>29.29</v>
      </c>
      <c r="G70" s="36">
        <v>28.63</v>
      </c>
      <c r="H70" s="36">
        <v>8.1999999999999993</v>
      </c>
      <c r="I70" s="18">
        <v>32.58</v>
      </c>
      <c r="J70" s="36">
        <v>29.34</v>
      </c>
      <c r="K70" s="36">
        <v>28.55</v>
      </c>
      <c r="L70" s="36">
        <v>9.9</v>
      </c>
      <c r="M70" s="36">
        <v>32.950000000000003</v>
      </c>
      <c r="N70" s="36">
        <v>28.9</v>
      </c>
      <c r="O70" s="36">
        <v>28.38</v>
      </c>
      <c r="P70" s="60">
        <f t="shared" si="0"/>
        <v>182.75862068965515</v>
      </c>
      <c r="Q70" s="21">
        <f t="shared" si="1"/>
        <v>241.37931034482759</v>
      </c>
      <c r="R70" s="74">
        <f t="shared" si="2"/>
        <v>27.765142096999995</v>
      </c>
      <c r="S70" s="23">
        <f t="shared" si="9"/>
        <v>27.290865060000002</v>
      </c>
      <c r="T70" s="62">
        <f t="shared" si="4"/>
        <v>27.024996899999998</v>
      </c>
      <c r="U70" s="25">
        <f t="shared" si="5"/>
        <v>-1.7081743552511421</v>
      </c>
      <c r="V70" s="25">
        <f t="shared" si="6"/>
        <v>-2.6657353108953439</v>
      </c>
      <c r="W70" s="26">
        <f>AVERAGE(P70:P72)</f>
        <v>228.29977124151287</v>
      </c>
      <c r="X70" s="27">
        <f>_xlfn.STDEV.S(P70:P72)</f>
        <v>72.147187304624666</v>
      </c>
      <c r="Y70" s="28">
        <f>AVERAGE(Q70:Q72)</f>
        <v>308.74407004375166</v>
      </c>
      <c r="Z70" s="29">
        <f>_xlfn.STDEV.S(Q70:Q72)</f>
        <v>98.2906601930503</v>
      </c>
      <c r="AA70" s="30">
        <f>AVERAGE(U70:U72)</f>
        <v>1.3740331798124459</v>
      </c>
      <c r="AB70" s="27">
        <f>_xlfn.STDEV.S(U70:U72)</f>
        <v>2.781929719179538</v>
      </c>
      <c r="AC70" s="30">
        <f>AVERAGE(V70:V72)</f>
        <v>1.0924445030216772</v>
      </c>
      <c r="AD70" s="29">
        <f>_xlfn.STDEV.S(V70:V72)</f>
        <v>3.7909399927063792</v>
      </c>
    </row>
    <row r="71" spans="1:30" ht="15.75" customHeight="1">
      <c r="A71" s="69"/>
      <c r="B71" s="68"/>
      <c r="C71" s="36">
        <v>171</v>
      </c>
      <c r="D71" s="36">
        <v>2.89</v>
      </c>
      <c r="E71" s="36">
        <v>32.56</v>
      </c>
      <c r="F71" s="36">
        <v>29.44</v>
      </c>
      <c r="G71" s="36">
        <v>28.3</v>
      </c>
      <c r="H71" s="36">
        <v>8.4</v>
      </c>
      <c r="I71" s="18">
        <v>32.9</v>
      </c>
      <c r="J71" s="36">
        <v>29.82</v>
      </c>
      <c r="K71" s="36">
        <v>28.24</v>
      </c>
      <c r="L71" s="36">
        <v>10.5</v>
      </c>
      <c r="M71" s="36">
        <v>32.96</v>
      </c>
      <c r="N71" s="36">
        <v>30.15</v>
      </c>
      <c r="O71" s="36">
        <v>28.64</v>
      </c>
      <c r="P71" s="60">
        <f t="shared" si="0"/>
        <v>190.65743944636677</v>
      </c>
      <c r="Q71" s="21">
        <f t="shared" si="1"/>
        <v>263.32179930795843</v>
      </c>
      <c r="R71" s="74">
        <f t="shared" si="2"/>
        <v>27.127429120000006</v>
      </c>
      <c r="S71" s="23">
        <f t="shared" si="9"/>
        <v>27.705642719999997</v>
      </c>
      <c r="T71" s="62">
        <f t="shared" si="4"/>
        <v>28.460828160000002</v>
      </c>
      <c r="U71" s="25">
        <f t="shared" si="5"/>
        <v>2.1314721621508039</v>
      </c>
      <c r="V71" s="25">
        <f t="shared" si="6"/>
        <v>4.915316649069899</v>
      </c>
      <c r="W71" s="70"/>
      <c r="Z71" s="71"/>
      <c r="AD71" s="71"/>
    </row>
    <row r="72" spans="1:30" ht="15.75" customHeight="1">
      <c r="A72" s="69"/>
      <c r="B72" s="68"/>
      <c r="C72" s="36">
        <v>176</v>
      </c>
      <c r="D72" s="36">
        <v>2.09</v>
      </c>
      <c r="E72" s="36">
        <v>32.700000000000003</v>
      </c>
      <c r="F72" s="36">
        <v>29.43</v>
      </c>
      <c r="G72" s="36">
        <v>28.57</v>
      </c>
      <c r="H72" s="36">
        <v>8.6</v>
      </c>
      <c r="I72" s="18">
        <v>33.299999999999997</v>
      </c>
      <c r="J72" s="36">
        <v>29.75</v>
      </c>
      <c r="K72" s="36">
        <v>28.78</v>
      </c>
      <c r="L72" s="36">
        <v>10.9</v>
      </c>
      <c r="M72" s="36">
        <v>32.869999999999997</v>
      </c>
      <c r="N72" s="36">
        <v>29.03</v>
      </c>
      <c r="O72" s="36">
        <v>29.11</v>
      </c>
      <c r="P72" s="60">
        <f t="shared" si="0"/>
        <v>311.48325358851679</v>
      </c>
      <c r="Q72" s="21">
        <f t="shared" si="1"/>
        <v>421.531100478469</v>
      </c>
      <c r="R72" s="74">
        <f t="shared" si="2"/>
        <v>27.494653770000003</v>
      </c>
      <c r="S72" s="23">
        <f t="shared" si="9"/>
        <v>28.511626499999998</v>
      </c>
      <c r="T72" s="62">
        <f t="shared" si="4"/>
        <v>27.777230670999998</v>
      </c>
      <c r="U72" s="25">
        <f t="shared" si="5"/>
        <v>3.6988017325376759</v>
      </c>
      <c r="V72" s="25">
        <f t="shared" si="6"/>
        <v>1.0277521708904762</v>
      </c>
      <c r="W72" s="70"/>
      <c r="Z72" s="71"/>
      <c r="AD72" s="71"/>
    </row>
    <row r="73" spans="1:30" ht="15.75" customHeight="1">
      <c r="A73" s="69"/>
      <c r="B73" s="68" t="s">
        <v>48</v>
      </c>
      <c r="C73" s="36">
        <v>212</v>
      </c>
      <c r="D73" s="36">
        <v>3.57</v>
      </c>
      <c r="E73" s="36">
        <v>32.89</v>
      </c>
      <c r="F73" s="36">
        <v>29.77</v>
      </c>
      <c r="G73" s="36">
        <v>29.19</v>
      </c>
      <c r="H73" s="36">
        <v>9.6999999999999993</v>
      </c>
      <c r="I73" s="18">
        <v>33.979999999999997</v>
      </c>
      <c r="J73" s="36">
        <v>29.95</v>
      </c>
      <c r="K73" s="36">
        <v>29.6</v>
      </c>
      <c r="L73" s="36">
        <v>11.1</v>
      </c>
      <c r="M73" s="36">
        <v>34.01</v>
      </c>
      <c r="N73" s="36">
        <v>29.98</v>
      </c>
      <c r="O73" s="36">
        <v>29.79</v>
      </c>
      <c r="P73" s="60">
        <f t="shared" si="0"/>
        <v>171.70868347338936</v>
      </c>
      <c r="Q73" s="21">
        <f t="shared" si="1"/>
        <v>210.92436974789916</v>
      </c>
      <c r="R73" s="74">
        <f t="shared" si="2"/>
        <v>28.580959407000002</v>
      </c>
      <c r="S73" s="23">
        <f t="shared" si="9"/>
        <v>30.1239496</v>
      </c>
      <c r="T73" s="62">
        <f t="shared" si="4"/>
        <v>30.374473841999997</v>
      </c>
      <c r="U73" s="25">
        <f t="shared" si="5"/>
        <v>5.3986647929743432</v>
      </c>
      <c r="V73" s="25">
        <f t="shared" si="6"/>
        <v>6.2752072436054425</v>
      </c>
      <c r="W73" s="26">
        <f>AVERAGE(P73:P75)</f>
        <v>168.10139069858596</v>
      </c>
      <c r="X73" s="27">
        <f>_xlfn.STDEV.S(P73:P75)</f>
        <v>15.911066141124563</v>
      </c>
      <c r="Y73" s="28">
        <f>AVERAGE(Q73:Q75)</f>
        <v>213.59106382772811</v>
      </c>
      <c r="Z73" s="29">
        <f>_xlfn.STDEV.S(Q73:Q75)</f>
        <v>8.8252531357117441</v>
      </c>
      <c r="AA73" s="30">
        <f>AVERAGE(U73:U75)</f>
        <v>3.6246178607550008</v>
      </c>
      <c r="AB73" s="27">
        <f>_xlfn.STDEV.S(U73:U75)</f>
        <v>1.6788383633297856</v>
      </c>
      <c r="AC73" s="30">
        <f>AVERAGE(V73:V75)</f>
        <v>2.4672116321031701</v>
      </c>
      <c r="AD73" s="29">
        <f>_xlfn.STDEV.S(V73:V75)</f>
        <v>6.5189211765260424</v>
      </c>
    </row>
    <row r="74" spans="1:30" ht="15.75" customHeight="1">
      <c r="A74" s="69"/>
      <c r="B74" s="68"/>
      <c r="C74" s="36">
        <v>215</v>
      </c>
      <c r="D74" s="36">
        <v>3.59</v>
      </c>
      <c r="E74" s="36">
        <v>33.049999999999997</v>
      </c>
      <c r="F74" s="36">
        <v>29.19</v>
      </c>
      <c r="G74" s="36">
        <v>29.4</v>
      </c>
      <c r="H74" s="36">
        <v>9</v>
      </c>
      <c r="I74" s="18">
        <v>33.57</v>
      </c>
      <c r="J74" s="36">
        <v>29.79</v>
      </c>
      <c r="K74" s="36">
        <v>29.33</v>
      </c>
      <c r="L74" s="36">
        <v>11</v>
      </c>
      <c r="M74" s="36">
        <v>34.19</v>
      </c>
      <c r="N74" s="36">
        <v>29.78</v>
      </c>
      <c r="O74" s="36">
        <v>29.58</v>
      </c>
      <c r="P74" s="60">
        <f t="shared" si="0"/>
        <v>150.69637883008357</v>
      </c>
      <c r="Q74" s="21">
        <f t="shared" si="1"/>
        <v>206.40668523676879</v>
      </c>
      <c r="R74" s="74">
        <f t="shared" si="2"/>
        <v>28.363047299999998</v>
      </c>
      <c r="S74" s="23">
        <f t="shared" si="9"/>
        <v>29.331475298999997</v>
      </c>
      <c r="T74" s="62">
        <f t="shared" si="4"/>
        <v>30.117711155999999</v>
      </c>
      <c r="U74" s="25">
        <f t="shared" si="5"/>
        <v>3.4144003948405057</v>
      </c>
      <c r="V74" s="25">
        <f t="shared" si="6"/>
        <v>6.1864433586443317</v>
      </c>
      <c r="W74" s="70"/>
      <c r="Z74" s="71"/>
      <c r="AD74" s="71"/>
    </row>
    <row r="75" spans="1:30" ht="15.75" customHeight="1">
      <c r="A75" s="75"/>
      <c r="B75" s="68"/>
      <c r="C75" s="36">
        <v>224</v>
      </c>
      <c r="D75" s="36">
        <v>3.37</v>
      </c>
      <c r="E75" s="36">
        <v>35.14</v>
      </c>
      <c r="F75" s="36">
        <v>30.19</v>
      </c>
      <c r="G75" s="36">
        <v>28.83</v>
      </c>
      <c r="H75" s="36">
        <v>9.5</v>
      </c>
      <c r="I75" s="18">
        <v>35</v>
      </c>
      <c r="J75" s="36">
        <v>30.09</v>
      </c>
      <c r="K75" s="36">
        <v>29.64</v>
      </c>
      <c r="L75" s="36">
        <v>10.9</v>
      </c>
      <c r="M75" s="36">
        <v>34.14</v>
      </c>
      <c r="N75" s="36">
        <v>29.76</v>
      </c>
      <c r="O75" s="36">
        <v>28.58</v>
      </c>
      <c r="P75" s="21">
        <f t="shared" si="0"/>
        <v>181.89910979228486</v>
      </c>
      <c r="Q75" s="21">
        <f t="shared" si="1"/>
        <v>223.44213649851633</v>
      </c>
      <c r="R75" s="23">
        <f t="shared" si="2"/>
        <v>30.585072378</v>
      </c>
      <c r="S75" s="23">
        <f t="shared" si="9"/>
        <v>31.215366000000003</v>
      </c>
      <c r="T75" s="23">
        <f t="shared" si="4"/>
        <v>29.037462912000002</v>
      </c>
      <c r="U75" s="25">
        <f t="shared" si="5"/>
        <v>2.0607883944501535</v>
      </c>
      <c r="V75" s="25">
        <f t="shared" si="6"/>
        <v>-5.0600157059402635</v>
      </c>
      <c r="W75" s="76"/>
      <c r="X75" s="77"/>
      <c r="Y75" s="77"/>
      <c r="Z75" s="78"/>
      <c r="AA75" s="77"/>
      <c r="AB75" s="77"/>
      <c r="AC75" s="77"/>
      <c r="AD75" s="78"/>
    </row>
    <row r="76" spans="1:30" ht="15.75" customHeight="1"/>
    <row r="77" spans="1:30" ht="15.75" customHeight="1"/>
    <row r="78" spans="1:30" ht="15.75" customHeight="1"/>
    <row r="79" spans="1:30" ht="15.75" customHeight="1"/>
    <row r="80" spans="1:3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W2:Z2"/>
    <mergeCell ref="AA2:AD2"/>
    <mergeCell ref="B2:C3"/>
    <mergeCell ref="D2:G2"/>
    <mergeCell ref="H2:K2"/>
    <mergeCell ref="L2:O2"/>
    <mergeCell ref="P2:Q2"/>
    <mergeCell ref="R2:T2"/>
    <mergeCell ref="U2:V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217"/>
  <sheetViews>
    <sheetView tabSelected="1" topLeftCell="A128" zoomScale="55" zoomScaleNormal="55" workbookViewId="0">
      <selection activeCell="L134" sqref="L134"/>
    </sheetView>
  </sheetViews>
  <sheetFormatPr defaultColWidth="14.453125" defaultRowHeight="15" customHeight="1"/>
  <sheetData>
    <row r="1" spans="1:10" ht="14.5">
      <c r="A1" s="72" t="s">
        <v>49</v>
      </c>
      <c r="B1" s="72" t="s">
        <v>50</v>
      </c>
      <c r="C1" s="72" t="s">
        <v>51</v>
      </c>
      <c r="D1" s="72" t="s">
        <v>52</v>
      </c>
      <c r="E1" s="72" t="s">
        <v>53</v>
      </c>
      <c r="F1" s="72" t="s">
        <v>54</v>
      </c>
      <c r="G1" t="s">
        <v>14</v>
      </c>
      <c r="H1" t="s">
        <v>144</v>
      </c>
      <c r="I1" t="s">
        <v>145</v>
      </c>
      <c r="J1" t="s">
        <v>146</v>
      </c>
    </row>
    <row r="2" spans="1:10" ht="14.5">
      <c r="A2" s="72" t="s">
        <v>55</v>
      </c>
      <c r="B2" s="72">
        <v>0</v>
      </c>
      <c r="C2" s="72" t="s">
        <v>72</v>
      </c>
      <c r="D2" s="79">
        <v>2</v>
      </c>
      <c r="E2" s="79">
        <v>312.85714285714283</v>
      </c>
      <c r="F2" s="80">
        <v>8.2542322407710973</v>
      </c>
      <c r="G2">
        <v>28.9</v>
      </c>
      <c r="H2">
        <v>30.170923944000002</v>
      </c>
      <c r="I2">
        <f>J2/H2*100</f>
        <v>72.586441305703474</v>
      </c>
      <c r="J2">
        <f>G2-G146</f>
        <v>21.9</v>
      </c>
    </row>
    <row r="3" spans="1:10" ht="14.5">
      <c r="A3" s="72" t="s">
        <v>55</v>
      </c>
      <c r="B3" s="72">
        <v>0</v>
      </c>
      <c r="C3" s="72" t="s">
        <v>73</v>
      </c>
      <c r="D3" s="79">
        <v>2</v>
      </c>
      <c r="E3" s="79">
        <v>308.95522388059698</v>
      </c>
      <c r="F3" s="80">
        <v>6.9109161835302828</v>
      </c>
      <c r="G3">
        <v>27.4</v>
      </c>
      <c r="H3">
        <v>29.807943983999998</v>
      </c>
      <c r="I3">
        <f t="shared" ref="I3:I66" si="0">J3/H3*100</f>
        <v>69.44457494656838</v>
      </c>
      <c r="J3">
        <f t="shared" ref="J3:J66" si="1">G3-G147</f>
        <v>20.7</v>
      </c>
    </row>
    <row r="4" spans="1:10" ht="14.5">
      <c r="A4" s="72" t="s">
        <v>55</v>
      </c>
      <c r="B4" s="72">
        <v>0</v>
      </c>
      <c r="C4" s="72" t="s">
        <v>74</v>
      </c>
      <c r="D4" s="79">
        <v>2</v>
      </c>
      <c r="E4" s="79">
        <v>282.35294117647061</v>
      </c>
      <c r="F4" s="80">
        <v>7.7047943539197234</v>
      </c>
      <c r="G4">
        <v>26</v>
      </c>
      <c r="H4">
        <v>29.518129134000002</v>
      </c>
      <c r="I4">
        <f t="shared" si="0"/>
        <v>65.044772698296711</v>
      </c>
      <c r="J4">
        <f t="shared" si="1"/>
        <v>19.2</v>
      </c>
    </row>
    <row r="5" spans="1:10" ht="14.5">
      <c r="A5" s="72" t="s">
        <v>56</v>
      </c>
      <c r="B5" s="72">
        <v>0</v>
      </c>
      <c r="C5" s="72" t="s">
        <v>75</v>
      </c>
      <c r="D5" s="79">
        <v>2</v>
      </c>
      <c r="E5" s="79">
        <v>517.5</v>
      </c>
      <c r="F5" s="80">
        <v>2.6628221082722647</v>
      </c>
      <c r="G5">
        <v>24.7</v>
      </c>
      <c r="H5">
        <v>27.689087088000001</v>
      </c>
      <c r="I5">
        <f t="shared" si="0"/>
        <v>74.75869440625597</v>
      </c>
      <c r="J5">
        <f t="shared" si="1"/>
        <v>20.7</v>
      </c>
    </row>
    <row r="6" spans="1:10" ht="14.5">
      <c r="A6" s="72" t="s">
        <v>56</v>
      </c>
      <c r="B6" s="72">
        <v>0</v>
      </c>
      <c r="C6" s="72" t="s">
        <v>76</v>
      </c>
      <c r="D6" s="79">
        <v>2</v>
      </c>
      <c r="E6" s="79">
        <v>535.89743589743591</v>
      </c>
      <c r="F6" s="80">
        <v>4.8748189535469013</v>
      </c>
      <c r="G6">
        <v>24.8</v>
      </c>
      <c r="H6">
        <v>27.606223008000001</v>
      </c>
      <c r="I6">
        <f t="shared" si="0"/>
        <v>75.707567797099216</v>
      </c>
      <c r="J6">
        <f t="shared" si="1"/>
        <v>20.900000000000002</v>
      </c>
    </row>
    <row r="7" spans="1:10" ht="14.5">
      <c r="A7" s="72" t="s">
        <v>56</v>
      </c>
      <c r="B7" s="72">
        <v>0</v>
      </c>
      <c r="C7" s="72" t="s">
        <v>77</v>
      </c>
      <c r="D7" s="79">
        <v>2</v>
      </c>
      <c r="E7" s="79">
        <v>537.5</v>
      </c>
      <c r="F7" s="80">
        <v>2.1834452525713255</v>
      </c>
      <c r="G7">
        <v>25.5</v>
      </c>
      <c r="H7">
        <v>27.406428000000002</v>
      </c>
      <c r="I7">
        <f t="shared" si="0"/>
        <v>78.448749322604158</v>
      </c>
      <c r="J7">
        <f t="shared" si="1"/>
        <v>21.5</v>
      </c>
    </row>
    <row r="8" spans="1:10" ht="14.5">
      <c r="A8" s="72" t="s">
        <v>57</v>
      </c>
      <c r="B8" s="72">
        <v>0</v>
      </c>
      <c r="C8" s="72" t="s">
        <v>78</v>
      </c>
      <c r="D8" s="79">
        <v>2</v>
      </c>
      <c r="E8" s="79">
        <v>311.53846153846149</v>
      </c>
      <c r="F8" s="80">
        <v>1.6723423094383751</v>
      </c>
      <c r="G8">
        <v>21.4</v>
      </c>
      <c r="H8">
        <v>26.554221738000003</v>
      </c>
      <c r="I8">
        <f t="shared" si="0"/>
        <v>61.007248338283034</v>
      </c>
      <c r="J8">
        <f t="shared" si="1"/>
        <v>16.2</v>
      </c>
    </row>
    <row r="9" spans="1:10" ht="14.5">
      <c r="A9" s="72" t="s">
        <v>57</v>
      </c>
      <c r="B9" s="72">
        <v>0</v>
      </c>
      <c r="C9" s="72" t="s">
        <v>79</v>
      </c>
      <c r="D9" s="79">
        <v>2</v>
      </c>
      <c r="E9" s="79">
        <v>317.24137931034477</v>
      </c>
      <c r="F9" s="80">
        <v>3.074065805237078</v>
      </c>
      <c r="G9">
        <v>24.2</v>
      </c>
      <c r="H9">
        <v>28.860656461999994</v>
      </c>
      <c r="I9">
        <f t="shared" si="0"/>
        <v>63.754613566142396</v>
      </c>
      <c r="J9">
        <f t="shared" si="1"/>
        <v>18.399999999999999</v>
      </c>
    </row>
    <row r="10" spans="1:10" ht="14.5">
      <c r="A10" s="72" t="s">
        <v>57</v>
      </c>
      <c r="B10" s="72">
        <v>0</v>
      </c>
      <c r="C10" s="72" t="s">
        <v>80</v>
      </c>
      <c r="D10" s="79">
        <v>2</v>
      </c>
      <c r="E10" s="79">
        <v>332.75862068965523</v>
      </c>
      <c r="F10" s="80">
        <v>0.61433963688957727</v>
      </c>
      <c r="G10">
        <v>25.1</v>
      </c>
      <c r="H10">
        <v>27.910681123</v>
      </c>
      <c r="I10">
        <f t="shared" si="0"/>
        <v>69.149154457917177</v>
      </c>
      <c r="J10">
        <f t="shared" si="1"/>
        <v>19.3</v>
      </c>
    </row>
    <row r="11" spans="1:10" ht="14.5">
      <c r="A11" s="72" t="s">
        <v>58</v>
      </c>
      <c r="B11" s="72">
        <v>0</v>
      </c>
      <c r="C11" s="72" t="s">
        <v>81</v>
      </c>
      <c r="D11" s="79">
        <v>2</v>
      </c>
      <c r="E11" s="79">
        <v>313.84615384615387</v>
      </c>
      <c r="F11" s="80">
        <v>11.693468902113134</v>
      </c>
      <c r="G11">
        <v>26.9</v>
      </c>
      <c r="H11">
        <v>31.644942503999999</v>
      </c>
      <c r="I11">
        <f t="shared" si="0"/>
        <v>64.465277500255809</v>
      </c>
      <c r="J11">
        <f t="shared" si="1"/>
        <v>20.399999999999999</v>
      </c>
    </row>
    <row r="12" spans="1:10" ht="14.5">
      <c r="A12" s="72" t="s">
        <v>58</v>
      </c>
      <c r="B12" s="72">
        <v>0</v>
      </c>
      <c r="C12" s="72" t="s">
        <v>82</v>
      </c>
      <c r="D12" s="79">
        <v>2</v>
      </c>
      <c r="E12" s="79">
        <v>324.99999999999994</v>
      </c>
      <c r="F12" s="80">
        <v>-2.0394335627281981</v>
      </c>
      <c r="G12">
        <v>27.2</v>
      </c>
      <c r="H12">
        <v>27.844867490999999</v>
      </c>
      <c r="I12">
        <f t="shared" si="0"/>
        <v>74.699583349509425</v>
      </c>
      <c r="J12">
        <f t="shared" si="1"/>
        <v>20.799999999999997</v>
      </c>
    </row>
    <row r="13" spans="1:10" ht="14.5">
      <c r="A13" s="72" t="s">
        <v>58</v>
      </c>
      <c r="B13" s="72">
        <v>0</v>
      </c>
      <c r="C13" s="72" t="s">
        <v>83</v>
      </c>
      <c r="D13" s="79">
        <v>2</v>
      </c>
      <c r="E13" s="79">
        <v>314.28571428571433</v>
      </c>
      <c r="F13" s="80">
        <v>4.9914474465175296</v>
      </c>
      <c r="G13">
        <v>26.1</v>
      </c>
      <c r="H13">
        <v>29.500583111999997</v>
      </c>
      <c r="I13">
        <f t="shared" si="0"/>
        <v>67.117317392773572</v>
      </c>
      <c r="J13">
        <f t="shared" si="1"/>
        <v>19.8</v>
      </c>
    </row>
    <row r="14" spans="1:10" ht="14.5">
      <c r="A14" s="72" t="s">
        <v>59</v>
      </c>
      <c r="B14" s="72">
        <v>0</v>
      </c>
      <c r="C14" s="72" t="s">
        <v>84</v>
      </c>
      <c r="D14" s="79">
        <v>2</v>
      </c>
      <c r="E14" s="79">
        <v>487.09677419354841</v>
      </c>
      <c r="F14" s="80">
        <v>-6.9376441186804252</v>
      </c>
      <c r="G14">
        <v>18.2</v>
      </c>
      <c r="H14">
        <v>23.984604210000001</v>
      </c>
      <c r="I14">
        <f t="shared" si="0"/>
        <v>62.957053065333859</v>
      </c>
      <c r="J14">
        <f t="shared" si="1"/>
        <v>15.1</v>
      </c>
    </row>
    <row r="15" spans="1:10" ht="14.5">
      <c r="A15" s="72" t="s">
        <v>59</v>
      </c>
      <c r="B15" s="72">
        <v>0</v>
      </c>
      <c r="C15" s="72" t="s">
        <v>85</v>
      </c>
      <c r="D15" s="79">
        <v>2</v>
      </c>
      <c r="E15" s="79">
        <v>380.64516129032262</v>
      </c>
      <c r="F15" s="80">
        <v>-3.8570607127962897</v>
      </c>
      <c r="G15">
        <v>14.9</v>
      </c>
      <c r="H15">
        <v>25.425524111999998</v>
      </c>
      <c r="I15">
        <f t="shared" si="0"/>
        <v>46.41005608388145</v>
      </c>
      <c r="J15">
        <f t="shared" si="1"/>
        <v>11.8</v>
      </c>
    </row>
    <row r="16" spans="1:10" ht="14.5">
      <c r="A16" s="72" t="s">
        <v>59</v>
      </c>
      <c r="B16" s="72">
        <v>0</v>
      </c>
      <c r="C16" s="72" t="s">
        <v>86</v>
      </c>
      <c r="D16" s="79">
        <v>2</v>
      </c>
      <c r="E16" s="79">
        <v>261.76470588235293</v>
      </c>
      <c r="F16" s="80">
        <v>-1.458479306554882</v>
      </c>
      <c r="G16">
        <v>12.3</v>
      </c>
      <c r="H16">
        <v>26.219848648000003</v>
      </c>
      <c r="I16">
        <f t="shared" si="0"/>
        <v>33.943750475000833</v>
      </c>
      <c r="J16">
        <f t="shared" si="1"/>
        <v>8.9</v>
      </c>
    </row>
    <row r="17" spans="1:10" ht="14.5">
      <c r="A17" s="72" t="s">
        <v>60</v>
      </c>
      <c r="B17" s="72">
        <v>0</v>
      </c>
      <c r="C17" s="72" t="s">
        <v>87</v>
      </c>
      <c r="D17" s="79">
        <v>2</v>
      </c>
      <c r="E17" s="79">
        <v>583.33333333333326</v>
      </c>
      <c r="F17" s="80">
        <v>1.7620029604461538</v>
      </c>
      <c r="G17">
        <v>24.6</v>
      </c>
      <c r="H17">
        <v>30.932460672000005</v>
      </c>
      <c r="I17">
        <f t="shared" si="0"/>
        <v>67.889846277277115</v>
      </c>
      <c r="J17">
        <f t="shared" si="1"/>
        <v>21</v>
      </c>
    </row>
    <row r="18" spans="1:10" ht="14.5">
      <c r="A18" s="72" t="s">
        <v>60</v>
      </c>
      <c r="B18" s="72">
        <v>0</v>
      </c>
      <c r="C18" s="72" t="s">
        <v>88</v>
      </c>
      <c r="D18" s="79">
        <v>2</v>
      </c>
      <c r="E18" s="79">
        <v>551.42857142857144</v>
      </c>
      <c r="F18" s="80">
        <v>1.0285388279299359</v>
      </c>
      <c r="G18">
        <v>22.8</v>
      </c>
      <c r="H18">
        <v>30.171610392000002</v>
      </c>
      <c r="I18">
        <f t="shared" si="0"/>
        <v>63.967417546653039</v>
      </c>
      <c r="J18">
        <f t="shared" si="1"/>
        <v>19.3</v>
      </c>
    </row>
    <row r="19" spans="1:10" ht="14.5">
      <c r="A19" s="72" t="s">
        <v>60</v>
      </c>
      <c r="B19" s="72">
        <v>0</v>
      </c>
      <c r="C19" s="72" t="s">
        <v>89</v>
      </c>
      <c r="D19" s="79">
        <v>2</v>
      </c>
      <c r="E19" s="79">
        <v>606.06060606060601</v>
      </c>
      <c r="F19" s="80">
        <v>6.8800437176626483E-2</v>
      </c>
      <c r="G19">
        <v>23.3</v>
      </c>
      <c r="H19">
        <v>29.241884144000004</v>
      </c>
      <c r="I19">
        <f t="shared" si="0"/>
        <v>68.395045618507794</v>
      </c>
      <c r="J19">
        <f t="shared" si="1"/>
        <v>20</v>
      </c>
    </row>
    <row r="20" spans="1:10" ht="14.5">
      <c r="A20" s="72" t="s">
        <v>61</v>
      </c>
      <c r="B20" s="72">
        <v>0</v>
      </c>
      <c r="C20" s="72" t="s">
        <v>90</v>
      </c>
      <c r="D20" s="79">
        <v>2</v>
      </c>
      <c r="E20" s="79">
        <v>321.95121951219517</v>
      </c>
      <c r="F20" s="80">
        <v>1.2559307882963771</v>
      </c>
      <c r="G20">
        <v>17.3</v>
      </c>
      <c r="H20">
        <v>28.180432829999997</v>
      </c>
      <c r="I20">
        <f t="shared" si="0"/>
        <v>46.841012271279595</v>
      </c>
      <c r="J20">
        <f t="shared" si="1"/>
        <v>13.200000000000001</v>
      </c>
    </row>
    <row r="21" spans="1:10" ht="14.5">
      <c r="A21" s="72" t="s">
        <v>61</v>
      </c>
      <c r="B21" s="72">
        <v>0</v>
      </c>
      <c r="C21" s="72" t="s">
        <v>91</v>
      </c>
      <c r="D21" s="79">
        <v>2</v>
      </c>
      <c r="E21" s="79">
        <v>165.11627906976747</v>
      </c>
      <c r="F21" s="80">
        <v>4.0400908730857736</v>
      </c>
      <c r="G21">
        <v>11.4</v>
      </c>
      <c r="H21">
        <v>29.679547436000004</v>
      </c>
      <c r="I21">
        <f t="shared" si="0"/>
        <v>23.922197652475013</v>
      </c>
      <c r="J21">
        <f t="shared" si="1"/>
        <v>7.1000000000000005</v>
      </c>
    </row>
    <row r="22" spans="1:10" ht="14.5">
      <c r="A22" s="72" t="s">
        <v>61</v>
      </c>
      <c r="B22" s="72">
        <v>0</v>
      </c>
      <c r="C22" s="72" t="s">
        <v>92</v>
      </c>
      <c r="D22" s="79">
        <v>2</v>
      </c>
      <c r="E22" s="79">
        <v>390.47619047619048</v>
      </c>
      <c r="F22" s="80">
        <v>2.744733676200938</v>
      </c>
      <c r="G22">
        <v>20.6</v>
      </c>
      <c r="H22">
        <v>28.492745382000006</v>
      </c>
      <c r="I22">
        <f t="shared" si="0"/>
        <v>57.558511052994319</v>
      </c>
      <c r="J22">
        <f t="shared" si="1"/>
        <v>16.400000000000002</v>
      </c>
    </row>
    <row r="23" spans="1:10" ht="14.5">
      <c r="A23" s="72" t="s">
        <v>62</v>
      </c>
      <c r="B23" s="72">
        <v>0</v>
      </c>
      <c r="C23" s="72" t="s">
        <v>93</v>
      </c>
      <c r="D23" s="79">
        <v>2</v>
      </c>
      <c r="E23" s="79">
        <v>200</v>
      </c>
      <c r="F23" s="80">
        <v>-4.041960009120289</v>
      </c>
      <c r="G23">
        <v>9</v>
      </c>
      <c r="H23">
        <v>27.314278538</v>
      </c>
      <c r="I23">
        <f t="shared" si="0"/>
        <v>21.966532967922685</v>
      </c>
      <c r="J23">
        <f t="shared" si="1"/>
        <v>6</v>
      </c>
    </row>
    <row r="24" spans="1:10" ht="14.5">
      <c r="A24" s="72" t="s">
        <v>62</v>
      </c>
      <c r="B24" s="72">
        <v>0</v>
      </c>
      <c r="C24" s="72" t="s">
        <v>94</v>
      </c>
      <c r="D24" s="79">
        <v>2</v>
      </c>
      <c r="E24" s="79">
        <v>193.33333333333337</v>
      </c>
      <c r="F24" s="80">
        <v>3.4178139640199681</v>
      </c>
      <c r="G24">
        <v>8.8000000000000007</v>
      </c>
      <c r="H24">
        <v>29.475754879999997</v>
      </c>
      <c r="I24">
        <f t="shared" si="0"/>
        <v>19.677189010468528</v>
      </c>
      <c r="J24">
        <f t="shared" si="1"/>
        <v>5.8000000000000007</v>
      </c>
    </row>
    <row r="25" spans="1:10" ht="14.5">
      <c r="A25" s="72" t="s">
        <v>62</v>
      </c>
      <c r="B25" s="72">
        <v>0</v>
      </c>
      <c r="C25" s="72" t="s">
        <v>95</v>
      </c>
      <c r="D25" s="79">
        <v>2</v>
      </c>
      <c r="E25" s="79">
        <v>257.57575757575756</v>
      </c>
      <c r="F25" s="80">
        <v>-10.230113481010463</v>
      </c>
      <c r="G25">
        <v>11.8</v>
      </c>
      <c r="H25">
        <v>26.982965070000002</v>
      </c>
      <c r="I25">
        <f t="shared" si="0"/>
        <v>31.501356422279947</v>
      </c>
      <c r="J25">
        <f t="shared" si="1"/>
        <v>8.5</v>
      </c>
    </row>
    <row r="26" spans="1:10" ht="14.5">
      <c r="A26" s="72" t="s">
        <v>55</v>
      </c>
      <c r="B26" s="72">
        <v>2</v>
      </c>
      <c r="C26" s="72" t="s">
        <v>96</v>
      </c>
      <c r="D26" s="79">
        <v>2</v>
      </c>
      <c r="E26" s="79">
        <v>363.71681415929197</v>
      </c>
      <c r="F26" s="80">
        <v>10.098047330556783</v>
      </c>
      <c r="G26">
        <v>26.2</v>
      </c>
      <c r="H26">
        <v>29.253270447000002</v>
      </c>
      <c r="I26">
        <f t="shared" si="0"/>
        <v>70.248555754583847</v>
      </c>
      <c r="J26">
        <f t="shared" si="1"/>
        <v>20.549999999999997</v>
      </c>
    </row>
    <row r="27" spans="1:10" ht="14.5">
      <c r="A27" s="72" t="s">
        <v>55</v>
      </c>
      <c r="B27" s="72">
        <v>2</v>
      </c>
      <c r="C27" s="72" t="s">
        <v>97</v>
      </c>
      <c r="D27" s="79">
        <v>2</v>
      </c>
      <c r="E27" s="79">
        <v>352.89855072463769</v>
      </c>
      <c r="F27" s="80">
        <v>10.257742718707688</v>
      </c>
      <c r="G27">
        <v>25</v>
      </c>
      <c r="H27">
        <v>28.675685250999997</v>
      </c>
      <c r="I27">
        <f t="shared" si="0"/>
        <v>67.932116807289475</v>
      </c>
      <c r="J27">
        <f t="shared" si="1"/>
        <v>19.48</v>
      </c>
    </row>
    <row r="28" spans="1:10" ht="14.5">
      <c r="A28" s="72" t="s">
        <v>55</v>
      </c>
      <c r="B28" s="72">
        <v>2</v>
      </c>
      <c r="C28" s="72" t="s">
        <v>98</v>
      </c>
      <c r="D28" s="79">
        <v>2</v>
      </c>
      <c r="E28" s="79">
        <v>374.91039426523298</v>
      </c>
      <c r="F28" s="80">
        <v>9.8040382258853533</v>
      </c>
      <c r="G28">
        <v>26.5</v>
      </c>
      <c r="H28">
        <v>28.963141631999999</v>
      </c>
      <c r="I28">
        <f t="shared" si="0"/>
        <v>72.229733451589681</v>
      </c>
      <c r="J28">
        <f t="shared" si="1"/>
        <v>20.92</v>
      </c>
    </row>
    <row r="29" spans="1:10" ht="14.5">
      <c r="A29" s="72" t="s">
        <v>55</v>
      </c>
      <c r="B29" s="72">
        <v>2</v>
      </c>
      <c r="C29" s="72" t="s">
        <v>99</v>
      </c>
      <c r="D29" s="79">
        <v>2</v>
      </c>
      <c r="E29" s="79">
        <v>341.73913043478257</v>
      </c>
      <c r="F29" s="80">
        <v>12.539467132037174</v>
      </c>
      <c r="G29">
        <v>25.4</v>
      </c>
      <c r="H29">
        <v>30.025744895999999</v>
      </c>
      <c r="I29">
        <f t="shared" si="0"/>
        <v>65.443838506127292</v>
      </c>
      <c r="J29">
        <f t="shared" si="1"/>
        <v>19.649999999999999</v>
      </c>
    </row>
    <row r="30" spans="1:10" ht="14.5">
      <c r="A30" s="72" t="s">
        <v>55</v>
      </c>
      <c r="B30" s="72">
        <v>2</v>
      </c>
      <c r="C30" s="72" t="s">
        <v>100</v>
      </c>
      <c r="D30" s="79">
        <v>2</v>
      </c>
      <c r="E30" s="79">
        <v>365.54934823091247</v>
      </c>
      <c r="F30" s="80">
        <v>8.5449770145314705</v>
      </c>
      <c r="G30">
        <v>25</v>
      </c>
      <c r="H30">
        <v>28.050524565</v>
      </c>
      <c r="I30">
        <f t="shared" si="0"/>
        <v>69.980865971017536</v>
      </c>
      <c r="J30">
        <f t="shared" si="1"/>
        <v>19.63</v>
      </c>
    </row>
    <row r="31" spans="1:10" ht="14.5">
      <c r="A31" s="72" t="s">
        <v>55</v>
      </c>
      <c r="B31" s="72">
        <v>2</v>
      </c>
      <c r="C31" s="72" t="s">
        <v>101</v>
      </c>
      <c r="D31" s="79">
        <v>2</v>
      </c>
      <c r="E31" s="79">
        <v>374.18738049713187</v>
      </c>
      <c r="F31" s="80">
        <v>-15.265250014046696</v>
      </c>
      <c r="G31">
        <v>24.8</v>
      </c>
      <c r="H31">
        <v>21.868416799999995</v>
      </c>
      <c r="I31">
        <f t="shared" si="0"/>
        <v>89.489788762394568</v>
      </c>
      <c r="J31">
        <f t="shared" si="1"/>
        <v>19.57</v>
      </c>
    </row>
    <row r="32" spans="1:10" ht="14.5">
      <c r="A32" s="72" t="s">
        <v>56</v>
      </c>
      <c r="B32" s="72">
        <v>2</v>
      </c>
      <c r="C32" s="72" t="s">
        <v>102</v>
      </c>
      <c r="D32" s="79">
        <v>2</v>
      </c>
      <c r="E32" s="79">
        <v>589.74358974358984</v>
      </c>
      <c r="F32" s="80">
        <v>2.3569372720112574</v>
      </c>
      <c r="G32">
        <v>26.9</v>
      </c>
      <c r="H32">
        <v>28.794643227000002</v>
      </c>
      <c r="I32">
        <f t="shared" si="0"/>
        <v>79.875967966269116</v>
      </c>
      <c r="J32">
        <f t="shared" si="1"/>
        <v>23</v>
      </c>
    </row>
    <row r="33" spans="1:10" ht="14.5">
      <c r="A33" s="72" t="s">
        <v>56</v>
      </c>
      <c r="B33" s="72">
        <v>2</v>
      </c>
      <c r="C33" s="72" t="s">
        <v>103</v>
      </c>
      <c r="D33" s="79">
        <v>2</v>
      </c>
      <c r="E33" s="79">
        <v>544.44444444444434</v>
      </c>
      <c r="F33" s="80">
        <v>3.0083917826579847</v>
      </c>
      <c r="G33">
        <v>23.2</v>
      </c>
      <c r="H33">
        <v>28.071483960000002</v>
      </c>
      <c r="I33">
        <f t="shared" si="0"/>
        <v>69.821745184289838</v>
      </c>
      <c r="J33">
        <f t="shared" si="1"/>
        <v>19.599999999999998</v>
      </c>
    </row>
    <row r="34" spans="1:10" ht="14.5">
      <c r="A34" s="72" t="s">
        <v>56</v>
      </c>
      <c r="B34" s="72">
        <v>2</v>
      </c>
      <c r="C34" s="72" t="s">
        <v>104</v>
      </c>
      <c r="D34" s="79">
        <v>2</v>
      </c>
      <c r="E34" s="79">
        <v>558.33333333333326</v>
      </c>
      <c r="F34" s="80">
        <v>1.4755595554291197</v>
      </c>
      <c r="G34">
        <v>23.7</v>
      </c>
      <c r="H34">
        <v>28.059285036000002</v>
      </c>
      <c r="I34">
        <f t="shared" si="0"/>
        <v>71.634041901679751</v>
      </c>
      <c r="J34">
        <f t="shared" si="1"/>
        <v>20.099999999999998</v>
      </c>
    </row>
    <row r="35" spans="1:10" ht="14.5">
      <c r="A35" s="72" t="s">
        <v>56</v>
      </c>
      <c r="B35" s="72">
        <v>4</v>
      </c>
      <c r="C35" s="72" t="s">
        <v>105</v>
      </c>
      <c r="D35" s="79">
        <v>2</v>
      </c>
      <c r="E35" s="79">
        <v>502.50000000000006</v>
      </c>
      <c r="F35" s="80">
        <v>3.5863667226661144</v>
      </c>
      <c r="G35">
        <v>24.1</v>
      </c>
      <c r="H35">
        <v>29.772135750000004</v>
      </c>
      <c r="I35">
        <f t="shared" si="0"/>
        <v>67.512791721702399</v>
      </c>
      <c r="J35">
        <f t="shared" si="1"/>
        <v>20.100000000000001</v>
      </c>
    </row>
    <row r="36" spans="1:10" ht="14.5">
      <c r="A36" s="72" t="s">
        <v>56</v>
      </c>
      <c r="B36" s="72">
        <v>4</v>
      </c>
      <c r="C36" s="72" t="s">
        <v>106</v>
      </c>
      <c r="D36" s="79">
        <v>2</v>
      </c>
      <c r="E36" s="79">
        <v>512.5</v>
      </c>
      <c r="F36" s="80">
        <v>1.2304411017771697</v>
      </c>
      <c r="G36">
        <v>24.5</v>
      </c>
      <c r="H36">
        <v>29.475335359999999</v>
      </c>
      <c r="I36">
        <f t="shared" si="0"/>
        <v>69.549675176282705</v>
      </c>
      <c r="J36">
        <f t="shared" si="1"/>
        <v>20.5</v>
      </c>
    </row>
    <row r="37" spans="1:10" ht="14.5">
      <c r="A37" s="72" t="s">
        <v>56</v>
      </c>
      <c r="B37" s="72">
        <v>4</v>
      </c>
      <c r="C37" s="72" t="s">
        <v>107</v>
      </c>
      <c r="D37" s="79">
        <v>2</v>
      </c>
      <c r="E37" s="79">
        <v>567.56756756756749</v>
      </c>
      <c r="F37" s="80">
        <v>2.2415856760464199</v>
      </c>
      <c r="G37">
        <v>24.7</v>
      </c>
      <c r="H37">
        <v>29.029436408000002</v>
      </c>
      <c r="I37">
        <f t="shared" si="0"/>
        <v>72.340364121615437</v>
      </c>
      <c r="J37">
        <f t="shared" si="1"/>
        <v>21</v>
      </c>
    </row>
    <row r="38" spans="1:10" ht="14.5">
      <c r="A38" s="72" t="s">
        <v>57</v>
      </c>
      <c r="B38" s="72">
        <v>2</v>
      </c>
      <c r="C38" s="72" t="s">
        <v>108</v>
      </c>
      <c r="D38" s="79">
        <v>2</v>
      </c>
      <c r="E38" s="79">
        <v>313.20754716981128</v>
      </c>
      <c r="F38" s="80">
        <v>7.747958427131886</v>
      </c>
      <c r="G38">
        <v>21.9</v>
      </c>
      <c r="H38">
        <v>29.588317200000002</v>
      </c>
      <c r="I38">
        <f t="shared" si="0"/>
        <v>56.103224417237207</v>
      </c>
      <c r="J38">
        <f t="shared" si="1"/>
        <v>16.599999999999998</v>
      </c>
    </row>
    <row r="39" spans="1:10" ht="14.5">
      <c r="A39" s="72" t="s">
        <v>57</v>
      </c>
      <c r="B39" s="72">
        <v>2</v>
      </c>
      <c r="C39" s="72" t="s">
        <v>109</v>
      </c>
      <c r="D39" s="79">
        <v>2</v>
      </c>
      <c r="E39" s="79">
        <v>331.0344827586207</v>
      </c>
      <c r="F39" s="80">
        <v>1.4031509132324755</v>
      </c>
      <c r="G39">
        <v>25</v>
      </c>
      <c r="H39">
        <v>29.091564600000005</v>
      </c>
      <c r="I39">
        <f t="shared" si="0"/>
        <v>65.998512847260187</v>
      </c>
      <c r="J39">
        <f t="shared" si="1"/>
        <v>19.2</v>
      </c>
    </row>
    <row r="40" spans="1:10" ht="14.5">
      <c r="A40" s="72" t="s">
        <v>57</v>
      </c>
      <c r="B40" s="72">
        <v>2</v>
      </c>
      <c r="C40" s="72" t="s">
        <v>110</v>
      </c>
      <c r="D40" s="79">
        <v>2</v>
      </c>
      <c r="E40" s="79">
        <v>292.59259259259255</v>
      </c>
      <c r="F40" s="80">
        <v>37.499242525440572</v>
      </c>
      <c r="G40">
        <v>21.2</v>
      </c>
      <c r="H40">
        <v>37.863843598000003</v>
      </c>
      <c r="I40">
        <f t="shared" si="0"/>
        <v>41.728463089348296</v>
      </c>
      <c r="J40">
        <f t="shared" si="1"/>
        <v>15.799999999999999</v>
      </c>
    </row>
    <row r="41" spans="1:10" ht="14.5">
      <c r="A41" s="72" t="s">
        <v>57</v>
      </c>
      <c r="B41" s="72">
        <v>4</v>
      </c>
      <c r="C41" s="72" t="s">
        <v>111</v>
      </c>
      <c r="D41" s="79">
        <v>2</v>
      </c>
      <c r="E41" s="79">
        <v>305.76923076923077</v>
      </c>
      <c r="F41" s="80">
        <v>-0.3048246702555284</v>
      </c>
      <c r="G41">
        <v>21.1</v>
      </c>
      <c r="H41">
        <v>28.092725760000004</v>
      </c>
      <c r="I41">
        <f t="shared" si="0"/>
        <v>56.59828147626498</v>
      </c>
      <c r="J41">
        <f t="shared" si="1"/>
        <v>15.900000000000002</v>
      </c>
    </row>
    <row r="42" spans="1:10" ht="14.5">
      <c r="A42" s="72" t="s">
        <v>57</v>
      </c>
      <c r="B42" s="72">
        <v>4</v>
      </c>
      <c r="C42" s="72" t="s">
        <v>112</v>
      </c>
      <c r="D42" s="79">
        <v>2</v>
      </c>
      <c r="E42" s="79">
        <v>306</v>
      </c>
      <c r="F42" s="80">
        <v>29.338390694436367</v>
      </c>
      <c r="G42">
        <v>20.3</v>
      </c>
      <c r="H42">
        <v>35.814514175999996</v>
      </c>
      <c r="I42">
        <f t="shared" si="0"/>
        <v>42.720110413372097</v>
      </c>
      <c r="J42">
        <f t="shared" si="1"/>
        <v>15.3</v>
      </c>
    </row>
    <row r="43" spans="1:10" ht="14.5">
      <c r="A43" s="72" t="s">
        <v>57</v>
      </c>
      <c r="B43" s="72">
        <v>4</v>
      </c>
      <c r="C43" s="72" t="s">
        <v>113</v>
      </c>
      <c r="D43" s="79">
        <v>2</v>
      </c>
      <c r="E43" s="79">
        <v>342.55319148936172</v>
      </c>
      <c r="F43" s="80">
        <v>0.59927436611645923</v>
      </c>
      <c r="G43">
        <v>20.8</v>
      </c>
      <c r="H43">
        <v>28.104294778</v>
      </c>
      <c r="I43">
        <f t="shared" si="0"/>
        <v>57.286618031785864</v>
      </c>
      <c r="J43">
        <f t="shared" si="1"/>
        <v>16.100000000000001</v>
      </c>
    </row>
    <row r="44" spans="1:10" ht="14.5">
      <c r="A44" s="72" t="s">
        <v>58</v>
      </c>
      <c r="B44" s="72">
        <v>2</v>
      </c>
      <c r="C44" s="72" t="s">
        <v>114</v>
      </c>
      <c r="D44" s="79">
        <v>2</v>
      </c>
      <c r="E44" s="79">
        <v>444.23076923076923</v>
      </c>
      <c r="F44" s="80">
        <v>-2.1456210464427854</v>
      </c>
      <c r="G44">
        <v>28.3</v>
      </c>
      <c r="H44">
        <v>27.914769828000001</v>
      </c>
      <c r="I44">
        <f t="shared" si="0"/>
        <v>82.751891354767579</v>
      </c>
      <c r="J44">
        <f t="shared" si="1"/>
        <v>23.1</v>
      </c>
    </row>
    <row r="45" spans="1:10" ht="14.5">
      <c r="A45" s="72" t="s">
        <v>58</v>
      </c>
      <c r="B45" s="72">
        <v>2</v>
      </c>
      <c r="C45" s="72" t="s">
        <v>115</v>
      </c>
      <c r="D45" s="79">
        <v>2</v>
      </c>
      <c r="E45" s="79">
        <v>435.84905660377353</v>
      </c>
      <c r="F45" s="80">
        <v>0.66169135766417808</v>
      </c>
      <c r="G45">
        <v>28.4</v>
      </c>
      <c r="H45">
        <v>29.12995046</v>
      </c>
      <c r="I45">
        <f t="shared" si="0"/>
        <v>79.299825901592001</v>
      </c>
      <c r="J45">
        <f t="shared" si="1"/>
        <v>23.099999999999998</v>
      </c>
    </row>
    <row r="46" spans="1:10" ht="14.5">
      <c r="A46" s="72" t="s">
        <v>58</v>
      </c>
      <c r="B46" s="72">
        <v>2</v>
      </c>
      <c r="C46" s="72" t="s">
        <v>116</v>
      </c>
      <c r="D46" s="79">
        <v>2</v>
      </c>
      <c r="E46" s="79">
        <v>450.98039215686276</v>
      </c>
      <c r="F46" s="80">
        <v>5.4308930029691878</v>
      </c>
      <c r="G46">
        <v>28.1</v>
      </c>
      <c r="H46">
        <v>30.160619999999998</v>
      </c>
      <c r="I46">
        <f t="shared" si="0"/>
        <v>76.258379303873738</v>
      </c>
      <c r="J46">
        <f t="shared" si="1"/>
        <v>23</v>
      </c>
    </row>
    <row r="47" spans="1:10" ht="14.5">
      <c r="A47" s="72" t="s">
        <v>58</v>
      </c>
      <c r="B47" s="72">
        <v>4</v>
      </c>
      <c r="C47" s="72" t="s">
        <v>117</v>
      </c>
      <c r="D47" s="79">
        <v>2</v>
      </c>
      <c r="E47" s="79">
        <v>396.49122807017545</v>
      </c>
      <c r="F47" s="80">
        <v>-0.18630016875579647</v>
      </c>
      <c r="G47">
        <v>28.3</v>
      </c>
      <c r="H47">
        <v>29.052943919999997</v>
      </c>
      <c r="I47">
        <f t="shared" si="0"/>
        <v>77.789018772869341</v>
      </c>
      <c r="J47">
        <f t="shared" si="1"/>
        <v>22.6</v>
      </c>
    </row>
    <row r="48" spans="1:10" ht="14.5">
      <c r="A48" s="72" t="s">
        <v>58</v>
      </c>
      <c r="B48" s="72">
        <v>4</v>
      </c>
      <c r="C48" s="72" t="s">
        <v>118</v>
      </c>
      <c r="D48" s="79">
        <v>2</v>
      </c>
      <c r="E48" s="79">
        <v>416.07142857142856</v>
      </c>
      <c r="F48" s="80">
        <v>2.2088115146304168</v>
      </c>
      <c r="G48">
        <v>28.9</v>
      </c>
      <c r="H48">
        <v>30.379540664</v>
      </c>
      <c r="I48">
        <f t="shared" si="0"/>
        <v>76.696353831349015</v>
      </c>
      <c r="J48">
        <f t="shared" si="1"/>
        <v>23.299999999999997</v>
      </c>
    </row>
    <row r="49" spans="1:10" ht="14.5">
      <c r="A49" s="72" t="s">
        <v>58</v>
      </c>
      <c r="B49" s="72">
        <v>4</v>
      </c>
      <c r="C49" s="72" t="s">
        <v>119</v>
      </c>
      <c r="D49" s="79">
        <v>2</v>
      </c>
      <c r="E49" s="79">
        <v>386.66666666666669</v>
      </c>
      <c r="F49" s="80">
        <v>-0.87745393971184693</v>
      </c>
      <c r="G49">
        <v>29.2</v>
      </c>
      <c r="H49">
        <v>30.367501100999998</v>
      </c>
      <c r="I49">
        <f t="shared" si="0"/>
        <v>76.397461624644592</v>
      </c>
      <c r="J49">
        <f t="shared" si="1"/>
        <v>23.2</v>
      </c>
    </row>
    <row r="50" spans="1:10" ht="14.5">
      <c r="A50" s="72" t="s">
        <v>59</v>
      </c>
      <c r="B50" s="72">
        <v>2</v>
      </c>
      <c r="C50" s="72" t="s">
        <v>120</v>
      </c>
      <c r="D50" s="79">
        <v>2</v>
      </c>
      <c r="E50" s="79">
        <v>170.07299270072991</v>
      </c>
      <c r="F50" s="80">
        <v>15.057046411970598</v>
      </c>
      <c r="G50">
        <v>7.4</v>
      </c>
      <c r="H50">
        <v>29.024498099999995</v>
      </c>
      <c r="I50">
        <f t="shared" si="0"/>
        <v>16.055402522188665</v>
      </c>
      <c r="J50">
        <f t="shared" si="1"/>
        <v>4.66</v>
      </c>
    </row>
    <row r="51" spans="1:10" ht="14.5">
      <c r="A51" s="72" t="s">
        <v>59</v>
      </c>
      <c r="B51" s="72">
        <v>2</v>
      </c>
      <c r="C51" s="72" t="s">
        <v>121</v>
      </c>
      <c r="D51" s="79">
        <v>2</v>
      </c>
      <c r="E51" s="79">
        <v>192.77566539923956</v>
      </c>
      <c r="F51" s="80">
        <v>3.9471678218537387</v>
      </c>
      <c r="G51">
        <v>7.7</v>
      </c>
      <c r="H51">
        <v>26.216846423999996</v>
      </c>
      <c r="I51">
        <f t="shared" si="0"/>
        <v>19.338710377304231</v>
      </c>
      <c r="J51">
        <f t="shared" si="1"/>
        <v>5.07</v>
      </c>
    </row>
    <row r="52" spans="1:10" ht="14.5">
      <c r="A52" s="72" t="s">
        <v>59</v>
      </c>
      <c r="B52" s="72">
        <v>2</v>
      </c>
      <c r="C52" s="72" t="s">
        <v>122</v>
      </c>
      <c r="D52" s="79">
        <v>2</v>
      </c>
      <c r="E52" s="79">
        <v>220.15810276679844</v>
      </c>
      <c r="F52" s="80">
        <v>-10.977197572798186</v>
      </c>
      <c r="G52">
        <v>8.1</v>
      </c>
      <c r="H52">
        <v>23.298297299999998</v>
      </c>
      <c r="I52">
        <f t="shared" si="0"/>
        <v>23.907326480892664</v>
      </c>
      <c r="J52">
        <f t="shared" si="1"/>
        <v>5.57</v>
      </c>
    </row>
    <row r="53" spans="1:10" ht="14.5">
      <c r="A53" s="72" t="s">
        <v>59</v>
      </c>
      <c r="B53" s="72">
        <v>4</v>
      </c>
      <c r="C53" s="72" t="s">
        <v>123</v>
      </c>
      <c r="D53" s="79">
        <v>2</v>
      </c>
      <c r="E53" s="79">
        <v>188.65979381443299</v>
      </c>
      <c r="F53" s="80">
        <v>1.4651531932202824</v>
      </c>
      <c r="G53">
        <v>8.4</v>
      </c>
      <c r="H53">
        <v>28.160217130999992</v>
      </c>
      <c r="I53">
        <f t="shared" si="0"/>
        <v>19.495588313331467</v>
      </c>
      <c r="J53">
        <f t="shared" si="1"/>
        <v>5.49</v>
      </c>
    </row>
    <row r="54" spans="1:10" ht="14.5">
      <c r="A54" s="72" t="s">
        <v>59</v>
      </c>
      <c r="B54" s="72">
        <v>4</v>
      </c>
      <c r="C54" s="72" t="s">
        <v>124</v>
      </c>
      <c r="D54" s="79">
        <v>2</v>
      </c>
      <c r="E54" s="79">
        <v>165.51724137931038</v>
      </c>
      <c r="F54" s="80">
        <v>19.320127437396501</v>
      </c>
      <c r="G54">
        <v>7.7</v>
      </c>
      <c r="H54">
        <v>29.706881384000003</v>
      </c>
      <c r="I54">
        <f t="shared" si="0"/>
        <v>16.157872440239586</v>
      </c>
      <c r="J54">
        <f t="shared" si="1"/>
        <v>4.8000000000000007</v>
      </c>
    </row>
    <row r="55" spans="1:10" ht="14.5">
      <c r="A55" s="72" t="s">
        <v>59</v>
      </c>
      <c r="B55" s="72">
        <v>4</v>
      </c>
      <c r="C55" s="72" t="s">
        <v>125</v>
      </c>
      <c r="D55" s="79">
        <v>2</v>
      </c>
      <c r="E55" s="79">
        <v>142.69005847953221</v>
      </c>
      <c r="F55" s="80">
        <v>-3.4135791353180336</v>
      </c>
      <c r="G55">
        <v>8.3000000000000007</v>
      </c>
      <c r="H55">
        <v>27.210858088000005</v>
      </c>
      <c r="I55">
        <f t="shared" si="0"/>
        <v>17.934017311097154</v>
      </c>
      <c r="J55">
        <f t="shared" si="1"/>
        <v>4.8800000000000008</v>
      </c>
    </row>
    <row r="56" spans="1:10" ht="14.5">
      <c r="A56" s="72" t="s">
        <v>60</v>
      </c>
      <c r="B56" s="72">
        <v>2</v>
      </c>
      <c r="C56" s="72" t="s">
        <v>126</v>
      </c>
      <c r="D56" s="79">
        <v>2</v>
      </c>
      <c r="E56" s="79">
        <v>309.22190201729103</v>
      </c>
      <c r="F56" s="80">
        <v>4.9531214027254427</v>
      </c>
      <c r="G56">
        <v>14.2</v>
      </c>
      <c r="H56">
        <v>30.682167167999996</v>
      </c>
      <c r="I56">
        <f t="shared" si="0"/>
        <v>34.971454073788067</v>
      </c>
      <c r="J56">
        <f t="shared" si="1"/>
        <v>10.729999999999999</v>
      </c>
    </row>
    <row r="57" spans="1:10" ht="14.5">
      <c r="A57" s="72" t="s">
        <v>60</v>
      </c>
      <c r="B57" s="72">
        <v>2</v>
      </c>
      <c r="C57" s="72" t="s">
        <v>127</v>
      </c>
      <c r="D57" s="79">
        <v>2</v>
      </c>
      <c r="E57" s="79">
        <v>361.53846153846155</v>
      </c>
      <c r="F57" s="80">
        <v>7.5062600549315628E-2</v>
      </c>
      <c r="G57">
        <v>16.2</v>
      </c>
      <c r="H57">
        <v>30.519311503999997</v>
      </c>
      <c r="I57">
        <f t="shared" si="0"/>
        <v>41.580230269404311</v>
      </c>
      <c r="J57">
        <f t="shared" si="1"/>
        <v>12.69</v>
      </c>
    </row>
    <row r="58" spans="1:10" ht="14.5">
      <c r="A58" s="72" t="s">
        <v>60</v>
      </c>
      <c r="B58" s="72">
        <v>2</v>
      </c>
      <c r="C58" s="72" t="s">
        <v>128</v>
      </c>
      <c r="D58" s="79">
        <v>2</v>
      </c>
      <c r="E58" s="79">
        <v>453.31412103746391</v>
      </c>
      <c r="F58" s="80">
        <v>5.432309016412705</v>
      </c>
      <c r="G58">
        <v>19.2</v>
      </c>
      <c r="H58">
        <v>32.293978751999994</v>
      </c>
      <c r="I58">
        <f t="shared" si="0"/>
        <v>48.708770513530567</v>
      </c>
      <c r="J58">
        <f t="shared" si="1"/>
        <v>15.729999999999999</v>
      </c>
    </row>
    <row r="59" spans="1:10" ht="14.5">
      <c r="A59" s="72" t="s">
        <v>60</v>
      </c>
      <c r="B59" s="72">
        <v>4</v>
      </c>
      <c r="C59" s="72" t="s">
        <v>129</v>
      </c>
      <c r="D59" s="79">
        <v>2</v>
      </c>
      <c r="E59" s="79">
        <v>260.74270557029178</v>
      </c>
      <c r="F59" s="80">
        <v>5.4819153790780861</v>
      </c>
      <c r="G59">
        <v>13.6</v>
      </c>
      <c r="H59">
        <v>29.541096450000001</v>
      </c>
      <c r="I59">
        <f t="shared" si="0"/>
        <v>33.275677551907521</v>
      </c>
      <c r="J59">
        <f t="shared" si="1"/>
        <v>9.83</v>
      </c>
    </row>
    <row r="60" spans="1:10" ht="14.5">
      <c r="A60" s="72" t="s">
        <v>60</v>
      </c>
      <c r="B60" s="72">
        <v>4</v>
      </c>
      <c r="C60" s="72" t="s">
        <v>130</v>
      </c>
      <c r="D60" s="79">
        <v>2</v>
      </c>
      <c r="E60" s="79">
        <v>213.25301204819277</v>
      </c>
      <c r="F60" s="80">
        <v>6.3701294064172354</v>
      </c>
      <c r="G60">
        <v>13</v>
      </c>
      <c r="H60">
        <v>31.147559150999999</v>
      </c>
      <c r="I60">
        <f t="shared" si="0"/>
        <v>28.413141322233809</v>
      </c>
      <c r="J60">
        <f t="shared" si="1"/>
        <v>8.85</v>
      </c>
    </row>
    <row r="61" spans="1:10" ht="14.5">
      <c r="A61" s="72" t="s">
        <v>60</v>
      </c>
      <c r="B61" s="72">
        <v>4</v>
      </c>
      <c r="C61" s="72" t="s">
        <v>131</v>
      </c>
      <c r="D61" s="79">
        <v>2</v>
      </c>
      <c r="E61" s="79">
        <v>209.64467005076145</v>
      </c>
      <c r="F61" s="80">
        <v>3.0655059056954923</v>
      </c>
      <c r="G61">
        <v>12.2</v>
      </c>
      <c r="H61">
        <v>29.897177800000001</v>
      </c>
      <c r="I61">
        <f t="shared" si="0"/>
        <v>27.628025813192302</v>
      </c>
      <c r="J61">
        <f t="shared" si="1"/>
        <v>8.26</v>
      </c>
    </row>
    <row r="62" spans="1:10" ht="14.5">
      <c r="A62" s="72" t="s">
        <v>63</v>
      </c>
      <c r="B62" s="72">
        <v>2</v>
      </c>
      <c r="C62" s="72" t="s">
        <v>132</v>
      </c>
      <c r="D62" s="79">
        <v>2</v>
      </c>
      <c r="E62" s="79">
        <v>257.89473684210532</v>
      </c>
      <c r="F62" s="80">
        <v>3.0922738221945432</v>
      </c>
      <c r="G62">
        <v>13.6</v>
      </c>
      <c r="H62">
        <v>27.928964700000005</v>
      </c>
      <c r="I62">
        <f t="shared" si="0"/>
        <v>35.089019966429333</v>
      </c>
      <c r="J62">
        <f t="shared" si="1"/>
        <v>9.8000000000000007</v>
      </c>
    </row>
    <row r="63" spans="1:10" ht="14.5">
      <c r="A63" s="72" t="s">
        <v>63</v>
      </c>
      <c r="B63" s="72">
        <v>2</v>
      </c>
      <c r="C63" s="72" t="s">
        <v>133</v>
      </c>
      <c r="D63" s="79">
        <v>2</v>
      </c>
      <c r="E63" s="79">
        <v>231.42857142857142</v>
      </c>
      <c r="F63" s="80">
        <v>-1.7652745007983486</v>
      </c>
      <c r="G63">
        <v>11.6</v>
      </c>
      <c r="H63">
        <v>27.786674160000004</v>
      </c>
      <c r="I63">
        <f t="shared" si="0"/>
        <v>29.150663923861259</v>
      </c>
      <c r="J63">
        <f t="shared" si="1"/>
        <v>8.1</v>
      </c>
    </row>
    <row r="64" spans="1:10" ht="14.5">
      <c r="A64" s="72" t="s">
        <v>63</v>
      </c>
      <c r="B64" s="72">
        <v>2</v>
      </c>
      <c r="C64" s="72" t="s">
        <v>134</v>
      </c>
      <c r="D64" s="79">
        <v>2</v>
      </c>
      <c r="E64" s="79">
        <v>265.59139784946228</v>
      </c>
      <c r="F64" s="80">
        <v>6.2261617973233161</v>
      </c>
      <c r="G64">
        <v>13.6</v>
      </c>
      <c r="H64">
        <v>29.021222591999997</v>
      </c>
      <c r="I64">
        <f t="shared" si="0"/>
        <v>34.04405162008414</v>
      </c>
      <c r="J64">
        <f t="shared" si="1"/>
        <v>9.879999999999999</v>
      </c>
    </row>
    <row r="65" spans="1:10" ht="14.5">
      <c r="A65" s="72" t="s">
        <v>63</v>
      </c>
      <c r="B65" s="72">
        <v>4</v>
      </c>
      <c r="C65" s="72" t="s">
        <v>135</v>
      </c>
      <c r="D65" s="79">
        <v>2</v>
      </c>
      <c r="E65" s="79">
        <v>105.01138952164011</v>
      </c>
      <c r="F65" s="80">
        <v>7.5989143962804997</v>
      </c>
      <c r="G65">
        <v>9</v>
      </c>
      <c r="H65">
        <v>28.940226600000003</v>
      </c>
      <c r="I65">
        <f t="shared" si="0"/>
        <v>15.929384602676194</v>
      </c>
      <c r="J65">
        <f t="shared" si="1"/>
        <v>4.6100000000000003</v>
      </c>
    </row>
    <row r="66" spans="1:10" ht="14.5">
      <c r="A66" s="72" t="s">
        <v>63</v>
      </c>
      <c r="B66" s="72">
        <v>4</v>
      </c>
      <c r="C66" s="72" t="s">
        <v>136</v>
      </c>
      <c r="D66" s="79">
        <v>2</v>
      </c>
      <c r="E66" s="79">
        <v>127.69953051643192</v>
      </c>
      <c r="F66" s="80">
        <v>6.8667494159537625</v>
      </c>
      <c r="G66">
        <v>9.6999999999999993</v>
      </c>
      <c r="H66">
        <v>27.9138096</v>
      </c>
      <c r="I66">
        <f t="shared" si="0"/>
        <v>19.48856167593835</v>
      </c>
      <c r="J66">
        <f t="shared" si="1"/>
        <v>5.4399999999999995</v>
      </c>
    </row>
    <row r="67" spans="1:10" ht="14.5">
      <c r="A67" s="72" t="s">
        <v>63</v>
      </c>
      <c r="B67" s="72">
        <v>4</v>
      </c>
      <c r="C67" s="72" t="s">
        <v>137</v>
      </c>
      <c r="D67" s="79">
        <v>2</v>
      </c>
      <c r="E67" s="79">
        <v>102.24719101123594</v>
      </c>
      <c r="F67" s="80">
        <v>2.369371478528628</v>
      </c>
      <c r="G67">
        <v>9</v>
      </c>
      <c r="H67">
        <v>26.87256</v>
      </c>
      <c r="I67">
        <f t="shared" ref="I67:I130" si="2">J67/H67*100</f>
        <v>16.931769805333023</v>
      </c>
      <c r="J67">
        <f t="shared" ref="J67:J73" si="3">G67-G211</f>
        <v>4.55</v>
      </c>
    </row>
    <row r="68" spans="1:10" ht="14.5">
      <c r="A68" s="72" t="s">
        <v>62</v>
      </c>
      <c r="B68" s="72">
        <v>2</v>
      </c>
      <c r="C68" s="72" t="s">
        <v>138</v>
      </c>
      <c r="D68" s="79">
        <v>2</v>
      </c>
      <c r="E68" s="79">
        <v>182.75862068965515</v>
      </c>
      <c r="F68" s="80">
        <v>-1.7081743552511421</v>
      </c>
      <c r="G68">
        <v>8.1999999999999993</v>
      </c>
      <c r="H68">
        <v>27.290865060000002</v>
      </c>
      <c r="I68">
        <f t="shared" si="2"/>
        <v>19.42041774178923</v>
      </c>
      <c r="J68">
        <f t="shared" si="3"/>
        <v>5.2999999999999989</v>
      </c>
    </row>
    <row r="69" spans="1:10" ht="14.5">
      <c r="A69" s="72" t="s">
        <v>62</v>
      </c>
      <c r="B69" s="72">
        <v>2</v>
      </c>
      <c r="C69" s="72" t="s">
        <v>139</v>
      </c>
      <c r="D69" s="79">
        <v>2</v>
      </c>
      <c r="E69" s="79">
        <v>190.65743944636677</v>
      </c>
      <c r="F69" s="80">
        <v>2.1314721621508039</v>
      </c>
      <c r="G69">
        <v>8.4</v>
      </c>
      <c r="H69">
        <v>27.705642719999997</v>
      </c>
      <c r="I69">
        <f t="shared" si="2"/>
        <v>19.887645472387732</v>
      </c>
      <c r="J69">
        <f t="shared" si="3"/>
        <v>5.51</v>
      </c>
    </row>
    <row r="70" spans="1:10" ht="14.5">
      <c r="A70" s="72" t="s">
        <v>62</v>
      </c>
      <c r="B70" s="72">
        <v>2</v>
      </c>
      <c r="C70" s="72" t="s">
        <v>140</v>
      </c>
      <c r="D70" s="79">
        <v>2</v>
      </c>
      <c r="E70" s="79">
        <v>311.48325358851679</v>
      </c>
      <c r="F70" s="80">
        <v>3.6988017325376759</v>
      </c>
      <c r="G70">
        <v>8.6</v>
      </c>
      <c r="H70">
        <v>28.511626499999998</v>
      </c>
      <c r="I70">
        <f t="shared" si="2"/>
        <v>22.832790686283715</v>
      </c>
      <c r="J70">
        <f t="shared" si="3"/>
        <v>6.51</v>
      </c>
    </row>
    <row r="71" spans="1:10" ht="14.5">
      <c r="A71" s="72" t="s">
        <v>62</v>
      </c>
      <c r="B71" s="72">
        <v>4</v>
      </c>
      <c r="C71" s="72" t="s">
        <v>141</v>
      </c>
      <c r="D71" s="79">
        <v>2</v>
      </c>
      <c r="E71" s="79">
        <v>171.70868347338936</v>
      </c>
      <c r="F71" s="80">
        <v>5.3986647929743432</v>
      </c>
      <c r="G71">
        <v>9.6999999999999993</v>
      </c>
      <c r="H71">
        <v>30.1239496</v>
      </c>
      <c r="I71">
        <f t="shared" si="2"/>
        <v>20.349257256757593</v>
      </c>
      <c r="J71">
        <f t="shared" si="3"/>
        <v>6.129999999999999</v>
      </c>
    </row>
    <row r="72" spans="1:10" ht="14.5">
      <c r="A72" s="72" t="s">
        <v>62</v>
      </c>
      <c r="B72" s="72">
        <v>4</v>
      </c>
      <c r="C72" s="72" t="s">
        <v>142</v>
      </c>
      <c r="D72" s="79">
        <v>2</v>
      </c>
      <c r="E72" s="79">
        <v>150.69637883008357</v>
      </c>
      <c r="F72" s="80">
        <v>3.4144003948405057</v>
      </c>
      <c r="G72">
        <v>9</v>
      </c>
      <c r="H72">
        <v>29.331475298999997</v>
      </c>
      <c r="I72">
        <f t="shared" si="2"/>
        <v>18.44435012167439</v>
      </c>
      <c r="J72">
        <f t="shared" si="3"/>
        <v>5.41</v>
      </c>
    </row>
    <row r="73" spans="1:10" ht="14.5">
      <c r="A73" s="72" t="s">
        <v>62</v>
      </c>
      <c r="B73" s="72">
        <v>4</v>
      </c>
      <c r="C73" s="72" t="s">
        <v>143</v>
      </c>
      <c r="D73" s="79">
        <v>2</v>
      </c>
      <c r="E73" s="79">
        <v>181.89910979228486</v>
      </c>
      <c r="F73" s="80">
        <v>2.0607883944501535</v>
      </c>
      <c r="G73">
        <v>9.5</v>
      </c>
      <c r="H73">
        <v>31.215366000000003</v>
      </c>
      <c r="I73">
        <f t="shared" si="2"/>
        <v>19.637764298518874</v>
      </c>
      <c r="J73">
        <f t="shared" si="3"/>
        <v>6.13</v>
      </c>
    </row>
    <row r="74" spans="1:10" ht="14.5">
      <c r="A74" s="72" t="s">
        <v>55</v>
      </c>
      <c r="B74" s="72">
        <v>0</v>
      </c>
      <c r="C74" s="72" t="s">
        <v>72</v>
      </c>
      <c r="D74" s="72">
        <v>24</v>
      </c>
      <c r="E74" s="79">
        <v>332.85714285714289</v>
      </c>
      <c r="F74" s="80">
        <v>5.1571721175487273</v>
      </c>
      <c r="G74">
        <v>30.3</v>
      </c>
      <c r="H74">
        <v>29.307759857999997</v>
      </c>
      <c r="I74">
        <f t="shared" si="2"/>
        <v>79.501129096497337</v>
      </c>
      <c r="J74">
        <f>G74-G146</f>
        <v>23.3</v>
      </c>
    </row>
    <row r="75" spans="1:10" ht="14.5">
      <c r="A75" s="72" t="s">
        <v>55</v>
      </c>
      <c r="B75" s="72">
        <v>0</v>
      </c>
      <c r="C75" s="72" t="s">
        <v>73</v>
      </c>
      <c r="D75" s="72">
        <v>24</v>
      </c>
      <c r="E75" s="79">
        <v>335.82089552238801</v>
      </c>
      <c r="F75" s="80">
        <v>6.3122470254898371</v>
      </c>
      <c r="G75">
        <v>29.2</v>
      </c>
      <c r="H75">
        <v>29.641028411999997</v>
      </c>
      <c r="I75">
        <f t="shared" si="2"/>
        <v>75.908297402026065</v>
      </c>
      <c r="J75">
        <f t="shared" ref="J75:J138" si="4">G75-G147</f>
        <v>22.5</v>
      </c>
    </row>
    <row r="76" spans="1:10" ht="14.5">
      <c r="A76" s="72" t="s">
        <v>55</v>
      </c>
      <c r="B76" s="72">
        <v>0</v>
      </c>
      <c r="C76" s="72" t="s">
        <v>74</v>
      </c>
      <c r="D76" s="72">
        <v>24</v>
      </c>
      <c r="E76" s="79">
        <v>311.76470588235293</v>
      </c>
      <c r="F76" s="80">
        <v>9.4266110889590671</v>
      </c>
      <c r="G76">
        <v>28</v>
      </c>
      <c r="H76">
        <v>29.990019071999999</v>
      </c>
      <c r="I76">
        <f t="shared" si="2"/>
        <v>70.69018512160018</v>
      </c>
      <c r="J76">
        <f t="shared" si="4"/>
        <v>21.2</v>
      </c>
    </row>
    <row r="77" spans="1:10" ht="14.5">
      <c r="A77" s="72" t="s">
        <v>56</v>
      </c>
      <c r="B77" s="72">
        <v>0</v>
      </c>
      <c r="C77" s="72" t="s">
        <v>75</v>
      </c>
      <c r="D77" s="72">
        <v>24</v>
      </c>
      <c r="E77" s="79">
        <v>570</v>
      </c>
      <c r="F77" s="80">
        <v>2.5627417401718384</v>
      </c>
      <c r="G77">
        <v>26.8</v>
      </c>
      <c r="H77">
        <v>27.662094512000003</v>
      </c>
      <c r="I77">
        <f t="shared" si="2"/>
        <v>82.423259706922067</v>
      </c>
      <c r="J77">
        <f t="shared" si="4"/>
        <v>22.8</v>
      </c>
    </row>
    <row r="78" spans="1:10" ht="14.5">
      <c r="A78" s="72" t="s">
        <v>56</v>
      </c>
      <c r="B78" s="72">
        <v>0</v>
      </c>
      <c r="C78" s="72" t="s">
        <v>76</v>
      </c>
      <c r="D78" s="72">
        <v>24</v>
      </c>
      <c r="E78" s="79">
        <v>566.66666666666674</v>
      </c>
      <c r="F78" s="80">
        <v>5.251588259051994</v>
      </c>
      <c r="G78">
        <v>26</v>
      </c>
      <c r="H78">
        <v>27.70540008</v>
      </c>
      <c r="I78">
        <f t="shared" si="2"/>
        <v>79.767842861628878</v>
      </c>
      <c r="J78">
        <f t="shared" si="4"/>
        <v>22.1</v>
      </c>
    </row>
    <row r="79" spans="1:10" ht="14.5">
      <c r="A79" s="72" t="s">
        <v>56</v>
      </c>
      <c r="B79" s="72">
        <v>0</v>
      </c>
      <c r="C79" s="72" t="s">
        <v>77</v>
      </c>
      <c r="D79" s="72">
        <v>24</v>
      </c>
      <c r="E79" s="79">
        <v>555</v>
      </c>
      <c r="F79" s="80">
        <v>1.5987437006848615</v>
      </c>
      <c r="G79">
        <v>26.2</v>
      </c>
      <c r="H79">
        <v>27.249606306</v>
      </c>
      <c r="I79">
        <f t="shared" si="2"/>
        <v>81.469066931480242</v>
      </c>
      <c r="J79">
        <f t="shared" si="4"/>
        <v>22.2</v>
      </c>
    </row>
    <row r="80" spans="1:10" ht="14.5">
      <c r="A80" s="72" t="s">
        <v>57</v>
      </c>
      <c r="B80" s="72">
        <v>0</v>
      </c>
      <c r="C80" s="72" t="s">
        <v>78</v>
      </c>
      <c r="D80" s="72">
        <v>24</v>
      </c>
      <c r="E80" s="79">
        <v>382.69230769230774</v>
      </c>
      <c r="F80" s="80">
        <v>0.6865152020796047</v>
      </c>
      <c r="G80">
        <v>25.1</v>
      </c>
      <c r="H80">
        <v>26.29674885</v>
      </c>
      <c r="I80">
        <f t="shared" si="2"/>
        <v>75.674753991499614</v>
      </c>
      <c r="J80">
        <f t="shared" si="4"/>
        <v>19.900000000000002</v>
      </c>
    </row>
    <row r="81" spans="1:10" ht="14.5">
      <c r="A81" s="72" t="s">
        <v>57</v>
      </c>
      <c r="B81" s="72">
        <v>0</v>
      </c>
      <c r="C81" s="72" t="s">
        <v>79</v>
      </c>
      <c r="D81" s="72">
        <v>24</v>
      </c>
      <c r="E81" s="79">
        <v>327.58620689655174</v>
      </c>
      <c r="F81" s="80">
        <v>3.4386212619901309</v>
      </c>
      <c r="G81">
        <v>24.8</v>
      </c>
      <c r="H81">
        <v>28.962731699999996</v>
      </c>
      <c r="I81">
        <f t="shared" si="2"/>
        <v>65.601546831993076</v>
      </c>
      <c r="J81">
        <f t="shared" si="4"/>
        <v>19</v>
      </c>
    </row>
    <row r="82" spans="1:10" ht="14.5">
      <c r="A82" s="72" t="s">
        <v>57</v>
      </c>
      <c r="B82" s="72">
        <v>0</v>
      </c>
      <c r="C82" s="72" t="s">
        <v>80</v>
      </c>
      <c r="D82" s="72">
        <v>24</v>
      </c>
      <c r="E82" s="79">
        <v>336.20689655172413</v>
      </c>
      <c r="F82" s="80">
        <v>1.241921189229455</v>
      </c>
      <c r="G82">
        <v>25.3</v>
      </c>
      <c r="H82">
        <v>28.084773888000004</v>
      </c>
      <c r="I82">
        <f t="shared" si="2"/>
        <v>69.432640183483599</v>
      </c>
      <c r="J82">
        <f t="shared" si="4"/>
        <v>19.5</v>
      </c>
    </row>
    <row r="83" spans="1:10" ht="14.5">
      <c r="A83" s="72" t="s">
        <v>58</v>
      </c>
      <c r="B83" s="72">
        <v>0</v>
      </c>
      <c r="C83" s="72" t="s">
        <v>81</v>
      </c>
      <c r="D83" s="72">
        <v>24</v>
      </c>
      <c r="E83" s="79">
        <v>340.00000000000006</v>
      </c>
      <c r="F83" s="80">
        <v>5.5542510883367981</v>
      </c>
      <c r="G83">
        <v>28.6</v>
      </c>
      <c r="H83">
        <v>29.905582121999998</v>
      </c>
      <c r="I83">
        <f t="shared" si="2"/>
        <v>73.899247002927154</v>
      </c>
      <c r="J83">
        <f t="shared" si="4"/>
        <v>22.1</v>
      </c>
    </row>
    <row r="84" spans="1:10" ht="14.5">
      <c r="A84" s="72" t="s">
        <v>58</v>
      </c>
      <c r="B84" s="72">
        <v>0</v>
      </c>
      <c r="C84" s="72" t="s">
        <v>82</v>
      </c>
      <c r="D84" s="72">
        <v>24</v>
      </c>
      <c r="E84" s="79">
        <v>339.06250000000006</v>
      </c>
      <c r="F84" s="80">
        <v>4.7842582306795416</v>
      </c>
      <c r="G84">
        <v>28.1</v>
      </c>
      <c r="H84">
        <v>29.784472381999997</v>
      </c>
      <c r="I84">
        <f t="shared" si="2"/>
        <v>72.85675476028986</v>
      </c>
      <c r="J84">
        <f t="shared" si="4"/>
        <v>21.700000000000003</v>
      </c>
    </row>
    <row r="85" spans="1:10" ht="14.5">
      <c r="A85" s="72" t="s">
        <v>58</v>
      </c>
      <c r="B85" s="72">
        <v>0</v>
      </c>
      <c r="C85" s="72" t="s">
        <v>83</v>
      </c>
      <c r="D85" s="72">
        <v>24</v>
      </c>
      <c r="E85" s="79">
        <v>346.03174603174602</v>
      </c>
      <c r="F85" s="80">
        <v>7.6621464111736799</v>
      </c>
      <c r="G85">
        <v>28.1</v>
      </c>
      <c r="H85">
        <v>30.250998300000003</v>
      </c>
      <c r="I85">
        <f t="shared" si="2"/>
        <v>72.063737480028877</v>
      </c>
      <c r="J85">
        <f t="shared" si="4"/>
        <v>21.8</v>
      </c>
    </row>
    <row r="86" spans="1:10" ht="14.5">
      <c r="A86" s="72" t="s">
        <v>59</v>
      </c>
      <c r="B86" s="72">
        <v>0</v>
      </c>
      <c r="C86" s="72" t="s">
        <v>84</v>
      </c>
      <c r="D86" s="72">
        <v>24</v>
      </c>
      <c r="E86" s="79">
        <v>545.16129032258061</v>
      </c>
      <c r="F86" s="80">
        <v>1.467696530007718E-2</v>
      </c>
      <c r="G86">
        <v>20</v>
      </c>
      <c r="H86">
        <v>25.776399270000002</v>
      </c>
      <c r="I86">
        <f t="shared" si="2"/>
        <v>65.563850959079275</v>
      </c>
      <c r="J86">
        <f t="shared" si="4"/>
        <v>16.899999999999999</v>
      </c>
    </row>
    <row r="87" spans="1:10" ht="14.5">
      <c r="A87" s="72" t="s">
        <v>59</v>
      </c>
      <c r="B87" s="72">
        <v>0</v>
      </c>
      <c r="C87" s="72" t="s">
        <v>85</v>
      </c>
      <c r="D87" s="72">
        <v>24</v>
      </c>
      <c r="E87" s="79">
        <v>435.48387096774201</v>
      </c>
      <c r="F87" s="80">
        <v>-3.2269612043211673</v>
      </c>
      <c r="G87">
        <v>16.600000000000001</v>
      </c>
      <c r="H87">
        <v>25.592157359999998</v>
      </c>
      <c r="I87">
        <f t="shared" si="2"/>
        <v>52.750535291331936</v>
      </c>
      <c r="J87">
        <f t="shared" si="4"/>
        <v>13.500000000000002</v>
      </c>
    </row>
    <row r="88" spans="1:10" ht="14.5">
      <c r="A88" s="72" t="s">
        <v>59</v>
      </c>
      <c r="B88" s="72">
        <v>0</v>
      </c>
      <c r="C88" s="72" t="s">
        <v>86</v>
      </c>
      <c r="D88" s="72">
        <v>24</v>
      </c>
      <c r="E88" s="79">
        <v>341.1764705882353</v>
      </c>
      <c r="F88" s="80">
        <v>-6.2380670109998837</v>
      </c>
      <c r="G88">
        <v>15</v>
      </c>
      <c r="H88">
        <v>24.948099791999997</v>
      </c>
      <c r="I88">
        <f t="shared" si="2"/>
        <v>46.496527177271126</v>
      </c>
      <c r="J88">
        <f t="shared" si="4"/>
        <v>11.6</v>
      </c>
    </row>
    <row r="89" spans="1:10" ht="14.5">
      <c r="A89" s="72" t="s">
        <v>60</v>
      </c>
      <c r="B89" s="72">
        <v>0</v>
      </c>
      <c r="C89" s="72" t="s">
        <v>87</v>
      </c>
      <c r="D89" s="72">
        <v>24</v>
      </c>
      <c r="E89" s="79">
        <v>641.66666666666663</v>
      </c>
      <c r="F89" s="80">
        <v>2.7556462238734922</v>
      </c>
      <c r="G89">
        <v>26.7</v>
      </c>
      <c r="H89">
        <v>31.234497092999998</v>
      </c>
      <c r="I89">
        <f t="shared" si="2"/>
        <v>73.956689397688322</v>
      </c>
      <c r="J89">
        <f t="shared" si="4"/>
        <v>23.099999999999998</v>
      </c>
    </row>
    <row r="90" spans="1:10" ht="14.5">
      <c r="A90" s="72" t="s">
        <v>60</v>
      </c>
      <c r="B90" s="72">
        <v>0</v>
      </c>
      <c r="C90" s="72" t="s">
        <v>88</v>
      </c>
      <c r="D90" s="72">
        <v>24</v>
      </c>
      <c r="E90" s="79">
        <v>645.71428571428578</v>
      </c>
      <c r="F90" s="80">
        <v>-1.044401008918858</v>
      </c>
      <c r="G90">
        <v>26.1</v>
      </c>
      <c r="H90">
        <v>29.552538456000001</v>
      </c>
      <c r="I90">
        <f t="shared" si="2"/>
        <v>76.473972053698702</v>
      </c>
      <c r="J90">
        <f t="shared" si="4"/>
        <v>22.6</v>
      </c>
    </row>
    <row r="91" spans="1:10" ht="14.5">
      <c r="A91" s="72" t="s">
        <v>60</v>
      </c>
      <c r="B91" s="72">
        <v>0</v>
      </c>
      <c r="C91" s="72" t="s">
        <v>89</v>
      </c>
      <c r="D91" s="72">
        <v>24</v>
      </c>
      <c r="E91" s="79">
        <v>678.78787878787875</v>
      </c>
      <c r="F91" s="80">
        <v>-1.0949042468290906</v>
      </c>
      <c r="G91">
        <v>25.7</v>
      </c>
      <c r="H91">
        <v>28.901828928</v>
      </c>
      <c r="I91">
        <f t="shared" si="2"/>
        <v>77.503745717278633</v>
      </c>
      <c r="J91">
        <f t="shared" si="4"/>
        <v>22.4</v>
      </c>
    </row>
    <row r="92" spans="1:10" ht="14.5">
      <c r="A92" s="72" t="s">
        <v>61</v>
      </c>
      <c r="B92" s="72">
        <v>0</v>
      </c>
      <c r="C92" s="72" t="s">
        <v>90</v>
      </c>
      <c r="D92" s="72">
        <v>24</v>
      </c>
      <c r="E92" s="79">
        <v>431.70731707317083</v>
      </c>
      <c r="F92" s="80">
        <v>0.46551711386907557</v>
      </c>
      <c r="G92">
        <v>21.8</v>
      </c>
      <c r="H92">
        <v>27.960453621999999</v>
      </c>
      <c r="I92">
        <f t="shared" si="2"/>
        <v>63.303693993266229</v>
      </c>
      <c r="J92">
        <f t="shared" si="4"/>
        <v>17.700000000000003</v>
      </c>
    </row>
    <row r="93" spans="1:10" ht="14.5">
      <c r="A93" s="72" t="s">
        <v>61</v>
      </c>
      <c r="B93" s="72">
        <v>0</v>
      </c>
      <c r="C93" s="72" t="s">
        <v>91</v>
      </c>
      <c r="D93" s="72">
        <v>24</v>
      </c>
      <c r="E93" s="79">
        <v>251.16279069767447</v>
      </c>
      <c r="F93" s="80">
        <v>1.3136785228103234</v>
      </c>
      <c r="G93">
        <v>15.1</v>
      </c>
      <c r="H93">
        <v>28.90178298</v>
      </c>
      <c r="I93">
        <f t="shared" si="2"/>
        <v>37.367936806783128</v>
      </c>
      <c r="J93">
        <f t="shared" si="4"/>
        <v>10.8</v>
      </c>
    </row>
    <row r="94" spans="1:10" ht="14.5">
      <c r="A94" s="72" t="s">
        <v>61</v>
      </c>
      <c r="B94" s="72">
        <v>0</v>
      </c>
      <c r="C94" s="72" t="s">
        <v>92</v>
      </c>
      <c r="D94" s="72">
        <v>24</v>
      </c>
      <c r="E94" s="79">
        <v>459.52380952380952</v>
      </c>
      <c r="F94" s="80">
        <v>1.4858882669585537E-2</v>
      </c>
      <c r="G94">
        <v>23.5</v>
      </c>
      <c r="H94">
        <v>27.735707774000002</v>
      </c>
      <c r="I94">
        <f t="shared" si="2"/>
        <v>69.585388472012241</v>
      </c>
      <c r="J94">
        <f t="shared" si="4"/>
        <v>19.3</v>
      </c>
    </row>
    <row r="95" spans="1:10" ht="14.5">
      <c r="A95" s="72" t="s">
        <v>62</v>
      </c>
      <c r="B95" s="72">
        <v>0</v>
      </c>
      <c r="C95" s="72" t="s">
        <v>93</v>
      </c>
      <c r="D95" s="72">
        <v>24</v>
      </c>
      <c r="E95" s="79">
        <v>320</v>
      </c>
      <c r="F95" s="80">
        <v>-5.9161133821522149</v>
      </c>
      <c r="G95">
        <v>12.6</v>
      </c>
      <c r="H95">
        <v>26.780804247999999</v>
      </c>
      <c r="I95">
        <f t="shared" si="2"/>
        <v>35.846570965907162</v>
      </c>
      <c r="J95">
        <f t="shared" si="4"/>
        <v>9.6</v>
      </c>
    </row>
    <row r="96" spans="1:10" ht="14.5">
      <c r="A96" s="72" t="s">
        <v>62</v>
      </c>
      <c r="B96" s="72">
        <v>0</v>
      </c>
      <c r="C96" s="72" t="s">
        <v>94</v>
      </c>
      <c r="D96" s="72">
        <v>24</v>
      </c>
      <c r="E96" s="79">
        <v>286.66666666666669</v>
      </c>
      <c r="F96" s="80">
        <v>7.15794619664943</v>
      </c>
      <c r="G96">
        <v>11.6</v>
      </c>
      <c r="H96">
        <v>30.541753247999999</v>
      </c>
      <c r="I96">
        <f t="shared" si="2"/>
        <v>28.158173927238977</v>
      </c>
      <c r="J96">
        <f t="shared" si="4"/>
        <v>8.6</v>
      </c>
    </row>
    <row r="97" spans="1:10" ht="14.5">
      <c r="A97" s="72" t="s">
        <v>62</v>
      </c>
      <c r="B97" s="72">
        <v>0</v>
      </c>
      <c r="C97" s="72" t="s">
        <v>95</v>
      </c>
      <c r="D97" s="72">
        <v>24</v>
      </c>
      <c r="E97" s="79">
        <v>330.30303030303025</v>
      </c>
      <c r="F97" s="80">
        <v>-9.3422540764956903</v>
      </c>
      <c r="G97">
        <v>14.2</v>
      </c>
      <c r="H97">
        <v>27.249837183000004</v>
      </c>
      <c r="I97">
        <f t="shared" si="2"/>
        <v>40.000238998859182</v>
      </c>
      <c r="J97">
        <f t="shared" si="4"/>
        <v>10.899999999999999</v>
      </c>
    </row>
    <row r="98" spans="1:10" ht="14.5">
      <c r="A98" s="72" t="s">
        <v>55</v>
      </c>
      <c r="B98" s="72">
        <v>2</v>
      </c>
      <c r="C98" s="72" t="s">
        <v>96</v>
      </c>
      <c r="D98" s="72">
        <v>24</v>
      </c>
      <c r="E98" s="79">
        <v>395.57522123893807</v>
      </c>
      <c r="F98" s="80">
        <v>9.0389723296300719</v>
      </c>
      <c r="G98">
        <v>28</v>
      </c>
      <c r="H98">
        <v>28.971872110000003</v>
      </c>
      <c r="I98">
        <f t="shared" si="2"/>
        <v>77.143789380064334</v>
      </c>
      <c r="J98">
        <f t="shared" si="4"/>
        <v>22.35</v>
      </c>
    </row>
    <row r="99" spans="1:10" ht="14.5">
      <c r="A99" s="72" t="s">
        <v>55</v>
      </c>
      <c r="B99" s="72">
        <v>2</v>
      </c>
      <c r="C99" s="72" t="s">
        <v>97</v>
      </c>
      <c r="D99" s="72">
        <v>24</v>
      </c>
      <c r="E99" s="79">
        <v>394.56521739130437</v>
      </c>
      <c r="F99" s="80">
        <v>10.505937409664069</v>
      </c>
      <c r="G99">
        <v>27.3</v>
      </c>
      <c r="H99">
        <v>28.740235391999999</v>
      </c>
      <c r="I99">
        <f t="shared" si="2"/>
        <v>75.782260315315938</v>
      </c>
      <c r="J99">
        <f t="shared" si="4"/>
        <v>21.78</v>
      </c>
    </row>
    <row r="100" spans="1:10" ht="14.5">
      <c r="A100" s="72" t="s">
        <v>55</v>
      </c>
      <c r="B100" s="72">
        <v>2</v>
      </c>
      <c r="C100" s="72" t="s">
        <v>98</v>
      </c>
      <c r="D100" s="72">
        <v>24</v>
      </c>
      <c r="E100" s="79">
        <v>394.62365591397855</v>
      </c>
      <c r="F100" s="80">
        <v>8.3209511242592935</v>
      </c>
      <c r="G100">
        <v>27.6</v>
      </c>
      <c r="H100">
        <v>28.571945984999999</v>
      </c>
      <c r="I100">
        <f t="shared" si="2"/>
        <v>77.068604328036656</v>
      </c>
      <c r="J100">
        <f t="shared" si="4"/>
        <v>22.020000000000003</v>
      </c>
    </row>
    <row r="101" spans="1:10" ht="14.5">
      <c r="A101" s="72" t="s">
        <v>55</v>
      </c>
      <c r="B101" s="72">
        <v>2</v>
      </c>
      <c r="C101" s="72" t="s">
        <v>99</v>
      </c>
      <c r="D101" s="72">
        <v>24</v>
      </c>
      <c r="E101" s="79">
        <v>378.26086956521738</v>
      </c>
      <c r="F101" s="80">
        <v>10.285283458086965</v>
      </c>
      <c r="G101">
        <v>27.5</v>
      </c>
      <c r="H101">
        <v>29.424324383999998</v>
      </c>
      <c r="I101">
        <f t="shared" si="2"/>
        <v>73.918434680617338</v>
      </c>
      <c r="J101">
        <f t="shared" si="4"/>
        <v>21.75</v>
      </c>
    </row>
    <row r="102" spans="1:10" ht="14.5">
      <c r="A102" s="72" t="s">
        <v>55</v>
      </c>
      <c r="B102" s="72">
        <v>2</v>
      </c>
      <c r="C102" s="72" t="s">
        <v>100</v>
      </c>
      <c r="D102" s="72">
        <v>24</v>
      </c>
      <c r="E102" s="79">
        <v>395.34450651769089</v>
      </c>
      <c r="F102" s="80">
        <v>11.952993667689613</v>
      </c>
      <c r="G102">
        <v>26.6</v>
      </c>
      <c r="H102">
        <v>28.931234640000003</v>
      </c>
      <c r="I102">
        <f t="shared" si="2"/>
        <v>73.380898755864493</v>
      </c>
      <c r="J102">
        <f t="shared" si="4"/>
        <v>21.23</v>
      </c>
    </row>
    <row r="103" spans="1:10" ht="14.5">
      <c r="A103" s="72" t="s">
        <v>55</v>
      </c>
      <c r="B103" s="72">
        <v>2</v>
      </c>
      <c r="C103" s="72" t="s">
        <v>101</v>
      </c>
      <c r="D103" s="72">
        <v>24</v>
      </c>
      <c r="E103" s="79">
        <v>402.86806883365199</v>
      </c>
      <c r="F103" s="80">
        <v>11.695761177599826</v>
      </c>
      <c r="G103">
        <v>26.3</v>
      </c>
      <c r="H103">
        <v>28.826537643999998</v>
      </c>
      <c r="I103">
        <f t="shared" si="2"/>
        <v>73.092371550856512</v>
      </c>
      <c r="J103">
        <f t="shared" si="4"/>
        <v>21.07</v>
      </c>
    </row>
    <row r="104" spans="1:10" ht="14.5">
      <c r="A104" s="72" t="s">
        <v>56</v>
      </c>
      <c r="B104" s="72">
        <v>2</v>
      </c>
      <c r="C104" s="72" t="s">
        <v>102</v>
      </c>
      <c r="D104" s="72">
        <v>24</v>
      </c>
      <c r="E104" s="79">
        <v>602.56410256410254</v>
      </c>
      <c r="F104" s="80">
        <v>3.0353700494616316</v>
      </c>
      <c r="G104">
        <v>27.4</v>
      </c>
      <c r="H104">
        <v>28.985497216000002</v>
      </c>
      <c r="I104">
        <f t="shared" si="2"/>
        <v>81.075028055851305</v>
      </c>
      <c r="J104">
        <f t="shared" si="4"/>
        <v>23.5</v>
      </c>
    </row>
    <row r="105" spans="1:10" ht="14.5">
      <c r="A105" s="72" t="s">
        <v>56</v>
      </c>
      <c r="B105" s="72">
        <v>2</v>
      </c>
      <c r="C105" s="72" t="s">
        <v>103</v>
      </c>
      <c r="D105" s="72">
        <v>24</v>
      </c>
      <c r="E105" s="79">
        <v>594.44444444444434</v>
      </c>
      <c r="F105" s="80">
        <v>1.6706585016363689</v>
      </c>
      <c r="G105">
        <v>25</v>
      </c>
      <c r="H105">
        <v>27.706929599999999</v>
      </c>
      <c r="I105">
        <f t="shared" si="2"/>
        <v>77.236995614266831</v>
      </c>
      <c r="J105">
        <f t="shared" si="4"/>
        <v>21.4</v>
      </c>
    </row>
    <row r="106" spans="1:10" ht="14.5">
      <c r="A106" s="72" t="s">
        <v>56</v>
      </c>
      <c r="B106" s="72">
        <v>2</v>
      </c>
      <c r="C106" s="72" t="s">
        <v>104</v>
      </c>
      <c r="D106" s="72">
        <v>24</v>
      </c>
      <c r="E106" s="79">
        <v>605.55555555555543</v>
      </c>
      <c r="F106" s="80">
        <v>0.71888989222058897</v>
      </c>
      <c r="G106">
        <v>25.4</v>
      </c>
      <c r="H106">
        <v>27.850056234</v>
      </c>
      <c r="I106">
        <f t="shared" si="2"/>
        <v>78.276323095484628</v>
      </c>
      <c r="J106">
        <f t="shared" si="4"/>
        <v>21.799999999999997</v>
      </c>
    </row>
    <row r="107" spans="1:10" ht="14.5">
      <c r="A107" s="72" t="s">
        <v>56</v>
      </c>
      <c r="B107" s="72">
        <v>4</v>
      </c>
      <c r="C107" s="72" t="s">
        <v>105</v>
      </c>
      <c r="D107" s="72">
        <v>24</v>
      </c>
      <c r="E107" s="79">
        <v>550</v>
      </c>
      <c r="F107" s="80">
        <v>2.4624892380720209</v>
      </c>
      <c r="G107">
        <v>26</v>
      </c>
      <c r="H107">
        <v>29.449118019999997</v>
      </c>
      <c r="I107">
        <f t="shared" si="2"/>
        <v>74.705123545835832</v>
      </c>
      <c r="J107">
        <f t="shared" si="4"/>
        <v>22</v>
      </c>
    </row>
    <row r="108" spans="1:10" ht="14.5">
      <c r="A108" s="72" t="s">
        <v>56</v>
      </c>
      <c r="B108" s="72">
        <v>4</v>
      </c>
      <c r="C108" s="72" t="s">
        <v>106</v>
      </c>
      <c r="D108" s="72">
        <v>24</v>
      </c>
      <c r="E108" s="79">
        <v>535</v>
      </c>
      <c r="F108" s="80">
        <v>1.3992893034178213</v>
      </c>
      <c r="G108">
        <v>25.4</v>
      </c>
      <c r="H108">
        <v>29.524499004000003</v>
      </c>
      <c r="I108">
        <f t="shared" si="2"/>
        <v>72.482178265245793</v>
      </c>
      <c r="J108">
        <f t="shared" si="4"/>
        <v>21.4</v>
      </c>
    </row>
    <row r="109" spans="1:10" ht="14.5">
      <c r="A109" s="72" t="s">
        <v>56</v>
      </c>
      <c r="B109" s="72">
        <v>4</v>
      </c>
      <c r="C109" s="72" t="s">
        <v>107</v>
      </c>
      <c r="D109" s="72">
        <v>24</v>
      </c>
      <c r="E109" s="79">
        <v>589.18918918918916</v>
      </c>
      <c r="F109" s="80">
        <v>0.66471079353317364</v>
      </c>
      <c r="G109">
        <v>25.5</v>
      </c>
      <c r="H109">
        <v>28.581714584999997</v>
      </c>
      <c r="I109">
        <f t="shared" si="2"/>
        <v>76.27254108625408</v>
      </c>
      <c r="J109">
        <f t="shared" si="4"/>
        <v>21.8</v>
      </c>
    </row>
    <row r="110" spans="1:10" ht="14.5">
      <c r="A110" s="72" t="s">
        <v>57</v>
      </c>
      <c r="B110" s="72">
        <v>2</v>
      </c>
      <c r="C110" s="72" t="s">
        <v>108</v>
      </c>
      <c r="D110" s="72">
        <v>24</v>
      </c>
      <c r="E110" s="79">
        <v>339.62264150943395</v>
      </c>
      <c r="F110" s="80">
        <v>3.9841144286374854</v>
      </c>
      <c r="G110">
        <v>23.3</v>
      </c>
      <c r="H110">
        <v>28.554740213999999</v>
      </c>
      <c r="I110">
        <f t="shared" si="2"/>
        <v>63.036819334027228</v>
      </c>
      <c r="J110">
        <f t="shared" si="4"/>
        <v>18</v>
      </c>
    </row>
    <row r="111" spans="1:10" ht="14.5">
      <c r="A111" s="72" t="s">
        <v>57</v>
      </c>
      <c r="B111" s="72">
        <v>2</v>
      </c>
      <c r="C111" s="72" t="s">
        <v>109</v>
      </c>
      <c r="D111" s="72">
        <v>24</v>
      </c>
      <c r="E111" s="79">
        <v>348.27586206896552</v>
      </c>
      <c r="F111" s="80">
        <v>0.6054200063640538</v>
      </c>
      <c r="G111">
        <v>26</v>
      </c>
      <c r="H111">
        <v>28.862703464999999</v>
      </c>
      <c r="I111">
        <f t="shared" si="2"/>
        <v>69.986513995458807</v>
      </c>
      <c r="J111">
        <f t="shared" si="4"/>
        <v>20.2</v>
      </c>
    </row>
    <row r="112" spans="1:10" ht="14.5">
      <c r="A112" s="72" t="s">
        <v>57</v>
      </c>
      <c r="B112" s="72">
        <v>2</v>
      </c>
      <c r="C112" s="72" t="s">
        <v>110</v>
      </c>
      <c r="D112" s="72">
        <v>24</v>
      </c>
      <c r="E112" s="79">
        <v>329.62962962962956</v>
      </c>
      <c r="F112" s="80">
        <v>0.35590602521271164</v>
      </c>
      <c r="G112">
        <v>23.2</v>
      </c>
      <c r="H112">
        <v>27.635500094999994</v>
      </c>
      <c r="I112">
        <f t="shared" si="2"/>
        <v>64.409907325036968</v>
      </c>
      <c r="J112">
        <f t="shared" si="4"/>
        <v>17.799999999999997</v>
      </c>
    </row>
    <row r="113" spans="1:10" ht="14.5">
      <c r="A113" s="72" t="s">
        <v>57</v>
      </c>
      <c r="B113" s="72">
        <v>4</v>
      </c>
      <c r="C113" s="72" t="s">
        <v>111</v>
      </c>
      <c r="D113" s="72">
        <v>24</v>
      </c>
      <c r="E113" s="79">
        <v>342.30769230769226</v>
      </c>
      <c r="F113" s="80">
        <v>-0.3608134282454345</v>
      </c>
      <c r="G113">
        <v>23</v>
      </c>
      <c r="H113">
        <v>28.076948899999998</v>
      </c>
      <c r="I113">
        <f t="shared" si="2"/>
        <v>63.397201965915897</v>
      </c>
      <c r="J113">
        <f t="shared" si="4"/>
        <v>17.8</v>
      </c>
    </row>
    <row r="114" spans="1:10" ht="14.5">
      <c r="A114" s="72" t="s">
        <v>57</v>
      </c>
      <c r="B114" s="72">
        <v>4</v>
      </c>
      <c r="C114" s="72" t="s">
        <v>112</v>
      </c>
      <c r="D114" s="72">
        <v>24</v>
      </c>
      <c r="E114" s="79">
        <v>338</v>
      </c>
      <c r="F114" s="80">
        <v>-1.2522010666405146</v>
      </c>
      <c r="G114">
        <v>21.9</v>
      </c>
      <c r="H114">
        <v>27.343810493999996</v>
      </c>
      <c r="I114">
        <f t="shared" si="2"/>
        <v>61.805577550021184</v>
      </c>
      <c r="J114">
        <f t="shared" si="4"/>
        <v>16.899999999999999</v>
      </c>
    </row>
    <row r="115" spans="1:10" ht="14.5">
      <c r="A115" s="72" t="s">
        <v>57</v>
      </c>
      <c r="B115" s="72">
        <v>4</v>
      </c>
      <c r="C115" s="72" t="s">
        <v>113</v>
      </c>
      <c r="D115" s="72">
        <v>24</v>
      </c>
      <c r="E115" s="79">
        <v>382.97872340425528</v>
      </c>
      <c r="F115" s="80">
        <v>-0.29233126244467211</v>
      </c>
      <c r="G115">
        <v>22.7</v>
      </c>
      <c r="H115">
        <v>27.855208017000002</v>
      </c>
      <c r="I115">
        <f t="shared" si="2"/>
        <v>64.619872840348634</v>
      </c>
      <c r="J115">
        <f t="shared" si="4"/>
        <v>18</v>
      </c>
    </row>
    <row r="116" spans="1:10" ht="14.5">
      <c r="A116" s="72" t="s">
        <v>58</v>
      </c>
      <c r="B116" s="72">
        <v>2</v>
      </c>
      <c r="C116" s="72" t="s">
        <v>114</v>
      </c>
      <c r="D116" s="72">
        <v>24</v>
      </c>
      <c r="E116" s="79">
        <v>455.76923076923077</v>
      </c>
      <c r="F116" s="80">
        <v>-2.0092916553947529</v>
      </c>
      <c r="G116">
        <v>28.9</v>
      </c>
      <c r="H116">
        <v>27.953660306000003</v>
      </c>
      <c r="I116">
        <f t="shared" si="2"/>
        <v>84.783172366564841</v>
      </c>
      <c r="J116">
        <f t="shared" si="4"/>
        <v>23.7</v>
      </c>
    </row>
    <row r="117" spans="1:10" ht="14.5">
      <c r="A117" s="72" t="s">
        <v>58</v>
      </c>
      <c r="B117" s="72">
        <v>2</v>
      </c>
      <c r="C117" s="72" t="s">
        <v>115</v>
      </c>
      <c r="D117" s="72">
        <v>24</v>
      </c>
      <c r="E117" s="79">
        <v>445.28301886792451</v>
      </c>
      <c r="F117" s="80">
        <v>4.6091992443296661</v>
      </c>
      <c r="G117">
        <v>28.9</v>
      </c>
      <c r="H117">
        <v>30.272298731999999</v>
      </c>
      <c r="I117">
        <f t="shared" si="2"/>
        <v>77.959061546433205</v>
      </c>
      <c r="J117">
        <f t="shared" si="4"/>
        <v>23.599999999999998</v>
      </c>
    </row>
    <row r="118" spans="1:10" ht="14.5">
      <c r="A118" s="72" t="s">
        <v>58</v>
      </c>
      <c r="B118" s="72">
        <v>2</v>
      </c>
      <c r="C118" s="72" t="s">
        <v>116</v>
      </c>
      <c r="D118" s="72">
        <v>24</v>
      </c>
      <c r="E118" s="79">
        <v>472.54901960784321</v>
      </c>
      <c r="F118" s="80">
        <v>5.1234284416529192</v>
      </c>
      <c r="G118">
        <v>29.2</v>
      </c>
      <c r="H118">
        <v>30.072663599999995</v>
      </c>
      <c r="I118">
        <f t="shared" si="2"/>
        <v>80.139226510018901</v>
      </c>
      <c r="J118">
        <f t="shared" si="4"/>
        <v>24.1</v>
      </c>
    </row>
    <row r="119" spans="1:10" ht="14.5">
      <c r="A119" s="72" t="s">
        <v>58</v>
      </c>
      <c r="B119" s="72">
        <v>4</v>
      </c>
      <c r="C119" s="72" t="s">
        <v>117</v>
      </c>
      <c r="D119" s="72">
        <v>24</v>
      </c>
      <c r="E119" s="79">
        <v>401.75438596491233</v>
      </c>
      <c r="F119" s="80">
        <v>3.1515034344065591</v>
      </c>
      <c r="G119">
        <v>28.6</v>
      </c>
      <c r="H119">
        <v>30.024484109999996</v>
      </c>
      <c r="I119">
        <f t="shared" si="2"/>
        <v>76.271085678281139</v>
      </c>
      <c r="J119">
        <f t="shared" si="4"/>
        <v>22.900000000000002</v>
      </c>
    </row>
    <row r="120" spans="1:10" ht="14.5">
      <c r="A120" s="72" t="s">
        <v>58</v>
      </c>
      <c r="B120" s="72">
        <v>4</v>
      </c>
      <c r="C120" s="72" t="s">
        <v>118</v>
      </c>
      <c r="D120" s="72">
        <v>24</v>
      </c>
      <c r="E120" s="79">
        <v>425</v>
      </c>
      <c r="F120" s="80">
        <v>3.1435494387028347</v>
      </c>
      <c r="G120">
        <v>29.4</v>
      </c>
      <c r="H120">
        <v>30.65737296</v>
      </c>
      <c r="I120">
        <f t="shared" si="2"/>
        <v>77.632222536004264</v>
      </c>
      <c r="J120">
        <f t="shared" si="4"/>
        <v>23.799999999999997</v>
      </c>
    </row>
    <row r="121" spans="1:10" ht="14.5">
      <c r="A121" s="72" t="s">
        <v>58</v>
      </c>
      <c r="B121" s="72">
        <v>4</v>
      </c>
      <c r="C121" s="72" t="s">
        <v>119</v>
      </c>
      <c r="D121" s="72">
        <v>24</v>
      </c>
      <c r="E121" s="79">
        <v>400</v>
      </c>
      <c r="F121" s="80">
        <v>4.8001187551480351</v>
      </c>
      <c r="G121">
        <v>30</v>
      </c>
      <c r="H121">
        <v>32.106900480000007</v>
      </c>
      <c r="I121">
        <f t="shared" si="2"/>
        <v>74.750286203895797</v>
      </c>
      <c r="J121">
        <f t="shared" si="4"/>
        <v>24</v>
      </c>
    </row>
    <row r="122" spans="1:10" ht="14.5">
      <c r="A122" s="72" t="s">
        <v>59</v>
      </c>
      <c r="B122" s="72">
        <v>2</v>
      </c>
      <c r="C122" s="72" t="s">
        <v>120</v>
      </c>
      <c r="D122" s="72">
        <v>24</v>
      </c>
      <c r="E122" s="79">
        <v>268.61313868613132</v>
      </c>
      <c r="F122" s="80">
        <v>-1.1320312206656433</v>
      </c>
      <c r="G122">
        <v>10.1</v>
      </c>
      <c r="H122">
        <v>24.940612170000001</v>
      </c>
      <c r="I122">
        <f t="shared" si="2"/>
        <v>29.510101635969583</v>
      </c>
      <c r="J122">
        <f t="shared" si="4"/>
        <v>7.3599999999999994</v>
      </c>
    </row>
    <row r="123" spans="1:10" ht="14.5">
      <c r="A123" s="72" t="s">
        <v>59</v>
      </c>
      <c r="B123" s="72">
        <v>2</v>
      </c>
      <c r="C123" s="72" t="s">
        <v>121</v>
      </c>
      <c r="D123" s="72">
        <v>24</v>
      </c>
      <c r="E123" s="79">
        <v>246.00760456273764</v>
      </c>
      <c r="F123" s="80">
        <v>-0.70655913147507499</v>
      </c>
      <c r="G123">
        <v>9.1</v>
      </c>
      <c r="H123">
        <v>25.04311512</v>
      </c>
      <c r="I123">
        <f t="shared" si="2"/>
        <v>25.835444069148217</v>
      </c>
      <c r="J123">
        <f t="shared" si="4"/>
        <v>6.47</v>
      </c>
    </row>
    <row r="124" spans="1:10" ht="14.5">
      <c r="A124" s="72" t="s">
        <v>59</v>
      </c>
      <c r="B124" s="72">
        <v>2</v>
      </c>
      <c r="C124" s="72" t="s">
        <v>122</v>
      </c>
      <c r="D124" s="72">
        <v>24</v>
      </c>
      <c r="E124" s="79">
        <v>251.77865612648228</v>
      </c>
      <c r="F124" s="80">
        <v>8.0678208765008694</v>
      </c>
      <c r="G124">
        <v>8.9</v>
      </c>
      <c r="H124">
        <v>28.282598960000001</v>
      </c>
      <c r="I124">
        <f t="shared" si="2"/>
        <v>22.52268261841521</v>
      </c>
      <c r="J124">
        <f t="shared" si="4"/>
        <v>6.370000000000001</v>
      </c>
    </row>
    <row r="125" spans="1:10" ht="14.5">
      <c r="A125" s="72" t="s">
        <v>59</v>
      </c>
      <c r="B125" s="72">
        <v>4</v>
      </c>
      <c r="C125" s="72" t="s">
        <v>123</v>
      </c>
      <c r="D125" s="72">
        <v>24</v>
      </c>
      <c r="E125" s="79">
        <v>250.51546391752572</v>
      </c>
      <c r="F125" s="80">
        <v>3.1888905982976916</v>
      </c>
      <c r="G125">
        <v>10.199999999999999</v>
      </c>
      <c r="H125">
        <v>28.638616049999996</v>
      </c>
      <c r="I125">
        <f t="shared" si="2"/>
        <v>25.455140664871617</v>
      </c>
      <c r="J125">
        <f t="shared" si="4"/>
        <v>7.2899999999999991</v>
      </c>
    </row>
    <row r="126" spans="1:10" ht="14.5">
      <c r="A126" s="72" t="s">
        <v>59</v>
      </c>
      <c r="B126" s="72">
        <v>4</v>
      </c>
      <c r="C126" s="72" t="s">
        <v>124</v>
      </c>
      <c r="D126" s="72">
        <v>24</v>
      </c>
      <c r="E126" s="79">
        <v>213.79310344827584</v>
      </c>
      <c r="F126" s="80">
        <v>2.0568951216680245</v>
      </c>
      <c r="G126">
        <v>9.1</v>
      </c>
      <c r="H126">
        <v>25.408890712000002</v>
      </c>
      <c r="I126">
        <f t="shared" si="2"/>
        <v>24.400907817167674</v>
      </c>
      <c r="J126">
        <f t="shared" si="4"/>
        <v>6.1999999999999993</v>
      </c>
    </row>
    <row r="127" spans="1:10" ht="14.5">
      <c r="A127" s="72" t="s">
        <v>59</v>
      </c>
      <c r="B127" s="72">
        <v>4</v>
      </c>
      <c r="C127" s="72" t="s">
        <v>125</v>
      </c>
      <c r="D127" s="72">
        <v>24</v>
      </c>
      <c r="E127" s="79">
        <v>215.78947368421058</v>
      </c>
      <c r="F127" s="80">
        <v>3.7676468275188992</v>
      </c>
      <c r="G127">
        <v>10.8</v>
      </c>
      <c r="H127">
        <v>29.233992591000003</v>
      </c>
      <c r="I127">
        <f t="shared" si="2"/>
        <v>25.244584628758552</v>
      </c>
      <c r="J127">
        <f t="shared" si="4"/>
        <v>7.3800000000000008</v>
      </c>
    </row>
    <row r="128" spans="1:10" ht="14.5">
      <c r="A128" s="72" t="s">
        <v>60</v>
      </c>
      <c r="B128" s="72">
        <v>2</v>
      </c>
      <c r="C128" s="72" t="s">
        <v>126</v>
      </c>
      <c r="D128" s="72">
        <v>24</v>
      </c>
      <c r="E128" s="79">
        <v>424.49567723342938</v>
      </c>
      <c r="F128" s="80">
        <v>0.93804648617598851</v>
      </c>
      <c r="G128">
        <v>18.2</v>
      </c>
      <c r="H128">
        <v>29.508393599999998</v>
      </c>
      <c r="I128">
        <f t="shared" si="2"/>
        <v>49.918000280435457</v>
      </c>
      <c r="J128">
        <f t="shared" si="4"/>
        <v>14.729999999999999</v>
      </c>
    </row>
    <row r="129" spans="1:10" ht="14.5">
      <c r="A129" s="72" t="s">
        <v>60</v>
      </c>
      <c r="B129" s="72">
        <v>2</v>
      </c>
      <c r="C129" s="72" t="s">
        <v>127</v>
      </c>
      <c r="D129" s="72">
        <v>24</v>
      </c>
      <c r="E129" s="79">
        <v>461.2535612535612</v>
      </c>
      <c r="F129" s="80">
        <v>1.5876765221756592</v>
      </c>
      <c r="G129">
        <v>19.7</v>
      </c>
      <c r="H129">
        <v>30.980604599999999</v>
      </c>
      <c r="I129">
        <f t="shared" si="2"/>
        <v>52.258502405082176</v>
      </c>
      <c r="J129">
        <f t="shared" si="4"/>
        <v>16.189999999999998</v>
      </c>
    </row>
    <row r="130" spans="1:10" ht="14.5">
      <c r="A130" s="72" t="s">
        <v>60</v>
      </c>
      <c r="B130" s="72">
        <v>2</v>
      </c>
      <c r="C130" s="72" t="s">
        <v>128</v>
      </c>
      <c r="D130" s="72">
        <v>24</v>
      </c>
      <c r="E130" s="79">
        <v>508.06916426512976</v>
      </c>
      <c r="F130" s="80">
        <v>-3.8498576226065979</v>
      </c>
      <c r="G130">
        <v>21.1</v>
      </c>
      <c r="H130">
        <v>29.450845607999998</v>
      </c>
      <c r="I130">
        <f t="shared" si="2"/>
        <v>59.862457719078208</v>
      </c>
      <c r="J130">
        <f t="shared" si="4"/>
        <v>17.630000000000003</v>
      </c>
    </row>
    <row r="131" spans="1:10" ht="14.5">
      <c r="A131" s="72" t="s">
        <v>60</v>
      </c>
      <c r="B131" s="72">
        <v>4</v>
      </c>
      <c r="C131" s="72" t="s">
        <v>129</v>
      </c>
      <c r="D131" s="72">
        <v>24</v>
      </c>
      <c r="E131" s="79">
        <v>350.92838196286471</v>
      </c>
      <c r="F131" s="80">
        <v>5.2660651207033826</v>
      </c>
      <c r="G131">
        <v>17</v>
      </c>
      <c r="H131">
        <v>29.480645771999995</v>
      </c>
      <c r="I131">
        <f t="shared" ref="I131:I194" si="5">J131/H131*100</f>
        <v>44.87690026303811</v>
      </c>
      <c r="J131">
        <f t="shared" si="4"/>
        <v>13.23</v>
      </c>
    </row>
    <row r="132" spans="1:10" ht="14.5">
      <c r="A132" s="72" t="s">
        <v>60</v>
      </c>
      <c r="B132" s="72">
        <v>4</v>
      </c>
      <c r="C132" s="72" t="s">
        <v>130</v>
      </c>
      <c r="D132" s="72">
        <v>24</v>
      </c>
      <c r="E132" s="79">
        <v>292.77108433734941</v>
      </c>
      <c r="F132" s="80">
        <v>2.6979813525767438</v>
      </c>
      <c r="G132">
        <v>16.3</v>
      </c>
      <c r="H132">
        <v>30.072271856</v>
      </c>
      <c r="I132">
        <f t="shared" si="5"/>
        <v>40.402667474475628</v>
      </c>
      <c r="J132">
        <f t="shared" si="4"/>
        <v>12.15</v>
      </c>
    </row>
    <row r="133" spans="1:10" ht="14.5">
      <c r="A133" s="72" t="s">
        <v>60</v>
      </c>
      <c r="B133" s="72">
        <v>4</v>
      </c>
      <c r="C133" s="72" t="s">
        <v>131</v>
      </c>
      <c r="D133" s="72">
        <v>24</v>
      </c>
      <c r="E133" s="79">
        <v>316.24365482233497</v>
      </c>
      <c r="F133" s="80">
        <v>3.1065447072143932</v>
      </c>
      <c r="G133">
        <v>16.399999999999999</v>
      </c>
      <c r="H133">
        <v>29.909082310000002</v>
      </c>
      <c r="I133">
        <f t="shared" si="5"/>
        <v>41.659586445532767</v>
      </c>
      <c r="J133">
        <f t="shared" si="4"/>
        <v>12.459999999999999</v>
      </c>
    </row>
    <row r="134" spans="1:10" ht="14.5">
      <c r="A134" s="72" t="s">
        <v>63</v>
      </c>
      <c r="B134" s="72">
        <v>2</v>
      </c>
      <c r="C134" s="72" t="s">
        <v>132</v>
      </c>
      <c r="D134" s="72">
        <v>24</v>
      </c>
      <c r="E134" s="79">
        <v>310.5263157894737</v>
      </c>
      <c r="F134" s="80">
        <v>-1.8213480507784332</v>
      </c>
      <c r="G134">
        <v>15.6</v>
      </c>
      <c r="H134">
        <v>26.597804111999999</v>
      </c>
      <c r="I134">
        <f t="shared" si="5"/>
        <v>44.364564647185496</v>
      </c>
      <c r="J134">
        <f t="shared" si="4"/>
        <v>11.8</v>
      </c>
    </row>
    <row r="135" spans="1:10" ht="14.5">
      <c r="A135" s="72" t="s">
        <v>63</v>
      </c>
      <c r="B135" s="72">
        <v>2</v>
      </c>
      <c r="C135" s="72" t="s">
        <v>133</v>
      </c>
      <c r="D135" s="72">
        <v>24</v>
      </c>
      <c r="E135" s="79">
        <v>273.42857142857144</v>
      </c>
      <c r="F135" s="80">
        <v>-0.5650717022386138</v>
      </c>
      <c r="G135">
        <v>13.07</v>
      </c>
      <c r="H135">
        <v>28.126163520000002</v>
      </c>
      <c r="I135">
        <f t="shared" si="5"/>
        <v>34.025259055309647</v>
      </c>
      <c r="J135">
        <f t="shared" si="4"/>
        <v>9.57</v>
      </c>
    </row>
    <row r="136" spans="1:10" ht="14.5">
      <c r="A136" s="72" t="s">
        <v>63</v>
      </c>
      <c r="B136" s="72">
        <v>2</v>
      </c>
      <c r="C136" s="72" t="s">
        <v>134</v>
      </c>
      <c r="D136" s="72">
        <v>24</v>
      </c>
      <c r="E136" s="79">
        <v>316.66666666666663</v>
      </c>
      <c r="F136" s="80">
        <v>-1.6320546506797824</v>
      </c>
      <c r="G136">
        <v>15.5</v>
      </c>
      <c r="H136">
        <v>26.874340460000006</v>
      </c>
      <c r="I136">
        <f t="shared" si="5"/>
        <v>43.833633861762863</v>
      </c>
      <c r="J136">
        <f t="shared" si="4"/>
        <v>11.78</v>
      </c>
    </row>
    <row r="137" spans="1:10" ht="14.5">
      <c r="A137" s="72" t="s">
        <v>63</v>
      </c>
      <c r="B137" s="72">
        <v>4</v>
      </c>
      <c r="C137" s="72" t="s">
        <v>135</v>
      </c>
      <c r="D137" s="72">
        <v>24</v>
      </c>
      <c r="E137" s="79">
        <v>157.40318906605927</v>
      </c>
      <c r="F137" s="80">
        <v>1.2742265898367586</v>
      </c>
      <c r="G137">
        <v>11.3</v>
      </c>
      <c r="H137">
        <v>27.239113728000003</v>
      </c>
      <c r="I137">
        <f t="shared" si="5"/>
        <v>25.367932558308532</v>
      </c>
      <c r="J137">
        <f t="shared" si="4"/>
        <v>6.910000000000001</v>
      </c>
    </row>
    <row r="138" spans="1:10" ht="14.5">
      <c r="A138" s="72" t="s">
        <v>63</v>
      </c>
      <c r="B138" s="72">
        <v>4</v>
      </c>
      <c r="C138" s="72" t="s">
        <v>136</v>
      </c>
      <c r="D138" s="72">
        <v>24</v>
      </c>
      <c r="E138" s="79">
        <v>184.03755868544602</v>
      </c>
      <c r="F138" s="80">
        <v>8.4908940474357397</v>
      </c>
      <c r="G138">
        <v>12.1</v>
      </c>
      <c r="H138">
        <v>28.338039439999999</v>
      </c>
      <c r="I138">
        <f t="shared" si="5"/>
        <v>27.665992972448201</v>
      </c>
      <c r="J138">
        <f t="shared" si="4"/>
        <v>7.84</v>
      </c>
    </row>
    <row r="139" spans="1:10" ht="14.5">
      <c r="A139" s="72" t="s">
        <v>63</v>
      </c>
      <c r="B139" s="72">
        <v>4</v>
      </c>
      <c r="C139" s="72" t="s">
        <v>137</v>
      </c>
      <c r="D139" s="72">
        <v>24</v>
      </c>
      <c r="E139" s="79">
        <v>156.17977528089887</v>
      </c>
      <c r="F139" s="80">
        <v>4.036946710306025</v>
      </c>
      <c r="G139">
        <v>11.4</v>
      </c>
      <c r="H139">
        <v>27.310308272</v>
      </c>
      <c r="I139">
        <f t="shared" si="5"/>
        <v>25.448266386379515</v>
      </c>
      <c r="J139">
        <f t="shared" ref="J139:J145" si="6">G139-G211</f>
        <v>6.95</v>
      </c>
    </row>
    <row r="140" spans="1:10" ht="14.5">
      <c r="A140" s="72" t="s">
        <v>62</v>
      </c>
      <c r="B140" s="72">
        <v>2</v>
      </c>
      <c r="C140" s="72" t="s">
        <v>138</v>
      </c>
      <c r="D140" s="72">
        <v>24</v>
      </c>
      <c r="E140" s="79">
        <v>241.37931034482759</v>
      </c>
      <c r="F140" s="80">
        <v>-2.6657353108953439</v>
      </c>
      <c r="G140">
        <v>9.9</v>
      </c>
      <c r="H140">
        <v>27.024996899999998</v>
      </c>
      <c r="I140">
        <f t="shared" si="5"/>
        <v>25.901945616874428</v>
      </c>
      <c r="J140">
        <f t="shared" si="6"/>
        <v>7</v>
      </c>
    </row>
    <row r="141" spans="1:10" ht="14.5">
      <c r="A141" s="72" t="s">
        <v>62</v>
      </c>
      <c r="B141" s="72">
        <v>2</v>
      </c>
      <c r="C141" s="72" t="s">
        <v>139</v>
      </c>
      <c r="D141" s="72">
        <v>24</v>
      </c>
      <c r="E141" s="79">
        <v>263.32179930795843</v>
      </c>
      <c r="F141" s="80">
        <v>4.915316649069899</v>
      </c>
      <c r="G141">
        <v>10.5</v>
      </c>
      <c r="H141">
        <v>28.460828160000002</v>
      </c>
      <c r="I141">
        <f t="shared" si="5"/>
        <v>26.738505138425317</v>
      </c>
      <c r="J141">
        <f t="shared" si="6"/>
        <v>7.6099999999999994</v>
      </c>
    </row>
    <row r="142" spans="1:10" ht="14.5">
      <c r="A142" s="72" t="s">
        <v>62</v>
      </c>
      <c r="B142" s="72">
        <v>2</v>
      </c>
      <c r="C142" s="72" t="s">
        <v>140</v>
      </c>
      <c r="D142" s="72">
        <v>24</v>
      </c>
      <c r="E142" s="79">
        <v>421.531100478469</v>
      </c>
      <c r="F142" s="80">
        <v>1.0277521708904762</v>
      </c>
      <c r="G142">
        <v>10.9</v>
      </c>
      <c r="H142">
        <v>27.777230670999998</v>
      </c>
      <c r="I142">
        <f t="shared" si="5"/>
        <v>31.716624685692018</v>
      </c>
      <c r="J142">
        <f t="shared" si="6"/>
        <v>8.81</v>
      </c>
    </row>
    <row r="143" spans="1:10" ht="14.5">
      <c r="A143" s="72" t="s">
        <v>62</v>
      </c>
      <c r="B143" s="72">
        <v>4</v>
      </c>
      <c r="C143" s="72" t="s">
        <v>141</v>
      </c>
      <c r="D143" s="72">
        <v>24</v>
      </c>
      <c r="E143" s="79">
        <v>210.92436974789916</v>
      </c>
      <c r="F143" s="80">
        <v>6.2752072436054425</v>
      </c>
      <c r="G143">
        <v>11.1</v>
      </c>
      <c r="H143">
        <v>30.374473841999997</v>
      </c>
      <c r="I143">
        <f t="shared" si="5"/>
        <v>24.790552880583459</v>
      </c>
      <c r="J143">
        <f t="shared" si="6"/>
        <v>7.5299999999999994</v>
      </c>
    </row>
    <row r="144" spans="1:10" ht="14.5">
      <c r="A144" s="72" t="s">
        <v>62</v>
      </c>
      <c r="B144" s="72">
        <v>4</v>
      </c>
      <c r="C144" s="72" t="s">
        <v>142</v>
      </c>
      <c r="D144" s="72">
        <v>24</v>
      </c>
      <c r="E144" s="79">
        <v>206.40668523676879</v>
      </c>
      <c r="F144" s="80">
        <v>6.1864433586443317</v>
      </c>
      <c r="G144">
        <v>11</v>
      </c>
      <c r="H144">
        <v>30.117711155999999</v>
      </c>
      <c r="I144">
        <f t="shared" si="5"/>
        <v>24.603463263255957</v>
      </c>
      <c r="J144">
        <f t="shared" si="6"/>
        <v>7.41</v>
      </c>
    </row>
    <row r="145" spans="1:10" ht="14.5">
      <c r="A145" s="72" t="s">
        <v>62</v>
      </c>
      <c r="B145" s="72">
        <v>4</v>
      </c>
      <c r="C145" s="72" t="s">
        <v>143</v>
      </c>
      <c r="D145" s="72">
        <v>24</v>
      </c>
      <c r="E145" s="79">
        <v>223.44213649851633</v>
      </c>
      <c r="F145" s="80">
        <v>-5.0600157059402635</v>
      </c>
      <c r="G145">
        <v>10.9</v>
      </c>
      <c r="H145">
        <v>29.037462912000002</v>
      </c>
      <c r="I145">
        <f t="shared" si="5"/>
        <v>25.932017624336449</v>
      </c>
      <c r="J145">
        <f t="shared" si="6"/>
        <v>7.53</v>
      </c>
    </row>
    <row r="146" spans="1:10" ht="14.5">
      <c r="A146" s="72" t="s">
        <v>55</v>
      </c>
      <c r="B146" s="72">
        <v>0</v>
      </c>
      <c r="C146" s="72" t="s">
        <v>72</v>
      </c>
      <c r="D146" s="72">
        <v>0</v>
      </c>
      <c r="E146" s="72">
        <v>0</v>
      </c>
      <c r="F146" s="72">
        <v>0</v>
      </c>
      <c r="G146">
        <v>7</v>
      </c>
      <c r="H146">
        <v>27.870433626000001</v>
      </c>
      <c r="I146">
        <f t="shared" si="5"/>
        <v>0</v>
      </c>
      <c r="J146">
        <v>0</v>
      </c>
    </row>
    <row r="147" spans="1:10" ht="14.5">
      <c r="A147" s="72" t="s">
        <v>55</v>
      </c>
      <c r="B147" s="72">
        <v>0</v>
      </c>
      <c r="C147" s="72" t="s">
        <v>73</v>
      </c>
      <c r="D147" s="72">
        <v>0</v>
      </c>
      <c r="E147" s="72">
        <v>0</v>
      </c>
      <c r="F147" s="72">
        <v>0</v>
      </c>
      <c r="G147">
        <v>6.7</v>
      </c>
      <c r="H147">
        <v>27.881104238999999</v>
      </c>
      <c r="I147">
        <f t="shared" si="5"/>
        <v>0</v>
      </c>
      <c r="J147">
        <v>0</v>
      </c>
    </row>
    <row r="148" spans="1:10" ht="14.5">
      <c r="A148" s="72" t="s">
        <v>55</v>
      </c>
      <c r="B148" s="72">
        <v>0</v>
      </c>
      <c r="C148" s="72" t="s">
        <v>74</v>
      </c>
      <c r="D148" s="72">
        <v>0</v>
      </c>
      <c r="E148" s="72">
        <v>0</v>
      </c>
      <c r="F148" s="72">
        <v>0</v>
      </c>
      <c r="G148">
        <v>6.8</v>
      </c>
      <c r="H148">
        <v>27.406513620000002</v>
      </c>
      <c r="I148">
        <f t="shared" si="5"/>
        <v>0</v>
      </c>
      <c r="J148">
        <v>0</v>
      </c>
    </row>
    <row r="149" spans="1:10" ht="14.5">
      <c r="A149" s="72" t="s">
        <v>56</v>
      </c>
      <c r="B149" s="72">
        <v>0</v>
      </c>
      <c r="C149" s="72" t="s">
        <v>75</v>
      </c>
      <c r="D149" s="72">
        <v>0</v>
      </c>
      <c r="E149" s="72">
        <v>0</v>
      </c>
      <c r="F149" s="72">
        <v>0</v>
      </c>
      <c r="G149">
        <v>4</v>
      </c>
      <c r="H149">
        <v>26.970899999999997</v>
      </c>
      <c r="I149">
        <f t="shared" si="5"/>
        <v>0</v>
      </c>
      <c r="J149">
        <v>0</v>
      </c>
    </row>
    <row r="150" spans="1:10" ht="14.5">
      <c r="A150" s="72" t="s">
        <v>56</v>
      </c>
      <c r="B150" s="72">
        <v>0</v>
      </c>
      <c r="C150" s="72" t="s">
        <v>76</v>
      </c>
      <c r="D150" s="72">
        <v>0</v>
      </c>
      <c r="E150" s="72">
        <v>0</v>
      </c>
      <c r="F150" s="72">
        <v>0</v>
      </c>
      <c r="G150">
        <v>3.9</v>
      </c>
      <c r="H150">
        <v>26.323023279999997</v>
      </c>
      <c r="I150">
        <f t="shared" si="5"/>
        <v>0</v>
      </c>
      <c r="J150">
        <v>0</v>
      </c>
    </row>
    <row r="151" spans="1:10" ht="14.5">
      <c r="A151" s="72" t="s">
        <v>56</v>
      </c>
      <c r="B151" s="72">
        <v>0</v>
      </c>
      <c r="C151" s="72" t="s">
        <v>77</v>
      </c>
      <c r="D151" s="72">
        <v>0</v>
      </c>
      <c r="E151" s="72">
        <v>0</v>
      </c>
      <c r="F151" s="72">
        <v>0</v>
      </c>
      <c r="G151">
        <v>4</v>
      </c>
      <c r="H151">
        <v>26.820810291000001</v>
      </c>
      <c r="I151">
        <f t="shared" si="5"/>
        <v>0</v>
      </c>
      <c r="J151">
        <v>0</v>
      </c>
    </row>
    <row r="152" spans="1:10" ht="14.5">
      <c r="A152" s="72" t="s">
        <v>57</v>
      </c>
      <c r="B152" s="72">
        <v>0</v>
      </c>
      <c r="C152" s="72" t="s">
        <v>78</v>
      </c>
      <c r="D152" s="72">
        <v>0</v>
      </c>
      <c r="E152" s="72">
        <v>0</v>
      </c>
      <c r="F152" s="72">
        <v>0</v>
      </c>
      <c r="G152">
        <v>5.2</v>
      </c>
      <c r="H152">
        <v>26.117448594999999</v>
      </c>
      <c r="I152">
        <f t="shared" si="5"/>
        <v>0</v>
      </c>
      <c r="J152">
        <v>0</v>
      </c>
    </row>
    <row r="153" spans="1:10" ht="14.5">
      <c r="A153" s="72" t="s">
        <v>57</v>
      </c>
      <c r="B153" s="72">
        <v>0</v>
      </c>
      <c r="C153" s="72" t="s">
        <v>79</v>
      </c>
      <c r="D153" s="72">
        <v>0</v>
      </c>
      <c r="E153" s="72">
        <v>0</v>
      </c>
      <c r="F153" s="72">
        <v>0</v>
      </c>
      <c r="G153">
        <v>5.8</v>
      </c>
      <c r="H153">
        <v>27.999920481</v>
      </c>
      <c r="I153">
        <f t="shared" si="5"/>
        <v>0</v>
      </c>
      <c r="J153">
        <v>0</v>
      </c>
    </row>
    <row r="154" spans="1:10" ht="14.5">
      <c r="A154" s="72" t="s">
        <v>57</v>
      </c>
      <c r="B154" s="72">
        <v>0</v>
      </c>
      <c r="C154" s="72" t="s">
        <v>80</v>
      </c>
      <c r="D154" s="72">
        <v>0</v>
      </c>
      <c r="E154" s="72">
        <v>0</v>
      </c>
      <c r="F154" s="72">
        <v>0</v>
      </c>
      <c r="G154">
        <v>5.8</v>
      </c>
      <c r="H154">
        <v>27.740261700000001</v>
      </c>
      <c r="I154">
        <f t="shared" si="5"/>
        <v>0</v>
      </c>
      <c r="J154">
        <v>0</v>
      </c>
    </row>
    <row r="155" spans="1:10" ht="14.5">
      <c r="A155" s="72" t="s">
        <v>58</v>
      </c>
      <c r="B155" s="72">
        <v>0</v>
      </c>
      <c r="C155" s="72" t="s">
        <v>81</v>
      </c>
      <c r="D155" s="72">
        <v>0</v>
      </c>
      <c r="E155" s="72">
        <v>0</v>
      </c>
      <c r="F155" s="72">
        <v>0</v>
      </c>
      <c r="G155">
        <v>6.5</v>
      </c>
      <c r="H155">
        <v>28.331954245000002</v>
      </c>
      <c r="I155">
        <f t="shared" si="5"/>
        <v>0</v>
      </c>
      <c r="J155">
        <v>0</v>
      </c>
    </row>
    <row r="156" spans="1:10" ht="14.5">
      <c r="A156" s="72" t="s">
        <v>58</v>
      </c>
      <c r="B156" s="72">
        <v>0</v>
      </c>
      <c r="C156" s="72" t="s">
        <v>82</v>
      </c>
      <c r="D156" s="72">
        <v>0</v>
      </c>
      <c r="E156" s="72">
        <v>0</v>
      </c>
      <c r="F156" s="72">
        <v>0</v>
      </c>
      <c r="G156">
        <v>6.4</v>
      </c>
      <c r="H156">
        <v>28.424567664000001</v>
      </c>
      <c r="I156">
        <f t="shared" si="5"/>
        <v>0</v>
      </c>
      <c r="J156">
        <v>0</v>
      </c>
    </row>
    <row r="157" spans="1:10" ht="14.5">
      <c r="A157" s="72" t="s">
        <v>58</v>
      </c>
      <c r="B157" s="72">
        <v>0</v>
      </c>
      <c r="C157" s="72" t="s">
        <v>83</v>
      </c>
      <c r="D157" s="72">
        <v>0</v>
      </c>
      <c r="E157" s="72">
        <v>0</v>
      </c>
      <c r="F157" s="72">
        <v>0</v>
      </c>
      <c r="G157">
        <v>6.3</v>
      </c>
      <c r="H157">
        <v>28.098082110000004</v>
      </c>
      <c r="I157">
        <f t="shared" si="5"/>
        <v>0</v>
      </c>
      <c r="J157">
        <v>0</v>
      </c>
    </row>
    <row r="158" spans="1:10" ht="14.5">
      <c r="A158" s="72" t="s">
        <v>59</v>
      </c>
      <c r="B158" s="72">
        <v>0</v>
      </c>
      <c r="C158" s="72" t="s">
        <v>84</v>
      </c>
      <c r="D158" s="72">
        <v>0</v>
      </c>
      <c r="E158" s="72">
        <v>0</v>
      </c>
      <c r="F158" s="72">
        <v>0</v>
      </c>
      <c r="G158">
        <v>3.1</v>
      </c>
      <c r="H158">
        <v>25.772616632000002</v>
      </c>
      <c r="I158">
        <f t="shared" si="5"/>
        <v>0</v>
      </c>
      <c r="J158">
        <v>0</v>
      </c>
    </row>
    <row r="159" spans="1:10" ht="14.5">
      <c r="A159" s="72" t="s">
        <v>59</v>
      </c>
      <c r="B159" s="72">
        <v>0</v>
      </c>
      <c r="C159" s="72" t="s">
        <v>85</v>
      </c>
      <c r="D159" s="72">
        <v>0</v>
      </c>
      <c r="E159" s="72">
        <v>0</v>
      </c>
      <c r="F159" s="72">
        <v>0</v>
      </c>
      <c r="G159">
        <v>3.1</v>
      </c>
      <c r="H159">
        <v>26.445544832</v>
      </c>
      <c r="I159">
        <f t="shared" si="5"/>
        <v>0</v>
      </c>
      <c r="J159">
        <v>0</v>
      </c>
    </row>
    <row r="160" spans="1:10" ht="14.5">
      <c r="A160" s="72" t="s">
        <v>59</v>
      </c>
      <c r="B160" s="72">
        <v>0</v>
      </c>
      <c r="C160" s="72" t="s">
        <v>86</v>
      </c>
      <c r="D160" s="72">
        <v>0</v>
      </c>
      <c r="E160" s="72">
        <v>0</v>
      </c>
      <c r="F160" s="72">
        <v>0</v>
      </c>
      <c r="G160">
        <v>3.4</v>
      </c>
      <c r="H160">
        <v>26.607919650000003</v>
      </c>
      <c r="I160">
        <f t="shared" si="5"/>
        <v>0</v>
      </c>
      <c r="J160">
        <v>0</v>
      </c>
    </row>
    <row r="161" spans="1:10" ht="14.5">
      <c r="A161" s="72" t="s">
        <v>60</v>
      </c>
      <c r="B161" s="72">
        <v>0</v>
      </c>
      <c r="C161" s="72" t="s">
        <v>87</v>
      </c>
      <c r="D161" s="72">
        <v>0</v>
      </c>
      <c r="E161" s="72">
        <v>0</v>
      </c>
      <c r="F161" s="72">
        <v>0</v>
      </c>
      <c r="G161">
        <v>3.6</v>
      </c>
      <c r="H161">
        <v>30.396866976000005</v>
      </c>
      <c r="I161">
        <f t="shared" si="5"/>
        <v>0</v>
      </c>
      <c r="J161">
        <v>0</v>
      </c>
    </row>
    <row r="162" spans="1:10" ht="14.5">
      <c r="A162" s="72" t="s">
        <v>60</v>
      </c>
      <c r="B162" s="72">
        <v>0</v>
      </c>
      <c r="C162" s="72" t="s">
        <v>88</v>
      </c>
      <c r="D162" s="72">
        <v>0</v>
      </c>
      <c r="E162" s="72">
        <v>0</v>
      </c>
      <c r="F162" s="72">
        <v>0</v>
      </c>
      <c r="G162">
        <v>3.5</v>
      </c>
      <c r="H162">
        <v>29.864442999999998</v>
      </c>
      <c r="I162">
        <f t="shared" si="5"/>
        <v>0</v>
      </c>
      <c r="J162">
        <v>0</v>
      </c>
    </row>
    <row r="163" spans="1:10" ht="14.5">
      <c r="A163" s="72" t="s">
        <v>60</v>
      </c>
      <c r="B163" s="72">
        <v>0</v>
      </c>
      <c r="C163" s="72" t="s">
        <v>89</v>
      </c>
      <c r="D163" s="72">
        <v>0</v>
      </c>
      <c r="E163" s="72">
        <v>0</v>
      </c>
      <c r="F163" s="72">
        <v>0</v>
      </c>
      <c r="G163">
        <v>3.3</v>
      </c>
      <c r="H163">
        <v>29.221779431999998</v>
      </c>
      <c r="I163">
        <f t="shared" si="5"/>
        <v>0</v>
      </c>
      <c r="J163">
        <v>0</v>
      </c>
    </row>
    <row r="164" spans="1:10" ht="14.5">
      <c r="A164" s="72" t="s">
        <v>61</v>
      </c>
      <c r="B164" s="72">
        <v>0</v>
      </c>
      <c r="C164" s="72" t="s">
        <v>90</v>
      </c>
      <c r="D164" s="72">
        <v>0</v>
      </c>
      <c r="E164" s="72">
        <v>0</v>
      </c>
      <c r="F164" s="72">
        <v>0</v>
      </c>
      <c r="G164">
        <v>4.0999999999999996</v>
      </c>
      <c r="H164">
        <v>27.830896037999999</v>
      </c>
      <c r="I164">
        <f t="shared" si="5"/>
        <v>0</v>
      </c>
      <c r="J164">
        <v>0</v>
      </c>
    </row>
    <row r="165" spans="1:10" ht="14.5">
      <c r="A165" s="72" t="s">
        <v>61</v>
      </c>
      <c r="B165" s="72">
        <v>0</v>
      </c>
      <c r="C165" s="72" t="s">
        <v>91</v>
      </c>
      <c r="D165" s="72">
        <v>0</v>
      </c>
      <c r="E165" s="72">
        <v>0</v>
      </c>
      <c r="F165" s="72">
        <v>0</v>
      </c>
      <c r="G165">
        <v>4.3</v>
      </c>
      <c r="H165">
        <v>28.527029519999999</v>
      </c>
      <c r="I165">
        <f t="shared" si="5"/>
        <v>0</v>
      </c>
      <c r="J165">
        <v>0</v>
      </c>
    </row>
    <row r="166" spans="1:10" ht="14.5">
      <c r="A166" s="72" t="s">
        <v>61</v>
      </c>
      <c r="B166" s="72">
        <v>0</v>
      </c>
      <c r="C166" s="72" t="s">
        <v>92</v>
      </c>
      <c r="D166" s="72">
        <v>0</v>
      </c>
      <c r="E166" s="72">
        <v>0</v>
      </c>
      <c r="F166" s="72">
        <v>0</v>
      </c>
      <c r="G166">
        <v>4.2</v>
      </c>
      <c r="H166">
        <v>27.731587169999997</v>
      </c>
      <c r="I166">
        <f t="shared" si="5"/>
        <v>0</v>
      </c>
      <c r="J166">
        <v>0</v>
      </c>
    </row>
    <row r="167" spans="1:10" ht="14.5">
      <c r="A167" s="72" t="s">
        <v>62</v>
      </c>
      <c r="B167" s="72">
        <v>0</v>
      </c>
      <c r="C167" s="72" t="s">
        <v>93</v>
      </c>
      <c r="D167" s="72">
        <v>0</v>
      </c>
      <c r="E167" s="72">
        <v>0</v>
      </c>
      <c r="F167" s="72">
        <v>0</v>
      </c>
      <c r="G167">
        <v>3</v>
      </c>
      <c r="H167">
        <v>28.464814976000003</v>
      </c>
      <c r="I167">
        <f t="shared" si="5"/>
        <v>0</v>
      </c>
      <c r="J167">
        <v>0</v>
      </c>
    </row>
    <row r="168" spans="1:10" ht="14.5">
      <c r="A168" s="72" t="s">
        <v>62</v>
      </c>
      <c r="B168" s="72">
        <v>0</v>
      </c>
      <c r="C168" s="72" t="s">
        <v>94</v>
      </c>
      <c r="D168" s="72">
        <v>0</v>
      </c>
      <c r="E168" s="72">
        <v>0</v>
      </c>
      <c r="F168" s="72">
        <v>0</v>
      </c>
      <c r="G168">
        <v>3</v>
      </c>
      <c r="H168">
        <v>28.501622448000003</v>
      </c>
      <c r="I168">
        <f t="shared" si="5"/>
        <v>0</v>
      </c>
      <c r="J168">
        <v>0</v>
      </c>
    </row>
    <row r="169" spans="1:10" ht="14.5">
      <c r="A169" s="72" t="s">
        <v>62</v>
      </c>
      <c r="B169" s="72">
        <v>0</v>
      </c>
      <c r="C169" s="72" t="s">
        <v>95</v>
      </c>
      <c r="D169" s="72">
        <v>0</v>
      </c>
      <c r="E169" s="72">
        <v>0</v>
      </c>
      <c r="F169" s="72">
        <v>0</v>
      </c>
      <c r="G169">
        <v>3.3</v>
      </c>
      <c r="H169">
        <v>30.057924896999999</v>
      </c>
      <c r="I169">
        <f t="shared" si="5"/>
        <v>0</v>
      </c>
      <c r="J169">
        <v>0</v>
      </c>
    </row>
    <row r="170" spans="1:10" ht="14.5">
      <c r="A170" s="72" t="s">
        <v>55</v>
      </c>
      <c r="B170" s="72">
        <v>2</v>
      </c>
      <c r="C170" s="72" t="s">
        <v>96</v>
      </c>
      <c r="D170" s="72">
        <v>0</v>
      </c>
      <c r="E170" s="72">
        <v>0</v>
      </c>
      <c r="F170" s="72">
        <v>0</v>
      </c>
      <c r="G170">
        <v>5.65</v>
      </c>
      <c r="H170">
        <v>26.570199160000001</v>
      </c>
      <c r="I170">
        <f t="shared" si="5"/>
        <v>0</v>
      </c>
      <c r="J170">
        <v>0</v>
      </c>
    </row>
    <row r="171" spans="1:10" ht="14.5">
      <c r="A171" s="72" t="s">
        <v>55</v>
      </c>
      <c r="B171" s="72">
        <v>2</v>
      </c>
      <c r="C171" s="72" t="s">
        <v>97</v>
      </c>
      <c r="D171" s="72">
        <v>0</v>
      </c>
      <c r="E171" s="72">
        <v>0</v>
      </c>
      <c r="F171" s="72">
        <v>0</v>
      </c>
      <c r="G171">
        <v>5.52</v>
      </c>
      <c r="H171">
        <v>26.007865338000002</v>
      </c>
      <c r="I171">
        <f t="shared" si="5"/>
        <v>0</v>
      </c>
      <c r="J171">
        <v>0</v>
      </c>
    </row>
    <row r="172" spans="1:10" ht="14.5">
      <c r="A172" s="72" t="s">
        <v>55</v>
      </c>
      <c r="B172" s="72">
        <v>2</v>
      </c>
      <c r="C172" s="72" t="s">
        <v>98</v>
      </c>
      <c r="D172" s="72">
        <v>0</v>
      </c>
      <c r="E172" s="72">
        <v>0</v>
      </c>
      <c r="F172" s="72">
        <v>0</v>
      </c>
      <c r="G172">
        <v>5.58</v>
      </c>
      <c r="H172">
        <v>26.37711882</v>
      </c>
      <c r="I172">
        <f t="shared" si="5"/>
        <v>0</v>
      </c>
      <c r="J172">
        <v>0</v>
      </c>
    </row>
    <row r="173" spans="1:10" ht="14.5">
      <c r="A173" s="72" t="s">
        <v>55</v>
      </c>
      <c r="B173" s="72">
        <v>2</v>
      </c>
      <c r="C173" s="72" t="s">
        <v>99</v>
      </c>
      <c r="D173" s="72">
        <v>0</v>
      </c>
      <c r="E173" s="72">
        <v>0</v>
      </c>
      <c r="F173" s="72">
        <v>0</v>
      </c>
      <c r="G173">
        <v>5.75</v>
      </c>
      <c r="H173">
        <v>26.680191102000002</v>
      </c>
      <c r="I173">
        <f t="shared" si="5"/>
        <v>0</v>
      </c>
      <c r="J173">
        <v>0</v>
      </c>
    </row>
    <row r="174" spans="1:10" ht="14.5">
      <c r="A174" s="72" t="s">
        <v>55</v>
      </c>
      <c r="B174" s="72">
        <v>2</v>
      </c>
      <c r="C174" s="72" t="s">
        <v>100</v>
      </c>
      <c r="D174" s="72">
        <v>0</v>
      </c>
      <c r="E174" s="72">
        <v>0</v>
      </c>
      <c r="F174" s="72">
        <v>0</v>
      </c>
      <c r="G174">
        <v>5.37</v>
      </c>
      <c r="H174">
        <v>25.842305499999998</v>
      </c>
      <c r="I174">
        <f t="shared" si="5"/>
        <v>0</v>
      </c>
      <c r="J174">
        <v>0</v>
      </c>
    </row>
    <row r="175" spans="1:10" ht="14.5">
      <c r="A175" s="72" t="s">
        <v>55</v>
      </c>
      <c r="B175" s="72">
        <v>2</v>
      </c>
      <c r="C175" s="72" t="s">
        <v>101</v>
      </c>
      <c r="D175" s="72">
        <v>0</v>
      </c>
      <c r="E175" s="72">
        <v>0</v>
      </c>
      <c r="F175" s="72">
        <v>0</v>
      </c>
      <c r="G175">
        <v>5.23</v>
      </c>
      <c r="H175">
        <v>25.808085589000001</v>
      </c>
      <c r="I175">
        <f t="shared" si="5"/>
        <v>0</v>
      </c>
      <c r="J175">
        <v>0</v>
      </c>
    </row>
    <row r="176" spans="1:10" ht="14.5">
      <c r="A176" s="72" t="s">
        <v>56</v>
      </c>
      <c r="B176" s="72">
        <v>2</v>
      </c>
      <c r="C176" s="72" t="s">
        <v>102</v>
      </c>
      <c r="D176" s="72">
        <v>0</v>
      </c>
      <c r="E176" s="72">
        <v>0</v>
      </c>
      <c r="F176" s="72">
        <v>0</v>
      </c>
      <c r="G176">
        <v>3.9</v>
      </c>
      <c r="H176">
        <v>28.131599082999998</v>
      </c>
      <c r="I176">
        <f t="shared" si="5"/>
        <v>0</v>
      </c>
      <c r="J176">
        <v>0</v>
      </c>
    </row>
    <row r="177" spans="1:10" ht="14.5">
      <c r="A177" s="72" t="s">
        <v>56</v>
      </c>
      <c r="B177" s="72">
        <v>2</v>
      </c>
      <c r="C177" s="72" t="s">
        <v>103</v>
      </c>
      <c r="D177" s="72">
        <v>0</v>
      </c>
      <c r="E177" s="72">
        <v>0</v>
      </c>
      <c r="F177" s="72">
        <v>0</v>
      </c>
      <c r="G177">
        <v>3.6</v>
      </c>
      <c r="H177">
        <v>27.251647632000005</v>
      </c>
      <c r="I177">
        <f t="shared" si="5"/>
        <v>0</v>
      </c>
      <c r="J177">
        <v>0</v>
      </c>
    </row>
    <row r="178" spans="1:10" ht="14.5">
      <c r="A178" s="72" t="s">
        <v>56</v>
      </c>
      <c r="B178" s="72">
        <v>2</v>
      </c>
      <c r="C178" s="72" t="s">
        <v>104</v>
      </c>
      <c r="D178" s="72">
        <v>0</v>
      </c>
      <c r="E178" s="72">
        <v>0</v>
      </c>
      <c r="F178" s="72">
        <v>0</v>
      </c>
      <c r="G178">
        <v>3.6</v>
      </c>
      <c r="H178">
        <v>27.651274020000002</v>
      </c>
      <c r="I178">
        <f t="shared" si="5"/>
        <v>0</v>
      </c>
      <c r="J178">
        <v>0</v>
      </c>
    </row>
    <row r="179" spans="1:10" ht="14.5">
      <c r="A179" s="72" t="s">
        <v>56</v>
      </c>
      <c r="B179" s="72">
        <v>4</v>
      </c>
      <c r="C179" s="72" t="s">
        <v>105</v>
      </c>
      <c r="D179" s="72">
        <v>0</v>
      </c>
      <c r="E179" s="72">
        <v>0</v>
      </c>
      <c r="F179" s="72">
        <v>0</v>
      </c>
      <c r="G179">
        <v>4</v>
      </c>
      <c r="H179">
        <v>28.741364999999998</v>
      </c>
      <c r="I179">
        <f t="shared" si="5"/>
        <v>0</v>
      </c>
      <c r="J179">
        <v>0</v>
      </c>
    </row>
    <row r="180" spans="1:10" ht="14.5">
      <c r="A180" s="72" t="s">
        <v>56</v>
      </c>
      <c r="B180" s="72">
        <v>4</v>
      </c>
      <c r="C180" s="72" t="s">
        <v>106</v>
      </c>
      <c r="D180" s="72">
        <v>0</v>
      </c>
      <c r="E180" s="72">
        <v>0</v>
      </c>
      <c r="F180" s="72">
        <v>0</v>
      </c>
      <c r="G180">
        <v>4</v>
      </c>
      <c r="H180">
        <v>29.117067000000002</v>
      </c>
      <c r="I180">
        <f t="shared" si="5"/>
        <v>0</v>
      </c>
      <c r="J180">
        <v>0</v>
      </c>
    </row>
    <row r="181" spans="1:10" ht="14.5">
      <c r="A181" s="72" t="s">
        <v>56</v>
      </c>
      <c r="B181" s="72">
        <v>4</v>
      </c>
      <c r="C181" s="72" t="s">
        <v>107</v>
      </c>
      <c r="D181" s="72">
        <v>0</v>
      </c>
      <c r="E181" s="72">
        <v>0</v>
      </c>
      <c r="F181" s="72">
        <v>0</v>
      </c>
      <c r="G181">
        <v>3.7</v>
      </c>
      <c r="H181">
        <v>28.392983359999999</v>
      </c>
      <c r="I181">
        <f t="shared" si="5"/>
        <v>0</v>
      </c>
      <c r="J181">
        <v>0</v>
      </c>
    </row>
    <row r="182" spans="1:10" ht="14.5">
      <c r="A182" s="72" t="s">
        <v>57</v>
      </c>
      <c r="B182" s="72">
        <v>2</v>
      </c>
      <c r="C182" s="72" t="s">
        <v>108</v>
      </c>
      <c r="D182" s="72">
        <v>0</v>
      </c>
      <c r="E182" s="72">
        <v>0</v>
      </c>
      <c r="F182" s="72">
        <v>0</v>
      </c>
      <c r="G182">
        <v>5.3</v>
      </c>
      <c r="H182">
        <v>27.460675480000003</v>
      </c>
      <c r="I182">
        <f t="shared" si="5"/>
        <v>0</v>
      </c>
      <c r="J182">
        <v>0</v>
      </c>
    </row>
    <row r="183" spans="1:10" ht="14.5">
      <c r="A183" s="72" t="s">
        <v>57</v>
      </c>
      <c r="B183" s="72">
        <v>2</v>
      </c>
      <c r="C183" s="72" t="s">
        <v>109</v>
      </c>
      <c r="D183" s="72">
        <v>0</v>
      </c>
      <c r="E183" s="72">
        <v>0</v>
      </c>
      <c r="F183" s="72">
        <v>0</v>
      </c>
      <c r="G183">
        <v>5.8</v>
      </c>
      <c r="H183">
        <v>28.689014432</v>
      </c>
      <c r="I183">
        <f t="shared" si="5"/>
        <v>0</v>
      </c>
      <c r="J183">
        <v>0</v>
      </c>
    </row>
    <row r="184" spans="1:10" ht="14.5">
      <c r="A184" s="72" t="s">
        <v>57</v>
      </c>
      <c r="B184" s="72">
        <v>2</v>
      </c>
      <c r="C184" s="72" t="s">
        <v>110</v>
      </c>
      <c r="D184" s="72">
        <v>0</v>
      </c>
      <c r="E184" s="72">
        <v>0</v>
      </c>
      <c r="F184" s="72">
        <v>0</v>
      </c>
      <c r="G184">
        <v>5.4</v>
      </c>
      <c r="H184">
        <v>27.537492499999995</v>
      </c>
      <c r="I184">
        <f t="shared" si="5"/>
        <v>0</v>
      </c>
      <c r="J184">
        <v>0</v>
      </c>
    </row>
    <row r="185" spans="1:10" ht="14.5">
      <c r="A185" s="72" t="s">
        <v>57</v>
      </c>
      <c r="B185" s="72">
        <v>4</v>
      </c>
      <c r="C185" s="72" t="s">
        <v>111</v>
      </c>
      <c r="D185" s="72">
        <v>0</v>
      </c>
      <c r="E185" s="72">
        <v>0</v>
      </c>
      <c r="F185" s="72">
        <v>0</v>
      </c>
      <c r="G185">
        <v>5.2</v>
      </c>
      <c r="H185">
        <v>28.178621148999998</v>
      </c>
      <c r="I185">
        <f t="shared" si="5"/>
        <v>0</v>
      </c>
      <c r="J185">
        <v>0</v>
      </c>
    </row>
    <row r="186" spans="1:10" ht="14.5">
      <c r="A186" s="72" t="s">
        <v>57</v>
      </c>
      <c r="B186" s="72">
        <v>4</v>
      </c>
      <c r="C186" s="72" t="s">
        <v>112</v>
      </c>
      <c r="D186" s="72">
        <v>0</v>
      </c>
      <c r="E186" s="72">
        <v>0</v>
      </c>
      <c r="F186" s="72">
        <v>0</v>
      </c>
      <c r="G186">
        <v>5</v>
      </c>
      <c r="H186">
        <v>27.690551880000001</v>
      </c>
      <c r="I186">
        <f t="shared" si="5"/>
        <v>0</v>
      </c>
      <c r="J186">
        <v>0</v>
      </c>
    </row>
    <row r="187" spans="1:10" ht="14.5">
      <c r="A187" s="72" t="s">
        <v>57</v>
      </c>
      <c r="B187" s="72">
        <v>4</v>
      </c>
      <c r="C187" s="72" t="s">
        <v>113</v>
      </c>
      <c r="D187" s="72">
        <v>0</v>
      </c>
      <c r="E187" s="72">
        <v>0</v>
      </c>
      <c r="F187" s="72">
        <v>0</v>
      </c>
      <c r="G187">
        <v>4.7</v>
      </c>
      <c r="H187">
        <v>27.93687624</v>
      </c>
      <c r="I187">
        <f t="shared" si="5"/>
        <v>0</v>
      </c>
      <c r="J187">
        <v>0</v>
      </c>
    </row>
    <row r="188" spans="1:10" ht="14.5">
      <c r="A188" s="72" t="s">
        <v>58</v>
      </c>
      <c r="B188" s="72">
        <v>2</v>
      </c>
      <c r="C188" s="72" t="s">
        <v>114</v>
      </c>
      <c r="D188" s="72">
        <v>0</v>
      </c>
      <c r="E188" s="72">
        <v>0</v>
      </c>
      <c r="F188" s="72">
        <v>0</v>
      </c>
      <c r="G188">
        <v>5.2</v>
      </c>
      <c r="H188">
        <v>28.526847879999998</v>
      </c>
      <c r="I188">
        <f t="shared" si="5"/>
        <v>0</v>
      </c>
      <c r="J188">
        <v>0</v>
      </c>
    </row>
    <row r="189" spans="1:10" ht="14.5">
      <c r="A189" s="72" t="s">
        <v>58</v>
      </c>
      <c r="B189" s="72">
        <v>2</v>
      </c>
      <c r="C189" s="72" t="s">
        <v>115</v>
      </c>
      <c r="D189" s="72">
        <v>0</v>
      </c>
      <c r="E189" s="72">
        <v>0</v>
      </c>
      <c r="F189" s="72">
        <v>0</v>
      </c>
      <c r="G189">
        <v>5.3</v>
      </c>
      <c r="H189">
        <v>28.938467124000002</v>
      </c>
      <c r="I189">
        <f t="shared" si="5"/>
        <v>0</v>
      </c>
      <c r="J189">
        <v>0</v>
      </c>
    </row>
    <row r="190" spans="1:10" ht="14.5">
      <c r="A190" s="72" t="s">
        <v>58</v>
      </c>
      <c r="B190" s="72">
        <v>2</v>
      </c>
      <c r="C190" s="72" t="s">
        <v>116</v>
      </c>
      <c r="D190" s="72">
        <v>0</v>
      </c>
      <c r="E190" s="72">
        <v>0</v>
      </c>
      <c r="F190" s="72">
        <v>0</v>
      </c>
      <c r="G190">
        <v>5.0999999999999996</v>
      </c>
      <c r="H190">
        <v>28.607004210000007</v>
      </c>
      <c r="I190">
        <f t="shared" si="5"/>
        <v>0</v>
      </c>
      <c r="J190">
        <v>0</v>
      </c>
    </row>
    <row r="191" spans="1:10" ht="14.5">
      <c r="A191" s="72" t="s">
        <v>58</v>
      </c>
      <c r="B191" s="72">
        <v>4</v>
      </c>
      <c r="C191" s="72" t="s">
        <v>117</v>
      </c>
      <c r="D191" s="72">
        <v>0</v>
      </c>
      <c r="E191" s="72">
        <v>0</v>
      </c>
      <c r="F191" s="72">
        <v>0</v>
      </c>
      <c r="G191">
        <v>5.7</v>
      </c>
      <c r="H191">
        <v>29.107170627999999</v>
      </c>
      <c r="I191">
        <f t="shared" si="5"/>
        <v>0</v>
      </c>
      <c r="J191">
        <v>0</v>
      </c>
    </row>
    <row r="192" spans="1:10" ht="14.5">
      <c r="A192" s="72" t="s">
        <v>58</v>
      </c>
      <c r="B192" s="72">
        <v>4</v>
      </c>
      <c r="C192" s="72" t="s">
        <v>118</v>
      </c>
      <c r="D192" s="72">
        <v>0</v>
      </c>
      <c r="E192" s="72">
        <v>0</v>
      </c>
      <c r="F192" s="72">
        <v>0</v>
      </c>
      <c r="G192">
        <v>5.6</v>
      </c>
      <c r="H192">
        <v>29.723015280000002</v>
      </c>
      <c r="I192">
        <f t="shared" si="5"/>
        <v>0</v>
      </c>
      <c r="J192">
        <v>0</v>
      </c>
    </row>
    <row r="193" spans="1:10" ht="14.5">
      <c r="A193" s="72" t="s">
        <v>58</v>
      </c>
      <c r="B193" s="72">
        <v>4</v>
      </c>
      <c r="C193" s="72" t="s">
        <v>119</v>
      </c>
      <c r="D193" s="72">
        <v>0</v>
      </c>
      <c r="E193" s="72">
        <v>0</v>
      </c>
      <c r="F193" s="72">
        <v>0</v>
      </c>
      <c r="G193">
        <v>6</v>
      </c>
      <c r="H193">
        <v>30.636320704000003</v>
      </c>
      <c r="I193">
        <f t="shared" si="5"/>
        <v>0</v>
      </c>
      <c r="J193">
        <v>0</v>
      </c>
    </row>
    <row r="194" spans="1:10" ht="14.5">
      <c r="A194" s="72" t="s">
        <v>59</v>
      </c>
      <c r="B194" s="72">
        <v>2</v>
      </c>
      <c r="C194" s="72" t="s">
        <v>120</v>
      </c>
      <c r="D194" s="72">
        <v>0</v>
      </c>
      <c r="E194" s="72">
        <v>0</v>
      </c>
      <c r="F194" s="72">
        <v>0</v>
      </c>
      <c r="G194">
        <v>2.74</v>
      </c>
      <c r="H194">
        <v>25.226180408000001</v>
      </c>
      <c r="I194">
        <f t="shared" si="5"/>
        <v>0</v>
      </c>
      <c r="J194">
        <v>0</v>
      </c>
    </row>
    <row r="195" spans="1:10" ht="14.5">
      <c r="A195" s="72" t="s">
        <v>59</v>
      </c>
      <c r="B195" s="72">
        <v>2</v>
      </c>
      <c r="C195" s="72" t="s">
        <v>121</v>
      </c>
      <c r="D195" s="72">
        <v>0</v>
      </c>
      <c r="E195" s="72">
        <v>0</v>
      </c>
      <c r="F195" s="72">
        <v>0</v>
      </c>
      <c r="G195">
        <v>2.63</v>
      </c>
      <c r="H195">
        <v>25.221318650000001</v>
      </c>
      <c r="I195">
        <f t="shared" ref="I195:I217" si="7">J195/H195*100</f>
        <v>0</v>
      </c>
      <c r="J195">
        <v>0</v>
      </c>
    </row>
    <row r="196" spans="1:10" ht="14.5">
      <c r="A196" s="72" t="s">
        <v>59</v>
      </c>
      <c r="B196" s="72">
        <v>2</v>
      </c>
      <c r="C196" s="72" t="s">
        <v>122</v>
      </c>
      <c r="D196" s="72">
        <v>0</v>
      </c>
      <c r="E196" s="72">
        <v>0</v>
      </c>
      <c r="F196" s="72">
        <v>0</v>
      </c>
      <c r="G196">
        <v>2.5299999999999998</v>
      </c>
      <c r="H196">
        <v>26.171156900000003</v>
      </c>
      <c r="I196">
        <f t="shared" si="7"/>
        <v>0</v>
      </c>
      <c r="J196">
        <v>0</v>
      </c>
    </row>
    <row r="197" spans="1:10" ht="14.5">
      <c r="A197" s="72" t="s">
        <v>59</v>
      </c>
      <c r="B197" s="72">
        <v>4</v>
      </c>
      <c r="C197" s="72" t="s">
        <v>123</v>
      </c>
      <c r="D197" s="72">
        <v>0</v>
      </c>
      <c r="E197" s="72">
        <v>0</v>
      </c>
      <c r="F197" s="72">
        <v>0</v>
      </c>
      <c r="G197">
        <v>2.91</v>
      </c>
      <c r="H197">
        <v>27.7535846</v>
      </c>
      <c r="I197">
        <f t="shared" si="7"/>
        <v>0</v>
      </c>
      <c r="J197">
        <v>0</v>
      </c>
    </row>
    <row r="198" spans="1:10" ht="14.5">
      <c r="A198" s="72" t="s">
        <v>59</v>
      </c>
      <c r="B198" s="72">
        <v>4</v>
      </c>
      <c r="C198" s="72" t="s">
        <v>124</v>
      </c>
      <c r="D198" s="72">
        <v>0</v>
      </c>
      <c r="E198" s="72">
        <v>0</v>
      </c>
      <c r="F198" s="72">
        <v>0</v>
      </c>
      <c r="G198">
        <v>2.9</v>
      </c>
      <c r="H198">
        <v>24.896789855999998</v>
      </c>
      <c r="I198">
        <f t="shared" si="7"/>
        <v>0</v>
      </c>
      <c r="J198">
        <v>0</v>
      </c>
    </row>
    <row r="199" spans="1:10" ht="14.5">
      <c r="A199" s="72" t="s">
        <v>59</v>
      </c>
      <c r="B199" s="72">
        <v>4</v>
      </c>
      <c r="C199" s="72" t="s">
        <v>125</v>
      </c>
      <c r="D199" s="72">
        <v>0</v>
      </c>
      <c r="E199" s="72">
        <v>0</v>
      </c>
      <c r="F199" s="72">
        <v>0</v>
      </c>
      <c r="G199">
        <v>3.42</v>
      </c>
      <c r="H199">
        <v>28.172550390000005</v>
      </c>
      <c r="I199">
        <f t="shared" si="7"/>
        <v>0</v>
      </c>
      <c r="J199">
        <v>0</v>
      </c>
    </row>
    <row r="200" spans="1:10" ht="14.5">
      <c r="A200" s="72" t="s">
        <v>60</v>
      </c>
      <c r="B200" s="72">
        <v>2</v>
      </c>
      <c r="C200" s="72" t="s">
        <v>126</v>
      </c>
      <c r="D200" s="72">
        <v>0</v>
      </c>
      <c r="E200" s="72">
        <v>0</v>
      </c>
      <c r="F200" s="72">
        <v>0</v>
      </c>
      <c r="G200">
        <v>3.47</v>
      </c>
      <c r="H200">
        <v>29.234163555999999</v>
      </c>
      <c r="I200">
        <f t="shared" si="7"/>
        <v>0</v>
      </c>
      <c r="J200">
        <v>0</v>
      </c>
    </row>
    <row r="201" spans="1:10" ht="14.5">
      <c r="A201" s="72" t="s">
        <v>60</v>
      </c>
      <c r="B201" s="72">
        <v>2</v>
      </c>
      <c r="C201" s="72" t="s">
        <v>127</v>
      </c>
      <c r="D201" s="72">
        <v>0</v>
      </c>
      <c r="E201" s="72">
        <v>0</v>
      </c>
      <c r="F201" s="72">
        <v>0</v>
      </c>
      <c r="G201">
        <v>3.51</v>
      </c>
      <c r="H201">
        <v>30.496420097999994</v>
      </c>
      <c r="I201">
        <f t="shared" si="7"/>
        <v>0</v>
      </c>
      <c r="J201">
        <v>0</v>
      </c>
    </row>
    <row r="202" spans="1:10" ht="14.5">
      <c r="A202" s="72" t="s">
        <v>60</v>
      </c>
      <c r="B202" s="72">
        <v>2</v>
      </c>
      <c r="C202" s="72" t="s">
        <v>128</v>
      </c>
      <c r="D202" s="72">
        <v>0</v>
      </c>
      <c r="E202" s="72">
        <v>0</v>
      </c>
      <c r="F202" s="72">
        <v>0</v>
      </c>
      <c r="G202">
        <v>3.47</v>
      </c>
      <c r="H202">
        <v>30.630059279999998</v>
      </c>
      <c r="I202">
        <f t="shared" si="7"/>
        <v>0</v>
      </c>
      <c r="J202">
        <v>0</v>
      </c>
    </row>
    <row r="203" spans="1:10" ht="14.5">
      <c r="A203" s="72" t="s">
        <v>60</v>
      </c>
      <c r="B203" s="72">
        <v>4</v>
      </c>
      <c r="C203" s="72" t="s">
        <v>129</v>
      </c>
      <c r="D203" s="72">
        <v>0</v>
      </c>
      <c r="E203" s="72">
        <v>0</v>
      </c>
      <c r="F203" s="72">
        <v>0</v>
      </c>
      <c r="G203">
        <v>3.77</v>
      </c>
      <c r="H203">
        <v>28.005839999999999</v>
      </c>
      <c r="I203">
        <f t="shared" si="7"/>
        <v>0</v>
      </c>
      <c r="J203">
        <v>0</v>
      </c>
    </row>
    <row r="204" spans="1:10" ht="14.5">
      <c r="A204" s="72" t="s">
        <v>60</v>
      </c>
      <c r="B204" s="72">
        <v>4</v>
      </c>
      <c r="C204" s="72" t="s">
        <v>130</v>
      </c>
      <c r="D204" s="72">
        <v>0</v>
      </c>
      <c r="E204" s="72">
        <v>0</v>
      </c>
      <c r="F204" s="72">
        <v>0</v>
      </c>
      <c r="G204">
        <v>4.1500000000000004</v>
      </c>
      <c r="H204">
        <v>29.282242416000003</v>
      </c>
      <c r="I204">
        <f t="shared" si="7"/>
        <v>0</v>
      </c>
      <c r="J204">
        <v>0</v>
      </c>
    </row>
    <row r="205" spans="1:10" ht="14.5">
      <c r="A205" s="72" t="s">
        <v>60</v>
      </c>
      <c r="B205" s="72">
        <v>4</v>
      </c>
      <c r="C205" s="72" t="s">
        <v>131</v>
      </c>
      <c r="D205" s="72">
        <v>0</v>
      </c>
      <c r="E205" s="72">
        <v>0</v>
      </c>
      <c r="F205" s="72">
        <v>0</v>
      </c>
      <c r="G205">
        <v>3.94</v>
      </c>
      <c r="H205">
        <v>29.007937755000004</v>
      </c>
      <c r="I205">
        <f t="shared" si="7"/>
        <v>0</v>
      </c>
      <c r="J205">
        <v>0</v>
      </c>
    </row>
    <row r="206" spans="1:10" ht="14.5">
      <c r="A206" s="72" t="s">
        <v>63</v>
      </c>
      <c r="B206" s="72">
        <v>2</v>
      </c>
      <c r="C206" s="72" t="s">
        <v>132</v>
      </c>
      <c r="D206" s="72">
        <v>0</v>
      </c>
      <c r="E206" s="72">
        <v>0</v>
      </c>
      <c r="F206" s="72">
        <v>0</v>
      </c>
      <c r="G206">
        <v>3.8</v>
      </c>
      <c r="H206">
        <v>27.091229696000003</v>
      </c>
      <c r="I206">
        <f t="shared" si="7"/>
        <v>0</v>
      </c>
      <c r="J206">
        <v>0</v>
      </c>
    </row>
    <row r="207" spans="1:10" ht="14.5">
      <c r="A207" s="72" t="s">
        <v>63</v>
      </c>
      <c r="B207" s="72">
        <v>2</v>
      </c>
      <c r="C207" s="72" t="s">
        <v>133</v>
      </c>
      <c r="D207" s="72">
        <v>0</v>
      </c>
      <c r="E207" s="72">
        <v>0</v>
      </c>
      <c r="F207" s="72">
        <v>0</v>
      </c>
      <c r="G207">
        <v>3.5</v>
      </c>
      <c r="H207">
        <v>28.285999700000001</v>
      </c>
      <c r="I207">
        <f t="shared" si="7"/>
        <v>0</v>
      </c>
      <c r="J207">
        <v>0</v>
      </c>
    </row>
    <row r="208" spans="1:10" ht="14.5">
      <c r="A208" s="72" t="s">
        <v>63</v>
      </c>
      <c r="B208" s="72">
        <v>2</v>
      </c>
      <c r="C208" s="72" t="s">
        <v>134</v>
      </c>
      <c r="D208" s="72">
        <v>0</v>
      </c>
      <c r="E208" s="72">
        <v>0</v>
      </c>
      <c r="F208" s="72">
        <v>0</v>
      </c>
      <c r="G208">
        <v>3.72</v>
      </c>
      <c r="H208">
        <v>27.320221404000002</v>
      </c>
      <c r="I208">
        <f t="shared" si="7"/>
        <v>0</v>
      </c>
      <c r="J208">
        <v>0</v>
      </c>
    </row>
    <row r="209" spans="1:10" ht="14.5">
      <c r="A209" s="72" t="s">
        <v>63</v>
      </c>
      <c r="B209" s="72">
        <v>4</v>
      </c>
      <c r="C209" s="72" t="s">
        <v>135</v>
      </c>
      <c r="D209" s="72">
        <v>0</v>
      </c>
      <c r="E209" s="72">
        <v>0</v>
      </c>
      <c r="F209" s="72">
        <v>0</v>
      </c>
      <c r="G209">
        <v>4.3899999999999997</v>
      </c>
      <c r="H209">
        <v>26.89639274</v>
      </c>
      <c r="I209">
        <f t="shared" si="7"/>
        <v>0</v>
      </c>
      <c r="J209">
        <v>0</v>
      </c>
    </row>
    <row r="210" spans="1:10" ht="14.5">
      <c r="A210" s="72" t="s">
        <v>63</v>
      </c>
      <c r="B210" s="72">
        <v>4</v>
      </c>
      <c r="C210" s="72" t="s">
        <v>136</v>
      </c>
      <c r="D210" s="72">
        <v>0</v>
      </c>
      <c r="E210" s="72">
        <v>0</v>
      </c>
      <c r="F210" s="72">
        <v>0</v>
      </c>
      <c r="G210">
        <v>4.26</v>
      </c>
      <c r="H210">
        <v>26.120200860000001</v>
      </c>
      <c r="I210">
        <f t="shared" si="7"/>
        <v>0</v>
      </c>
      <c r="J210">
        <v>0</v>
      </c>
    </row>
    <row r="211" spans="1:10" ht="14.5">
      <c r="A211" s="72" t="s">
        <v>63</v>
      </c>
      <c r="B211" s="72">
        <v>4</v>
      </c>
      <c r="C211" s="72" t="s">
        <v>137</v>
      </c>
      <c r="D211" s="72">
        <v>0</v>
      </c>
      <c r="E211" s="72">
        <v>0</v>
      </c>
      <c r="F211" s="72">
        <v>0</v>
      </c>
      <c r="G211">
        <v>4.45</v>
      </c>
      <c r="H211">
        <v>26.2505861</v>
      </c>
      <c r="I211">
        <f t="shared" si="7"/>
        <v>0</v>
      </c>
      <c r="J211">
        <v>0</v>
      </c>
    </row>
    <row r="212" spans="1:10" ht="14.5">
      <c r="A212" s="72" t="s">
        <v>62</v>
      </c>
      <c r="B212" s="72">
        <v>2</v>
      </c>
      <c r="C212" s="72" t="s">
        <v>138</v>
      </c>
      <c r="D212" s="72">
        <v>0</v>
      </c>
      <c r="E212" s="72">
        <v>0</v>
      </c>
      <c r="F212" s="72">
        <v>0</v>
      </c>
      <c r="G212">
        <v>2.9</v>
      </c>
      <c r="H212">
        <v>27.765142096999995</v>
      </c>
      <c r="I212">
        <f t="shared" si="7"/>
        <v>0</v>
      </c>
      <c r="J212">
        <v>0</v>
      </c>
    </row>
    <row r="213" spans="1:10" ht="14.5">
      <c r="A213" s="72" t="s">
        <v>62</v>
      </c>
      <c r="B213" s="72">
        <v>2</v>
      </c>
      <c r="C213" s="72" t="s">
        <v>139</v>
      </c>
      <c r="D213" s="72">
        <v>0</v>
      </c>
      <c r="E213" s="72">
        <v>0</v>
      </c>
      <c r="F213" s="72">
        <v>0</v>
      </c>
      <c r="G213">
        <v>2.89</v>
      </c>
      <c r="H213">
        <v>27.127429120000006</v>
      </c>
      <c r="I213">
        <f t="shared" si="7"/>
        <v>0</v>
      </c>
      <c r="J213">
        <v>0</v>
      </c>
    </row>
    <row r="214" spans="1:10" ht="14.5">
      <c r="A214" s="72" t="s">
        <v>62</v>
      </c>
      <c r="B214" s="72">
        <v>2</v>
      </c>
      <c r="C214" s="72" t="s">
        <v>140</v>
      </c>
      <c r="D214" s="72">
        <v>0</v>
      </c>
      <c r="E214" s="72">
        <v>0</v>
      </c>
      <c r="F214" s="72">
        <v>0</v>
      </c>
      <c r="G214">
        <v>2.09</v>
      </c>
      <c r="H214">
        <v>27.494653770000003</v>
      </c>
      <c r="I214">
        <f t="shared" si="7"/>
        <v>0</v>
      </c>
      <c r="J214">
        <v>0</v>
      </c>
    </row>
    <row r="215" spans="1:10" ht="14.5">
      <c r="A215" s="72" t="s">
        <v>62</v>
      </c>
      <c r="B215" s="72">
        <v>4</v>
      </c>
      <c r="C215" s="72" t="s">
        <v>141</v>
      </c>
      <c r="D215" s="72">
        <v>0</v>
      </c>
      <c r="E215" s="72">
        <v>0</v>
      </c>
      <c r="F215" s="72">
        <v>0</v>
      </c>
      <c r="G215">
        <v>3.57</v>
      </c>
      <c r="H215">
        <v>28.580959407000002</v>
      </c>
      <c r="I215">
        <f t="shared" si="7"/>
        <v>0</v>
      </c>
      <c r="J215">
        <v>0</v>
      </c>
    </row>
    <row r="216" spans="1:10" ht="14.5">
      <c r="A216" s="72" t="s">
        <v>62</v>
      </c>
      <c r="B216" s="72">
        <v>4</v>
      </c>
      <c r="C216" s="72" t="s">
        <v>142</v>
      </c>
      <c r="D216" s="72">
        <v>0</v>
      </c>
      <c r="E216" s="72">
        <v>0</v>
      </c>
      <c r="F216" s="72">
        <v>0</v>
      </c>
      <c r="G216">
        <v>3.59</v>
      </c>
      <c r="H216">
        <v>28.363047299999998</v>
      </c>
      <c r="I216">
        <f t="shared" si="7"/>
        <v>0</v>
      </c>
      <c r="J216">
        <v>0</v>
      </c>
    </row>
    <row r="217" spans="1:10" ht="14.5">
      <c r="A217" s="72" t="s">
        <v>62</v>
      </c>
      <c r="B217" s="72">
        <v>4</v>
      </c>
      <c r="C217" s="72" t="s">
        <v>143</v>
      </c>
      <c r="D217" s="72">
        <v>0</v>
      </c>
      <c r="E217" s="72">
        <v>0</v>
      </c>
      <c r="F217" s="72">
        <v>0</v>
      </c>
      <c r="G217">
        <v>3.37</v>
      </c>
      <c r="H217">
        <v>30.585072378</v>
      </c>
      <c r="I217">
        <f t="shared" si="7"/>
        <v>0</v>
      </c>
      <c r="J21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64FEE-60A8-4385-A672-CF0B608DABAF}">
  <dimension ref="A1:G47"/>
  <sheetViews>
    <sheetView topLeftCell="A46" workbookViewId="0">
      <selection activeCell="J18" sqref="J18"/>
    </sheetView>
  </sheetViews>
  <sheetFormatPr defaultRowHeight="14.5"/>
  <cols>
    <col min="3" max="3" width="12.54296875" customWidth="1"/>
    <col min="4" max="4" width="16.26953125" customWidth="1"/>
    <col min="5" max="5" width="14.54296875" customWidth="1"/>
    <col min="6" max="6" width="15" customWidth="1"/>
    <col min="7" max="7" width="13" customWidth="1"/>
  </cols>
  <sheetData>
    <row r="1" spans="1:7">
      <c r="A1" s="81" t="s">
        <v>52</v>
      </c>
      <c r="B1" s="81" t="s">
        <v>50</v>
      </c>
      <c r="C1" s="81" t="s">
        <v>49</v>
      </c>
      <c r="D1" s="81" t="s">
        <v>64</v>
      </c>
      <c r="E1" s="81" t="s">
        <v>65</v>
      </c>
      <c r="F1" s="81" t="s">
        <v>66</v>
      </c>
      <c r="G1" s="81" t="s">
        <v>67</v>
      </c>
    </row>
    <row r="2" spans="1:7">
      <c r="A2" t="s">
        <v>69</v>
      </c>
      <c r="B2" t="s">
        <v>68</v>
      </c>
      <c r="C2" t="s">
        <v>55</v>
      </c>
      <c r="D2">
        <v>301.38843597140351</v>
      </c>
      <c r="E2">
        <v>16.60026474158829</v>
      </c>
      <c r="F2">
        <v>7.6233142594070342</v>
      </c>
      <c r="G2">
        <v>0.67535454522909621</v>
      </c>
    </row>
    <row r="3" spans="1:7">
      <c r="A3" t="s">
        <v>69</v>
      </c>
      <c r="B3" t="s">
        <v>68</v>
      </c>
      <c r="C3" t="s">
        <v>56</v>
      </c>
      <c r="D3">
        <v>530.29914529914527</v>
      </c>
      <c r="E3">
        <v>11.113309282890571</v>
      </c>
      <c r="F3">
        <v>3.240362104796831</v>
      </c>
      <c r="G3">
        <v>1.4356313716497491</v>
      </c>
    </row>
    <row r="4" spans="1:7">
      <c r="A4" t="s">
        <v>69</v>
      </c>
      <c r="B4" t="s">
        <v>68</v>
      </c>
      <c r="C4" t="s">
        <v>57</v>
      </c>
      <c r="D4">
        <v>320.5128205128205</v>
      </c>
      <c r="E4">
        <v>10.98182745522983</v>
      </c>
      <c r="F4">
        <v>1.786915917188344</v>
      </c>
      <c r="G4">
        <v>1.2338592057070381</v>
      </c>
    </row>
    <row r="5" spans="1:7">
      <c r="A5" t="s">
        <v>69</v>
      </c>
      <c r="B5" t="s">
        <v>68</v>
      </c>
      <c r="C5" t="s">
        <v>58</v>
      </c>
      <c r="D5">
        <v>317.71062271062272</v>
      </c>
      <c r="E5">
        <v>6.316610586000456</v>
      </c>
      <c r="F5">
        <v>4.8818275953008214</v>
      </c>
      <c r="G5">
        <v>6.8671074631934266</v>
      </c>
    </row>
    <row r="6" spans="1:7">
      <c r="A6" t="s">
        <v>69</v>
      </c>
      <c r="B6" t="s">
        <v>68</v>
      </c>
      <c r="C6" t="s">
        <v>59</v>
      </c>
      <c r="D6">
        <v>376.5022137887413</v>
      </c>
      <c r="E6">
        <v>112.72314874439481</v>
      </c>
      <c r="F6">
        <v>-4.0843947126771987</v>
      </c>
      <c r="G6">
        <v>2.7466474692313669</v>
      </c>
    </row>
    <row r="7" spans="1:7">
      <c r="A7" t="s">
        <v>69</v>
      </c>
      <c r="B7" t="s">
        <v>68</v>
      </c>
      <c r="C7" t="s">
        <v>60</v>
      </c>
      <c r="D7">
        <v>580.27417027417027</v>
      </c>
      <c r="E7">
        <v>27.4441917530079</v>
      </c>
      <c r="F7">
        <v>0.95311407518423874</v>
      </c>
      <c r="G7">
        <v>0.84911740424786708</v>
      </c>
    </row>
    <row r="8" spans="1:7">
      <c r="A8" t="s">
        <v>69</v>
      </c>
      <c r="B8" t="s">
        <v>68</v>
      </c>
      <c r="C8" t="s">
        <v>61</v>
      </c>
      <c r="D8">
        <v>292.51456301938441</v>
      </c>
      <c r="E8">
        <v>115.5277454829986</v>
      </c>
      <c r="F8">
        <v>2.680251779194363</v>
      </c>
      <c r="G8">
        <v>1.3931996557259121</v>
      </c>
    </row>
    <row r="9" spans="1:7">
      <c r="A9" t="s">
        <v>69</v>
      </c>
      <c r="B9" t="s">
        <v>68</v>
      </c>
      <c r="C9" t="s">
        <v>62</v>
      </c>
      <c r="D9">
        <v>216.969696969697</v>
      </c>
      <c r="E9">
        <v>35.323508171873442</v>
      </c>
      <c r="F9">
        <v>-3.6180865087035952</v>
      </c>
      <c r="G9">
        <v>6.8338299982125941</v>
      </c>
    </row>
    <row r="10" spans="1:7">
      <c r="A10" t="s">
        <v>69</v>
      </c>
      <c r="B10" t="s">
        <v>69</v>
      </c>
      <c r="C10" t="s">
        <v>55</v>
      </c>
      <c r="D10">
        <v>362.16693638533161</v>
      </c>
      <c r="E10">
        <v>12.836883228398699</v>
      </c>
      <c r="F10">
        <v>5.9965037346119621</v>
      </c>
      <c r="G10">
        <v>10.49614591169883</v>
      </c>
    </row>
    <row r="11" spans="1:7">
      <c r="A11" t="s">
        <v>69</v>
      </c>
      <c r="B11" t="s">
        <v>69</v>
      </c>
      <c r="C11" t="s">
        <v>56</v>
      </c>
      <c r="D11">
        <v>564.17378917378915</v>
      </c>
      <c r="E11">
        <v>23.207462905852299</v>
      </c>
      <c r="F11">
        <v>2.2802962033661212</v>
      </c>
      <c r="G11">
        <v>0.76928476473939877</v>
      </c>
    </row>
    <row r="12" spans="1:7">
      <c r="A12" t="s">
        <v>69</v>
      </c>
      <c r="B12" t="s">
        <v>69</v>
      </c>
      <c r="C12" t="s">
        <v>57</v>
      </c>
      <c r="D12">
        <v>312.27820750700818</v>
      </c>
      <c r="E12">
        <v>19.237787919635849</v>
      </c>
      <c r="F12">
        <v>15.550117288601641</v>
      </c>
      <c r="G12">
        <v>19.271409382656429</v>
      </c>
    </row>
    <row r="13" spans="1:7">
      <c r="A13" t="s">
        <v>69</v>
      </c>
      <c r="B13" t="s">
        <v>69</v>
      </c>
      <c r="C13" t="s">
        <v>58</v>
      </c>
      <c r="D13">
        <v>443.68673933046853</v>
      </c>
      <c r="E13">
        <v>7.580323561983449</v>
      </c>
      <c r="F13">
        <v>1.3156544380635271</v>
      </c>
      <c r="G13">
        <v>3.8303579556130658</v>
      </c>
    </row>
    <row r="14" spans="1:7">
      <c r="A14" t="s">
        <v>69</v>
      </c>
      <c r="B14" t="s">
        <v>69</v>
      </c>
      <c r="C14" t="s">
        <v>59</v>
      </c>
      <c r="D14">
        <v>194.33558695558929</v>
      </c>
      <c r="E14">
        <v>25.07896686526427</v>
      </c>
      <c r="F14">
        <v>2.67567222034205</v>
      </c>
      <c r="G14">
        <v>13.063613235361609</v>
      </c>
    </row>
    <row r="15" spans="1:7">
      <c r="A15" t="s">
        <v>69</v>
      </c>
      <c r="B15" t="s">
        <v>69</v>
      </c>
      <c r="C15" t="s">
        <v>60</v>
      </c>
      <c r="D15">
        <v>374.69149486440551</v>
      </c>
      <c r="E15">
        <v>72.941028302282746</v>
      </c>
      <c r="F15">
        <v>3.4868310065624879</v>
      </c>
      <c r="G15">
        <v>2.964376483255807</v>
      </c>
    </row>
    <row r="16" spans="1:7">
      <c r="A16" t="s">
        <v>69</v>
      </c>
      <c r="B16" t="s">
        <v>69</v>
      </c>
      <c r="C16" t="s">
        <v>62</v>
      </c>
      <c r="D16">
        <v>228.2997712415129</v>
      </c>
      <c r="E16">
        <v>72.147187304624538</v>
      </c>
      <c r="F16">
        <v>1.3740331798124461</v>
      </c>
      <c r="G16">
        <v>2.781929719179538</v>
      </c>
    </row>
    <row r="17" spans="1:7">
      <c r="A17" t="s">
        <v>69</v>
      </c>
      <c r="B17" t="s">
        <v>69</v>
      </c>
      <c r="C17" t="s">
        <v>63</v>
      </c>
      <c r="D17">
        <v>251.6382353733797</v>
      </c>
      <c r="E17">
        <v>17.92017118325337</v>
      </c>
      <c r="F17">
        <v>2.5177203729065041</v>
      </c>
      <c r="G17">
        <v>4.026580096844059</v>
      </c>
    </row>
    <row r="18" spans="1:7">
      <c r="A18" t="s">
        <v>69</v>
      </c>
      <c r="B18" t="s">
        <v>70</v>
      </c>
      <c r="C18" t="s">
        <v>56</v>
      </c>
      <c r="D18">
        <v>527.52252252252254</v>
      </c>
      <c r="E18">
        <v>35.038610481792233</v>
      </c>
      <c r="F18">
        <v>2.352797833496568</v>
      </c>
      <c r="G18">
        <v>1.181893603825563</v>
      </c>
    </row>
    <row r="19" spans="1:7">
      <c r="A19" t="s">
        <v>69</v>
      </c>
      <c r="B19" t="s">
        <v>70</v>
      </c>
      <c r="C19" t="s">
        <v>57</v>
      </c>
      <c r="D19">
        <v>318.1074740861975</v>
      </c>
      <c r="E19">
        <v>21.170926718639219</v>
      </c>
      <c r="F19">
        <v>9.8776134634324322</v>
      </c>
      <c r="G19">
        <v>16.85958886191959</v>
      </c>
    </row>
    <row r="20" spans="1:7">
      <c r="A20" t="s">
        <v>69</v>
      </c>
      <c r="B20" t="s">
        <v>70</v>
      </c>
      <c r="C20" t="s">
        <v>58</v>
      </c>
      <c r="D20">
        <v>399.74310776942349</v>
      </c>
      <c r="E20">
        <v>14.96967089994701</v>
      </c>
      <c r="F20">
        <v>0.38168580205425778</v>
      </c>
      <c r="G20">
        <v>1.619634113293615</v>
      </c>
    </row>
    <row r="21" spans="1:7">
      <c r="A21" t="s">
        <v>69</v>
      </c>
      <c r="B21" t="s">
        <v>70</v>
      </c>
      <c r="C21" t="s">
        <v>59</v>
      </c>
      <c r="D21">
        <v>165.62236455775849</v>
      </c>
      <c r="E21">
        <v>22.985047962799459</v>
      </c>
      <c r="F21">
        <v>5.7905671650995831</v>
      </c>
      <c r="G21">
        <v>11.968176893523401</v>
      </c>
    </row>
    <row r="22" spans="1:7">
      <c r="A22" t="s">
        <v>69</v>
      </c>
      <c r="B22" t="s">
        <v>70</v>
      </c>
      <c r="C22" t="s">
        <v>60</v>
      </c>
      <c r="D22">
        <v>227.88012922308201</v>
      </c>
      <c r="E22">
        <v>28.516955064044801</v>
      </c>
      <c r="F22">
        <v>4.9725168970636036</v>
      </c>
      <c r="G22">
        <v>1.7101898229406001</v>
      </c>
    </row>
    <row r="23" spans="1:7">
      <c r="A23" t="s">
        <v>69</v>
      </c>
      <c r="B23" t="s">
        <v>70</v>
      </c>
      <c r="C23" t="s">
        <v>62</v>
      </c>
      <c r="D23">
        <v>168.1013906985859</v>
      </c>
      <c r="E23">
        <v>15.911066141124561</v>
      </c>
      <c r="F23">
        <v>3.6246178607550008</v>
      </c>
      <c r="G23">
        <v>1.678838363329787</v>
      </c>
    </row>
    <row r="24" spans="1:7">
      <c r="A24" t="s">
        <v>69</v>
      </c>
      <c r="B24" t="s">
        <v>70</v>
      </c>
      <c r="C24" t="s">
        <v>63</v>
      </c>
      <c r="D24">
        <v>111.6527036831027</v>
      </c>
      <c r="E24">
        <v>13.96551778185729</v>
      </c>
      <c r="F24">
        <v>5.6116784302542966</v>
      </c>
      <c r="G24">
        <v>2.8316836275457509</v>
      </c>
    </row>
    <row r="25" spans="1:7">
      <c r="A25" t="s">
        <v>71</v>
      </c>
      <c r="B25" t="s">
        <v>68</v>
      </c>
      <c r="C25" t="s">
        <v>55</v>
      </c>
      <c r="D25">
        <v>326.81424808729457</v>
      </c>
      <c r="E25">
        <v>13.11725954225682</v>
      </c>
      <c r="F25">
        <v>6.9653434106658771</v>
      </c>
      <c r="G25">
        <v>2.208376881081862</v>
      </c>
    </row>
    <row r="26" spans="1:7">
      <c r="A26" t="s">
        <v>71</v>
      </c>
      <c r="B26" t="s">
        <v>68</v>
      </c>
      <c r="C26" t="s">
        <v>56</v>
      </c>
      <c r="D26">
        <v>563.88888888888891</v>
      </c>
      <c r="E26">
        <v>7.8763593770876934</v>
      </c>
      <c r="F26">
        <v>3.1376912333028981</v>
      </c>
      <c r="G26">
        <v>1.8930777933399461</v>
      </c>
    </row>
    <row r="27" spans="1:7">
      <c r="A27" t="s">
        <v>71</v>
      </c>
      <c r="B27" t="s">
        <v>68</v>
      </c>
      <c r="C27" t="s">
        <v>57</v>
      </c>
      <c r="D27">
        <v>348.82847038019452</v>
      </c>
      <c r="E27">
        <v>29.64200871497496</v>
      </c>
      <c r="F27">
        <v>1.7890192177663971</v>
      </c>
      <c r="G27">
        <v>1.455338150008725</v>
      </c>
    </row>
    <row r="28" spans="1:7">
      <c r="A28" t="s">
        <v>71</v>
      </c>
      <c r="B28" t="s">
        <v>68</v>
      </c>
      <c r="C28" t="s">
        <v>58</v>
      </c>
      <c r="D28">
        <v>341.69808201058203</v>
      </c>
      <c r="E28">
        <v>3.782222818495542</v>
      </c>
      <c r="F28">
        <v>6.0002185767300062</v>
      </c>
      <c r="G28">
        <v>1.4898742716701889</v>
      </c>
    </row>
    <row r="29" spans="1:7">
      <c r="A29" t="s">
        <v>71</v>
      </c>
      <c r="B29" t="s">
        <v>68</v>
      </c>
      <c r="C29" t="s">
        <v>59</v>
      </c>
      <c r="D29">
        <v>440.60721062618597</v>
      </c>
      <c r="E29">
        <v>102.0888736712046</v>
      </c>
      <c r="F29">
        <v>-3.1501170833403251</v>
      </c>
      <c r="G29">
        <v>3.127080199241115</v>
      </c>
    </row>
    <row r="30" spans="1:7">
      <c r="A30" t="s">
        <v>71</v>
      </c>
      <c r="B30" t="s">
        <v>68</v>
      </c>
      <c r="C30" t="s">
        <v>60</v>
      </c>
      <c r="D30">
        <v>655.38961038961043</v>
      </c>
      <c r="E30">
        <v>20.364307697948281</v>
      </c>
      <c r="F30">
        <v>0.20544698937518119</v>
      </c>
      <c r="G30">
        <v>2.2086816760200381</v>
      </c>
    </row>
    <row r="31" spans="1:7">
      <c r="A31" t="s">
        <v>71</v>
      </c>
      <c r="B31" t="s">
        <v>68</v>
      </c>
      <c r="C31" t="s">
        <v>61</v>
      </c>
      <c r="D31">
        <v>380.79797243155161</v>
      </c>
      <c r="E31">
        <v>113.1255920225199</v>
      </c>
      <c r="F31">
        <v>0.59801817311632821</v>
      </c>
      <c r="G31">
        <v>0.65946987226867448</v>
      </c>
    </row>
    <row r="32" spans="1:7">
      <c r="A32" t="s">
        <v>71</v>
      </c>
      <c r="B32" t="s">
        <v>68</v>
      </c>
      <c r="C32" t="s">
        <v>62</v>
      </c>
      <c r="D32">
        <v>312.32323232323228</v>
      </c>
      <c r="E32">
        <v>22.808608666982231</v>
      </c>
      <c r="F32">
        <v>-2.700140420666159</v>
      </c>
      <c r="G32">
        <v>8.707526275023902</v>
      </c>
    </row>
    <row r="33" spans="1:7">
      <c r="A33" t="s">
        <v>71</v>
      </c>
      <c r="B33" t="s">
        <v>69</v>
      </c>
      <c r="C33" t="s">
        <v>55</v>
      </c>
      <c r="D33">
        <v>393.53958991013019</v>
      </c>
      <c r="E33">
        <v>8.1251270033465346</v>
      </c>
      <c r="F33">
        <v>10.299983194488309</v>
      </c>
      <c r="G33">
        <v>1.4303838198145591</v>
      </c>
    </row>
    <row r="34" spans="1:7">
      <c r="A34" t="s">
        <v>71</v>
      </c>
      <c r="B34" t="s">
        <v>69</v>
      </c>
      <c r="C34" t="s">
        <v>56</v>
      </c>
      <c r="D34">
        <v>600.85470085470081</v>
      </c>
      <c r="E34">
        <v>5.749411985928937</v>
      </c>
      <c r="F34">
        <v>1.808306147772863</v>
      </c>
      <c r="G34">
        <v>1.1643582934767369</v>
      </c>
    </row>
    <row r="35" spans="1:7">
      <c r="A35" t="s">
        <v>71</v>
      </c>
      <c r="B35" t="s">
        <v>69</v>
      </c>
      <c r="C35" t="s">
        <v>57</v>
      </c>
      <c r="D35">
        <v>339.17604440267633</v>
      </c>
      <c r="E35">
        <v>9.3311351280141359</v>
      </c>
      <c r="F35">
        <v>1.64848015340475</v>
      </c>
      <c r="G35">
        <v>2.0265623374150019</v>
      </c>
    </row>
    <row r="36" spans="1:7">
      <c r="A36" t="s">
        <v>71</v>
      </c>
      <c r="B36" t="s">
        <v>69</v>
      </c>
      <c r="C36" t="s">
        <v>58</v>
      </c>
      <c r="D36">
        <v>457.86708974833277</v>
      </c>
      <c r="E36">
        <v>13.75352530478863</v>
      </c>
      <c r="F36">
        <v>2.5744453435292769</v>
      </c>
      <c r="G36">
        <v>3.9779506750742568</v>
      </c>
    </row>
    <row r="37" spans="1:7">
      <c r="A37" t="s">
        <v>71</v>
      </c>
      <c r="B37" t="s">
        <v>69</v>
      </c>
      <c r="C37" t="s">
        <v>59</v>
      </c>
      <c r="D37">
        <v>255.46646645845041</v>
      </c>
      <c r="E37">
        <v>11.74531830281356</v>
      </c>
      <c r="F37">
        <v>2.0764101747867172</v>
      </c>
      <c r="G37">
        <v>5.193073104832167</v>
      </c>
    </row>
    <row r="38" spans="1:7">
      <c r="A38" t="s">
        <v>71</v>
      </c>
      <c r="B38" t="s">
        <v>69</v>
      </c>
      <c r="C38" t="s">
        <v>60</v>
      </c>
      <c r="D38">
        <v>464.60613425070682</v>
      </c>
      <c r="E38">
        <v>41.887489098003243</v>
      </c>
      <c r="F38">
        <v>-0.44137820475165013</v>
      </c>
      <c r="G38">
        <v>2.9696470753902449</v>
      </c>
    </row>
    <row r="39" spans="1:7">
      <c r="A39" t="s">
        <v>71</v>
      </c>
      <c r="B39" t="s">
        <v>69</v>
      </c>
      <c r="C39" t="s">
        <v>62</v>
      </c>
      <c r="D39">
        <v>308.74407004375172</v>
      </c>
      <c r="E39">
        <v>98.290660193050229</v>
      </c>
      <c r="F39">
        <v>1.0924445030216769</v>
      </c>
      <c r="G39">
        <v>3.7909399927063792</v>
      </c>
    </row>
    <row r="40" spans="1:7">
      <c r="A40" t="s">
        <v>71</v>
      </c>
      <c r="B40" t="s">
        <v>69</v>
      </c>
      <c r="C40" t="s">
        <v>63</v>
      </c>
      <c r="D40">
        <v>300.20718462823731</v>
      </c>
      <c r="E40">
        <v>23.393301838277299</v>
      </c>
      <c r="F40">
        <v>-1.3394914678989429</v>
      </c>
      <c r="G40">
        <v>0.67731268843443093</v>
      </c>
    </row>
    <row r="41" spans="1:7">
      <c r="A41" t="s">
        <v>71</v>
      </c>
      <c r="B41" t="s">
        <v>70</v>
      </c>
      <c r="C41" t="s">
        <v>56</v>
      </c>
      <c r="D41">
        <v>558.06306306306305</v>
      </c>
      <c r="E41">
        <v>27.979935591681279</v>
      </c>
      <c r="F41">
        <v>1.508829778341005</v>
      </c>
      <c r="G41">
        <v>0.90388117064519424</v>
      </c>
    </row>
    <row r="42" spans="1:7">
      <c r="A42" t="s">
        <v>71</v>
      </c>
      <c r="B42" t="s">
        <v>70</v>
      </c>
      <c r="C42" t="s">
        <v>57</v>
      </c>
      <c r="D42">
        <v>354.42880523731583</v>
      </c>
      <c r="E42">
        <v>24.818590285482401</v>
      </c>
      <c r="F42">
        <v>-0.63511525244354039</v>
      </c>
      <c r="G42">
        <v>0.53550782283786258</v>
      </c>
    </row>
    <row r="43" spans="1:7">
      <c r="A43" t="s">
        <v>71</v>
      </c>
      <c r="B43" t="s">
        <v>70</v>
      </c>
      <c r="C43" t="s">
        <v>58</v>
      </c>
      <c r="D43">
        <v>408.91812865497081</v>
      </c>
      <c r="E43">
        <v>13.95490619807329</v>
      </c>
      <c r="F43">
        <v>3.6983905427524761</v>
      </c>
      <c r="G43">
        <v>0.95413290845832843</v>
      </c>
    </row>
    <row r="44" spans="1:7">
      <c r="A44" t="s">
        <v>71</v>
      </c>
      <c r="B44" t="s">
        <v>70</v>
      </c>
      <c r="C44" t="s">
        <v>59</v>
      </c>
      <c r="D44">
        <v>226.69934701667071</v>
      </c>
      <c r="E44">
        <v>20.649502214487519</v>
      </c>
      <c r="F44">
        <v>3.0044775158282051</v>
      </c>
      <c r="G44">
        <v>0.87015745041190262</v>
      </c>
    </row>
    <row r="45" spans="1:7">
      <c r="A45" t="s">
        <v>71</v>
      </c>
      <c r="B45" t="s">
        <v>70</v>
      </c>
      <c r="C45" t="s">
        <v>60</v>
      </c>
      <c r="D45">
        <v>319.98104037418301</v>
      </c>
      <c r="E45">
        <v>29.258227130980849</v>
      </c>
      <c r="F45">
        <v>3.6901970601648402</v>
      </c>
      <c r="G45">
        <v>1.3799460539663579</v>
      </c>
    </row>
    <row r="46" spans="1:7">
      <c r="A46" t="s">
        <v>71</v>
      </c>
      <c r="B46" t="s">
        <v>70</v>
      </c>
      <c r="C46" t="s">
        <v>62</v>
      </c>
      <c r="D46">
        <v>213.59106382772811</v>
      </c>
      <c r="E46">
        <v>8.8252531357117441</v>
      </c>
      <c r="F46">
        <v>2.4672116321031701</v>
      </c>
      <c r="G46">
        <v>6.5189211765260424</v>
      </c>
    </row>
    <row r="47" spans="1:7">
      <c r="A47" t="s">
        <v>71</v>
      </c>
      <c r="B47" t="s">
        <v>70</v>
      </c>
      <c r="C47" t="s">
        <v>63</v>
      </c>
      <c r="D47">
        <v>165.87350767746801</v>
      </c>
      <c r="E47">
        <v>15.74241871783841</v>
      </c>
      <c r="F47">
        <v>4.6006891158595078</v>
      </c>
      <c r="G47">
        <v>3.6412122189260621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3</vt:i4>
      </vt:variant>
    </vt:vector>
  </HeadingPairs>
  <TitlesOfParts>
    <vt:vector size="3" baseType="lpstr">
      <vt:lpstr>Sheet1</vt:lpstr>
      <vt:lpstr>statistikai</vt:lpstr>
      <vt:lpstr>mean_SD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Ilze I</dc:creator>
  <cp:lastModifiedBy>Mikus Kampuss</cp:lastModifiedBy>
  <dcterms:created xsi:type="dcterms:W3CDTF">2024-10-31T14:48:33Z</dcterms:created>
  <dcterms:modified xsi:type="dcterms:W3CDTF">2026-04-02T15:48:59Z</dcterms:modified>
</cp:coreProperties>
</file>