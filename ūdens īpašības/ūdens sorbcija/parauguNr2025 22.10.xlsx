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etotajs\Documents\Mikus\4SemDarbini\MD\"/>
    </mc:Choice>
  </mc:AlternateContent>
  <xr:revisionPtr revIDLastSave="0" documentId="13_ncr:1_{FF1FAFA0-8BBC-4A28-8F0D-53D9EC6EF600}" xr6:coauthVersionLast="47" xr6:coauthVersionMax="47" xr10:uidLastSave="{00000000-0000-0000-0000-000000000000}"/>
  <bookViews>
    <workbookView xWindow="-110" yWindow="-110" windowWidth="19420" windowHeight="10300" firstSheet="8" activeTab="12" xr2:uid="{00000000-000D-0000-FFFF-FFFF00000000}"/>
  </bookViews>
  <sheets>
    <sheet name="stienīši" sheetId="1" r:id="rId1"/>
    <sheet name="kubiņi" sheetId="2" r:id="rId2"/>
    <sheet name="Sl suberinskabe" sheetId="3" r:id="rId3"/>
    <sheet name="Sl hito+suberinskabe" sheetId="4" r:id="rId4"/>
    <sheet name="Sl Hito" sheetId="5" r:id="rId5"/>
    <sheet name="Sa suberīnskābe" sheetId="6" r:id="rId6"/>
    <sheet name="Sa hito + sub" sheetId="7" r:id="rId7"/>
    <sheet name="tab videjie" sheetId="8" r:id="rId8"/>
    <sheet name="liecei" sheetId="9" r:id="rId9"/>
    <sheet name="spiedei" sheetId="10" r:id="rId10"/>
    <sheet name="ūd. sorbcija Sl" sheetId="11" r:id="rId11"/>
    <sheet name="ūd sorbcija Sa" sheetId="12" r:id="rId12"/>
    <sheet name="ūd_sorbc_statistikai" sheetId="13" r:id="rId13"/>
    <sheet name="kubinu_apstrādes" sheetId="14" r:id="rId14"/>
    <sheet name="stienisu_apstrades" sheetId="15" r:id="rId15"/>
    <sheet name="ūdens sorbcija mean, sd" sheetId="16" r:id="rId16"/>
    <sheet name="higro" sheetId="17" r:id="rId17"/>
    <sheet name="Komp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fF8otH+sNvfGrMdh7dJfvt6UKcYAOD/BX4rseEI/cL8="/>
    </ext>
  </extLst>
</workbook>
</file>

<file path=xl/calcChain.xml><?xml version="1.0" encoding="utf-8"?>
<calcChain xmlns="http://schemas.openxmlformats.org/spreadsheetml/2006/main">
  <c r="P3" i="13" l="1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P234" i="13"/>
  <c r="P235" i="13"/>
  <c r="P236" i="13"/>
  <c r="P237" i="13"/>
  <c r="P238" i="13"/>
  <c r="P239" i="13"/>
  <c r="P240" i="13"/>
  <c r="P241" i="13"/>
  <c r="P242" i="13"/>
  <c r="P243" i="13"/>
  <c r="P244" i="13"/>
  <c r="P2" i="13"/>
  <c r="E5" i="3"/>
  <c r="D5" i="3"/>
  <c r="J41" i="15"/>
  <c r="H41" i="15"/>
  <c r="G41" i="15"/>
  <c r="I41" i="15" s="1"/>
  <c r="J40" i="15"/>
  <c r="I40" i="15"/>
  <c r="H40" i="15"/>
  <c r="G40" i="15"/>
  <c r="J39" i="15"/>
  <c r="I39" i="15"/>
  <c r="H39" i="15"/>
  <c r="G39" i="15"/>
  <c r="J38" i="15"/>
  <c r="I38" i="15"/>
  <c r="H38" i="15"/>
  <c r="G38" i="15"/>
  <c r="J37" i="15"/>
  <c r="I37" i="15"/>
  <c r="H37" i="15"/>
  <c r="G37" i="15"/>
  <c r="J36" i="15"/>
  <c r="I36" i="15"/>
  <c r="H36" i="15"/>
  <c r="G36" i="15"/>
  <c r="J35" i="15"/>
  <c r="I35" i="15"/>
  <c r="H35" i="15"/>
  <c r="G35" i="15"/>
  <c r="J34" i="15"/>
  <c r="I34" i="15"/>
  <c r="H34" i="15"/>
  <c r="G34" i="15"/>
  <c r="J33" i="15"/>
  <c r="I33" i="15"/>
  <c r="H33" i="15"/>
  <c r="G33" i="15"/>
  <c r="J32" i="15"/>
  <c r="I32" i="15"/>
  <c r="H32" i="15"/>
  <c r="G32" i="15"/>
  <c r="J31" i="15"/>
  <c r="I31" i="15"/>
  <c r="H31" i="15"/>
  <c r="G31" i="15"/>
  <c r="J30" i="15"/>
  <c r="I30" i="15"/>
  <c r="H30" i="15"/>
  <c r="G30" i="15"/>
  <c r="M29" i="15"/>
  <c r="K29" i="15"/>
  <c r="L29" i="15" s="1"/>
  <c r="L28" i="15"/>
  <c r="K28" i="15"/>
  <c r="M28" i="15" s="1"/>
  <c r="M27" i="15"/>
  <c r="K27" i="15"/>
  <c r="L27" i="15" s="1"/>
  <c r="M26" i="15"/>
  <c r="L26" i="15"/>
  <c r="K26" i="15"/>
  <c r="K25" i="15"/>
  <c r="L25" i="15" s="1"/>
  <c r="L24" i="15"/>
  <c r="K24" i="15"/>
  <c r="M24" i="15" s="1"/>
  <c r="K23" i="15"/>
  <c r="L23" i="15" s="1"/>
  <c r="M22" i="15"/>
  <c r="L22" i="15"/>
  <c r="K22" i="15"/>
  <c r="M21" i="15"/>
  <c r="K21" i="15"/>
  <c r="L21" i="15" s="1"/>
  <c r="L20" i="15"/>
  <c r="K20" i="15"/>
  <c r="M20" i="15" s="1"/>
  <c r="M19" i="15"/>
  <c r="K19" i="15"/>
  <c r="L19" i="15" s="1"/>
  <c r="M18" i="15"/>
  <c r="L18" i="15"/>
  <c r="K18" i="15"/>
  <c r="K17" i="15"/>
  <c r="L17" i="15" s="1"/>
  <c r="L16" i="15"/>
  <c r="K16" i="15"/>
  <c r="M16" i="15" s="1"/>
  <c r="K15" i="15"/>
  <c r="L15" i="15" s="1"/>
  <c r="M14" i="15"/>
  <c r="L14" i="15"/>
  <c r="K14" i="15"/>
  <c r="M13" i="15"/>
  <c r="K13" i="15"/>
  <c r="L13" i="15" s="1"/>
  <c r="L12" i="15"/>
  <c r="K12" i="15"/>
  <c r="M12" i="15" s="1"/>
  <c r="M11" i="15"/>
  <c r="K11" i="15"/>
  <c r="L11" i="15" s="1"/>
  <c r="M10" i="15"/>
  <c r="L10" i="15"/>
  <c r="K10" i="15"/>
  <c r="K9" i="15"/>
  <c r="L9" i="15" s="1"/>
  <c r="G9" i="15"/>
  <c r="L8" i="15"/>
  <c r="K8" i="15"/>
  <c r="M8" i="15" s="1"/>
  <c r="J8" i="15"/>
  <c r="H8" i="15"/>
  <c r="G8" i="15"/>
  <c r="I8" i="15" s="1"/>
  <c r="M7" i="15"/>
  <c r="K7" i="15"/>
  <c r="L7" i="15" s="1"/>
  <c r="I7" i="15"/>
  <c r="G7" i="15"/>
  <c r="M6" i="15"/>
  <c r="L6" i="15"/>
  <c r="K6" i="15"/>
  <c r="J6" i="15"/>
  <c r="I6" i="15"/>
  <c r="H6" i="15"/>
  <c r="G6" i="15"/>
  <c r="K5" i="15"/>
  <c r="L5" i="15" s="1"/>
  <c r="G5" i="15"/>
  <c r="L4" i="15"/>
  <c r="K4" i="15"/>
  <c r="M4" i="15" s="1"/>
  <c r="J4" i="15"/>
  <c r="H4" i="15"/>
  <c r="G4" i="15"/>
  <c r="I4" i="15" s="1"/>
  <c r="M3" i="15"/>
  <c r="K3" i="15"/>
  <c r="L3" i="15" s="1"/>
  <c r="G3" i="15"/>
  <c r="I3" i="15" s="1"/>
  <c r="M2" i="15"/>
  <c r="L2" i="15"/>
  <c r="K2" i="15"/>
  <c r="J2" i="15"/>
  <c r="I2" i="15"/>
  <c r="H2" i="15"/>
  <c r="G2" i="15"/>
  <c r="M155" i="14"/>
  <c r="K155" i="14"/>
  <c r="L155" i="14" s="1"/>
  <c r="L154" i="14"/>
  <c r="K154" i="14"/>
  <c r="M154" i="14" s="1"/>
  <c r="M153" i="14"/>
  <c r="K153" i="14"/>
  <c r="L153" i="14" s="1"/>
  <c r="L152" i="14"/>
  <c r="K152" i="14"/>
  <c r="M152" i="14" s="1"/>
  <c r="K151" i="14"/>
  <c r="L151" i="14" s="1"/>
  <c r="L150" i="14"/>
  <c r="K150" i="14"/>
  <c r="M150" i="14" s="1"/>
  <c r="K149" i="14"/>
  <c r="L149" i="14" s="1"/>
  <c r="M148" i="14"/>
  <c r="L148" i="14"/>
  <c r="K148" i="14"/>
  <c r="K147" i="14"/>
  <c r="L147" i="14" s="1"/>
  <c r="L146" i="14"/>
  <c r="K146" i="14"/>
  <c r="M146" i="14" s="1"/>
  <c r="K145" i="14"/>
  <c r="L145" i="14" s="1"/>
  <c r="L144" i="14"/>
  <c r="K144" i="14"/>
  <c r="M144" i="14" s="1"/>
  <c r="K143" i="14"/>
  <c r="L143" i="14" s="1"/>
  <c r="L142" i="14"/>
  <c r="K142" i="14"/>
  <c r="M142" i="14" s="1"/>
  <c r="K141" i="14"/>
  <c r="L141" i="14" s="1"/>
  <c r="L140" i="14"/>
  <c r="K140" i="14"/>
  <c r="M140" i="14" s="1"/>
  <c r="K139" i="14"/>
  <c r="L139" i="14" s="1"/>
  <c r="L138" i="14"/>
  <c r="K138" i="14"/>
  <c r="M138" i="14" s="1"/>
  <c r="K137" i="14"/>
  <c r="L137" i="14" s="1"/>
  <c r="L136" i="14"/>
  <c r="K136" i="14"/>
  <c r="M136" i="14" s="1"/>
  <c r="K135" i="14"/>
  <c r="L135" i="14" s="1"/>
  <c r="L134" i="14"/>
  <c r="K134" i="14"/>
  <c r="M134" i="14" s="1"/>
  <c r="K133" i="14"/>
  <c r="L133" i="14" s="1"/>
  <c r="L132" i="14"/>
  <c r="K132" i="14"/>
  <c r="M132" i="14" s="1"/>
  <c r="K131" i="14"/>
  <c r="L131" i="14" s="1"/>
  <c r="L130" i="14"/>
  <c r="K130" i="14"/>
  <c r="M130" i="14" s="1"/>
  <c r="K129" i="14"/>
  <c r="L129" i="14" s="1"/>
  <c r="L128" i="14"/>
  <c r="K128" i="14"/>
  <c r="M128" i="14" s="1"/>
  <c r="K127" i="14"/>
  <c r="L127" i="14" s="1"/>
  <c r="L126" i="14"/>
  <c r="K126" i="14"/>
  <c r="M126" i="14" s="1"/>
  <c r="K125" i="14"/>
  <c r="L125" i="14" s="1"/>
  <c r="L124" i="14"/>
  <c r="K124" i="14"/>
  <c r="M124" i="14" s="1"/>
  <c r="K123" i="14"/>
  <c r="L123" i="14" s="1"/>
  <c r="L122" i="14"/>
  <c r="K122" i="14"/>
  <c r="M122" i="14" s="1"/>
  <c r="K121" i="14"/>
  <c r="L121" i="14" s="1"/>
  <c r="M120" i="14"/>
  <c r="L120" i="14"/>
  <c r="K120" i="14"/>
  <c r="M119" i="14"/>
  <c r="K119" i="14"/>
  <c r="L119" i="14" s="1"/>
  <c r="L118" i="14"/>
  <c r="K118" i="14"/>
  <c r="M118" i="14" s="1"/>
  <c r="M117" i="14"/>
  <c r="K117" i="14"/>
  <c r="L117" i="14" s="1"/>
  <c r="M116" i="14"/>
  <c r="L116" i="14"/>
  <c r="K116" i="14"/>
  <c r="M115" i="14"/>
  <c r="K115" i="14"/>
  <c r="L115" i="14" s="1"/>
  <c r="L114" i="14"/>
  <c r="K114" i="14"/>
  <c r="M114" i="14" s="1"/>
  <c r="M113" i="14"/>
  <c r="K113" i="14"/>
  <c r="L113" i="14" s="1"/>
  <c r="L112" i="14"/>
  <c r="K112" i="14"/>
  <c r="M112" i="14" s="1"/>
  <c r="K111" i="14"/>
  <c r="L111" i="14" s="1"/>
  <c r="L110" i="14"/>
  <c r="K110" i="14"/>
  <c r="M110" i="14" s="1"/>
  <c r="K109" i="14"/>
  <c r="L109" i="14" s="1"/>
  <c r="M108" i="14"/>
  <c r="L108" i="14"/>
  <c r="K108" i="14"/>
  <c r="M107" i="14"/>
  <c r="K107" i="14"/>
  <c r="L107" i="14" s="1"/>
  <c r="L106" i="14"/>
  <c r="K106" i="14"/>
  <c r="M106" i="14" s="1"/>
  <c r="K105" i="14"/>
  <c r="L105" i="14" s="1"/>
  <c r="M104" i="14"/>
  <c r="L104" i="14"/>
  <c r="K104" i="14"/>
  <c r="K103" i="14"/>
  <c r="L103" i="14" s="1"/>
  <c r="L102" i="14"/>
  <c r="K102" i="14"/>
  <c r="M102" i="14" s="1"/>
  <c r="K101" i="14"/>
  <c r="L101" i="14" s="1"/>
  <c r="M100" i="14"/>
  <c r="L100" i="14"/>
  <c r="K100" i="14"/>
  <c r="M99" i="14"/>
  <c r="K99" i="14"/>
  <c r="L99" i="14" s="1"/>
  <c r="L98" i="14"/>
  <c r="K98" i="14"/>
  <c r="M98" i="14" s="1"/>
  <c r="M97" i="14"/>
  <c r="K97" i="14"/>
  <c r="L97" i="14" s="1"/>
  <c r="L96" i="14"/>
  <c r="K96" i="14"/>
  <c r="M96" i="14" s="1"/>
  <c r="M95" i="14"/>
  <c r="K95" i="14"/>
  <c r="L95" i="14" s="1"/>
  <c r="L94" i="14"/>
  <c r="K94" i="14"/>
  <c r="M94" i="14" s="1"/>
  <c r="M93" i="14"/>
  <c r="K93" i="14"/>
  <c r="L93" i="14" s="1"/>
  <c r="L92" i="14"/>
  <c r="K92" i="14"/>
  <c r="M92" i="14" s="1"/>
  <c r="K91" i="14"/>
  <c r="L91" i="14" s="1"/>
  <c r="L90" i="14"/>
  <c r="K90" i="14"/>
  <c r="M90" i="14" s="1"/>
  <c r="K89" i="14"/>
  <c r="L89" i="14" s="1"/>
  <c r="L88" i="14"/>
  <c r="K88" i="14"/>
  <c r="M88" i="14" s="1"/>
  <c r="K87" i="14"/>
  <c r="L87" i="14" s="1"/>
  <c r="L86" i="14"/>
  <c r="K86" i="14"/>
  <c r="M86" i="14" s="1"/>
  <c r="K85" i="14"/>
  <c r="L85" i="14" s="1"/>
  <c r="L84" i="14"/>
  <c r="K84" i="14"/>
  <c r="M84" i="14" s="1"/>
  <c r="K83" i="14"/>
  <c r="L83" i="14" s="1"/>
  <c r="L82" i="14"/>
  <c r="K82" i="14"/>
  <c r="M82" i="14" s="1"/>
  <c r="K81" i="14"/>
  <c r="L81" i="14" s="1"/>
  <c r="L80" i="14"/>
  <c r="K80" i="14"/>
  <c r="M80" i="14" s="1"/>
  <c r="K79" i="14"/>
  <c r="L79" i="14" s="1"/>
  <c r="L78" i="14"/>
  <c r="K78" i="14"/>
  <c r="M78" i="14" s="1"/>
  <c r="K77" i="14"/>
  <c r="L77" i="14" s="1"/>
  <c r="L76" i="14"/>
  <c r="K76" i="14"/>
  <c r="M76" i="14" s="1"/>
  <c r="K75" i="14"/>
  <c r="L75" i="14" s="1"/>
  <c r="I75" i="14"/>
  <c r="G75" i="14"/>
  <c r="L74" i="14"/>
  <c r="K74" i="14"/>
  <c r="M74" i="14" s="1"/>
  <c r="J74" i="14"/>
  <c r="H74" i="14"/>
  <c r="G74" i="14"/>
  <c r="I74" i="14" s="1"/>
  <c r="M73" i="14"/>
  <c r="K73" i="14"/>
  <c r="L73" i="14" s="1"/>
  <c r="G73" i="14"/>
  <c r="L72" i="14"/>
  <c r="K72" i="14"/>
  <c r="M72" i="14" s="1"/>
  <c r="J72" i="14"/>
  <c r="H72" i="14"/>
  <c r="G72" i="14"/>
  <c r="I72" i="14" s="1"/>
  <c r="M71" i="14"/>
  <c r="K71" i="14"/>
  <c r="L71" i="14" s="1"/>
  <c r="G71" i="14"/>
  <c r="L70" i="14"/>
  <c r="K70" i="14"/>
  <c r="M70" i="14" s="1"/>
  <c r="J70" i="14"/>
  <c r="H70" i="14"/>
  <c r="G70" i="14"/>
  <c r="I70" i="14" s="1"/>
  <c r="K69" i="14"/>
  <c r="L69" i="14" s="1"/>
  <c r="I69" i="14"/>
  <c r="G69" i="14"/>
  <c r="M68" i="14"/>
  <c r="L68" i="14"/>
  <c r="K68" i="14"/>
  <c r="J68" i="14"/>
  <c r="I68" i="14"/>
  <c r="H68" i="14"/>
  <c r="G68" i="14"/>
  <c r="M67" i="14"/>
  <c r="K67" i="14"/>
  <c r="L67" i="14" s="1"/>
  <c r="G67" i="14"/>
  <c r="L66" i="14"/>
  <c r="K66" i="14"/>
  <c r="M66" i="14" s="1"/>
  <c r="J66" i="14"/>
  <c r="H66" i="14"/>
  <c r="G66" i="14"/>
  <c r="I66" i="14" s="1"/>
  <c r="K65" i="14"/>
  <c r="L65" i="14" s="1"/>
  <c r="G65" i="14"/>
  <c r="I65" i="14" s="1"/>
  <c r="M64" i="14"/>
  <c r="L64" i="14"/>
  <c r="K64" i="14"/>
  <c r="J64" i="14"/>
  <c r="I64" i="14"/>
  <c r="H64" i="14"/>
  <c r="G64" i="14"/>
  <c r="M63" i="14"/>
  <c r="K63" i="14"/>
  <c r="L63" i="14" s="1"/>
  <c r="I63" i="14"/>
  <c r="G63" i="14"/>
  <c r="L62" i="14"/>
  <c r="K62" i="14"/>
  <c r="M62" i="14" s="1"/>
  <c r="J62" i="14"/>
  <c r="H62" i="14"/>
  <c r="G62" i="14"/>
  <c r="I62" i="14" s="1"/>
  <c r="K61" i="14"/>
  <c r="L61" i="14" s="1"/>
  <c r="G61" i="14"/>
  <c r="I61" i="14" s="1"/>
  <c r="M60" i="14"/>
  <c r="L60" i="14"/>
  <c r="K60" i="14"/>
  <c r="J60" i="14"/>
  <c r="I60" i="14"/>
  <c r="H60" i="14"/>
  <c r="G60" i="14"/>
  <c r="M59" i="14"/>
  <c r="K59" i="14"/>
  <c r="L59" i="14" s="1"/>
  <c r="I59" i="14"/>
  <c r="G59" i="14"/>
  <c r="L58" i="14"/>
  <c r="K58" i="14"/>
  <c r="M58" i="14" s="1"/>
  <c r="J58" i="14"/>
  <c r="H58" i="14"/>
  <c r="G58" i="14"/>
  <c r="I58" i="14" s="1"/>
  <c r="K57" i="14"/>
  <c r="L57" i="14" s="1"/>
  <c r="G57" i="14"/>
  <c r="I57" i="14" s="1"/>
  <c r="K56" i="14"/>
  <c r="M56" i="14" s="1"/>
  <c r="J56" i="14"/>
  <c r="H56" i="14"/>
  <c r="G56" i="14"/>
  <c r="I56" i="14" s="1"/>
  <c r="M55" i="14"/>
  <c r="K55" i="14"/>
  <c r="L55" i="14" s="1"/>
  <c r="I55" i="14"/>
  <c r="G55" i="14"/>
  <c r="J55" i="14" s="1"/>
  <c r="L54" i="14"/>
  <c r="K54" i="14"/>
  <c r="M54" i="14" s="1"/>
  <c r="J54" i="14"/>
  <c r="H54" i="14"/>
  <c r="G54" i="14"/>
  <c r="I54" i="14" s="1"/>
  <c r="K53" i="14"/>
  <c r="M53" i="14" s="1"/>
  <c r="G53" i="14"/>
  <c r="I53" i="14" s="1"/>
  <c r="L52" i="14"/>
  <c r="K52" i="14"/>
  <c r="M52" i="14" s="1"/>
  <c r="J52" i="14"/>
  <c r="H52" i="14"/>
  <c r="G52" i="14"/>
  <c r="I52" i="14" s="1"/>
  <c r="M51" i="14"/>
  <c r="K51" i="14"/>
  <c r="L51" i="14" s="1"/>
  <c r="I51" i="14"/>
  <c r="G51" i="14"/>
  <c r="J51" i="14" s="1"/>
  <c r="M50" i="14"/>
  <c r="L50" i="14"/>
  <c r="K50" i="14"/>
  <c r="J50" i="14"/>
  <c r="I50" i="14"/>
  <c r="H50" i="14"/>
  <c r="G50" i="14"/>
  <c r="K49" i="14"/>
  <c r="M49" i="14" s="1"/>
  <c r="G49" i="14"/>
  <c r="I49" i="14" s="1"/>
  <c r="L48" i="14"/>
  <c r="K48" i="14"/>
  <c r="M48" i="14" s="1"/>
  <c r="J48" i="14"/>
  <c r="H48" i="14"/>
  <c r="G48" i="14"/>
  <c r="I48" i="14" s="1"/>
  <c r="M47" i="14"/>
  <c r="K47" i="14"/>
  <c r="L47" i="14" s="1"/>
  <c r="I47" i="14"/>
  <c r="G47" i="14"/>
  <c r="J47" i="14" s="1"/>
  <c r="M46" i="14"/>
  <c r="L46" i="14"/>
  <c r="K46" i="14"/>
  <c r="J46" i="14"/>
  <c r="I46" i="14"/>
  <c r="H46" i="14"/>
  <c r="G46" i="14"/>
  <c r="K45" i="14"/>
  <c r="M45" i="14" s="1"/>
  <c r="G45" i="14"/>
  <c r="I45" i="14" s="1"/>
  <c r="L44" i="14"/>
  <c r="K44" i="14"/>
  <c r="M44" i="14" s="1"/>
  <c r="J44" i="14"/>
  <c r="H44" i="14"/>
  <c r="G44" i="14"/>
  <c r="I44" i="14" s="1"/>
  <c r="M43" i="14"/>
  <c r="K43" i="14"/>
  <c r="L43" i="14" s="1"/>
  <c r="I43" i="14"/>
  <c r="G43" i="14"/>
  <c r="J43" i="14" s="1"/>
  <c r="M42" i="14"/>
  <c r="L42" i="14"/>
  <c r="K42" i="14"/>
  <c r="J42" i="14"/>
  <c r="I42" i="14"/>
  <c r="H42" i="14"/>
  <c r="G42" i="14"/>
  <c r="K41" i="14"/>
  <c r="M41" i="14" s="1"/>
  <c r="G41" i="14"/>
  <c r="I41" i="14" s="1"/>
  <c r="L40" i="14"/>
  <c r="K40" i="14"/>
  <c r="M40" i="14" s="1"/>
  <c r="J40" i="14"/>
  <c r="H40" i="14"/>
  <c r="G40" i="14"/>
  <c r="I40" i="14" s="1"/>
  <c r="M39" i="14"/>
  <c r="K39" i="14"/>
  <c r="L39" i="14" s="1"/>
  <c r="I39" i="14"/>
  <c r="G39" i="14"/>
  <c r="J39" i="14" s="1"/>
  <c r="M38" i="14"/>
  <c r="L38" i="14"/>
  <c r="K38" i="14"/>
  <c r="J38" i="14"/>
  <c r="I38" i="14"/>
  <c r="H38" i="14"/>
  <c r="G38" i="14"/>
  <c r="K37" i="14"/>
  <c r="M37" i="14" s="1"/>
  <c r="G37" i="14"/>
  <c r="I37" i="14" s="1"/>
  <c r="L36" i="14"/>
  <c r="K36" i="14"/>
  <c r="M36" i="14" s="1"/>
  <c r="J36" i="14"/>
  <c r="H36" i="14"/>
  <c r="G36" i="14"/>
  <c r="I36" i="14" s="1"/>
  <c r="M35" i="14"/>
  <c r="K35" i="14"/>
  <c r="L35" i="14" s="1"/>
  <c r="I35" i="14"/>
  <c r="G35" i="14"/>
  <c r="J35" i="14" s="1"/>
  <c r="M34" i="14"/>
  <c r="L34" i="14"/>
  <c r="K34" i="14"/>
  <c r="J34" i="14"/>
  <c r="I34" i="14"/>
  <c r="H34" i="14"/>
  <c r="G34" i="14"/>
  <c r="K33" i="14"/>
  <c r="M33" i="14" s="1"/>
  <c r="G33" i="14"/>
  <c r="I33" i="14" s="1"/>
  <c r="L32" i="14"/>
  <c r="K32" i="14"/>
  <c r="M32" i="14" s="1"/>
  <c r="J32" i="14"/>
  <c r="H32" i="14"/>
  <c r="G32" i="14"/>
  <c r="I32" i="14" s="1"/>
  <c r="M31" i="14"/>
  <c r="K31" i="14"/>
  <c r="L31" i="14" s="1"/>
  <c r="I31" i="14"/>
  <c r="G31" i="14"/>
  <c r="J31" i="14" s="1"/>
  <c r="M30" i="14"/>
  <c r="L30" i="14"/>
  <c r="K30" i="14"/>
  <c r="J30" i="14"/>
  <c r="I30" i="14"/>
  <c r="H30" i="14"/>
  <c r="G30" i="14"/>
  <c r="K29" i="14"/>
  <c r="M29" i="14" s="1"/>
  <c r="G29" i="14"/>
  <c r="I29" i="14" s="1"/>
  <c r="L28" i="14"/>
  <c r="K28" i="14"/>
  <c r="M28" i="14" s="1"/>
  <c r="J28" i="14"/>
  <c r="H28" i="14"/>
  <c r="G28" i="14"/>
  <c r="I28" i="14" s="1"/>
  <c r="M27" i="14"/>
  <c r="K27" i="14"/>
  <c r="L27" i="14" s="1"/>
  <c r="I27" i="14"/>
  <c r="G27" i="14"/>
  <c r="J27" i="14" s="1"/>
  <c r="M26" i="14"/>
  <c r="L26" i="14"/>
  <c r="K26" i="14"/>
  <c r="J26" i="14"/>
  <c r="I26" i="14"/>
  <c r="H26" i="14"/>
  <c r="G26" i="14"/>
  <c r="K25" i="14"/>
  <c r="M25" i="14" s="1"/>
  <c r="G25" i="14"/>
  <c r="I25" i="14" s="1"/>
  <c r="L24" i="14"/>
  <c r="K24" i="14"/>
  <c r="M24" i="14" s="1"/>
  <c r="J24" i="14"/>
  <c r="H24" i="14"/>
  <c r="G24" i="14"/>
  <c r="I24" i="14" s="1"/>
  <c r="M23" i="14"/>
  <c r="K23" i="14"/>
  <c r="L23" i="14" s="1"/>
  <c r="I23" i="14"/>
  <c r="G23" i="14"/>
  <c r="J23" i="14" s="1"/>
  <c r="M22" i="14"/>
  <c r="L22" i="14"/>
  <c r="K22" i="14"/>
  <c r="J22" i="14"/>
  <c r="I22" i="14"/>
  <c r="H22" i="14"/>
  <c r="G22" i="14"/>
  <c r="K21" i="14"/>
  <c r="M21" i="14" s="1"/>
  <c r="G21" i="14"/>
  <c r="I21" i="14" s="1"/>
  <c r="L20" i="14"/>
  <c r="K20" i="14"/>
  <c r="M20" i="14" s="1"/>
  <c r="J20" i="14"/>
  <c r="G20" i="14"/>
  <c r="H20" i="14" s="1"/>
  <c r="M19" i="14"/>
  <c r="K19" i="14"/>
  <c r="L19" i="14" s="1"/>
  <c r="I19" i="14"/>
  <c r="G19" i="14"/>
  <c r="J19" i="14" s="1"/>
  <c r="M18" i="14"/>
  <c r="L18" i="14"/>
  <c r="K18" i="14"/>
  <c r="J18" i="14"/>
  <c r="I18" i="14"/>
  <c r="H18" i="14"/>
  <c r="G18" i="14"/>
  <c r="K17" i="14"/>
  <c r="M17" i="14" s="1"/>
  <c r="G17" i="14"/>
  <c r="I17" i="14" s="1"/>
  <c r="K16" i="14"/>
  <c r="L16" i="14" s="1"/>
  <c r="J16" i="14"/>
  <c r="G16" i="14"/>
  <c r="H16" i="14" s="1"/>
  <c r="M15" i="14"/>
  <c r="K15" i="14"/>
  <c r="L15" i="14" s="1"/>
  <c r="I15" i="14"/>
  <c r="G15" i="14"/>
  <c r="J15" i="14" s="1"/>
  <c r="M14" i="14"/>
  <c r="L14" i="14"/>
  <c r="K14" i="14"/>
  <c r="J14" i="14"/>
  <c r="I14" i="14"/>
  <c r="H14" i="14"/>
  <c r="G14" i="14"/>
  <c r="K13" i="14"/>
  <c r="M13" i="14" s="1"/>
  <c r="G13" i="14"/>
  <c r="I13" i="14" s="1"/>
  <c r="K12" i="14"/>
  <c r="L12" i="14" s="1"/>
  <c r="J12" i="14"/>
  <c r="G12" i="14"/>
  <c r="H12" i="14" s="1"/>
  <c r="M11" i="14"/>
  <c r="K11" i="14"/>
  <c r="L11" i="14" s="1"/>
  <c r="I11" i="14"/>
  <c r="G11" i="14"/>
  <c r="J11" i="14" s="1"/>
  <c r="M10" i="14"/>
  <c r="L10" i="14"/>
  <c r="K10" i="14"/>
  <c r="J10" i="14"/>
  <c r="I10" i="14"/>
  <c r="H10" i="14"/>
  <c r="G10" i="14"/>
  <c r="K9" i="14"/>
  <c r="M9" i="14" s="1"/>
  <c r="G9" i="14"/>
  <c r="I9" i="14" s="1"/>
  <c r="L8" i="14"/>
  <c r="K8" i="14"/>
  <c r="M8" i="14" s="1"/>
  <c r="J8" i="14"/>
  <c r="H8" i="14"/>
  <c r="G8" i="14"/>
  <c r="I8" i="14" s="1"/>
  <c r="M7" i="14"/>
  <c r="K7" i="14"/>
  <c r="L7" i="14" s="1"/>
  <c r="I7" i="14"/>
  <c r="G7" i="14"/>
  <c r="J7" i="14" s="1"/>
  <c r="M6" i="14"/>
  <c r="L6" i="14"/>
  <c r="K6" i="14"/>
  <c r="J6" i="14"/>
  <c r="I6" i="14"/>
  <c r="H6" i="14"/>
  <c r="G6" i="14"/>
  <c r="K5" i="14"/>
  <c r="M5" i="14" s="1"/>
  <c r="G5" i="14"/>
  <c r="I5" i="14" s="1"/>
  <c r="K4" i="14"/>
  <c r="L4" i="14" s="1"/>
  <c r="J4" i="14"/>
  <c r="G4" i="14"/>
  <c r="H4" i="14" s="1"/>
  <c r="M3" i="14"/>
  <c r="K3" i="14"/>
  <c r="L3" i="14" s="1"/>
  <c r="I3" i="14"/>
  <c r="G3" i="14"/>
  <c r="J3" i="14" s="1"/>
  <c r="M2" i="14"/>
  <c r="L2" i="14"/>
  <c r="K2" i="14"/>
  <c r="J2" i="14"/>
  <c r="I2" i="14"/>
  <c r="H2" i="14"/>
  <c r="G2" i="14"/>
  <c r="O244" i="13"/>
  <c r="M244" i="13"/>
  <c r="I244" i="13"/>
  <c r="O243" i="13"/>
  <c r="M243" i="13"/>
  <c r="I243" i="13"/>
  <c r="O242" i="13"/>
  <c r="M242" i="13"/>
  <c r="I242" i="13"/>
  <c r="O241" i="13"/>
  <c r="M241" i="13"/>
  <c r="I241" i="13"/>
  <c r="O240" i="13"/>
  <c r="M240" i="13"/>
  <c r="I240" i="13"/>
  <c r="O239" i="13"/>
  <c r="M239" i="13"/>
  <c r="I239" i="13"/>
  <c r="O238" i="13"/>
  <c r="M238" i="13"/>
  <c r="I238" i="13"/>
  <c r="O237" i="13"/>
  <c r="M237" i="13"/>
  <c r="I237" i="13"/>
  <c r="O236" i="13"/>
  <c r="M236" i="13"/>
  <c r="I236" i="13"/>
  <c r="O235" i="13"/>
  <c r="M235" i="13"/>
  <c r="I235" i="13"/>
  <c r="O234" i="13"/>
  <c r="M234" i="13"/>
  <c r="I234" i="13"/>
  <c r="O233" i="13"/>
  <c r="M233" i="13"/>
  <c r="I233" i="13"/>
  <c r="O232" i="13"/>
  <c r="M232" i="13"/>
  <c r="I232" i="13"/>
  <c r="O231" i="13"/>
  <c r="M231" i="13"/>
  <c r="I231" i="13"/>
  <c r="O230" i="13"/>
  <c r="M230" i="13"/>
  <c r="I230" i="13"/>
  <c r="O229" i="13"/>
  <c r="M229" i="13"/>
  <c r="I229" i="13"/>
  <c r="O228" i="13"/>
  <c r="M228" i="13"/>
  <c r="I228" i="13"/>
  <c r="O227" i="13"/>
  <c r="M227" i="13"/>
  <c r="I227" i="13"/>
  <c r="O226" i="13"/>
  <c r="M226" i="13"/>
  <c r="I226" i="13"/>
  <c r="O225" i="13"/>
  <c r="M225" i="13"/>
  <c r="I225" i="13"/>
  <c r="O224" i="13"/>
  <c r="M224" i="13"/>
  <c r="I224" i="13"/>
  <c r="O223" i="13"/>
  <c r="M223" i="13"/>
  <c r="I223" i="13"/>
  <c r="O222" i="13"/>
  <c r="M222" i="13"/>
  <c r="I222" i="13"/>
  <c r="O221" i="13"/>
  <c r="M221" i="13"/>
  <c r="I221" i="13"/>
  <c r="O220" i="13"/>
  <c r="M220" i="13"/>
  <c r="I220" i="13"/>
  <c r="O219" i="13"/>
  <c r="M219" i="13"/>
  <c r="I219" i="13"/>
  <c r="O218" i="13"/>
  <c r="M218" i="13"/>
  <c r="I218" i="13"/>
  <c r="O217" i="13"/>
  <c r="M217" i="13"/>
  <c r="I217" i="13"/>
  <c r="O216" i="13"/>
  <c r="M216" i="13"/>
  <c r="I216" i="13"/>
  <c r="O215" i="13"/>
  <c r="M215" i="13"/>
  <c r="I215" i="13"/>
  <c r="O214" i="13"/>
  <c r="M214" i="13"/>
  <c r="I214" i="13"/>
  <c r="O213" i="13"/>
  <c r="M213" i="13"/>
  <c r="I213" i="13"/>
  <c r="O212" i="13"/>
  <c r="M212" i="13"/>
  <c r="I212" i="13"/>
  <c r="O211" i="13"/>
  <c r="M211" i="13"/>
  <c r="I211" i="13"/>
  <c r="O210" i="13"/>
  <c r="M210" i="13"/>
  <c r="I210" i="13"/>
  <c r="O209" i="13"/>
  <c r="M209" i="13"/>
  <c r="I209" i="13"/>
  <c r="O208" i="13"/>
  <c r="M208" i="13"/>
  <c r="I208" i="13"/>
  <c r="O207" i="13"/>
  <c r="M207" i="13"/>
  <c r="I207" i="13"/>
  <c r="O206" i="13"/>
  <c r="M206" i="13"/>
  <c r="I206" i="13"/>
  <c r="O205" i="13"/>
  <c r="M205" i="13"/>
  <c r="I205" i="13"/>
  <c r="M204" i="13"/>
  <c r="M203" i="13"/>
  <c r="N243" i="13" s="1"/>
  <c r="M202" i="13"/>
  <c r="N242" i="13" s="1"/>
  <c r="M201" i="13"/>
  <c r="N241" i="13" s="1"/>
  <c r="M200" i="13"/>
  <c r="N240" i="13" s="1"/>
  <c r="M199" i="13"/>
  <c r="N239" i="13" s="1"/>
  <c r="M198" i="13"/>
  <c r="N238" i="13" s="1"/>
  <c r="M197" i="13"/>
  <c r="N237" i="13" s="1"/>
  <c r="M196" i="13"/>
  <c r="N236" i="13" s="1"/>
  <c r="M195" i="13"/>
  <c r="N235" i="13" s="1"/>
  <c r="M194" i="13"/>
  <c r="N234" i="13" s="1"/>
  <c r="M193" i="13"/>
  <c r="N233" i="13" s="1"/>
  <c r="M192" i="13"/>
  <c r="N232" i="13" s="1"/>
  <c r="M191" i="13"/>
  <c r="N231" i="13" s="1"/>
  <c r="M190" i="13"/>
  <c r="N230" i="13" s="1"/>
  <c r="M189" i="13"/>
  <c r="N229" i="13" s="1"/>
  <c r="M188" i="13"/>
  <c r="N228" i="13" s="1"/>
  <c r="M187" i="13"/>
  <c r="N227" i="13" s="1"/>
  <c r="M186" i="13"/>
  <c r="N226" i="13" s="1"/>
  <c r="M185" i="13"/>
  <c r="N225" i="13" s="1"/>
  <c r="O184" i="13"/>
  <c r="M184" i="13"/>
  <c r="I184" i="13"/>
  <c r="O183" i="13"/>
  <c r="M183" i="13"/>
  <c r="I183" i="13"/>
  <c r="O182" i="13"/>
  <c r="M182" i="13"/>
  <c r="I182" i="13"/>
  <c r="O181" i="13"/>
  <c r="M181" i="13"/>
  <c r="I181" i="13"/>
  <c r="O180" i="13"/>
  <c r="M180" i="13"/>
  <c r="I180" i="13"/>
  <c r="O179" i="13"/>
  <c r="M179" i="13"/>
  <c r="I179" i="13"/>
  <c r="O178" i="13"/>
  <c r="M178" i="13"/>
  <c r="I178" i="13"/>
  <c r="O177" i="13"/>
  <c r="M177" i="13"/>
  <c r="I177" i="13"/>
  <c r="O176" i="13"/>
  <c r="M176" i="13"/>
  <c r="I176" i="13"/>
  <c r="O175" i="13"/>
  <c r="M175" i="13"/>
  <c r="I175" i="13"/>
  <c r="O174" i="13"/>
  <c r="M174" i="13"/>
  <c r="I174" i="13"/>
  <c r="O173" i="13"/>
  <c r="M173" i="13"/>
  <c r="I173" i="13"/>
  <c r="O172" i="13"/>
  <c r="M172" i="13"/>
  <c r="I172" i="13"/>
  <c r="O171" i="13"/>
  <c r="M171" i="13"/>
  <c r="I171" i="13"/>
  <c r="O170" i="13"/>
  <c r="M170" i="13"/>
  <c r="I170" i="13"/>
  <c r="O169" i="13"/>
  <c r="M169" i="13"/>
  <c r="I169" i="13"/>
  <c r="O168" i="13"/>
  <c r="M168" i="13"/>
  <c r="I168" i="13"/>
  <c r="O167" i="13"/>
  <c r="M167" i="13"/>
  <c r="I167" i="13"/>
  <c r="O166" i="13"/>
  <c r="M166" i="13"/>
  <c r="I166" i="13"/>
  <c r="O165" i="13"/>
  <c r="M165" i="13"/>
  <c r="I165" i="13"/>
  <c r="O164" i="13"/>
  <c r="M164" i="13"/>
  <c r="I164" i="13"/>
  <c r="O163" i="13"/>
  <c r="M163" i="13"/>
  <c r="I163" i="13"/>
  <c r="O162" i="13"/>
  <c r="M162" i="13"/>
  <c r="I162" i="13"/>
  <c r="O161" i="13"/>
  <c r="M161" i="13"/>
  <c r="I161" i="13"/>
  <c r="O160" i="13"/>
  <c r="M160" i="13"/>
  <c r="I160" i="13"/>
  <c r="O159" i="13"/>
  <c r="M159" i="13"/>
  <c r="I159" i="13"/>
  <c r="O158" i="13"/>
  <c r="M158" i="13"/>
  <c r="I158" i="13"/>
  <c r="O157" i="13"/>
  <c r="M157" i="13"/>
  <c r="I157" i="13"/>
  <c r="O156" i="13"/>
  <c r="M156" i="13"/>
  <c r="I156" i="13"/>
  <c r="O155" i="13"/>
  <c r="M155" i="13"/>
  <c r="I155" i="13"/>
  <c r="O154" i="13"/>
  <c r="M154" i="13"/>
  <c r="I154" i="13"/>
  <c r="O153" i="13"/>
  <c r="M153" i="13"/>
  <c r="I153" i="13"/>
  <c r="O152" i="13"/>
  <c r="M152" i="13"/>
  <c r="I152" i="13"/>
  <c r="O151" i="13"/>
  <c r="M151" i="13"/>
  <c r="I151" i="13"/>
  <c r="O150" i="13"/>
  <c r="M150" i="13"/>
  <c r="I150" i="13"/>
  <c r="O149" i="13"/>
  <c r="M149" i="13"/>
  <c r="I149" i="13"/>
  <c r="O148" i="13"/>
  <c r="M148" i="13"/>
  <c r="I148" i="13"/>
  <c r="O147" i="13"/>
  <c r="M147" i="13"/>
  <c r="I147" i="13"/>
  <c r="O146" i="13"/>
  <c r="M146" i="13"/>
  <c r="I146" i="13"/>
  <c r="O145" i="13"/>
  <c r="M145" i="13"/>
  <c r="I145" i="13"/>
  <c r="M144" i="13"/>
  <c r="N184" i="13" s="1"/>
  <c r="M143" i="13"/>
  <c r="N183" i="13" s="1"/>
  <c r="M142" i="13"/>
  <c r="N182" i="13" s="1"/>
  <c r="M141" i="13"/>
  <c r="N181" i="13" s="1"/>
  <c r="M140" i="13"/>
  <c r="N180" i="13" s="1"/>
  <c r="M139" i="13"/>
  <c r="N179" i="13" s="1"/>
  <c r="M138" i="13"/>
  <c r="N178" i="13" s="1"/>
  <c r="M137" i="13"/>
  <c r="N177" i="13" s="1"/>
  <c r="M136" i="13"/>
  <c r="N176" i="13" s="1"/>
  <c r="M135" i="13"/>
  <c r="N175" i="13" s="1"/>
  <c r="M134" i="13"/>
  <c r="N174" i="13" s="1"/>
  <c r="M133" i="13"/>
  <c r="N173" i="13" s="1"/>
  <c r="M132" i="13"/>
  <c r="N172" i="13" s="1"/>
  <c r="M131" i="13"/>
  <c r="N171" i="13" s="1"/>
  <c r="M130" i="13"/>
  <c r="N170" i="13" s="1"/>
  <c r="M129" i="13"/>
  <c r="N169" i="13" s="1"/>
  <c r="M128" i="13"/>
  <c r="N168" i="13" s="1"/>
  <c r="M127" i="13"/>
  <c r="N167" i="13" s="1"/>
  <c r="M126" i="13"/>
  <c r="N166" i="13" s="1"/>
  <c r="M125" i="13"/>
  <c r="N165" i="13" s="1"/>
  <c r="O124" i="13"/>
  <c r="M124" i="13"/>
  <c r="O123" i="13"/>
  <c r="M123" i="13"/>
  <c r="O122" i="13"/>
  <c r="M122" i="13"/>
  <c r="O121" i="13"/>
  <c r="M121" i="13"/>
  <c r="O120" i="13"/>
  <c r="M120" i="13"/>
  <c r="O119" i="13"/>
  <c r="M119" i="13"/>
  <c r="O118" i="13"/>
  <c r="M118" i="13"/>
  <c r="O117" i="13"/>
  <c r="M117" i="13"/>
  <c r="O116" i="13"/>
  <c r="M116" i="13"/>
  <c r="O115" i="13"/>
  <c r="M115" i="13"/>
  <c r="O114" i="13"/>
  <c r="M114" i="13"/>
  <c r="O113" i="13"/>
  <c r="M113" i="13"/>
  <c r="O112" i="13"/>
  <c r="M112" i="13"/>
  <c r="O111" i="13"/>
  <c r="M111" i="13"/>
  <c r="O110" i="13"/>
  <c r="M110" i="13"/>
  <c r="O109" i="13"/>
  <c r="M109" i="13"/>
  <c r="O108" i="13"/>
  <c r="M108" i="13"/>
  <c r="O107" i="13"/>
  <c r="M107" i="13"/>
  <c r="O106" i="13"/>
  <c r="M106" i="13"/>
  <c r="O105" i="13"/>
  <c r="M105" i="13"/>
  <c r="O104" i="13"/>
  <c r="M104" i="13"/>
  <c r="O103" i="13"/>
  <c r="M103" i="13"/>
  <c r="O102" i="13"/>
  <c r="M102" i="13"/>
  <c r="O101" i="13"/>
  <c r="M101" i="13"/>
  <c r="O100" i="13"/>
  <c r="M100" i="13"/>
  <c r="O99" i="13"/>
  <c r="M99" i="13"/>
  <c r="O98" i="13"/>
  <c r="M98" i="13"/>
  <c r="O97" i="13"/>
  <c r="M97" i="13"/>
  <c r="O96" i="13"/>
  <c r="M96" i="13"/>
  <c r="O95" i="13"/>
  <c r="M95" i="13"/>
  <c r="O94" i="13"/>
  <c r="M94" i="13"/>
  <c r="O93" i="13"/>
  <c r="M93" i="13"/>
  <c r="O92" i="13"/>
  <c r="M92" i="13"/>
  <c r="O91" i="13"/>
  <c r="M91" i="13"/>
  <c r="O90" i="13"/>
  <c r="M90" i="13"/>
  <c r="O89" i="13"/>
  <c r="M89" i="13"/>
  <c r="O88" i="13"/>
  <c r="M88" i="13"/>
  <c r="O87" i="13"/>
  <c r="M87" i="13"/>
  <c r="O86" i="13"/>
  <c r="M86" i="13"/>
  <c r="O85" i="13"/>
  <c r="M85" i="13"/>
  <c r="O84" i="13"/>
  <c r="M84" i="13"/>
  <c r="O83" i="13"/>
  <c r="M83" i="13"/>
  <c r="O82" i="13"/>
  <c r="M82" i="13"/>
  <c r="O81" i="13"/>
  <c r="M81" i="13"/>
  <c r="O80" i="13"/>
  <c r="M80" i="13"/>
  <c r="O79" i="13"/>
  <c r="M79" i="13"/>
  <c r="O78" i="13"/>
  <c r="M78" i="13"/>
  <c r="O77" i="13"/>
  <c r="M77" i="13"/>
  <c r="O76" i="13"/>
  <c r="M76" i="13"/>
  <c r="O75" i="13"/>
  <c r="M75" i="13"/>
  <c r="O74" i="13"/>
  <c r="M74" i="13"/>
  <c r="O73" i="13"/>
  <c r="M73" i="13"/>
  <c r="O72" i="13"/>
  <c r="M72" i="13"/>
  <c r="O71" i="13"/>
  <c r="M71" i="13"/>
  <c r="O70" i="13"/>
  <c r="M70" i="13"/>
  <c r="O69" i="13"/>
  <c r="M69" i="13"/>
  <c r="O68" i="13"/>
  <c r="M68" i="13"/>
  <c r="O67" i="13"/>
  <c r="M67" i="13"/>
  <c r="O66" i="13"/>
  <c r="M66" i="13"/>
  <c r="O65" i="13"/>
  <c r="M65" i="13"/>
  <c r="O64" i="13"/>
  <c r="M64" i="13"/>
  <c r="O63" i="13"/>
  <c r="M63" i="13"/>
  <c r="O62" i="13"/>
  <c r="M62" i="13"/>
  <c r="O61" i="13"/>
  <c r="M61" i="13"/>
  <c r="O60" i="13"/>
  <c r="M60" i="13"/>
  <c r="O59" i="13"/>
  <c r="M59" i="13"/>
  <c r="O58" i="13"/>
  <c r="M58" i="13"/>
  <c r="O57" i="13"/>
  <c r="M57" i="13"/>
  <c r="O56" i="13"/>
  <c r="M56" i="13"/>
  <c r="O55" i="13"/>
  <c r="M55" i="13"/>
  <c r="O54" i="13"/>
  <c r="M54" i="13"/>
  <c r="O53" i="13"/>
  <c r="M53" i="13"/>
  <c r="O52" i="13"/>
  <c r="M52" i="13"/>
  <c r="O51" i="13"/>
  <c r="M51" i="13"/>
  <c r="O50" i="13"/>
  <c r="M50" i="13"/>
  <c r="O49" i="13"/>
  <c r="M49" i="13"/>
  <c r="O48" i="13"/>
  <c r="M48" i="13"/>
  <c r="O47" i="13"/>
  <c r="M47" i="13"/>
  <c r="O46" i="13"/>
  <c r="M46" i="13"/>
  <c r="O45" i="13"/>
  <c r="M45" i="13"/>
  <c r="O44" i="13"/>
  <c r="M44" i="13"/>
  <c r="O43" i="13"/>
  <c r="M43" i="13"/>
  <c r="M42" i="13"/>
  <c r="N124" i="13" s="1"/>
  <c r="M41" i="13"/>
  <c r="N82" i="13" s="1"/>
  <c r="M40" i="13"/>
  <c r="N81" i="13" s="1"/>
  <c r="M39" i="13"/>
  <c r="N80" i="13" s="1"/>
  <c r="M38" i="13"/>
  <c r="N120" i="13" s="1"/>
  <c r="M37" i="13"/>
  <c r="N78" i="13" s="1"/>
  <c r="M36" i="13"/>
  <c r="N77" i="13" s="1"/>
  <c r="M35" i="13"/>
  <c r="N76" i="13" s="1"/>
  <c r="M34" i="13"/>
  <c r="N116" i="13" s="1"/>
  <c r="M33" i="13"/>
  <c r="N74" i="13" s="1"/>
  <c r="M32" i="13"/>
  <c r="N73" i="13" s="1"/>
  <c r="M31" i="13"/>
  <c r="N72" i="13" s="1"/>
  <c r="M30" i="13"/>
  <c r="N112" i="13" s="1"/>
  <c r="M29" i="13"/>
  <c r="N70" i="13" s="1"/>
  <c r="M28" i="13"/>
  <c r="N69" i="13" s="1"/>
  <c r="M27" i="13"/>
  <c r="N68" i="13" s="1"/>
  <c r="M26" i="13"/>
  <c r="N108" i="13" s="1"/>
  <c r="M25" i="13"/>
  <c r="N66" i="13" s="1"/>
  <c r="M24" i="13"/>
  <c r="N65" i="13" s="1"/>
  <c r="M23" i="13"/>
  <c r="N64" i="13" s="1"/>
  <c r="M22" i="13"/>
  <c r="N104" i="13" s="1"/>
  <c r="M21" i="13"/>
  <c r="N62" i="13" s="1"/>
  <c r="M20" i="13"/>
  <c r="N61" i="13" s="1"/>
  <c r="M19" i="13"/>
  <c r="N60" i="13" s="1"/>
  <c r="M18" i="13"/>
  <c r="N100" i="13" s="1"/>
  <c r="M17" i="13"/>
  <c r="N58" i="13" s="1"/>
  <c r="M16" i="13"/>
  <c r="N57" i="13" s="1"/>
  <c r="M15" i="13"/>
  <c r="N56" i="13" s="1"/>
  <c r="M14" i="13"/>
  <c r="N96" i="13" s="1"/>
  <c r="M13" i="13"/>
  <c r="N54" i="13" s="1"/>
  <c r="M12" i="13"/>
  <c r="N53" i="13" s="1"/>
  <c r="M11" i="13"/>
  <c r="N52" i="13" s="1"/>
  <c r="M10" i="13"/>
  <c r="N92" i="13" s="1"/>
  <c r="M9" i="13"/>
  <c r="N50" i="13" s="1"/>
  <c r="M8" i="13"/>
  <c r="N49" i="13" s="1"/>
  <c r="M7" i="13"/>
  <c r="N48" i="13" s="1"/>
  <c r="M6" i="13"/>
  <c r="N88" i="13" s="1"/>
  <c r="M5" i="13"/>
  <c r="N46" i="13" s="1"/>
  <c r="M4" i="13"/>
  <c r="N45" i="13" s="1"/>
  <c r="M3" i="13"/>
  <c r="N44" i="13" s="1"/>
  <c r="M2" i="13"/>
  <c r="N84" i="13" s="1"/>
  <c r="T42" i="12"/>
  <c r="V42" i="12" s="1"/>
  <c r="S42" i="12"/>
  <c r="U42" i="12" s="1"/>
  <c r="R42" i="12"/>
  <c r="Q42" i="12"/>
  <c r="P42" i="12"/>
  <c r="T41" i="12"/>
  <c r="V41" i="12" s="1"/>
  <c r="S41" i="12"/>
  <c r="U41" i="12" s="1"/>
  <c r="R41" i="12"/>
  <c r="Q41" i="12"/>
  <c r="P41" i="12"/>
  <c r="T40" i="12"/>
  <c r="V40" i="12" s="1"/>
  <c r="S40" i="12"/>
  <c r="U40" i="12" s="1"/>
  <c r="R40" i="12"/>
  <c r="Q40" i="12"/>
  <c r="P40" i="12"/>
  <c r="T39" i="12"/>
  <c r="V39" i="12" s="1"/>
  <c r="S39" i="12"/>
  <c r="U39" i="12" s="1"/>
  <c r="R39" i="12"/>
  <c r="Q39" i="12"/>
  <c r="P39" i="12"/>
  <c r="T38" i="12"/>
  <c r="V38" i="12" s="1"/>
  <c r="S38" i="12"/>
  <c r="U38" i="12" s="1"/>
  <c r="R38" i="12"/>
  <c r="Q38" i="12"/>
  <c r="P38" i="12"/>
  <c r="T37" i="12"/>
  <c r="V37" i="12" s="1"/>
  <c r="S37" i="12"/>
  <c r="U37" i="12" s="1"/>
  <c r="R37" i="12"/>
  <c r="Q37" i="12"/>
  <c r="P37" i="12"/>
  <c r="T36" i="12"/>
  <c r="V36" i="12" s="1"/>
  <c r="S36" i="12"/>
  <c r="U36" i="12" s="1"/>
  <c r="R36" i="12"/>
  <c r="Q36" i="12"/>
  <c r="P36" i="12"/>
  <c r="T35" i="12"/>
  <c r="V35" i="12" s="1"/>
  <c r="S35" i="12"/>
  <c r="U35" i="12" s="1"/>
  <c r="R35" i="12"/>
  <c r="Q35" i="12"/>
  <c r="P35" i="12"/>
  <c r="T34" i="12"/>
  <c r="V34" i="12" s="1"/>
  <c r="S34" i="12"/>
  <c r="U34" i="12" s="1"/>
  <c r="R34" i="12"/>
  <c r="Q34" i="12"/>
  <c r="P34" i="12"/>
  <c r="T33" i="12"/>
  <c r="V33" i="12" s="1"/>
  <c r="S33" i="12"/>
  <c r="U33" i="12" s="1"/>
  <c r="R33" i="12"/>
  <c r="Q33" i="12"/>
  <c r="P33" i="12"/>
  <c r="T32" i="12"/>
  <c r="V32" i="12" s="1"/>
  <c r="S32" i="12"/>
  <c r="R32" i="12"/>
  <c r="Q32" i="12"/>
  <c r="P32" i="12"/>
  <c r="T31" i="12"/>
  <c r="V31" i="12" s="1"/>
  <c r="S31" i="12"/>
  <c r="U31" i="12" s="1"/>
  <c r="R31" i="12"/>
  <c r="Q31" i="12"/>
  <c r="P31" i="12"/>
  <c r="T30" i="12"/>
  <c r="S30" i="12"/>
  <c r="U30" i="12" s="1"/>
  <c r="R30" i="12"/>
  <c r="Q30" i="12"/>
  <c r="P30" i="12"/>
  <c r="V29" i="12"/>
  <c r="T29" i="12"/>
  <c r="S29" i="12"/>
  <c r="R29" i="12"/>
  <c r="U29" i="12" s="1"/>
  <c r="Q29" i="12"/>
  <c r="P29" i="12"/>
  <c r="U28" i="12"/>
  <c r="T28" i="12"/>
  <c r="V28" i="12" s="1"/>
  <c r="S28" i="12"/>
  <c r="R28" i="12"/>
  <c r="Q28" i="12"/>
  <c r="P28" i="12"/>
  <c r="T27" i="12"/>
  <c r="V27" i="12" s="1"/>
  <c r="S27" i="12"/>
  <c r="U27" i="12" s="1"/>
  <c r="R27" i="12"/>
  <c r="Q27" i="12"/>
  <c r="P27" i="12"/>
  <c r="T26" i="12"/>
  <c r="S26" i="12"/>
  <c r="U26" i="12" s="1"/>
  <c r="R26" i="12"/>
  <c r="Q26" i="12"/>
  <c r="P26" i="12"/>
  <c r="V25" i="12"/>
  <c r="T25" i="12"/>
  <c r="S25" i="12"/>
  <c r="R25" i="12"/>
  <c r="U25" i="12" s="1"/>
  <c r="Q25" i="12"/>
  <c r="P25" i="12"/>
  <c r="U24" i="12"/>
  <c r="T24" i="12"/>
  <c r="V24" i="12" s="1"/>
  <c r="S24" i="12"/>
  <c r="R24" i="12"/>
  <c r="Q24" i="12"/>
  <c r="P24" i="12"/>
  <c r="T23" i="12"/>
  <c r="V23" i="12" s="1"/>
  <c r="S23" i="12"/>
  <c r="U23" i="12" s="1"/>
  <c r="R23" i="12"/>
  <c r="Q23" i="12"/>
  <c r="P23" i="12"/>
  <c r="T22" i="12"/>
  <c r="S22" i="12"/>
  <c r="U22" i="12" s="1"/>
  <c r="R22" i="12"/>
  <c r="Q22" i="12"/>
  <c r="P22" i="12"/>
  <c r="V21" i="12"/>
  <c r="T21" i="12"/>
  <c r="S21" i="12"/>
  <c r="R21" i="12"/>
  <c r="U21" i="12" s="1"/>
  <c r="Q21" i="12"/>
  <c r="P21" i="12"/>
  <c r="U20" i="12"/>
  <c r="T20" i="12"/>
  <c r="V20" i="12" s="1"/>
  <c r="S20" i="12"/>
  <c r="R20" i="12"/>
  <c r="Q20" i="12"/>
  <c r="P20" i="12"/>
  <c r="T19" i="12"/>
  <c r="V19" i="12" s="1"/>
  <c r="S19" i="12"/>
  <c r="U19" i="12" s="1"/>
  <c r="R19" i="12"/>
  <c r="Q19" i="12"/>
  <c r="P19" i="12"/>
  <c r="T18" i="12"/>
  <c r="S18" i="12"/>
  <c r="U18" i="12" s="1"/>
  <c r="R18" i="12"/>
  <c r="Q18" i="12"/>
  <c r="P18" i="12"/>
  <c r="V17" i="12"/>
  <c r="T17" i="12"/>
  <c r="S17" i="12"/>
  <c r="R17" i="12"/>
  <c r="U17" i="12" s="1"/>
  <c r="Q17" i="12"/>
  <c r="P17" i="12"/>
  <c r="U16" i="12"/>
  <c r="T16" i="12"/>
  <c r="V16" i="12" s="1"/>
  <c r="S16" i="12"/>
  <c r="R16" i="12"/>
  <c r="Q16" i="12"/>
  <c r="P16" i="12"/>
  <c r="T15" i="12"/>
  <c r="V15" i="12" s="1"/>
  <c r="S15" i="12"/>
  <c r="U15" i="12" s="1"/>
  <c r="R15" i="12"/>
  <c r="Q15" i="12"/>
  <c r="P15" i="12"/>
  <c r="T14" i="12"/>
  <c r="S14" i="12"/>
  <c r="U14" i="12" s="1"/>
  <c r="R14" i="12"/>
  <c r="Q14" i="12"/>
  <c r="P14" i="12"/>
  <c r="V13" i="12"/>
  <c r="T13" i="12"/>
  <c r="S13" i="12"/>
  <c r="R13" i="12"/>
  <c r="U13" i="12" s="1"/>
  <c r="Q13" i="12"/>
  <c r="P13" i="12"/>
  <c r="U12" i="12"/>
  <c r="T12" i="12"/>
  <c r="V12" i="12" s="1"/>
  <c r="S12" i="12"/>
  <c r="R12" i="12"/>
  <c r="Q12" i="12"/>
  <c r="P12" i="12"/>
  <c r="T11" i="12"/>
  <c r="V11" i="12" s="1"/>
  <c r="S11" i="12"/>
  <c r="U11" i="12" s="1"/>
  <c r="R11" i="12"/>
  <c r="Q11" i="12"/>
  <c r="P11" i="12"/>
  <c r="T10" i="12"/>
  <c r="S10" i="12"/>
  <c r="U10" i="12" s="1"/>
  <c r="R10" i="12"/>
  <c r="Q10" i="12"/>
  <c r="P10" i="12"/>
  <c r="V9" i="12"/>
  <c r="T9" i="12"/>
  <c r="S9" i="12"/>
  <c r="R9" i="12"/>
  <c r="U9" i="12" s="1"/>
  <c r="Q9" i="12"/>
  <c r="P9" i="12"/>
  <c r="U8" i="12"/>
  <c r="T8" i="12"/>
  <c r="V8" i="12" s="1"/>
  <c r="S8" i="12"/>
  <c r="R8" i="12"/>
  <c r="Q8" i="12"/>
  <c r="P8" i="12"/>
  <c r="T7" i="12"/>
  <c r="V7" i="12" s="1"/>
  <c r="S7" i="12"/>
  <c r="U7" i="12" s="1"/>
  <c r="R7" i="12"/>
  <c r="Q7" i="12"/>
  <c r="P7" i="12"/>
  <c r="T6" i="12"/>
  <c r="S6" i="12"/>
  <c r="U6" i="12" s="1"/>
  <c r="R6" i="12"/>
  <c r="Q6" i="12"/>
  <c r="P6" i="12"/>
  <c r="V5" i="12"/>
  <c r="T5" i="12"/>
  <c r="S5" i="12"/>
  <c r="R5" i="12"/>
  <c r="U5" i="12" s="1"/>
  <c r="Q5" i="12"/>
  <c r="P5" i="12"/>
  <c r="U4" i="12"/>
  <c r="T4" i="12"/>
  <c r="V4" i="12" s="1"/>
  <c r="S4" i="12"/>
  <c r="R4" i="12"/>
  <c r="Q4" i="12"/>
  <c r="P4" i="12"/>
  <c r="T3" i="12"/>
  <c r="V3" i="12" s="1"/>
  <c r="S3" i="12"/>
  <c r="U3" i="12" s="1"/>
  <c r="R3" i="12"/>
  <c r="Q3" i="12"/>
  <c r="P3" i="12"/>
  <c r="T43" i="11"/>
  <c r="S43" i="11"/>
  <c r="U43" i="11" s="1"/>
  <c r="R43" i="11"/>
  <c r="Q43" i="11"/>
  <c r="P43" i="11"/>
  <c r="V42" i="11"/>
  <c r="T42" i="11"/>
  <c r="S42" i="11"/>
  <c r="R42" i="11"/>
  <c r="U42" i="11" s="1"/>
  <c r="Q42" i="11"/>
  <c r="P42" i="11"/>
  <c r="U41" i="11"/>
  <c r="T41" i="11"/>
  <c r="V41" i="11" s="1"/>
  <c r="S41" i="11"/>
  <c r="R41" i="11"/>
  <c r="Q41" i="11"/>
  <c r="P41" i="11"/>
  <c r="T40" i="11"/>
  <c r="V40" i="11" s="1"/>
  <c r="S40" i="11"/>
  <c r="U40" i="11" s="1"/>
  <c r="R40" i="11"/>
  <c r="Q40" i="11"/>
  <c r="P40" i="11"/>
  <c r="T39" i="11"/>
  <c r="S39" i="11"/>
  <c r="U39" i="11" s="1"/>
  <c r="R39" i="11"/>
  <c r="Q39" i="11"/>
  <c r="P39" i="11"/>
  <c r="V38" i="11"/>
  <c r="T38" i="11"/>
  <c r="S38" i="11"/>
  <c r="R38" i="11"/>
  <c r="U38" i="11" s="1"/>
  <c r="Q38" i="11"/>
  <c r="P38" i="11"/>
  <c r="U37" i="11"/>
  <c r="T37" i="11"/>
  <c r="V37" i="11" s="1"/>
  <c r="S37" i="11"/>
  <c r="R37" i="11"/>
  <c r="Q37" i="11"/>
  <c r="P37" i="11"/>
  <c r="T36" i="11"/>
  <c r="V36" i="11" s="1"/>
  <c r="S36" i="11"/>
  <c r="U36" i="11" s="1"/>
  <c r="R36" i="11"/>
  <c r="Q36" i="11"/>
  <c r="P36" i="11"/>
  <c r="T35" i="11"/>
  <c r="S35" i="11"/>
  <c r="U35" i="11" s="1"/>
  <c r="R35" i="11"/>
  <c r="Q35" i="11"/>
  <c r="P35" i="11"/>
  <c r="V34" i="11"/>
  <c r="T34" i="11"/>
  <c r="S34" i="11"/>
  <c r="R34" i="11"/>
  <c r="U34" i="11" s="1"/>
  <c r="Q34" i="11"/>
  <c r="P34" i="11"/>
  <c r="U33" i="11"/>
  <c r="T33" i="11"/>
  <c r="V33" i="11" s="1"/>
  <c r="S33" i="11"/>
  <c r="R33" i="11"/>
  <c r="Q33" i="11"/>
  <c r="P33" i="11"/>
  <c r="T32" i="11"/>
  <c r="V32" i="11" s="1"/>
  <c r="S32" i="11"/>
  <c r="U32" i="11" s="1"/>
  <c r="R32" i="11"/>
  <c r="Q32" i="11"/>
  <c r="P32" i="11"/>
  <c r="T31" i="11"/>
  <c r="S31" i="11"/>
  <c r="U31" i="11" s="1"/>
  <c r="R31" i="11"/>
  <c r="Q31" i="11"/>
  <c r="P31" i="11"/>
  <c r="V30" i="11"/>
  <c r="T30" i="11"/>
  <c r="S30" i="11"/>
  <c r="R30" i="11"/>
  <c r="U30" i="11" s="1"/>
  <c r="Q30" i="11"/>
  <c r="P30" i="11"/>
  <c r="U29" i="11"/>
  <c r="T29" i="11"/>
  <c r="V29" i="11" s="1"/>
  <c r="S29" i="11"/>
  <c r="R29" i="11"/>
  <c r="Q29" i="11"/>
  <c r="P29" i="11"/>
  <c r="T28" i="11"/>
  <c r="V28" i="11" s="1"/>
  <c r="S28" i="11"/>
  <c r="U28" i="11" s="1"/>
  <c r="R28" i="11"/>
  <c r="Q28" i="11"/>
  <c r="P28" i="11"/>
  <c r="T27" i="11"/>
  <c r="S27" i="11"/>
  <c r="U27" i="11" s="1"/>
  <c r="R27" i="11"/>
  <c r="Q27" i="11"/>
  <c r="P27" i="11"/>
  <c r="V26" i="11"/>
  <c r="T26" i="11"/>
  <c r="S26" i="11"/>
  <c r="R26" i="11"/>
  <c r="U26" i="11" s="1"/>
  <c r="Q26" i="11"/>
  <c r="P26" i="11"/>
  <c r="U25" i="11"/>
  <c r="T25" i="11"/>
  <c r="V25" i="11" s="1"/>
  <c r="S25" i="11"/>
  <c r="R25" i="11"/>
  <c r="Q25" i="11"/>
  <c r="P25" i="11"/>
  <c r="T24" i="11"/>
  <c r="V24" i="11" s="1"/>
  <c r="S24" i="11"/>
  <c r="U24" i="11" s="1"/>
  <c r="R24" i="11"/>
  <c r="Q24" i="11"/>
  <c r="P24" i="11"/>
  <c r="T23" i="11"/>
  <c r="S23" i="11"/>
  <c r="U23" i="11" s="1"/>
  <c r="R23" i="11"/>
  <c r="Q23" i="11"/>
  <c r="P23" i="11"/>
  <c r="V22" i="11"/>
  <c r="T22" i="11"/>
  <c r="S22" i="11"/>
  <c r="R22" i="11"/>
  <c r="U22" i="11" s="1"/>
  <c r="Q22" i="11"/>
  <c r="P22" i="11"/>
  <c r="U21" i="11"/>
  <c r="T21" i="11"/>
  <c r="V21" i="11" s="1"/>
  <c r="S21" i="11"/>
  <c r="R21" i="11"/>
  <c r="Q21" i="11"/>
  <c r="P21" i="11"/>
  <c r="T20" i="11"/>
  <c r="V20" i="11" s="1"/>
  <c r="S20" i="11"/>
  <c r="U20" i="11" s="1"/>
  <c r="R20" i="11"/>
  <c r="Q20" i="11"/>
  <c r="P20" i="11"/>
  <c r="T19" i="11"/>
  <c r="S19" i="11"/>
  <c r="U19" i="11" s="1"/>
  <c r="R19" i="11"/>
  <c r="Q19" i="11"/>
  <c r="P19" i="11"/>
  <c r="V18" i="11"/>
  <c r="T18" i="11"/>
  <c r="S18" i="11"/>
  <c r="R18" i="11"/>
  <c r="U18" i="11" s="1"/>
  <c r="Q18" i="11"/>
  <c r="P18" i="11"/>
  <c r="U17" i="11"/>
  <c r="T17" i="11"/>
  <c r="V17" i="11" s="1"/>
  <c r="S17" i="11"/>
  <c r="R17" i="11"/>
  <c r="Q17" i="11"/>
  <c r="P17" i="11"/>
  <c r="T16" i="11"/>
  <c r="V16" i="11" s="1"/>
  <c r="S16" i="11"/>
  <c r="U16" i="11" s="1"/>
  <c r="R16" i="11"/>
  <c r="Q16" i="11"/>
  <c r="P16" i="11"/>
  <c r="T15" i="11"/>
  <c r="S15" i="11"/>
  <c r="U15" i="11" s="1"/>
  <c r="R15" i="11"/>
  <c r="Q15" i="11"/>
  <c r="P15" i="11"/>
  <c r="V14" i="11"/>
  <c r="T14" i="11"/>
  <c r="S14" i="11"/>
  <c r="R14" i="11"/>
  <c r="U14" i="11" s="1"/>
  <c r="Q14" i="11"/>
  <c r="P14" i="11"/>
  <c r="U13" i="11"/>
  <c r="T13" i="11"/>
  <c r="V13" i="11" s="1"/>
  <c r="S13" i="11"/>
  <c r="R13" i="11"/>
  <c r="Q13" i="11"/>
  <c r="P13" i="11"/>
  <c r="T12" i="11"/>
  <c r="V12" i="11" s="1"/>
  <c r="S12" i="11"/>
  <c r="U12" i="11" s="1"/>
  <c r="R12" i="11"/>
  <c r="Q12" i="11"/>
  <c r="P12" i="11"/>
  <c r="T11" i="11"/>
  <c r="S11" i="11"/>
  <c r="U11" i="11" s="1"/>
  <c r="R11" i="11"/>
  <c r="Q11" i="11"/>
  <c r="P11" i="11"/>
  <c r="V10" i="11"/>
  <c r="T10" i="11"/>
  <c r="S10" i="11"/>
  <c r="R10" i="11"/>
  <c r="U10" i="11" s="1"/>
  <c r="Q10" i="11"/>
  <c r="P10" i="11"/>
  <c r="U9" i="11"/>
  <c r="T9" i="11"/>
  <c r="V9" i="11" s="1"/>
  <c r="S9" i="11"/>
  <c r="R9" i="11"/>
  <c r="Q9" i="11"/>
  <c r="P9" i="11"/>
  <c r="T8" i="11"/>
  <c r="V8" i="11" s="1"/>
  <c r="S8" i="11"/>
  <c r="U8" i="11" s="1"/>
  <c r="R8" i="11"/>
  <c r="Q8" i="11"/>
  <c r="P8" i="11"/>
  <c r="T7" i="11"/>
  <c r="S7" i="11"/>
  <c r="U7" i="11" s="1"/>
  <c r="R7" i="11"/>
  <c r="Q7" i="11"/>
  <c r="P7" i="11"/>
  <c r="V6" i="11"/>
  <c r="T6" i="11"/>
  <c r="S6" i="11"/>
  <c r="R6" i="11"/>
  <c r="U6" i="11" s="1"/>
  <c r="Q6" i="11"/>
  <c r="P6" i="11"/>
  <c r="U5" i="11"/>
  <c r="T5" i="11"/>
  <c r="V5" i="11" s="1"/>
  <c r="S5" i="11"/>
  <c r="R5" i="11"/>
  <c r="Q5" i="11"/>
  <c r="P5" i="11"/>
  <c r="T4" i="11"/>
  <c r="V4" i="11" s="1"/>
  <c r="S4" i="11"/>
  <c r="U4" i="11" s="1"/>
  <c r="R4" i="11"/>
  <c r="Q4" i="11"/>
  <c r="P4" i="11"/>
  <c r="T3" i="11"/>
  <c r="S3" i="11"/>
  <c r="U3" i="11" s="1"/>
  <c r="R3" i="11"/>
  <c r="Q3" i="11"/>
  <c r="P3" i="11"/>
  <c r="E87" i="8"/>
  <c r="D87" i="8"/>
  <c r="C87" i="8"/>
  <c r="U81" i="8"/>
  <c r="T81" i="8"/>
  <c r="S81" i="8"/>
  <c r="R81" i="8"/>
  <c r="Q81" i="8"/>
  <c r="P81" i="8"/>
  <c r="O81" i="8"/>
  <c r="E64" i="8"/>
  <c r="D64" i="8"/>
  <c r="C64" i="8"/>
  <c r="U61" i="8"/>
  <c r="T61" i="8"/>
  <c r="S61" i="8"/>
  <c r="R61" i="8"/>
  <c r="Q61" i="8"/>
  <c r="P61" i="8"/>
  <c r="O61" i="8"/>
  <c r="U45" i="8"/>
  <c r="T45" i="8"/>
  <c r="S45" i="8"/>
  <c r="R45" i="8"/>
  <c r="Q45" i="8"/>
  <c r="P45" i="8"/>
  <c r="O45" i="8"/>
  <c r="E45" i="8"/>
  <c r="D45" i="8"/>
  <c r="C45" i="8"/>
  <c r="K28" i="8"/>
  <c r="J28" i="8"/>
  <c r="I28" i="8"/>
  <c r="U24" i="8"/>
  <c r="T24" i="8"/>
  <c r="S24" i="8"/>
  <c r="R24" i="8"/>
  <c r="Q24" i="8"/>
  <c r="P24" i="8"/>
  <c r="O24" i="8"/>
  <c r="E24" i="8"/>
  <c r="D24" i="8"/>
  <c r="C24" i="8"/>
  <c r="K22" i="8"/>
  <c r="J22" i="8"/>
  <c r="I22" i="8"/>
  <c r="K16" i="8"/>
  <c r="J16" i="8"/>
  <c r="I16" i="8"/>
  <c r="AD15" i="8"/>
  <c r="AC15" i="8"/>
  <c r="AB15" i="8"/>
  <c r="AA15" i="8"/>
  <c r="Z15" i="8"/>
  <c r="Y15" i="8"/>
  <c r="X15" i="8"/>
  <c r="AD12" i="8"/>
  <c r="AC12" i="8"/>
  <c r="AB12" i="8"/>
  <c r="AA12" i="8"/>
  <c r="Z12" i="8"/>
  <c r="Y12" i="8"/>
  <c r="X12" i="8"/>
  <c r="K10" i="8"/>
  <c r="J10" i="8"/>
  <c r="I10" i="8"/>
  <c r="AD9" i="8"/>
  <c r="AC9" i="8"/>
  <c r="AB9" i="8"/>
  <c r="AA9" i="8"/>
  <c r="Z9" i="8"/>
  <c r="Y9" i="8"/>
  <c r="X9" i="8"/>
  <c r="AD6" i="8"/>
  <c r="AC6" i="8"/>
  <c r="AB6" i="8"/>
  <c r="AA6" i="8"/>
  <c r="Z6" i="8"/>
  <c r="Y6" i="8"/>
  <c r="X6" i="8"/>
  <c r="J82" i="7"/>
  <c r="L82" i="7" s="1"/>
  <c r="F82" i="7"/>
  <c r="I82" i="7" s="1"/>
  <c r="L81" i="7"/>
  <c r="J81" i="7"/>
  <c r="K81" i="7" s="1"/>
  <c r="H81" i="7"/>
  <c r="F81" i="7"/>
  <c r="I81" i="7" s="1"/>
  <c r="K80" i="7"/>
  <c r="J80" i="7"/>
  <c r="L80" i="7" s="1"/>
  <c r="G80" i="7"/>
  <c r="F80" i="7"/>
  <c r="H80" i="7" s="1"/>
  <c r="J79" i="7"/>
  <c r="K79" i="7" s="1"/>
  <c r="F79" i="7"/>
  <c r="G79" i="7" s="1"/>
  <c r="J78" i="7"/>
  <c r="L78" i="7" s="1"/>
  <c r="F78" i="7"/>
  <c r="I78" i="7" s="1"/>
  <c r="J77" i="7"/>
  <c r="L77" i="7" s="1"/>
  <c r="F77" i="7"/>
  <c r="I77" i="7" s="1"/>
  <c r="J76" i="7"/>
  <c r="L76" i="7" s="1"/>
  <c r="F76" i="7"/>
  <c r="H76" i="7" s="1"/>
  <c r="J75" i="7"/>
  <c r="K75" i="7" s="1"/>
  <c r="F75" i="7"/>
  <c r="G75" i="7" s="1"/>
  <c r="L74" i="7"/>
  <c r="K74" i="7"/>
  <c r="J74" i="7"/>
  <c r="I74" i="7"/>
  <c r="H74" i="7"/>
  <c r="G74" i="7"/>
  <c r="F74" i="7"/>
  <c r="J73" i="7"/>
  <c r="L73" i="7" s="1"/>
  <c r="F73" i="7"/>
  <c r="I73" i="7" s="1"/>
  <c r="F72" i="7"/>
  <c r="I72" i="7" s="1"/>
  <c r="J71" i="7"/>
  <c r="L71" i="7" s="1"/>
  <c r="F71" i="7"/>
  <c r="H71" i="7" s="1"/>
  <c r="J70" i="7"/>
  <c r="K70" i="7" s="1"/>
  <c r="I70" i="7"/>
  <c r="F70" i="7"/>
  <c r="G70" i="7" s="1"/>
  <c r="L69" i="7"/>
  <c r="K69" i="7"/>
  <c r="J69" i="7"/>
  <c r="I69" i="7"/>
  <c r="H69" i="7"/>
  <c r="G69" i="7"/>
  <c r="F69" i="7"/>
  <c r="K68" i="7"/>
  <c r="J68" i="7"/>
  <c r="L68" i="7" s="1"/>
  <c r="G68" i="7"/>
  <c r="F68" i="7"/>
  <c r="I68" i="7" s="1"/>
  <c r="J67" i="7"/>
  <c r="L67" i="7" s="1"/>
  <c r="F67" i="7"/>
  <c r="H67" i="7" s="1"/>
  <c r="J66" i="7"/>
  <c r="K66" i="7" s="1"/>
  <c r="I66" i="7"/>
  <c r="F66" i="7"/>
  <c r="G66" i="7" s="1"/>
  <c r="L65" i="7"/>
  <c r="K65" i="7"/>
  <c r="J65" i="7"/>
  <c r="I65" i="7"/>
  <c r="H65" i="7"/>
  <c r="G65" i="7"/>
  <c r="F65" i="7"/>
  <c r="K64" i="7"/>
  <c r="J64" i="7"/>
  <c r="L64" i="7" s="1"/>
  <c r="G64" i="7"/>
  <c r="F64" i="7"/>
  <c r="I64" i="7" s="1"/>
  <c r="J63" i="7"/>
  <c r="L63" i="7" s="1"/>
  <c r="F63" i="7"/>
  <c r="H63" i="7" s="1"/>
  <c r="L62" i="7"/>
  <c r="J62" i="7"/>
  <c r="K62" i="7" s="1"/>
  <c r="I62" i="7"/>
  <c r="H62" i="7"/>
  <c r="F62" i="7"/>
  <c r="G62" i="7" s="1"/>
  <c r="L61" i="7"/>
  <c r="K61" i="7"/>
  <c r="J61" i="7"/>
  <c r="I61" i="7"/>
  <c r="H61" i="7"/>
  <c r="G61" i="7"/>
  <c r="F61" i="7"/>
  <c r="J60" i="7"/>
  <c r="L60" i="7" s="1"/>
  <c r="F60" i="7"/>
  <c r="I60" i="7" s="1"/>
  <c r="J59" i="7"/>
  <c r="L59" i="7" s="1"/>
  <c r="F59" i="7"/>
  <c r="H59" i="7" s="1"/>
  <c r="L58" i="7"/>
  <c r="J58" i="7"/>
  <c r="K58" i="7" s="1"/>
  <c r="I58" i="7"/>
  <c r="H58" i="7"/>
  <c r="F58" i="7"/>
  <c r="G58" i="7" s="1"/>
  <c r="L57" i="7"/>
  <c r="K57" i="7"/>
  <c r="J57" i="7"/>
  <c r="H57" i="7"/>
  <c r="G57" i="7"/>
  <c r="F57" i="7"/>
  <c r="I57" i="7" s="1"/>
  <c r="J56" i="7"/>
  <c r="L56" i="7" s="1"/>
  <c r="F56" i="7"/>
  <c r="I56" i="7" s="1"/>
  <c r="J55" i="7"/>
  <c r="L55" i="7" s="1"/>
  <c r="F55" i="7"/>
  <c r="H55" i="7" s="1"/>
  <c r="L54" i="7"/>
  <c r="J54" i="7"/>
  <c r="K54" i="7" s="1"/>
  <c r="I54" i="7"/>
  <c r="H54" i="7"/>
  <c r="F54" i="7"/>
  <c r="G54" i="7" s="1"/>
  <c r="L53" i="7"/>
  <c r="K53" i="7"/>
  <c r="J53" i="7"/>
  <c r="H53" i="7"/>
  <c r="G53" i="7"/>
  <c r="F53" i="7"/>
  <c r="I53" i="7" s="1"/>
  <c r="J52" i="7"/>
  <c r="L52" i="7" s="1"/>
  <c r="F52" i="7"/>
  <c r="I52" i="7" s="1"/>
  <c r="J51" i="7"/>
  <c r="L51" i="7" s="1"/>
  <c r="F51" i="7"/>
  <c r="H51" i="7" s="1"/>
  <c r="L50" i="7"/>
  <c r="J50" i="7"/>
  <c r="K50" i="7" s="1"/>
  <c r="I50" i="7"/>
  <c r="H50" i="7"/>
  <c r="F50" i="7"/>
  <c r="G50" i="7" s="1"/>
  <c r="L49" i="7"/>
  <c r="K49" i="7"/>
  <c r="J49" i="7"/>
  <c r="I49" i="7"/>
  <c r="H49" i="7"/>
  <c r="G49" i="7"/>
  <c r="F49" i="7"/>
  <c r="J48" i="7"/>
  <c r="L48" i="7" s="1"/>
  <c r="F48" i="7"/>
  <c r="I48" i="7" s="1"/>
  <c r="J47" i="7"/>
  <c r="L47" i="7" s="1"/>
  <c r="F47" i="7"/>
  <c r="H47" i="7" s="1"/>
  <c r="L46" i="7"/>
  <c r="J46" i="7"/>
  <c r="K46" i="7" s="1"/>
  <c r="I46" i="7"/>
  <c r="H46" i="7"/>
  <c r="F46" i="7"/>
  <c r="G46" i="7" s="1"/>
  <c r="L45" i="7"/>
  <c r="K45" i="7"/>
  <c r="J45" i="7"/>
  <c r="H45" i="7"/>
  <c r="G45" i="7"/>
  <c r="F45" i="7"/>
  <c r="I45" i="7" s="1"/>
  <c r="J44" i="7"/>
  <c r="L44" i="7" s="1"/>
  <c r="F44" i="7"/>
  <c r="I44" i="7" s="1"/>
  <c r="J43" i="7"/>
  <c r="L43" i="7" s="1"/>
  <c r="F43" i="7"/>
  <c r="H43" i="7" s="1"/>
  <c r="L42" i="7"/>
  <c r="J42" i="7"/>
  <c r="K42" i="7" s="1"/>
  <c r="I42" i="7"/>
  <c r="H42" i="7"/>
  <c r="F42" i="7"/>
  <c r="G42" i="7" s="1"/>
  <c r="L41" i="7"/>
  <c r="K41" i="7"/>
  <c r="J41" i="7"/>
  <c r="H41" i="7"/>
  <c r="G41" i="7"/>
  <c r="F41" i="7"/>
  <c r="I41" i="7" s="1"/>
  <c r="J40" i="7"/>
  <c r="L40" i="7" s="1"/>
  <c r="F40" i="7"/>
  <c r="I40" i="7" s="1"/>
  <c r="J39" i="7"/>
  <c r="L39" i="7" s="1"/>
  <c r="F39" i="7"/>
  <c r="H39" i="7" s="1"/>
  <c r="L38" i="7"/>
  <c r="J38" i="7"/>
  <c r="K38" i="7" s="1"/>
  <c r="I38" i="7"/>
  <c r="H38" i="7"/>
  <c r="F38" i="7"/>
  <c r="G38" i="7" s="1"/>
  <c r="L37" i="7"/>
  <c r="K37" i="7"/>
  <c r="J37" i="7"/>
  <c r="H37" i="7"/>
  <c r="G37" i="7"/>
  <c r="F37" i="7"/>
  <c r="I37" i="7" s="1"/>
  <c r="J36" i="7"/>
  <c r="L36" i="7" s="1"/>
  <c r="F36" i="7"/>
  <c r="I36" i="7" s="1"/>
  <c r="J35" i="7"/>
  <c r="L35" i="7" s="1"/>
  <c r="F35" i="7"/>
  <c r="H35" i="7" s="1"/>
  <c r="L34" i="7"/>
  <c r="J34" i="7"/>
  <c r="K34" i="7" s="1"/>
  <c r="I34" i="7"/>
  <c r="H34" i="7"/>
  <c r="F34" i="7"/>
  <c r="G34" i="7" s="1"/>
  <c r="L33" i="7"/>
  <c r="K33" i="7"/>
  <c r="J33" i="7"/>
  <c r="H33" i="7"/>
  <c r="G33" i="7"/>
  <c r="F33" i="7"/>
  <c r="I33" i="7" s="1"/>
  <c r="J32" i="7"/>
  <c r="L32" i="7" s="1"/>
  <c r="F32" i="7"/>
  <c r="I32" i="7" s="1"/>
  <c r="J31" i="7"/>
  <c r="L31" i="7" s="1"/>
  <c r="F31" i="7"/>
  <c r="H31" i="7" s="1"/>
  <c r="L30" i="7"/>
  <c r="J30" i="7"/>
  <c r="K30" i="7" s="1"/>
  <c r="I30" i="7"/>
  <c r="H30" i="7"/>
  <c r="F30" i="7"/>
  <c r="G30" i="7" s="1"/>
  <c r="L29" i="7"/>
  <c r="K29" i="7"/>
  <c r="J29" i="7"/>
  <c r="H29" i="7"/>
  <c r="G29" i="7"/>
  <c r="F29" i="7"/>
  <c r="I29" i="7" s="1"/>
  <c r="J28" i="7"/>
  <c r="L28" i="7" s="1"/>
  <c r="F28" i="7"/>
  <c r="I28" i="7" s="1"/>
  <c r="J27" i="7"/>
  <c r="L27" i="7" s="1"/>
  <c r="F27" i="7"/>
  <c r="H27" i="7" s="1"/>
  <c r="L26" i="7"/>
  <c r="J26" i="7"/>
  <c r="K26" i="7" s="1"/>
  <c r="I26" i="7"/>
  <c r="H26" i="7"/>
  <c r="F26" i="7"/>
  <c r="G26" i="7" s="1"/>
  <c r="W25" i="7"/>
  <c r="V25" i="7"/>
  <c r="U25" i="7"/>
  <c r="S25" i="7"/>
  <c r="R25" i="7"/>
  <c r="Q25" i="7"/>
  <c r="T25" i="7" s="1"/>
  <c r="K25" i="7"/>
  <c r="J25" i="7"/>
  <c r="L25" i="7" s="1"/>
  <c r="G25" i="7"/>
  <c r="F25" i="7"/>
  <c r="I25" i="7" s="1"/>
  <c r="J24" i="7"/>
  <c r="L24" i="7" s="1"/>
  <c r="F24" i="7"/>
  <c r="H24" i="7" s="1"/>
  <c r="W23" i="7"/>
  <c r="U23" i="7"/>
  <c r="V23" i="7" s="1"/>
  <c r="T23" i="7"/>
  <c r="S23" i="7"/>
  <c r="Q23" i="7"/>
  <c r="R23" i="7" s="1"/>
  <c r="L23" i="7"/>
  <c r="K23" i="7"/>
  <c r="J23" i="7"/>
  <c r="H23" i="7"/>
  <c r="G23" i="7"/>
  <c r="F23" i="7"/>
  <c r="I23" i="7" s="1"/>
  <c r="U22" i="7"/>
  <c r="W22" i="7" s="1"/>
  <c r="Q22" i="7"/>
  <c r="T22" i="7" s="1"/>
  <c r="J22" i="7"/>
  <c r="L22" i="7" s="1"/>
  <c r="F22" i="7"/>
  <c r="H22" i="7" s="1"/>
  <c r="W21" i="7"/>
  <c r="U21" i="7"/>
  <c r="V21" i="7" s="1"/>
  <c r="T21" i="7"/>
  <c r="S21" i="7"/>
  <c r="Q21" i="7"/>
  <c r="R21" i="7" s="1"/>
  <c r="L21" i="7"/>
  <c r="K21" i="7"/>
  <c r="J21" i="7"/>
  <c r="H21" i="7"/>
  <c r="G21" i="7"/>
  <c r="F21" i="7"/>
  <c r="I21" i="7" s="1"/>
  <c r="U20" i="7"/>
  <c r="W20" i="7" s="1"/>
  <c r="Q20" i="7"/>
  <c r="T20" i="7" s="1"/>
  <c r="J20" i="7"/>
  <c r="L20" i="7" s="1"/>
  <c r="F20" i="7"/>
  <c r="H20" i="7" s="1"/>
  <c r="W19" i="7"/>
  <c r="U19" i="7"/>
  <c r="V19" i="7" s="1"/>
  <c r="T19" i="7"/>
  <c r="S19" i="7"/>
  <c r="Q19" i="7"/>
  <c r="R19" i="7" s="1"/>
  <c r="L19" i="7"/>
  <c r="K19" i="7"/>
  <c r="J19" i="7"/>
  <c r="H19" i="7"/>
  <c r="G19" i="7"/>
  <c r="F19" i="7"/>
  <c r="I19" i="7" s="1"/>
  <c r="U18" i="7"/>
  <c r="W18" i="7" s="1"/>
  <c r="Q18" i="7"/>
  <c r="T18" i="7" s="1"/>
  <c r="J18" i="7"/>
  <c r="L18" i="7" s="1"/>
  <c r="I18" i="7"/>
  <c r="F18" i="7"/>
  <c r="H18" i="7" s="1"/>
  <c r="W17" i="7"/>
  <c r="U17" i="7"/>
  <c r="V17" i="7" s="1"/>
  <c r="T17" i="7"/>
  <c r="S17" i="7"/>
  <c r="Q17" i="7"/>
  <c r="R17" i="7" s="1"/>
  <c r="L17" i="7"/>
  <c r="K17" i="7"/>
  <c r="J17" i="7"/>
  <c r="H17" i="7"/>
  <c r="G17" i="7"/>
  <c r="F17" i="7"/>
  <c r="I17" i="7" s="1"/>
  <c r="U16" i="7"/>
  <c r="W16" i="7" s="1"/>
  <c r="Q16" i="7"/>
  <c r="T16" i="7" s="1"/>
  <c r="J16" i="7"/>
  <c r="L16" i="7" s="1"/>
  <c r="I16" i="7"/>
  <c r="F16" i="7"/>
  <c r="H16" i="7" s="1"/>
  <c r="W15" i="7"/>
  <c r="U15" i="7"/>
  <c r="V15" i="7" s="1"/>
  <c r="T15" i="7"/>
  <c r="S15" i="7"/>
  <c r="Q15" i="7"/>
  <c r="R15" i="7" s="1"/>
  <c r="L15" i="7"/>
  <c r="K15" i="7"/>
  <c r="J15" i="7"/>
  <c r="H15" i="7"/>
  <c r="G15" i="7"/>
  <c r="F15" i="7"/>
  <c r="I15" i="7" s="1"/>
  <c r="U14" i="7"/>
  <c r="W14" i="7" s="1"/>
  <c r="Q14" i="7"/>
  <c r="T14" i="7" s="1"/>
  <c r="J14" i="7"/>
  <c r="L14" i="7" s="1"/>
  <c r="I14" i="7"/>
  <c r="F14" i="7"/>
  <c r="H14" i="7" s="1"/>
  <c r="W13" i="7"/>
  <c r="U13" i="7"/>
  <c r="V13" i="7" s="1"/>
  <c r="T13" i="7"/>
  <c r="S13" i="7"/>
  <c r="Q13" i="7"/>
  <c r="R13" i="7" s="1"/>
  <c r="L13" i="7"/>
  <c r="K13" i="7"/>
  <c r="J13" i="7"/>
  <c r="H13" i="7"/>
  <c r="G13" i="7"/>
  <c r="F13" i="7"/>
  <c r="I13" i="7" s="1"/>
  <c r="U12" i="7"/>
  <c r="W12" i="7" s="1"/>
  <c r="Q12" i="7"/>
  <c r="T12" i="7" s="1"/>
  <c r="J12" i="7"/>
  <c r="L12" i="7" s="1"/>
  <c r="I12" i="7"/>
  <c r="F12" i="7"/>
  <c r="H12" i="7" s="1"/>
  <c r="W11" i="7"/>
  <c r="U11" i="7"/>
  <c r="V11" i="7" s="1"/>
  <c r="T11" i="7"/>
  <c r="S11" i="7"/>
  <c r="Q11" i="7"/>
  <c r="R11" i="7" s="1"/>
  <c r="L11" i="7"/>
  <c r="K11" i="7"/>
  <c r="J11" i="7"/>
  <c r="H11" i="7"/>
  <c r="G11" i="7"/>
  <c r="F11" i="7"/>
  <c r="I11" i="7" s="1"/>
  <c r="U10" i="7"/>
  <c r="W10" i="7" s="1"/>
  <c r="Q10" i="7"/>
  <c r="T10" i="7" s="1"/>
  <c r="J10" i="7"/>
  <c r="L10" i="7" s="1"/>
  <c r="I10" i="7"/>
  <c r="F10" i="7"/>
  <c r="H10" i="7" s="1"/>
  <c r="W9" i="7"/>
  <c r="U9" i="7"/>
  <c r="V9" i="7" s="1"/>
  <c r="T9" i="7"/>
  <c r="S9" i="7"/>
  <c r="Q9" i="7"/>
  <c r="R9" i="7" s="1"/>
  <c r="L9" i="7"/>
  <c r="K9" i="7"/>
  <c r="J9" i="7"/>
  <c r="H9" i="7"/>
  <c r="G9" i="7"/>
  <c r="F9" i="7"/>
  <c r="I9" i="7" s="1"/>
  <c r="J8" i="7"/>
  <c r="L8" i="7" s="1"/>
  <c r="F8" i="7"/>
  <c r="I8" i="7" s="1"/>
  <c r="J7" i="7"/>
  <c r="L7" i="7" s="1"/>
  <c r="I7" i="7"/>
  <c r="F7" i="7"/>
  <c r="H7" i="7" s="1"/>
  <c r="L6" i="7"/>
  <c r="J6" i="7"/>
  <c r="K6" i="7" s="1"/>
  <c r="I6" i="7"/>
  <c r="H6" i="7"/>
  <c r="F6" i="7"/>
  <c r="G6" i="7" s="1"/>
  <c r="G83" i="6"/>
  <c r="F83" i="6"/>
  <c r="E83" i="6"/>
  <c r="E82" i="6"/>
  <c r="G82" i="6" s="1"/>
  <c r="E81" i="6"/>
  <c r="G81" i="6" s="1"/>
  <c r="G80" i="6"/>
  <c r="E80" i="6"/>
  <c r="F80" i="6" s="1"/>
  <c r="G79" i="6"/>
  <c r="F79" i="6"/>
  <c r="E79" i="6"/>
  <c r="E78" i="6"/>
  <c r="G78" i="6" s="1"/>
  <c r="E77" i="6"/>
  <c r="G77" i="6" s="1"/>
  <c r="G76" i="6"/>
  <c r="E76" i="6"/>
  <c r="F76" i="6" s="1"/>
  <c r="G75" i="6"/>
  <c r="F75" i="6"/>
  <c r="E75" i="6"/>
  <c r="E74" i="6"/>
  <c r="G74" i="6" s="1"/>
  <c r="E73" i="6"/>
  <c r="G73" i="6" s="1"/>
  <c r="G72" i="6"/>
  <c r="E72" i="6"/>
  <c r="F72" i="6" s="1"/>
  <c r="G71" i="6"/>
  <c r="F71" i="6"/>
  <c r="E71" i="6"/>
  <c r="E70" i="6"/>
  <c r="G70" i="6" s="1"/>
  <c r="E69" i="6"/>
  <c r="G69" i="6" s="1"/>
  <c r="G68" i="6"/>
  <c r="E68" i="6"/>
  <c r="F68" i="6" s="1"/>
  <c r="G67" i="6"/>
  <c r="F67" i="6"/>
  <c r="E67" i="6"/>
  <c r="E66" i="6"/>
  <c r="G66" i="6" s="1"/>
  <c r="E65" i="6"/>
  <c r="G65" i="6" s="1"/>
  <c r="G64" i="6"/>
  <c r="E64" i="6"/>
  <c r="F64" i="6" s="1"/>
  <c r="G63" i="6"/>
  <c r="F63" i="6"/>
  <c r="E63" i="6"/>
  <c r="E62" i="6"/>
  <c r="G62" i="6" s="1"/>
  <c r="E61" i="6"/>
  <c r="G61" i="6" s="1"/>
  <c r="G60" i="6"/>
  <c r="E60" i="6"/>
  <c r="F60" i="6" s="1"/>
  <c r="G59" i="6"/>
  <c r="F59" i="6"/>
  <c r="E59" i="6"/>
  <c r="E58" i="6"/>
  <c r="G58" i="6" s="1"/>
  <c r="E57" i="6"/>
  <c r="G57" i="6" s="1"/>
  <c r="G56" i="6"/>
  <c r="E56" i="6"/>
  <c r="F56" i="6" s="1"/>
  <c r="G55" i="6"/>
  <c r="F55" i="6"/>
  <c r="E55" i="6"/>
  <c r="E54" i="6"/>
  <c r="G54" i="6" s="1"/>
  <c r="E53" i="6"/>
  <c r="G52" i="6"/>
  <c r="E52" i="6"/>
  <c r="F52" i="6" s="1"/>
  <c r="G51" i="6"/>
  <c r="F51" i="6"/>
  <c r="E51" i="6"/>
  <c r="E50" i="6"/>
  <c r="G50" i="6" s="1"/>
  <c r="E49" i="6"/>
  <c r="G48" i="6"/>
  <c r="F48" i="6"/>
  <c r="E48" i="6"/>
  <c r="G47" i="6"/>
  <c r="E47" i="6"/>
  <c r="F47" i="6" s="1"/>
  <c r="G46" i="6"/>
  <c r="F46" i="6"/>
  <c r="E46" i="6"/>
  <c r="E45" i="6"/>
  <c r="G45" i="6" s="1"/>
  <c r="E44" i="6"/>
  <c r="G44" i="6" s="1"/>
  <c r="G43" i="6"/>
  <c r="E43" i="6"/>
  <c r="F43" i="6" s="1"/>
  <c r="G42" i="6"/>
  <c r="F42" i="6"/>
  <c r="E42" i="6"/>
  <c r="E41" i="6"/>
  <c r="G41" i="6" s="1"/>
  <c r="E40" i="6"/>
  <c r="G40" i="6" s="1"/>
  <c r="G39" i="6"/>
  <c r="E39" i="6"/>
  <c r="F39" i="6" s="1"/>
  <c r="G38" i="6"/>
  <c r="F38" i="6"/>
  <c r="E38" i="6"/>
  <c r="E37" i="6"/>
  <c r="G37" i="6" s="1"/>
  <c r="E36" i="6"/>
  <c r="G36" i="6" s="1"/>
  <c r="G35" i="6"/>
  <c r="E35" i="6"/>
  <c r="F35" i="6" s="1"/>
  <c r="G34" i="6"/>
  <c r="F34" i="6"/>
  <c r="E34" i="6"/>
  <c r="E33" i="6"/>
  <c r="G33" i="6" s="1"/>
  <c r="E32" i="6"/>
  <c r="G32" i="6" s="1"/>
  <c r="G31" i="6"/>
  <c r="E31" i="6"/>
  <c r="F31" i="6" s="1"/>
  <c r="G30" i="6"/>
  <c r="F30" i="6"/>
  <c r="E30" i="6"/>
  <c r="E29" i="6"/>
  <c r="G29" i="6" s="1"/>
  <c r="E28" i="6"/>
  <c r="G28" i="6" s="1"/>
  <c r="G27" i="6"/>
  <c r="E27" i="6"/>
  <c r="F27" i="6" s="1"/>
  <c r="G26" i="6"/>
  <c r="F26" i="6"/>
  <c r="E26" i="6"/>
  <c r="K25" i="6"/>
  <c r="M25" i="6" s="1"/>
  <c r="E25" i="6"/>
  <c r="G25" i="6" s="1"/>
  <c r="M24" i="6"/>
  <c r="K24" i="6"/>
  <c r="L24" i="6" s="1"/>
  <c r="G24" i="6"/>
  <c r="F24" i="6"/>
  <c r="E24" i="6"/>
  <c r="K23" i="6"/>
  <c r="M23" i="6" s="1"/>
  <c r="E23" i="6"/>
  <c r="G23" i="6" s="1"/>
  <c r="M22" i="6"/>
  <c r="K22" i="6"/>
  <c r="L22" i="6" s="1"/>
  <c r="G22" i="6"/>
  <c r="F22" i="6"/>
  <c r="E22" i="6"/>
  <c r="K21" i="6"/>
  <c r="M21" i="6" s="1"/>
  <c r="E21" i="6"/>
  <c r="G21" i="6" s="1"/>
  <c r="M20" i="6"/>
  <c r="K20" i="6"/>
  <c r="L20" i="6" s="1"/>
  <c r="G20" i="6"/>
  <c r="F20" i="6"/>
  <c r="E20" i="6"/>
  <c r="K19" i="6"/>
  <c r="M19" i="6" s="1"/>
  <c r="E19" i="6"/>
  <c r="G19" i="6" s="1"/>
  <c r="M18" i="6"/>
  <c r="K18" i="6"/>
  <c r="L18" i="6" s="1"/>
  <c r="G18" i="6"/>
  <c r="F18" i="6"/>
  <c r="E18" i="6"/>
  <c r="K17" i="6"/>
  <c r="M17" i="6" s="1"/>
  <c r="E17" i="6"/>
  <c r="G17" i="6" s="1"/>
  <c r="M16" i="6"/>
  <c r="K16" i="6"/>
  <c r="L16" i="6" s="1"/>
  <c r="G16" i="6"/>
  <c r="F16" i="6"/>
  <c r="E16" i="6"/>
  <c r="K15" i="6"/>
  <c r="M15" i="6" s="1"/>
  <c r="E15" i="6"/>
  <c r="G15" i="6" s="1"/>
  <c r="M14" i="6"/>
  <c r="K14" i="6"/>
  <c r="L14" i="6" s="1"/>
  <c r="G14" i="6"/>
  <c r="F14" i="6"/>
  <c r="E14" i="6"/>
  <c r="K13" i="6"/>
  <c r="M13" i="6" s="1"/>
  <c r="E13" i="6"/>
  <c r="G13" i="6" s="1"/>
  <c r="M12" i="6"/>
  <c r="K12" i="6"/>
  <c r="L12" i="6" s="1"/>
  <c r="G12" i="6"/>
  <c r="F12" i="6"/>
  <c r="E12" i="6"/>
  <c r="K11" i="6"/>
  <c r="M11" i="6" s="1"/>
  <c r="E11" i="6"/>
  <c r="G11" i="6" s="1"/>
  <c r="M10" i="6"/>
  <c r="K10" i="6"/>
  <c r="L10" i="6" s="1"/>
  <c r="G10" i="6"/>
  <c r="F10" i="6"/>
  <c r="E10" i="6"/>
  <c r="K9" i="6"/>
  <c r="M9" i="6" s="1"/>
  <c r="E9" i="6"/>
  <c r="G9" i="6" s="1"/>
  <c r="M8" i="6"/>
  <c r="K8" i="6"/>
  <c r="L8" i="6" s="1"/>
  <c r="G8" i="6"/>
  <c r="F8" i="6"/>
  <c r="E8" i="6"/>
  <c r="E7" i="6"/>
  <c r="G7" i="6" s="1"/>
  <c r="K6" i="6"/>
  <c r="M6" i="6" s="1"/>
  <c r="G6" i="6"/>
  <c r="E6" i="6"/>
  <c r="F6" i="6" s="1"/>
  <c r="G14" i="5"/>
  <c r="F14" i="5"/>
  <c r="D14" i="5"/>
  <c r="E14" i="5" s="1"/>
  <c r="G13" i="5"/>
  <c r="F13" i="5"/>
  <c r="D13" i="5"/>
  <c r="E13" i="5" s="1"/>
  <c r="G12" i="5"/>
  <c r="F12" i="5"/>
  <c r="D12" i="5"/>
  <c r="E12" i="5" s="1"/>
  <c r="G11" i="5"/>
  <c r="F11" i="5"/>
  <c r="D11" i="5"/>
  <c r="E11" i="5" s="1"/>
  <c r="G10" i="5"/>
  <c r="F10" i="5"/>
  <c r="D10" i="5"/>
  <c r="E10" i="5" s="1"/>
  <c r="G9" i="5"/>
  <c r="F9" i="5"/>
  <c r="D9" i="5"/>
  <c r="E9" i="5" s="1"/>
  <c r="G8" i="5"/>
  <c r="F8" i="5"/>
  <c r="D8" i="5"/>
  <c r="E8" i="5" s="1"/>
  <c r="G7" i="5"/>
  <c r="F7" i="5"/>
  <c r="D7" i="5"/>
  <c r="E7" i="5" s="1"/>
  <c r="G6" i="5"/>
  <c r="F6" i="5"/>
  <c r="D6" i="5"/>
  <c r="E6" i="5" s="1"/>
  <c r="G5" i="5"/>
  <c r="F5" i="5"/>
  <c r="D5" i="5"/>
  <c r="E5" i="5" s="1"/>
  <c r="G4" i="5"/>
  <c r="F4" i="5"/>
  <c r="D4" i="5"/>
  <c r="E4" i="5" s="1"/>
  <c r="G3" i="5"/>
  <c r="F3" i="5"/>
  <c r="D3" i="5"/>
  <c r="E3" i="5" s="1"/>
  <c r="K78" i="4"/>
  <c r="J78" i="4"/>
  <c r="I78" i="4"/>
  <c r="G78" i="4"/>
  <c r="F78" i="4"/>
  <c r="E78" i="4"/>
  <c r="H78" i="4" s="1"/>
  <c r="I77" i="4"/>
  <c r="K77" i="4" s="1"/>
  <c r="E77" i="4"/>
  <c r="H77" i="4" s="1"/>
  <c r="I76" i="4"/>
  <c r="K76" i="4" s="1"/>
  <c r="H76" i="4"/>
  <c r="E76" i="4"/>
  <c r="G76" i="4" s="1"/>
  <c r="K75" i="4"/>
  <c r="J75" i="4"/>
  <c r="I75" i="4"/>
  <c r="H75" i="4"/>
  <c r="G75" i="4"/>
  <c r="F75" i="4"/>
  <c r="E75" i="4"/>
  <c r="K74" i="4"/>
  <c r="J74" i="4"/>
  <c r="I74" i="4"/>
  <c r="G74" i="4"/>
  <c r="F74" i="4"/>
  <c r="E74" i="4"/>
  <c r="H74" i="4" s="1"/>
  <c r="I73" i="4"/>
  <c r="K73" i="4" s="1"/>
  <c r="E73" i="4"/>
  <c r="H73" i="4" s="1"/>
  <c r="I72" i="4"/>
  <c r="K72" i="4" s="1"/>
  <c r="H72" i="4"/>
  <c r="E72" i="4"/>
  <c r="G72" i="4" s="1"/>
  <c r="K71" i="4"/>
  <c r="J71" i="4"/>
  <c r="I71" i="4"/>
  <c r="H71" i="4"/>
  <c r="G71" i="4"/>
  <c r="F71" i="4"/>
  <c r="E71" i="4"/>
  <c r="K70" i="4"/>
  <c r="J70" i="4"/>
  <c r="I70" i="4"/>
  <c r="G70" i="4"/>
  <c r="F70" i="4"/>
  <c r="E70" i="4"/>
  <c r="H70" i="4" s="1"/>
  <c r="I69" i="4"/>
  <c r="K69" i="4" s="1"/>
  <c r="E69" i="4"/>
  <c r="H69" i="4" s="1"/>
  <c r="I68" i="4"/>
  <c r="K68" i="4" s="1"/>
  <c r="H68" i="4"/>
  <c r="E68" i="4"/>
  <c r="G68" i="4" s="1"/>
  <c r="K67" i="4"/>
  <c r="J67" i="4"/>
  <c r="I67" i="4"/>
  <c r="H67" i="4"/>
  <c r="G67" i="4"/>
  <c r="F67" i="4"/>
  <c r="E67" i="4"/>
  <c r="K66" i="4"/>
  <c r="J66" i="4"/>
  <c r="I66" i="4"/>
  <c r="G66" i="4"/>
  <c r="F66" i="4"/>
  <c r="E66" i="4"/>
  <c r="H66" i="4" s="1"/>
  <c r="I65" i="4"/>
  <c r="K65" i="4" s="1"/>
  <c r="E65" i="4"/>
  <c r="H65" i="4" s="1"/>
  <c r="I64" i="4"/>
  <c r="K64" i="4" s="1"/>
  <c r="H64" i="4"/>
  <c r="E64" i="4"/>
  <c r="G64" i="4" s="1"/>
  <c r="K63" i="4"/>
  <c r="I63" i="4"/>
  <c r="J63" i="4" s="1"/>
  <c r="H63" i="4"/>
  <c r="G63" i="4"/>
  <c r="E63" i="4"/>
  <c r="F63" i="4" s="1"/>
  <c r="K62" i="4"/>
  <c r="J62" i="4"/>
  <c r="I62" i="4"/>
  <c r="G62" i="4"/>
  <c r="F62" i="4"/>
  <c r="E62" i="4"/>
  <c r="H62" i="4" s="1"/>
  <c r="I61" i="4"/>
  <c r="K61" i="4" s="1"/>
  <c r="E61" i="4"/>
  <c r="H61" i="4" s="1"/>
  <c r="I60" i="4"/>
  <c r="K60" i="4" s="1"/>
  <c r="H60" i="4"/>
  <c r="E60" i="4"/>
  <c r="G60" i="4" s="1"/>
  <c r="K59" i="4"/>
  <c r="I59" i="4"/>
  <c r="J59" i="4" s="1"/>
  <c r="H59" i="4"/>
  <c r="G59" i="4"/>
  <c r="E59" i="4"/>
  <c r="F59" i="4" s="1"/>
  <c r="K58" i="4"/>
  <c r="J58" i="4"/>
  <c r="I58" i="4"/>
  <c r="G58" i="4"/>
  <c r="F58" i="4"/>
  <c r="E58" i="4"/>
  <c r="H58" i="4" s="1"/>
  <c r="I57" i="4"/>
  <c r="K57" i="4" s="1"/>
  <c r="E57" i="4"/>
  <c r="H57" i="4" s="1"/>
  <c r="I56" i="4"/>
  <c r="K56" i="4" s="1"/>
  <c r="H56" i="4"/>
  <c r="E56" i="4"/>
  <c r="G56" i="4" s="1"/>
  <c r="K55" i="4"/>
  <c r="I55" i="4"/>
  <c r="J55" i="4" s="1"/>
  <c r="H55" i="4"/>
  <c r="G55" i="4"/>
  <c r="E55" i="4"/>
  <c r="F55" i="4" s="1"/>
  <c r="K54" i="4"/>
  <c r="J54" i="4"/>
  <c r="I54" i="4"/>
  <c r="G54" i="4"/>
  <c r="F54" i="4"/>
  <c r="E54" i="4"/>
  <c r="H54" i="4" s="1"/>
  <c r="I53" i="4"/>
  <c r="K53" i="4" s="1"/>
  <c r="E53" i="4"/>
  <c r="H53" i="4" s="1"/>
  <c r="I52" i="4"/>
  <c r="K52" i="4" s="1"/>
  <c r="H52" i="4"/>
  <c r="E52" i="4"/>
  <c r="G52" i="4" s="1"/>
  <c r="K51" i="4"/>
  <c r="I51" i="4"/>
  <c r="J51" i="4" s="1"/>
  <c r="H51" i="4"/>
  <c r="G51" i="4"/>
  <c r="E51" i="4"/>
  <c r="F51" i="4" s="1"/>
  <c r="K50" i="4"/>
  <c r="J50" i="4"/>
  <c r="I50" i="4"/>
  <c r="G50" i="4"/>
  <c r="F50" i="4"/>
  <c r="E50" i="4"/>
  <c r="H50" i="4" s="1"/>
  <c r="I49" i="4"/>
  <c r="K49" i="4" s="1"/>
  <c r="E49" i="4"/>
  <c r="H49" i="4" s="1"/>
  <c r="I48" i="4"/>
  <c r="K48" i="4" s="1"/>
  <c r="H48" i="4"/>
  <c r="E48" i="4"/>
  <c r="G48" i="4" s="1"/>
  <c r="K47" i="4"/>
  <c r="I47" i="4"/>
  <c r="J47" i="4" s="1"/>
  <c r="H47" i="4"/>
  <c r="G47" i="4"/>
  <c r="E47" i="4"/>
  <c r="F47" i="4" s="1"/>
  <c r="K46" i="4"/>
  <c r="J46" i="4"/>
  <c r="I46" i="4"/>
  <c r="G46" i="4"/>
  <c r="F46" i="4"/>
  <c r="E46" i="4"/>
  <c r="H46" i="4" s="1"/>
  <c r="I45" i="4"/>
  <c r="K45" i="4" s="1"/>
  <c r="E45" i="4"/>
  <c r="H45" i="4" s="1"/>
  <c r="I44" i="4"/>
  <c r="K44" i="4" s="1"/>
  <c r="H44" i="4"/>
  <c r="E44" i="4"/>
  <c r="G44" i="4" s="1"/>
  <c r="K43" i="4"/>
  <c r="I43" i="4"/>
  <c r="J43" i="4" s="1"/>
  <c r="H43" i="4"/>
  <c r="G43" i="4"/>
  <c r="E43" i="4"/>
  <c r="F43" i="4" s="1"/>
  <c r="K42" i="4"/>
  <c r="J42" i="4"/>
  <c r="I42" i="4"/>
  <c r="G42" i="4"/>
  <c r="F42" i="4"/>
  <c r="E42" i="4"/>
  <c r="H42" i="4" s="1"/>
  <c r="I41" i="4"/>
  <c r="K41" i="4" s="1"/>
  <c r="E41" i="4"/>
  <c r="H41" i="4" s="1"/>
  <c r="I40" i="4"/>
  <c r="K40" i="4" s="1"/>
  <c r="H40" i="4"/>
  <c r="E40" i="4"/>
  <c r="G40" i="4" s="1"/>
  <c r="K39" i="4"/>
  <c r="I39" i="4"/>
  <c r="J39" i="4" s="1"/>
  <c r="H39" i="4"/>
  <c r="G39" i="4"/>
  <c r="E39" i="4"/>
  <c r="F39" i="4" s="1"/>
  <c r="K38" i="4"/>
  <c r="J38" i="4"/>
  <c r="I38" i="4"/>
  <c r="G38" i="4"/>
  <c r="F38" i="4"/>
  <c r="E38" i="4"/>
  <c r="H38" i="4" s="1"/>
  <c r="I37" i="4"/>
  <c r="K37" i="4" s="1"/>
  <c r="E37" i="4"/>
  <c r="H37" i="4" s="1"/>
  <c r="I36" i="4"/>
  <c r="K36" i="4" s="1"/>
  <c r="H36" i="4"/>
  <c r="E36" i="4"/>
  <c r="G36" i="4" s="1"/>
  <c r="K35" i="4"/>
  <c r="I35" i="4"/>
  <c r="J35" i="4" s="1"/>
  <c r="H35" i="4"/>
  <c r="G35" i="4"/>
  <c r="E35" i="4"/>
  <c r="F35" i="4" s="1"/>
  <c r="K34" i="4"/>
  <c r="J34" i="4"/>
  <c r="I34" i="4"/>
  <c r="G34" i="4"/>
  <c r="F34" i="4"/>
  <c r="E34" i="4"/>
  <c r="H34" i="4" s="1"/>
  <c r="I33" i="4"/>
  <c r="K33" i="4" s="1"/>
  <c r="E33" i="4"/>
  <c r="H33" i="4" s="1"/>
  <c r="I32" i="4"/>
  <c r="K32" i="4" s="1"/>
  <c r="H32" i="4"/>
  <c r="E32" i="4"/>
  <c r="G32" i="4" s="1"/>
  <c r="K31" i="4"/>
  <c r="I31" i="4"/>
  <c r="J31" i="4" s="1"/>
  <c r="H31" i="4"/>
  <c r="G31" i="4"/>
  <c r="E31" i="4"/>
  <c r="F31" i="4" s="1"/>
  <c r="K30" i="4"/>
  <c r="J30" i="4"/>
  <c r="I30" i="4"/>
  <c r="G30" i="4"/>
  <c r="F30" i="4"/>
  <c r="E30" i="4"/>
  <c r="H30" i="4" s="1"/>
  <c r="I29" i="4"/>
  <c r="K29" i="4" s="1"/>
  <c r="E29" i="4"/>
  <c r="H29" i="4" s="1"/>
  <c r="I28" i="4"/>
  <c r="K28" i="4" s="1"/>
  <c r="H28" i="4"/>
  <c r="E28" i="4"/>
  <c r="G28" i="4" s="1"/>
  <c r="K27" i="4"/>
  <c r="I27" i="4"/>
  <c r="J27" i="4" s="1"/>
  <c r="H27" i="4"/>
  <c r="G27" i="4"/>
  <c r="E27" i="4"/>
  <c r="F27" i="4" s="1"/>
  <c r="K26" i="4"/>
  <c r="J26" i="4"/>
  <c r="I26" i="4"/>
  <c r="G26" i="4"/>
  <c r="F26" i="4"/>
  <c r="E26" i="4"/>
  <c r="H26" i="4" s="1"/>
  <c r="I25" i="4"/>
  <c r="K25" i="4" s="1"/>
  <c r="E25" i="4"/>
  <c r="H25" i="4" s="1"/>
  <c r="I24" i="4"/>
  <c r="K24" i="4" s="1"/>
  <c r="H24" i="4"/>
  <c r="E24" i="4"/>
  <c r="G24" i="4" s="1"/>
  <c r="K23" i="4"/>
  <c r="I23" i="4"/>
  <c r="J23" i="4" s="1"/>
  <c r="H23" i="4"/>
  <c r="G23" i="4"/>
  <c r="E23" i="4"/>
  <c r="F23" i="4" s="1"/>
  <c r="K22" i="4"/>
  <c r="J22" i="4"/>
  <c r="I22" i="4"/>
  <c r="G22" i="4"/>
  <c r="F22" i="4"/>
  <c r="E22" i="4"/>
  <c r="H22" i="4" s="1"/>
  <c r="I21" i="4"/>
  <c r="K21" i="4" s="1"/>
  <c r="E21" i="4"/>
  <c r="H21" i="4" s="1"/>
  <c r="I20" i="4"/>
  <c r="K20" i="4" s="1"/>
  <c r="H20" i="4"/>
  <c r="E20" i="4"/>
  <c r="G20" i="4" s="1"/>
  <c r="K19" i="4"/>
  <c r="I19" i="4"/>
  <c r="J19" i="4" s="1"/>
  <c r="H19" i="4"/>
  <c r="G19" i="4"/>
  <c r="E19" i="4"/>
  <c r="F19" i="4" s="1"/>
  <c r="K18" i="4"/>
  <c r="J18" i="4"/>
  <c r="I18" i="4"/>
  <c r="G18" i="4"/>
  <c r="F18" i="4"/>
  <c r="E18" i="4"/>
  <c r="H18" i="4" s="1"/>
  <c r="I17" i="4"/>
  <c r="K17" i="4" s="1"/>
  <c r="E17" i="4"/>
  <c r="H17" i="4" s="1"/>
  <c r="I16" i="4"/>
  <c r="K16" i="4" s="1"/>
  <c r="H16" i="4"/>
  <c r="E16" i="4"/>
  <c r="G16" i="4" s="1"/>
  <c r="K15" i="4"/>
  <c r="I15" i="4"/>
  <c r="J15" i="4" s="1"/>
  <c r="H15" i="4"/>
  <c r="G15" i="4"/>
  <c r="E15" i="4"/>
  <c r="F15" i="4" s="1"/>
  <c r="K14" i="4"/>
  <c r="J14" i="4"/>
  <c r="I14" i="4"/>
  <c r="G14" i="4"/>
  <c r="F14" i="4"/>
  <c r="E14" i="4"/>
  <c r="H14" i="4" s="1"/>
  <c r="I13" i="4"/>
  <c r="K13" i="4" s="1"/>
  <c r="E13" i="4"/>
  <c r="H13" i="4" s="1"/>
  <c r="T12" i="4"/>
  <c r="V12" i="4" s="1"/>
  <c r="S12" i="4"/>
  <c r="P12" i="4"/>
  <c r="R12" i="4" s="1"/>
  <c r="K12" i="4"/>
  <c r="I12" i="4"/>
  <c r="J12" i="4" s="1"/>
  <c r="H12" i="4"/>
  <c r="G12" i="4"/>
  <c r="E12" i="4"/>
  <c r="F12" i="4" s="1"/>
  <c r="V11" i="4"/>
  <c r="U11" i="4"/>
  <c r="T11" i="4"/>
  <c r="R11" i="4"/>
  <c r="Q11" i="4"/>
  <c r="P11" i="4"/>
  <c r="S11" i="4" s="1"/>
  <c r="I11" i="4"/>
  <c r="K11" i="4" s="1"/>
  <c r="E11" i="4"/>
  <c r="H11" i="4" s="1"/>
  <c r="T10" i="4"/>
  <c r="V10" i="4" s="1"/>
  <c r="S10" i="4"/>
  <c r="P10" i="4"/>
  <c r="R10" i="4" s="1"/>
  <c r="K10" i="4"/>
  <c r="I10" i="4"/>
  <c r="J10" i="4" s="1"/>
  <c r="H10" i="4"/>
  <c r="G10" i="4"/>
  <c r="E10" i="4"/>
  <c r="F10" i="4" s="1"/>
  <c r="V9" i="4"/>
  <c r="U9" i="4"/>
  <c r="T9" i="4"/>
  <c r="R9" i="4"/>
  <c r="Q9" i="4"/>
  <c r="P9" i="4"/>
  <c r="S9" i="4" s="1"/>
  <c r="I9" i="4"/>
  <c r="K9" i="4" s="1"/>
  <c r="E9" i="4"/>
  <c r="H9" i="4" s="1"/>
  <c r="T8" i="4"/>
  <c r="V8" i="4" s="1"/>
  <c r="S8" i="4"/>
  <c r="P8" i="4"/>
  <c r="R8" i="4" s="1"/>
  <c r="K8" i="4"/>
  <c r="I8" i="4"/>
  <c r="J8" i="4" s="1"/>
  <c r="H8" i="4"/>
  <c r="G8" i="4"/>
  <c r="E8" i="4"/>
  <c r="F8" i="4" s="1"/>
  <c r="V7" i="4"/>
  <c r="U7" i="4"/>
  <c r="T7" i="4"/>
  <c r="R7" i="4"/>
  <c r="Q7" i="4"/>
  <c r="P7" i="4"/>
  <c r="S7" i="4" s="1"/>
  <c r="I7" i="4"/>
  <c r="K7" i="4" s="1"/>
  <c r="E7" i="4"/>
  <c r="H7" i="4" s="1"/>
  <c r="T6" i="4"/>
  <c r="V6" i="4" s="1"/>
  <c r="S6" i="4"/>
  <c r="P6" i="4"/>
  <c r="R6" i="4" s="1"/>
  <c r="K6" i="4"/>
  <c r="I6" i="4"/>
  <c r="J6" i="4" s="1"/>
  <c r="H6" i="4"/>
  <c r="G6" i="4"/>
  <c r="E6" i="4"/>
  <c r="F6" i="4" s="1"/>
  <c r="V5" i="4"/>
  <c r="U5" i="4"/>
  <c r="T5" i="4"/>
  <c r="R5" i="4"/>
  <c r="Q5" i="4"/>
  <c r="P5" i="4"/>
  <c r="S5" i="4" s="1"/>
  <c r="I5" i="4"/>
  <c r="K5" i="4" s="1"/>
  <c r="E5" i="4"/>
  <c r="H5" i="4" s="1"/>
  <c r="D84" i="3"/>
  <c r="F84" i="3" s="1"/>
  <c r="F83" i="3"/>
  <c r="D83" i="3"/>
  <c r="E83" i="3" s="1"/>
  <c r="F82" i="3"/>
  <c r="E82" i="3"/>
  <c r="D82" i="3"/>
  <c r="D81" i="3"/>
  <c r="F81" i="3" s="1"/>
  <c r="D80" i="3"/>
  <c r="F80" i="3" s="1"/>
  <c r="F79" i="3"/>
  <c r="D79" i="3"/>
  <c r="E79" i="3" s="1"/>
  <c r="F78" i="3"/>
  <c r="E78" i="3"/>
  <c r="D78" i="3"/>
  <c r="D77" i="3"/>
  <c r="F77" i="3" s="1"/>
  <c r="D76" i="3"/>
  <c r="F76" i="3" s="1"/>
  <c r="F75" i="3"/>
  <c r="D75" i="3"/>
  <c r="E75" i="3" s="1"/>
  <c r="F74" i="3"/>
  <c r="E74" i="3"/>
  <c r="D74" i="3"/>
  <c r="D73" i="3"/>
  <c r="F73" i="3" s="1"/>
  <c r="D72" i="3"/>
  <c r="F72" i="3" s="1"/>
  <c r="F71" i="3"/>
  <c r="D71" i="3"/>
  <c r="E71" i="3" s="1"/>
  <c r="F70" i="3"/>
  <c r="E70" i="3"/>
  <c r="D70" i="3"/>
  <c r="D69" i="3"/>
  <c r="F69" i="3" s="1"/>
  <c r="D68" i="3"/>
  <c r="F68" i="3" s="1"/>
  <c r="F67" i="3"/>
  <c r="D67" i="3"/>
  <c r="E67" i="3" s="1"/>
  <c r="F66" i="3"/>
  <c r="E66" i="3"/>
  <c r="D66" i="3"/>
  <c r="D65" i="3"/>
  <c r="F65" i="3" s="1"/>
  <c r="D64" i="3"/>
  <c r="F64" i="3" s="1"/>
  <c r="F63" i="3"/>
  <c r="D63" i="3"/>
  <c r="E63" i="3" s="1"/>
  <c r="F62" i="3"/>
  <c r="E62" i="3"/>
  <c r="D62" i="3"/>
  <c r="D61" i="3"/>
  <c r="F61" i="3" s="1"/>
  <c r="D60" i="3"/>
  <c r="F60" i="3" s="1"/>
  <c r="F59" i="3"/>
  <c r="D59" i="3"/>
  <c r="E59" i="3" s="1"/>
  <c r="F58" i="3"/>
  <c r="E58" i="3"/>
  <c r="D58" i="3"/>
  <c r="D57" i="3"/>
  <c r="F57" i="3" s="1"/>
  <c r="D56" i="3"/>
  <c r="F56" i="3" s="1"/>
  <c r="F55" i="3"/>
  <c r="D55" i="3"/>
  <c r="E55" i="3" s="1"/>
  <c r="F54" i="3"/>
  <c r="E54" i="3"/>
  <c r="D54" i="3"/>
  <c r="D53" i="3"/>
  <c r="F53" i="3" s="1"/>
  <c r="D52" i="3"/>
  <c r="F52" i="3" s="1"/>
  <c r="F51" i="3"/>
  <c r="D51" i="3"/>
  <c r="E51" i="3" s="1"/>
  <c r="F50" i="3"/>
  <c r="E50" i="3"/>
  <c r="D50" i="3"/>
  <c r="D49" i="3"/>
  <c r="F49" i="3" s="1"/>
  <c r="D48" i="3"/>
  <c r="F48" i="3" s="1"/>
  <c r="F47" i="3"/>
  <c r="D47" i="3"/>
  <c r="E47" i="3" s="1"/>
  <c r="F46" i="3"/>
  <c r="E46" i="3"/>
  <c r="D46" i="3"/>
  <c r="D45" i="3"/>
  <c r="F45" i="3" s="1"/>
  <c r="D44" i="3"/>
  <c r="F44" i="3" s="1"/>
  <c r="F43" i="3"/>
  <c r="D43" i="3"/>
  <c r="E43" i="3" s="1"/>
  <c r="F42" i="3"/>
  <c r="E42" i="3"/>
  <c r="D42" i="3"/>
  <c r="D41" i="3"/>
  <c r="F41" i="3" s="1"/>
  <c r="D40" i="3"/>
  <c r="F40" i="3" s="1"/>
  <c r="F39" i="3"/>
  <c r="D39" i="3"/>
  <c r="E39" i="3" s="1"/>
  <c r="F38" i="3"/>
  <c r="E38" i="3"/>
  <c r="D38" i="3"/>
  <c r="D37" i="3"/>
  <c r="F37" i="3" s="1"/>
  <c r="D36" i="3"/>
  <c r="F36" i="3" s="1"/>
  <c r="F35" i="3"/>
  <c r="D35" i="3"/>
  <c r="E35" i="3" s="1"/>
  <c r="F34" i="3"/>
  <c r="E34" i="3"/>
  <c r="D34" i="3"/>
  <c r="D33" i="3"/>
  <c r="F33" i="3" s="1"/>
  <c r="D32" i="3"/>
  <c r="F32" i="3" s="1"/>
  <c r="F31" i="3"/>
  <c r="D31" i="3"/>
  <c r="E31" i="3" s="1"/>
  <c r="F30" i="3"/>
  <c r="E30" i="3"/>
  <c r="D30" i="3"/>
  <c r="D29" i="3"/>
  <c r="F29" i="3" s="1"/>
  <c r="D28" i="3"/>
  <c r="F28" i="3" s="1"/>
  <c r="D27" i="3"/>
  <c r="E27" i="3" s="1"/>
  <c r="F26" i="3"/>
  <c r="E26" i="3"/>
  <c r="D26" i="3"/>
  <c r="D25" i="3"/>
  <c r="F25" i="3" s="1"/>
  <c r="J24" i="3"/>
  <c r="L24" i="3" s="1"/>
  <c r="D24" i="3"/>
  <c r="E24" i="3" s="1"/>
  <c r="L23" i="3"/>
  <c r="K23" i="3"/>
  <c r="J23" i="3"/>
  <c r="D23" i="3"/>
  <c r="F23" i="3" s="1"/>
  <c r="J22" i="3"/>
  <c r="L22" i="3" s="1"/>
  <c r="F22" i="3"/>
  <c r="D22" i="3"/>
  <c r="E22" i="3" s="1"/>
  <c r="L21" i="3"/>
  <c r="K21" i="3"/>
  <c r="J21" i="3"/>
  <c r="D21" i="3"/>
  <c r="J20" i="3"/>
  <c r="D20" i="3"/>
  <c r="E20" i="3" s="1"/>
  <c r="L19" i="3"/>
  <c r="J19" i="3"/>
  <c r="K19" i="3" s="1"/>
  <c r="F19" i="3"/>
  <c r="E19" i="3"/>
  <c r="D19" i="3"/>
  <c r="K18" i="3"/>
  <c r="J18" i="3"/>
  <c r="L18" i="3" s="1"/>
  <c r="D18" i="3"/>
  <c r="E18" i="3" s="1"/>
  <c r="L17" i="3"/>
  <c r="J17" i="3"/>
  <c r="K17" i="3" s="1"/>
  <c r="F17" i="3"/>
  <c r="E17" i="3"/>
  <c r="D17" i="3"/>
  <c r="J16" i="3"/>
  <c r="L16" i="3" s="1"/>
  <c r="D16" i="3"/>
  <c r="E16" i="3" s="1"/>
  <c r="L15" i="3"/>
  <c r="J15" i="3"/>
  <c r="K15" i="3" s="1"/>
  <c r="F15" i="3"/>
  <c r="E15" i="3"/>
  <c r="D15" i="3"/>
  <c r="J14" i="3"/>
  <c r="L14" i="3" s="1"/>
  <c r="D14" i="3"/>
  <c r="E14" i="3" s="1"/>
  <c r="L13" i="3"/>
  <c r="J13" i="3"/>
  <c r="K13" i="3" s="1"/>
  <c r="F13" i="3"/>
  <c r="E13" i="3"/>
  <c r="D13" i="3"/>
  <c r="J12" i="3"/>
  <c r="L12" i="3" s="1"/>
  <c r="D12" i="3"/>
  <c r="E12" i="3" s="1"/>
  <c r="L11" i="3"/>
  <c r="J11" i="3"/>
  <c r="K11" i="3" s="1"/>
  <c r="F11" i="3"/>
  <c r="E11" i="3"/>
  <c r="D11" i="3"/>
  <c r="J10" i="3"/>
  <c r="L10" i="3" s="1"/>
  <c r="D10" i="3"/>
  <c r="E10" i="3" s="1"/>
  <c r="L9" i="3"/>
  <c r="J9" i="3"/>
  <c r="K9" i="3" s="1"/>
  <c r="F9" i="3"/>
  <c r="E9" i="3"/>
  <c r="D9" i="3"/>
  <c r="J8" i="3"/>
  <c r="L8" i="3" s="1"/>
  <c r="D8" i="3"/>
  <c r="E8" i="3" s="1"/>
  <c r="L7" i="3"/>
  <c r="J7" i="3"/>
  <c r="K7" i="3" s="1"/>
  <c r="F7" i="3"/>
  <c r="E7" i="3"/>
  <c r="D7" i="3"/>
  <c r="J6" i="3"/>
  <c r="L6" i="3" s="1"/>
  <c r="D6" i="3"/>
  <c r="E6" i="3" s="1"/>
  <c r="L5" i="3"/>
  <c r="J5" i="3"/>
  <c r="K5" i="3" s="1"/>
  <c r="F5" i="3"/>
  <c r="F558" i="2"/>
  <c r="E558" i="2"/>
  <c r="F557" i="2"/>
  <c r="E557" i="2"/>
  <c r="F556" i="2"/>
  <c r="E556" i="2"/>
  <c r="F555" i="2"/>
  <c r="E555" i="2"/>
  <c r="F554" i="2"/>
  <c r="E554" i="2"/>
  <c r="F553" i="2"/>
  <c r="E553" i="2"/>
  <c r="F552" i="2"/>
  <c r="E552" i="2"/>
  <c r="F551" i="2"/>
  <c r="E551" i="2"/>
  <c r="F550" i="2"/>
  <c r="E550" i="2"/>
  <c r="F549" i="2"/>
  <c r="E549" i="2"/>
  <c r="F548" i="2"/>
  <c r="E548" i="2"/>
  <c r="F547" i="2"/>
  <c r="E547" i="2"/>
  <c r="F546" i="2"/>
  <c r="E546" i="2"/>
  <c r="F545" i="2"/>
  <c r="E545" i="2"/>
  <c r="F544" i="2"/>
  <c r="E544" i="2"/>
  <c r="F543" i="2"/>
  <c r="E543" i="2"/>
  <c r="F542" i="2"/>
  <c r="E542" i="2"/>
  <c r="F541" i="2"/>
  <c r="E541" i="2"/>
  <c r="F540" i="2"/>
  <c r="E540" i="2"/>
  <c r="F539" i="2"/>
  <c r="E539" i="2"/>
  <c r="F538" i="2"/>
  <c r="E538" i="2"/>
  <c r="F537" i="2"/>
  <c r="E537" i="2"/>
  <c r="F536" i="2"/>
  <c r="E536" i="2"/>
  <c r="F535" i="2"/>
  <c r="E535" i="2"/>
  <c r="F534" i="2"/>
  <c r="E534" i="2"/>
  <c r="F533" i="2"/>
  <c r="E533" i="2"/>
  <c r="F532" i="2"/>
  <c r="E532" i="2"/>
  <c r="F531" i="2"/>
  <c r="E531" i="2"/>
  <c r="F530" i="2"/>
  <c r="E530" i="2"/>
  <c r="F529" i="2"/>
  <c r="E529" i="2"/>
  <c r="F528" i="2"/>
  <c r="E528" i="2"/>
  <c r="F527" i="2"/>
  <c r="E527" i="2"/>
  <c r="F526" i="2"/>
  <c r="E526" i="2"/>
  <c r="F525" i="2"/>
  <c r="E525" i="2"/>
  <c r="F524" i="2"/>
  <c r="E524" i="2"/>
  <c r="F523" i="2"/>
  <c r="E523" i="2"/>
  <c r="F522" i="2"/>
  <c r="E522" i="2"/>
  <c r="F521" i="2"/>
  <c r="E521" i="2"/>
  <c r="F520" i="2"/>
  <c r="E520" i="2"/>
  <c r="F519" i="2"/>
  <c r="E519" i="2"/>
  <c r="F518" i="2"/>
  <c r="E518" i="2"/>
  <c r="F517" i="2"/>
  <c r="E517" i="2"/>
  <c r="F516" i="2"/>
  <c r="E516" i="2"/>
  <c r="F515" i="2"/>
  <c r="E515" i="2"/>
  <c r="F514" i="2"/>
  <c r="E514" i="2"/>
  <c r="F513" i="2"/>
  <c r="E513" i="2"/>
  <c r="F512" i="2"/>
  <c r="E512" i="2"/>
  <c r="F511" i="2"/>
  <c r="E511" i="2"/>
  <c r="F510" i="2"/>
  <c r="E510" i="2"/>
  <c r="F509" i="2"/>
  <c r="E509" i="2"/>
  <c r="F508" i="2"/>
  <c r="E508" i="2"/>
  <c r="F507" i="2"/>
  <c r="E507" i="2"/>
  <c r="F506" i="2"/>
  <c r="E506" i="2"/>
  <c r="F505" i="2"/>
  <c r="E505" i="2"/>
  <c r="F504" i="2"/>
  <c r="E504" i="2"/>
  <c r="F503" i="2"/>
  <c r="E503" i="2"/>
  <c r="F502" i="2"/>
  <c r="E502" i="2"/>
  <c r="F501" i="2"/>
  <c r="E501" i="2"/>
  <c r="F500" i="2"/>
  <c r="E500" i="2"/>
  <c r="F499" i="2"/>
  <c r="E499" i="2"/>
  <c r="F498" i="2"/>
  <c r="E498" i="2"/>
  <c r="F497" i="2"/>
  <c r="E497" i="2"/>
  <c r="F496" i="2"/>
  <c r="E496" i="2"/>
  <c r="F495" i="2"/>
  <c r="E495" i="2"/>
  <c r="F494" i="2"/>
  <c r="E494" i="2"/>
  <c r="F493" i="2"/>
  <c r="E493" i="2"/>
  <c r="F492" i="2"/>
  <c r="E492" i="2"/>
  <c r="F491" i="2"/>
  <c r="E491" i="2"/>
  <c r="F490" i="2"/>
  <c r="E490" i="2"/>
  <c r="F489" i="2"/>
  <c r="E489" i="2"/>
  <c r="F488" i="2"/>
  <c r="E488" i="2"/>
  <c r="F487" i="2"/>
  <c r="E487" i="2"/>
  <c r="F486" i="2"/>
  <c r="E486" i="2"/>
  <c r="F485" i="2"/>
  <c r="E485" i="2"/>
  <c r="F484" i="2"/>
  <c r="E484" i="2"/>
  <c r="F483" i="2"/>
  <c r="E483" i="2"/>
  <c r="F482" i="2"/>
  <c r="E482" i="2"/>
  <c r="F481" i="2"/>
  <c r="E481" i="2"/>
  <c r="F480" i="2"/>
  <c r="E480" i="2"/>
  <c r="F479" i="2"/>
  <c r="E479" i="2"/>
  <c r="F478" i="2"/>
  <c r="E478" i="2"/>
  <c r="F477" i="2"/>
  <c r="E477" i="2"/>
  <c r="F476" i="2"/>
  <c r="E476" i="2"/>
  <c r="F475" i="2"/>
  <c r="E475" i="2"/>
  <c r="F474" i="2"/>
  <c r="E474" i="2"/>
  <c r="F473" i="2"/>
  <c r="E473" i="2"/>
  <c r="F472" i="2"/>
  <c r="E472" i="2"/>
  <c r="F471" i="2"/>
  <c r="E471" i="2"/>
  <c r="F470" i="2"/>
  <c r="E470" i="2"/>
  <c r="F469" i="2"/>
  <c r="E469" i="2"/>
  <c r="F468" i="2"/>
  <c r="E468" i="2"/>
  <c r="F467" i="2"/>
  <c r="E467" i="2"/>
  <c r="E466" i="2"/>
  <c r="F465" i="2"/>
  <c r="E465" i="2"/>
  <c r="F464" i="2"/>
  <c r="E464" i="2"/>
  <c r="E463" i="2"/>
  <c r="F462" i="2"/>
  <c r="E462" i="2"/>
  <c r="F461" i="2"/>
  <c r="E461" i="2"/>
  <c r="E460" i="2"/>
  <c r="E459" i="2"/>
  <c r="F458" i="2"/>
  <c r="E458" i="2"/>
  <c r="F457" i="2"/>
  <c r="E457" i="2"/>
  <c r="F456" i="2"/>
  <c r="E456" i="2"/>
  <c r="F455" i="2"/>
  <c r="E455" i="2"/>
  <c r="F454" i="2"/>
  <c r="E454" i="2"/>
  <c r="F453" i="2"/>
  <c r="E453" i="2"/>
  <c r="F452" i="2"/>
  <c r="E452" i="2"/>
  <c r="F451" i="2"/>
  <c r="E451" i="2"/>
  <c r="F450" i="2"/>
  <c r="E450" i="2"/>
  <c r="F449" i="2"/>
  <c r="E449" i="2"/>
  <c r="E448" i="2"/>
  <c r="F447" i="2"/>
  <c r="E447" i="2"/>
  <c r="F446" i="2"/>
  <c r="E446" i="2"/>
  <c r="E445" i="2"/>
  <c r="E444" i="2"/>
  <c r="F443" i="2"/>
  <c r="E443" i="2"/>
  <c r="E442" i="2"/>
  <c r="F441" i="2"/>
  <c r="E441" i="2"/>
  <c r="F440" i="2"/>
  <c r="E440" i="2"/>
  <c r="F439" i="2"/>
  <c r="E439" i="2"/>
  <c r="F438" i="2"/>
  <c r="E438" i="2"/>
  <c r="F437" i="2"/>
  <c r="E437" i="2"/>
  <c r="F436" i="2"/>
  <c r="E436" i="2"/>
  <c r="F435" i="2"/>
  <c r="E435" i="2"/>
  <c r="F434" i="2"/>
  <c r="E434" i="2"/>
  <c r="F433" i="2"/>
  <c r="E433" i="2"/>
  <c r="F432" i="2"/>
  <c r="E432" i="2"/>
  <c r="E431" i="2"/>
  <c r="E430" i="2"/>
  <c r="E429" i="2"/>
  <c r="F428" i="2"/>
  <c r="E428" i="2"/>
  <c r="F427" i="2"/>
  <c r="E427" i="2"/>
  <c r="F426" i="2"/>
  <c r="E426" i="2"/>
  <c r="F425" i="2"/>
  <c r="E425" i="2"/>
  <c r="F424" i="2"/>
  <c r="E424" i="2"/>
  <c r="F423" i="2"/>
  <c r="E423" i="2"/>
  <c r="F422" i="2"/>
  <c r="E422" i="2"/>
  <c r="F421" i="2"/>
  <c r="E421" i="2"/>
  <c r="F420" i="2"/>
  <c r="E420" i="2"/>
  <c r="F419" i="2"/>
  <c r="E419" i="2"/>
  <c r="E418" i="2"/>
  <c r="E417" i="2"/>
  <c r="F416" i="2"/>
  <c r="E416" i="2"/>
  <c r="E415" i="2"/>
  <c r="E414" i="2"/>
  <c r="F413" i="2"/>
  <c r="E413" i="2"/>
  <c r="F412" i="2"/>
  <c r="E412" i="2"/>
  <c r="F411" i="2"/>
  <c r="E411" i="2"/>
  <c r="F410" i="2"/>
  <c r="E410" i="2"/>
  <c r="F409" i="2"/>
  <c r="E409" i="2"/>
  <c r="F408" i="2"/>
  <c r="E408" i="2"/>
  <c r="F407" i="2"/>
  <c r="E407" i="2"/>
  <c r="F406" i="2"/>
  <c r="E406" i="2"/>
  <c r="F405" i="2"/>
  <c r="E405" i="2"/>
  <c r="F404" i="2"/>
  <c r="E404" i="2"/>
  <c r="F403" i="2"/>
  <c r="E403" i="2"/>
  <c r="F402" i="2"/>
  <c r="E402" i="2"/>
  <c r="F401" i="2"/>
  <c r="E401" i="2"/>
  <c r="F400" i="2"/>
  <c r="E400" i="2"/>
  <c r="F399" i="2"/>
  <c r="E399" i="2"/>
  <c r="F398" i="2"/>
  <c r="E398" i="2"/>
  <c r="F397" i="2"/>
  <c r="E397" i="2"/>
  <c r="F396" i="2"/>
  <c r="E396" i="2"/>
  <c r="F395" i="2"/>
  <c r="E395" i="2"/>
  <c r="F394" i="2"/>
  <c r="E394" i="2"/>
  <c r="F393" i="2"/>
  <c r="E393" i="2"/>
  <c r="F392" i="2"/>
  <c r="E392" i="2"/>
  <c r="F391" i="2"/>
  <c r="E391" i="2"/>
  <c r="F390" i="2"/>
  <c r="E390" i="2"/>
  <c r="F389" i="2"/>
  <c r="E389" i="2"/>
  <c r="F388" i="2"/>
  <c r="E388" i="2"/>
  <c r="F387" i="2"/>
  <c r="E387" i="2"/>
  <c r="F386" i="2"/>
  <c r="E386" i="2"/>
  <c r="F385" i="2"/>
  <c r="E385" i="2"/>
  <c r="F384" i="2"/>
  <c r="E384" i="2"/>
  <c r="F383" i="2"/>
  <c r="E383" i="2"/>
  <c r="F382" i="2"/>
  <c r="E382" i="2"/>
  <c r="F381" i="2"/>
  <c r="E381" i="2"/>
  <c r="F380" i="2"/>
  <c r="E380" i="2"/>
  <c r="F379" i="2"/>
  <c r="E379" i="2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E363" i="2"/>
  <c r="F362" i="2"/>
  <c r="E362" i="2"/>
  <c r="F361" i="2"/>
  <c r="E361" i="2"/>
  <c r="E360" i="2"/>
  <c r="E359" i="2"/>
  <c r="F358" i="2"/>
  <c r="E358" i="2"/>
  <c r="F357" i="2"/>
  <c r="E357" i="2"/>
  <c r="F356" i="2"/>
  <c r="E356" i="2"/>
  <c r="F355" i="2"/>
  <c r="E355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E340" i="2"/>
  <c r="E339" i="2"/>
  <c r="F338" i="2"/>
  <c r="E338" i="2"/>
  <c r="F337" i="2"/>
  <c r="E337" i="2"/>
  <c r="F336" i="2"/>
  <c r="E336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E323" i="2"/>
  <c r="F322" i="2"/>
  <c r="E322" i="2"/>
  <c r="E321" i="2"/>
  <c r="E320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E302" i="2"/>
  <c r="E301" i="2"/>
  <c r="F300" i="2"/>
  <c r="E300" i="2"/>
  <c r="E299" i="2"/>
  <c r="F298" i="2"/>
  <c r="E298" i="2"/>
  <c r="F297" i="2"/>
  <c r="E297" i="2"/>
  <c r="F296" i="2"/>
  <c r="E296" i="2"/>
  <c r="F295" i="2"/>
  <c r="E295" i="2"/>
  <c r="F294" i="2"/>
  <c r="E294" i="2"/>
  <c r="E293" i="2"/>
  <c r="E292" i="2"/>
  <c r="E291" i="2"/>
  <c r="F290" i="2"/>
  <c r="E290" i="2"/>
  <c r="F289" i="2"/>
  <c r="E289" i="2"/>
  <c r="F288" i="2"/>
  <c r="E288" i="2"/>
  <c r="E287" i="2"/>
  <c r="F286" i="2"/>
  <c r="E286" i="2"/>
  <c r="E285" i="2"/>
  <c r="E284" i="2"/>
  <c r="F283" i="2"/>
  <c r="E283" i="2"/>
  <c r="E282" i="2"/>
  <c r="F281" i="2"/>
  <c r="E281" i="2"/>
  <c r="F280" i="2"/>
  <c r="E280" i="2"/>
  <c r="F279" i="2"/>
  <c r="E279" i="2"/>
  <c r="E278" i="2"/>
  <c r="F277" i="2"/>
  <c r="E277" i="2"/>
  <c r="E276" i="2"/>
  <c r="E275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E267" i="2"/>
  <c r="E266" i="2"/>
  <c r="F265" i="2"/>
  <c r="E265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E255" i="2"/>
  <c r="E254" i="2"/>
  <c r="F253" i="2"/>
  <c r="E253" i="2"/>
  <c r="E252" i="2"/>
  <c r="F251" i="2"/>
  <c r="E251" i="2"/>
  <c r="F250" i="2"/>
  <c r="E250" i="2"/>
  <c r="F249" i="2"/>
  <c r="E249" i="2"/>
  <c r="E248" i="2"/>
  <c r="F247" i="2"/>
  <c r="E247" i="2"/>
  <c r="E246" i="2"/>
  <c r="F245" i="2"/>
  <c r="E245" i="2"/>
  <c r="E244" i="2"/>
  <c r="F243" i="2"/>
  <c r="E243" i="2"/>
  <c r="F242" i="2"/>
  <c r="E242" i="2"/>
  <c r="F241" i="2"/>
  <c r="E241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E228" i="2"/>
  <c r="E227" i="2"/>
  <c r="F226" i="2"/>
  <c r="E226" i="2"/>
  <c r="E225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E217" i="2"/>
  <c r="F216" i="2"/>
  <c r="E216" i="2"/>
  <c r="E215" i="2"/>
  <c r="E214" i="2"/>
  <c r="F213" i="2"/>
  <c r="E213" i="2"/>
  <c r="F212" i="2"/>
  <c r="E212" i="2"/>
  <c r="F211" i="2"/>
  <c r="E211" i="2"/>
  <c r="F210" i="2"/>
  <c r="E210" i="2"/>
  <c r="F209" i="2"/>
  <c r="E209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6" i="3" l="1"/>
  <c r="F8" i="3"/>
  <c r="F10" i="3"/>
  <c r="F12" i="3"/>
  <c r="F14" i="3"/>
  <c r="F16" i="3"/>
  <c r="F18" i="3"/>
  <c r="L20" i="3"/>
  <c r="K20" i="3"/>
  <c r="F21" i="3"/>
  <c r="E21" i="3"/>
  <c r="K6" i="3"/>
  <c r="K8" i="3"/>
  <c r="K10" i="3"/>
  <c r="K12" i="3"/>
  <c r="K14" i="3"/>
  <c r="K16" i="3"/>
  <c r="F20" i="3"/>
  <c r="F24" i="3"/>
  <c r="F27" i="3"/>
  <c r="G49" i="6"/>
  <c r="F49" i="6"/>
  <c r="G53" i="6"/>
  <c r="F53" i="6"/>
  <c r="E23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F5" i="4"/>
  <c r="J5" i="4"/>
  <c r="F7" i="4"/>
  <c r="J7" i="4"/>
  <c r="F9" i="4"/>
  <c r="J9" i="4"/>
  <c r="F11" i="4"/>
  <c r="J11" i="4"/>
  <c r="F13" i="4"/>
  <c r="J13" i="4"/>
  <c r="F17" i="4"/>
  <c r="J17" i="4"/>
  <c r="F21" i="4"/>
  <c r="J21" i="4"/>
  <c r="F25" i="4"/>
  <c r="J25" i="4"/>
  <c r="F29" i="4"/>
  <c r="J29" i="4"/>
  <c r="F33" i="4"/>
  <c r="J33" i="4"/>
  <c r="F37" i="4"/>
  <c r="J37" i="4"/>
  <c r="F41" i="4"/>
  <c r="J41" i="4"/>
  <c r="F45" i="4"/>
  <c r="J45" i="4"/>
  <c r="F49" i="4"/>
  <c r="J49" i="4"/>
  <c r="F53" i="4"/>
  <c r="J53" i="4"/>
  <c r="F57" i="4"/>
  <c r="J57" i="4"/>
  <c r="F61" i="4"/>
  <c r="J61" i="4"/>
  <c r="F65" i="4"/>
  <c r="J65" i="4"/>
  <c r="F69" i="4"/>
  <c r="J69" i="4"/>
  <c r="F73" i="4"/>
  <c r="J73" i="4"/>
  <c r="F77" i="4"/>
  <c r="J77" i="4"/>
  <c r="F7" i="6"/>
  <c r="L9" i="6"/>
  <c r="L11" i="6"/>
  <c r="L13" i="6"/>
  <c r="L15" i="6"/>
  <c r="L17" i="6"/>
  <c r="L19" i="6"/>
  <c r="L21" i="6"/>
  <c r="L23" i="6"/>
  <c r="L25" i="6"/>
  <c r="F29" i="6"/>
  <c r="F33" i="6"/>
  <c r="F37" i="6"/>
  <c r="F41" i="6"/>
  <c r="F45" i="6"/>
  <c r="K22" i="3"/>
  <c r="K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G5" i="4"/>
  <c r="Q6" i="4"/>
  <c r="U6" i="4"/>
  <c r="G7" i="4"/>
  <c r="Q8" i="4"/>
  <c r="U8" i="4"/>
  <c r="G9" i="4"/>
  <c r="Q10" i="4"/>
  <c r="U10" i="4"/>
  <c r="G11" i="4"/>
  <c r="Q12" i="4"/>
  <c r="U12" i="4"/>
  <c r="G13" i="4"/>
  <c r="F16" i="4"/>
  <c r="J16" i="4"/>
  <c r="G17" i="4"/>
  <c r="F20" i="4"/>
  <c r="J20" i="4"/>
  <c r="G21" i="4"/>
  <c r="F24" i="4"/>
  <c r="J24" i="4"/>
  <c r="G25" i="4"/>
  <c r="F28" i="4"/>
  <c r="J28" i="4"/>
  <c r="G29" i="4"/>
  <c r="F32" i="4"/>
  <c r="J32" i="4"/>
  <c r="G33" i="4"/>
  <c r="F36" i="4"/>
  <c r="J36" i="4"/>
  <c r="G37" i="4"/>
  <c r="F40" i="4"/>
  <c r="J40" i="4"/>
  <c r="G41" i="4"/>
  <c r="F44" i="4"/>
  <c r="J44" i="4"/>
  <c r="G45" i="4"/>
  <c r="F48" i="4"/>
  <c r="J48" i="4"/>
  <c r="G49" i="4"/>
  <c r="F52" i="4"/>
  <c r="J52" i="4"/>
  <c r="G53" i="4"/>
  <c r="F56" i="4"/>
  <c r="J56" i="4"/>
  <c r="G57" i="4"/>
  <c r="F60" i="4"/>
  <c r="J60" i="4"/>
  <c r="G61" i="4"/>
  <c r="F64" i="4"/>
  <c r="J64" i="4"/>
  <c r="G65" i="4"/>
  <c r="F68" i="4"/>
  <c r="J68" i="4"/>
  <c r="G69" i="4"/>
  <c r="F72" i="4"/>
  <c r="J72" i="4"/>
  <c r="G73" i="4"/>
  <c r="F76" i="4"/>
  <c r="J76" i="4"/>
  <c r="G77" i="4"/>
  <c r="L6" i="6"/>
  <c r="F9" i="6"/>
  <c r="F11" i="6"/>
  <c r="F13" i="6"/>
  <c r="F15" i="6"/>
  <c r="F17" i="6"/>
  <c r="F19" i="6"/>
  <c r="F21" i="6"/>
  <c r="F23" i="6"/>
  <c r="F25" i="6"/>
  <c r="F28" i="6"/>
  <c r="F32" i="6"/>
  <c r="F36" i="6"/>
  <c r="F40" i="6"/>
  <c r="F44" i="6"/>
  <c r="F50" i="6"/>
  <c r="F54" i="6"/>
  <c r="I20" i="7"/>
  <c r="I22" i="7"/>
  <c r="I24" i="7"/>
  <c r="I27" i="7"/>
  <c r="I31" i="7"/>
  <c r="I35" i="7"/>
  <c r="I39" i="7"/>
  <c r="I43" i="7"/>
  <c r="I47" i="7"/>
  <c r="I51" i="7"/>
  <c r="I55" i="7"/>
  <c r="I59" i="7"/>
  <c r="I63" i="7"/>
  <c r="H66" i="7"/>
  <c r="L66" i="7"/>
  <c r="I67" i="7"/>
  <c r="H70" i="7"/>
  <c r="L70" i="7"/>
  <c r="I71" i="7"/>
  <c r="H75" i="7"/>
  <c r="L75" i="7"/>
  <c r="I76" i="7"/>
  <c r="G78" i="7"/>
  <c r="K78" i="7"/>
  <c r="H79" i="7"/>
  <c r="L79" i="7"/>
  <c r="I80" i="7"/>
  <c r="G82" i="7"/>
  <c r="K82" i="7"/>
  <c r="V3" i="11"/>
  <c r="V7" i="11"/>
  <c r="V11" i="11"/>
  <c r="V15" i="11"/>
  <c r="V19" i="11"/>
  <c r="V23" i="11"/>
  <c r="V27" i="11"/>
  <c r="V31" i="11"/>
  <c r="V35" i="11"/>
  <c r="V39" i="11"/>
  <c r="V43" i="11"/>
  <c r="V6" i="12"/>
  <c r="V10" i="12"/>
  <c r="V14" i="12"/>
  <c r="V18" i="12"/>
  <c r="V22" i="12"/>
  <c r="V26" i="12"/>
  <c r="V30" i="12"/>
  <c r="F58" i="6"/>
  <c r="F62" i="6"/>
  <c r="F66" i="6"/>
  <c r="F70" i="6"/>
  <c r="F74" i="6"/>
  <c r="F78" i="6"/>
  <c r="F82" i="6"/>
  <c r="G8" i="7"/>
  <c r="K8" i="7"/>
  <c r="R10" i="7"/>
  <c r="V10" i="7"/>
  <c r="R12" i="7"/>
  <c r="V12" i="7"/>
  <c r="R14" i="7"/>
  <c r="V14" i="7"/>
  <c r="R16" i="7"/>
  <c r="V16" i="7"/>
  <c r="R18" i="7"/>
  <c r="V18" i="7"/>
  <c r="R20" i="7"/>
  <c r="V20" i="7"/>
  <c r="R22" i="7"/>
  <c r="V22" i="7"/>
  <c r="G28" i="7"/>
  <c r="K28" i="7"/>
  <c r="G32" i="7"/>
  <c r="K32" i="7"/>
  <c r="G36" i="7"/>
  <c r="K36" i="7"/>
  <c r="G40" i="7"/>
  <c r="K40" i="7"/>
  <c r="G44" i="7"/>
  <c r="K44" i="7"/>
  <c r="G48" i="7"/>
  <c r="K48" i="7"/>
  <c r="G52" i="7"/>
  <c r="K52" i="7"/>
  <c r="G56" i="7"/>
  <c r="K56" i="7"/>
  <c r="G60" i="7"/>
  <c r="K60" i="7"/>
  <c r="G72" i="7"/>
  <c r="G73" i="7"/>
  <c r="K73" i="7"/>
  <c r="I75" i="7"/>
  <c r="G77" i="7"/>
  <c r="K77" i="7"/>
  <c r="H78" i="7"/>
  <c r="I79" i="7"/>
  <c r="G81" i="7"/>
  <c r="H82" i="7"/>
  <c r="F57" i="6"/>
  <c r="F61" i="6"/>
  <c r="F65" i="6"/>
  <c r="F69" i="6"/>
  <c r="F73" i="6"/>
  <c r="F77" i="6"/>
  <c r="F81" i="6"/>
  <c r="G7" i="7"/>
  <c r="K7" i="7"/>
  <c r="H8" i="7"/>
  <c r="G10" i="7"/>
  <c r="K10" i="7"/>
  <c r="S10" i="7"/>
  <c r="G12" i="7"/>
  <c r="K12" i="7"/>
  <c r="S12" i="7"/>
  <c r="G14" i="7"/>
  <c r="K14" i="7"/>
  <c r="S14" i="7"/>
  <c r="G16" i="7"/>
  <c r="K16" i="7"/>
  <c r="S16" i="7"/>
  <c r="G18" i="7"/>
  <c r="K18" i="7"/>
  <c r="S18" i="7"/>
  <c r="G20" i="7"/>
  <c r="K20" i="7"/>
  <c r="S20" i="7"/>
  <c r="G22" i="7"/>
  <c r="K22" i="7"/>
  <c r="S22" i="7"/>
  <c r="G24" i="7"/>
  <c r="K24" i="7"/>
  <c r="H25" i="7"/>
  <c r="G27" i="7"/>
  <c r="K27" i="7"/>
  <c r="H28" i="7"/>
  <c r="G31" i="7"/>
  <c r="K31" i="7"/>
  <c r="H32" i="7"/>
  <c r="G35" i="7"/>
  <c r="K35" i="7"/>
  <c r="H36" i="7"/>
  <c r="G39" i="7"/>
  <c r="K39" i="7"/>
  <c r="H40" i="7"/>
  <c r="G43" i="7"/>
  <c r="K43" i="7"/>
  <c r="H44" i="7"/>
  <c r="G47" i="7"/>
  <c r="K47" i="7"/>
  <c r="H48" i="7"/>
  <c r="G51" i="7"/>
  <c r="K51" i="7"/>
  <c r="H52" i="7"/>
  <c r="G55" i="7"/>
  <c r="K55" i="7"/>
  <c r="H56" i="7"/>
  <c r="G59" i="7"/>
  <c r="K59" i="7"/>
  <c r="H60" i="7"/>
  <c r="G63" i="7"/>
  <c r="K63" i="7"/>
  <c r="H64" i="7"/>
  <c r="G67" i="7"/>
  <c r="K67" i="7"/>
  <c r="H68" i="7"/>
  <c r="G71" i="7"/>
  <c r="K71" i="7"/>
  <c r="H72" i="7"/>
  <c r="H73" i="7"/>
  <c r="G76" i="7"/>
  <c r="K76" i="7"/>
  <c r="H77" i="7"/>
  <c r="U32" i="12"/>
  <c r="N43" i="13"/>
  <c r="N47" i="13"/>
  <c r="N51" i="13"/>
  <c r="N55" i="13"/>
  <c r="N59" i="13"/>
  <c r="N63" i="13"/>
  <c r="N67" i="13"/>
  <c r="N71" i="13"/>
  <c r="N75" i="13"/>
  <c r="N79" i="13"/>
  <c r="N83" i="13"/>
  <c r="N87" i="13"/>
  <c r="N91" i="13"/>
  <c r="N95" i="13"/>
  <c r="N99" i="13"/>
  <c r="N103" i="13"/>
  <c r="N107" i="13"/>
  <c r="N111" i="13"/>
  <c r="N115" i="13"/>
  <c r="N119" i="13"/>
  <c r="N123" i="13"/>
  <c r="N244" i="13"/>
  <c r="N224" i="13"/>
  <c r="N86" i="13"/>
  <c r="N90" i="13"/>
  <c r="N94" i="13"/>
  <c r="N98" i="13"/>
  <c r="N102" i="13"/>
  <c r="N106" i="13"/>
  <c r="N110" i="13"/>
  <c r="N114" i="13"/>
  <c r="N118" i="13"/>
  <c r="N122" i="13"/>
  <c r="N85" i="13"/>
  <c r="N89" i="13"/>
  <c r="N93" i="13"/>
  <c r="N97" i="13"/>
  <c r="N101" i="13"/>
  <c r="N105" i="13"/>
  <c r="N109" i="13"/>
  <c r="N113" i="13"/>
  <c r="N117" i="13"/>
  <c r="N121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H3" i="14"/>
  <c r="I4" i="14"/>
  <c r="M4" i="14"/>
  <c r="J5" i="14"/>
  <c r="H7" i="14"/>
  <c r="J9" i="14"/>
  <c r="H11" i="14"/>
  <c r="I12" i="14"/>
  <c r="M12" i="14"/>
  <c r="J13" i="14"/>
  <c r="H15" i="14"/>
  <c r="I16" i="14"/>
  <c r="M16" i="14"/>
  <c r="J17" i="14"/>
  <c r="H19" i="14"/>
  <c r="I20" i="14"/>
  <c r="J21" i="14"/>
  <c r="H23" i="14"/>
  <c r="J25" i="14"/>
  <c r="H27" i="14"/>
  <c r="J29" i="14"/>
  <c r="H31" i="14"/>
  <c r="J33" i="14"/>
  <c r="H35" i="14"/>
  <c r="J37" i="14"/>
  <c r="H39" i="14"/>
  <c r="J41" i="14"/>
  <c r="H43" i="14"/>
  <c r="J45" i="14"/>
  <c r="H47" i="14"/>
  <c r="J49" i="14"/>
  <c r="H51" i="14"/>
  <c r="J53" i="14"/>
  <c r="H55" i="14"/>
  <c r="H59" i="14"/>
  <c r="J59" i="14"/>
  <c r="H63" i="14"/>
  <c r="J63" i="14"/>
  <c r="H67" i="14"/>
  <c r="J67" i="14"/>
  <c r="H71" i="14"/>
  <c r="J71" i="14"/>
  <c r="M109" i="14"/>
  <c r="M111" i="14"/>
  <c r="H5" i="15"/>
  <c r="J5" i="15"/>
  <c r="H9" i="15"/>
  <c r="J9" i="15"/>
  <c r="I67" i="14"/>
  <c r="I71" i="14"/>
  <c r="J73" i="14"/>
  <c r="H73" i="14"/>
  <c r="M75" i="14"/>
  <c r="M77" i="14"/>
  <c r="M79" i="14"/>
  <c r="M81" i="14"/>
  <c r="M83" i="14"/>
  <c r="M85" i="14"/>
  <c r="M87" i="14"/>
  <c r="M89" i="14"/>
  <c r="M91" i="14"/>
  <c r="I5" i="15"/>
  <c r="I9" i="15"/>
  <c r="M15" i="15"/>
  <c r="M17" i="15"/>
  <c r="H5" i="14"/>
  <c r="L5" i="14"/>
  <c r="H9" i="14"/>
  <c r="L9" i="14"/>
  <c r="H13" i="14"/>
  <c r="L13" i="14"/>
  <c r="H17" i="14"/>
  <c r="L17" i="14"/>
  <c r="H21" i="14"/>
  <c r="L21" i="14"/>
  <c r="H25" i="14"/>
  <c r="L25" i="14"/>
  <c r="H29" i="14"/>
  <c r="L29" i="14"/>
  <c r="H33" i="14"/>
  <c r="L33" i="14"/>
  <c r="H37" i="14"/>
  <c r="L37" i="14"/>
  <c r="H41" i="14"/>
  <c r="L41" i="14"/>
  <c r="H45" i="14"/>
  <c r="L45" i="14"/>
  <c r="H49" i="14"/>
  <c r="L49" i="14"/>
  <c r="H53" i="14"/>
  <c r="L53" i="14"/>
  <c r="L56" i="14"/>
  <c r="M57" i="14"/>
  <c r="M61" i="14"/>
  <c r="M65" i="14"/>
  <c r="M69" i="14"/>
  <c r="I73" i="14"/>
  <c r="H75" i="14"/>
  <c r="J75" i="14"/>
  <c r="M101" i="14"/>
  <c r="M103" i="14"/>
  <c r="M121" i="14"/>
  <c r="M123" i="14"/>
  <c r="M125" i="14"/>
  <c r="M127" i="14"/>
  <c r="M129" i="14"/>
  <c r="M131" i="14"/>
  <c r="M133" i="14"/>
  <c r="M135" i="14"/>
  <c r="M137" i="14"/>
  <c r="M139" i="14"/>
  <c r="M141" i="14"/>
  <c r="M143" i="14"/>
  <c r="M145" i="14"/>
  <c r="M147" i="14"/>
  <c r="J57" i="14"/>
  <c r="H57" i="14"/>
  <c r="J61" i="14"/>
  <c r="H61" i="14"/>
  <c r="J65" i="14"/>
  <c r="H65" i="14"/>
  <c r="J69" i="14"/>
  <c r="H69" i="14"/>
  <c r="M105" i="14"/>
  <c r="M149" i="14"/>
  <c r="M151" i="14"/>
  <c r="J3" i="15"/>
  <c r="H3" i="15"/>
  <c r="M5" i="15"/>
  <c r="J7" i="15"/>
  <c r="H7" i="15"/>
  <c r="M9" i="15"/>
  <c r="M23" i="15"/>
  <c r="M25" i="15"/>
</calcChain>
</file>

<file path=xl/sharedStrings.xml><?xml version="1.0" encoding="utf-8"?>
<sst xmlns="http://schemas.openxmlformats.org/spreadsheetml/2006/main" count="3179" uniqueCount="186">
  <si>
    <t>substrate</t>
  </si>
  <si>
    <t>plate/rod</t>
  </si>
  <si>
    <t>pate number</t>
  </si>
  <si>
    <t>id</t>
  </si>
  <si>
    <t>mass</t>
  </si>
  <si>
    <t>length</t>
  </si>
  <si>
    <t>width</t>
  </si>
  <si>
    <t>height</t>
  </si>
  <si>
    <t>*Nepietiekams garums</t>
  </si>
  <si>
    <t>Sl1</t>
  </si>
  <si>
    <t>plate</t>
  </si>
  <si>
    <t>stieni</t>
  </si>
  <si>
    <t>sub 20%</t>
  </si>
  <si>
    <t>hito2% sub 20%</t>
  </si>
  <si>
    <t>org</t>
  </si>
  <si>
    <t>kubiņi</t>
  </si>
  <si>
    <t>visi pārējie</t>
  </si>
  <si>
    <t>Sl2</t>
  </si>
  <si>
    <t>rod</t>
  </si>
  <si>
    <t>a</t>
  </si>
  <si>
    <t>66*</t>
  </si>
  <si>
    <t>b</t>
  </si>
  <si>
    <t>67*</t>
  </si>
  <si>
    <t>Sl3</t>
  </si>
  <si>
    <t>64*</t>
  </si>
  <si>
    <t>65*</t>
  </si>
  <si>
    <t>Sl4</t>
  </si>
  <si>
    <t>68*</t>
  </si>
  <si>
    <t>69*</t>
  </si>
  <si>
    <t>Sl1o</t>
  </si>
  <si>
    <t>Sl2o</t>
  </si>
  <si>
    <t>Sl3o</t>
  </si>
  <si>
    <t>Sa1</t>
  </si>
  <si>
    <t>Sa2</t>
  </si>
  <si>
    <t>*</t>
  </si>
  <si>
    <t>Sa3</t>
  </si>
  <si>
    <t>Sa4</t>
  </si>
  <si>
    <t>7.05.2025</t>
  </si>
  <si>
    <t>Substrats</t>
  </si>
  <si>
    <t>plāksne</t>
  </si>
  <si>
    <t>stienīša nr</t>
  </si>
  <si>
    <t>apstrāde</t>
  </si>
  <si>
    <t>izmantošana</t>
  </si>
  <si>
    <t>sub</t>
  </si>
  <si>
    <t>hito/sub</t>
  </si>
  <si>
    <t>spiede</t>
  </si>
  <si>
    <t>udens</t>
  </si>
  <si>
    <t>higro</t>
  </si>
  <si>
    <t>kont lenkis</t>
  </si>
  <si>
    <t>trukst</t>
  </si>
  <si>
    <t>poroz</t>
  </si>
  <si>
    <t>titresana</t>
  </si>
  <si>
    <t>komposts</t>
  </si>
  <si>
    <t>pietrukst, paņemt no kont l,poroz un titrēšanas</t>
  </si>
  <si>
    <t>-</t>
  </si>
  <si>
    <t xml:space="preserve"> </t>
  </si>
  <si>
    <t>ūdens sorbc</t>
  </si>
  <si>
    <t>kont len</t>
  </si>
  <si>
    <t>hito sub</t>
  </si>
  <si>
    <t>nav</t>
  </si>
  <si>
    <t>kontaktleņķis</t>
  </si>
  <si>
    <t>12.05.2025</t>
  </si>
  <si>
    <t>suberīnskabe</t>
  </si>
  <si>
    <t>m1 = 30s dip + 100 oC līdz konst. m. + 150 oC 15 min</t>
  </si>
  <si>
    <t>80 gab</t>
  </si>
  <si>
    <t>20 gab</t>
  </si>
  <si>
    <t>kubiņa nr</t>
  </si>
  <si>
    <t>mo*</t>
  </si>
  <si>
    <t>m1</t>
  </si>
  <si>
    <t>uzņemtā sub. Sk.</t>
  </si>
  <si>
    <t>sub. sk. g/g MK</t>
  </si>
  <si>
    <t>sub. sk. g/cm3</t>
  </si>
  <si>
    <t>stieņa nr</t>
  </si>
  <si>
    <t>pazuda 68 un 143</t>
  </si>
  <si>
    <t>no hit sub</t>
  </si>
  <si>
    <t>* žāvskapī 50oC/3h</t>
  </si>
  <si>
    <t>13.05.2025</t>
  </si>
  <si>
    <t>hito +suberīnskabe</t>
  </si>
  <si>
    <t>m1 = 30s dip. hito + 100 oC 30 min</t>
  </si>
  <si>
    <t>m2 = 30s dip. suber. + 100 oC līdz konst. m. + 150 oC 15 min</t>
  </si>
  <si>
    <t>74 gab</t>
  </si>
  <si>
    <t>8 gab</t>
  </si>
  <si>
    <t>m2</t>
  </si>
  <si>
    <t>Uzņemtais hito.</t>
  </si>
  <si>
    <t>hito g/g MK</t>
  </si>
  <si>
    <t>hito g/cm2</t>
  </si>
  <si>
    <t>hito g/cm3</t>
  </si>
  <si>
    <t>hito h/cm3</t>
  </si>
  <si>
    <t>uzņemtais hito</t>
  </si>
  <si>
    <t>hto g/cm3</t>
  </si>
  <si>
    <t>m2, kond 20/65</t>
  </si>
  <si>
    <t>42salūzis</t>
  </si>
  <si>
    <t>29.07.2025</t>
  </si>
  <si>
    <t>78 gab</t>
  </si>
  <si>
    <t>substrats</t>
  </si>
  <si>
    <t>80gab</t>
  </si>
  <si>
    <t>SA</t>
  </si>
  <si>
    <t>n=80</t>
  </si>
  <si>
    <t>n=20</t>
  </si>
  <si>
    <t>hit+SA</t>
  </si>
  <si>
    <t>n=76</t>
  </si>
  <si>
    <t xml:space="preserve">Sl1 </t>
  </si>
  <si>
    <t>Apstrāde</t>
  </si>
  <si>
    <t>substrāts</t>
  </si>
  <si>
    <t>masa (g)</t>
  </si>
  <si>
    <t>garums mm</t>
  </si>
  <si>
    <t>platums mm</t>
  </si>
  <si>
    <t>augstums mm</t>
  </si>
  <si>
    <t>hito_sub.</t>
  </si>
  <si>
    <t>salūzis</t>
  </si>
  <si>
    <t>hito</t>
  </si>
  <si>
    <t>org stikls</t>
  </si>
  <si>
    <t>hito_sub</t>
  </si>
  <si>
    <t>WS1</t>
  </si>
  <si>
    <t>WS2</t>
  </si>
  <si>
    <t>WS3</t>
  </si>
  <si>
    <t>WS4</t>
  </si>
  <si>
    <t>hito + sub</t>
  </si>
  <si>
    <t/>
  </si>
  <si>
    <t>0h</t>
  </si>
  <si>
    <t>2h</t>
  </si>
  <si>
    <t>24h</t>
  </si>
  <si>
    <t>Ūdens uzsūcamība (%)</t>
  </si>
  <si>
    <r>
      <rPr>
        <b/>
        <sz val="14"/>
        <color theme="1"/>
        <rFont val="Calibri"/>
      </rPr>
      <t>Tilpums, cm</t>
    </r>
    <r>
      <rPr>
        <b/>
        <vertAlign val="superscript"/>
        <sz val="14"/>
        <color theme="1"/>
        <rFont val="Calibri (Body)"/>
      </rPr>
      <t>3</t>
    </r>
  </si>
  <si>
    <t>Tilpuma izmaiņas (%)</t>
  </si>
  <si>
    <t>pēc 2h</t>
  </si>
  <si>
    <t>pēc 24h</t>
  </si>
  <si>
    <t>pirms</t>
  </si>
  <si>
    <r>
      <rPr>
        <b/>
        <sz val="14"/>
        <color theme="1"/>
        <rFont val="Calibri"/>
      </rPr>
      <t>Tilpums, cm</t>
    </r>
    <r>
      <rPr>
        <b/>
        <vertAlign val="superscript"/>
        <sz val="14"/>
        <color theme="1"/>
        <rFont val="Calibri (Body)"/>
      </rPr>
      <t>3</t>
    </r>
  </si>
  <si>
    <t>apstrade</t>
  </si>
  <si>
    <t>time</t>
  </si>
  <si>
    <t>hito_g_g_mk</t>
  </si>
  <si>
    <t>sub_sk_g_g_mk</t>
  </si>
  <si>
    <t>delta_m</t>
  </si>
  <si>
    <t>delta_v</t>
  </si>
  <si>
    <t>delta_m_mo</t>
  </si>
  <si>
    <t>mo</t>
  </si>
  <si>
    <t>masa</t>
  </si>
  <si>
    <t>kond_masa_bez_apst</t>
  </si>
  <si>
    <t>delt_m_kond</t>
  </si>
  <si>
    <t>BSD1</t>
  </si>
  <si>
    <t>BSD2</t>
  </si>
  <si>
    <t>BSD3</t>
  </si>
  <si>
    <t>BSD4</t>
  </si>
  <si>
    <t>Substrate</t>
  </si>
  <si>
    <t>nr</t>
  </si>
  <si>
    <t>Sl</t>
  </si>
  <si>
    <t>mean_delta_m</t>
  </si>
  <si>
    <t>sd_delta_m</t>
  </si>
  <si>
    <t>mean_delta_v</t>
  </si>
  <si>
    <t>sd_delta_v</t>
  </si>
  <si>
    <t>2</t>
  </si>
  <si>
    <t>control</t>
  </si>
  <si>
    <t>24</t>
  </si>
  <si>
    <t>Gaisa mitrums:</t>
  </si>
  <si>
    <t>Temperatūra:</t>
  </si>
  <si>
    <t>23oC</t>
  </si>
  <si>
    <t>Paraugi</t>
  </si>
  <si>
    <t>24.11.25</t>
  </si>
  <si>
    <t xml:space="preserve">hito/sub </t>
  </si>
  <si>
    <t>sa1</t>
  </si>
  <si>
    <t>sa2</t>
  </si>
  <si>
    <t>sa3</t>
  </si>
  <si>
    <t>sa4</t>
  </si>
  <si>
    <t>references</t>
  </si>
  <si>
    <t>Sap</t>
  </si>
  <si>
    <t>mMDF</t>
  </si>
  <si>
    <t>Laminēta skaidu plātne</t>
  </si>
  <si>
    <t>Mitrumizturīga skaidu plātne</t>
  </si>
  <si>
    <t>Laminēts MDF</t>
  </si>
  <si>
    <t>MDF</t>
  </si>
  <si>
    <t>Nr</t>
  </si>
  <si>
    <t>MK paraugi (slīpputekļi/ hito)</t>
  </si>
  <si>
    <t>parauga masa gaisa sausa, g</t>
  </si>
  <si>
    <t>Nr.</t>
  </si>
  <si>
    <t>MK paraugi (salmi/hito)</t>
  </si>
  <si>
    <t>Sl1 sub</t>
  </si>
  <si>
    <t>Sa1 sub</t>
  </si>
  <si>
    <t>Sl2 sub</t>
  </si>
  <si>
    <t>Sa2 sub</t>
  </si>
  <si>
    <t>Sl3 sub</t>
  </si>
  <si>
    <t>Sa3 sub</t>
  </si>
  <si>
    <t>Sl4 sub</t>
  </si>
  <si>
    <t>Sa4 sub</t>
  </si>
  <si>
    <t>tilpumprocenti</t>
  </si>
  <si>
    <t>tilpums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</si>
</sst>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d\.m\.yy"/>
    <numFmt numFmtId="168" formatCode="[$-426]dddd\,\ yyyy&quot;. gada &quot;d\.\ mmmm"/>
  </numFmts>
  <fonts count="17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2"/>
      <color rgb="FFFF0000"/>
      <name val="Calibri"/>
    </font>
    <font>
      <sz val="12"/>
      <color theme="0"/>
      <name val="Calibri"/>
    </font>
    <font>
      <sz val="11"/>
      <color rgb="FFFF0000"/>
      <name val="Calibri"/>
    </font>
    <font>
      <b/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sz val="12"/>
      <color theme="1"/>
      <name val="Times New Roman"/>
    </font>
    <font>
      <sz val="12"/>
      <color theme="1"/>
      <name val="Calibri"/>
    </font>
    <font>
      <b/>
      <vertAlign val="superscript"/>
      <sz val="14"/>
      <color theme="1"/>
      <name val="Calibri (Body)"/>
    </font>
  </fonts>
  <fills count="2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AEABAB"/>
        <bgColor rgb="FFAEABAB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2CB"/>
        <bgColor rgb="FFFFF2CB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7"/>
        <bgColor theme="7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1">
    <xf numFmtId="0" fontId="0" fillId="0" borderId="0" xfId="0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2" borderId="6" xfId="0" applyFont="1" applyFill="1" applyBorder="1"/>
    <xf numFmtId="0" fontId="2" fillId="0" borderId="7" xfId="0" applyFont="1" applyBorder="1"/>
    <xf numFmtId="0" fontId="2" fillId="3" borderId="8" xfId="0" applyFont="1" applyFill="1" applyBorder="1"/>
    <xf numFmtId="0" fontId="2" fillId="0" borderId="8" xfId="0" applyFont="1" applyBorder="1"/>
    <xf numFmtId="0" fontId="2" fillId="2" borderId="9" xfId="0" applyFont="1" applyFill="1" applyBorder="1"/>
    <xf numFmtId="0" fontId="2" fillId="3" borderId="9" xfId="0" applyFont="1" applyFill="1" applyBorder="1"/>
    <xf numFmtId="0" fontId="2" fillId="0" borderId="10" xfId="0" applyFont="1" applyBorder="1"/>
    <xf numFmtId="0" fontId="2" fillId="4" borderId="9" xfId="0" applyFont="1" applyFill="1" applyBorder="1"/>
    <xf numFmtId="0" fontId="2" fillId="2" borderId="8" xfId="0" applyFont="1" applyFill="1" applyBorder="1"/>
    <xf numFmtId="0" fontId="2" fillId="5" borderId="9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4" borderId="8" xfId="0" applyFont="1" applyFill="1" applyBorder="1"/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16" xfId="0" applyFont="1" applyBorder="1"/>
    <xf numFmtId="0" fontId="2" fillId="2" borderId="17" xfId="0" applyFont="1" applyFill="1" applyBorder="1"/>
    <xf numFmtId="0" fontId="2" fillId="3" borderId="17" xfId="0" applyFont="1" applyFill="1" applyBorder="1"/>
    <xf numFmtId="0" fontId="3" fillId="0" borderId="7" xfId="0" applyFont="1" applyBorder="1" applyAlignment="1">
      <alignment vertical="center"/>
    </xf>
    <xf numFmtId="0" fontId="2" fillId="0" borderId="18" xfId="0" applyFont="1" applyBorder="1"/>
    <xf numFmtId="0" fontId="2" fillId="0" borderId="19" xfId="0" applyFont="1" applyBorder="1"/>
    <xf numFmtId="0" fontId="1" fillId="0" borderId="0" xfId="0" applyFont="1"/>
    <xf numFmtId="0" fontId="1" fillId="0" borderId="20" xfId="0" applyFont="1" applyBorder="1"/>
    <xf numFmtId="0" fontId="1" fillId="0" borderId="21" xfId="0" applyFont="1" applyBorder="1"/>
    <xf numFmtId="0" fontId="1" fillId="0" borderId="8" xfId="0" applyFont="1" applyBorder="1"/>
    <xf numFmtId="0" fontId="4" fillId="0" borderId="8" xfId="0" applyFont="1" applyBorder="1" applyAlignment="1">
      <alignment vertical="center"/>
    </xf>
    <xf numFmtId="0" fontId="2" fillId="6" borderId="6" xfId="0" applyFont="1" applyFill="1" applyBorder="1"/>
    <xf numFmtId="0" fontId="5" fillId="0" borderId="8" xfId="0" applyFont="1" applyBorder="1" applyAlignment="1">
      <alignment vertical="center"/>
    </xf>
    <xf numFmtId="0" fontId="2" fillId="6" borderId="9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2" fillId="6" borderId="8" xfId="0" applyFont="1" applyFill="1" applyBorder="1"/>
    <xf numFmtId="0" fontId="2" fillId="8" borderId="9" xfId="0" applyFont="1" applyFill="1" applyBorder="1"/>
    <xf numFmtId="0" fontId="2" fillId="9" borderId="8" xfId="0" applyFont="1" applyFill="1" applyBorder="1"/>
    <xf numFmtId="0" fontId="2" fillId="9" borderId="9" xfId="0" applyFont="1" applyFill="1" applyBorder="1"/>
    <xf numFmtId="0" fontId="2" fillId="8" borderId="8" xfId="0" applyFont="1" applyFill="1" applyBorder="1"/>
    <xf numFmtId="0" fontId="2" fillId="10" borderId="9" xfId="0" applyFont="1" applyFill="1" applyBorder="1"/>
    <xf numFmtId="0" fontId="2" fillId="11" borderId="9" xfId="0" applyFont="1" applyFill="1" applyBorder="1"/>
    <xf numFmtId="0" fontId="2" fillId="10" borderId="8" xfId="0" applyFont="1" applyFill="1" applyBorder="1"/>
    <xf numFmtId="0" fontId="2" fillId="12" borderId="9" xfId="0" applyFont="1" applyFill="1" applyBorder="1"/>
    <xf numFmtId="0" fontId="2" fillId="11" borderId="8" xfId="0" applyFont="1" applyFill="1" applyBorder="1"/>
    <xf numFmtId="0" fontId="2" fillId="13" borderId="8" xfId="0" applyFont="1" applyFill="1" applyBorder="1"/>
    <xf numFmtId="0" fontId="3" fillId="0" borderId="19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14" xfId="0" applyFont="1" applyBorder="1" applyAlignment="1">
      <alignment vertical="center"/>
    </xf>
    <xf numFmtId="0" fontId="5" fillId="14" borderId="8" xfId="0" applyFont="1" applyFill="1" applyBorder="1" applyAlignment="1">
      <alignment vertical="center"/>
    </xf>
    <xf numFmtId="0" fontId="5" fillId="15" borderId="8" xfId="0" applyFont="1" applyFill="1" applyBorder="1" applyAlignment="1">
      <alignment vertical="center"/>
    </xf>
    <xf numFmtId="0" fontId="5" fillId="16" borderId="8" xfId="0" applyFont="1" applyFill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5" fillId="17" borderId="0" xfId="0" applyFont="1" applyFill="1" applyAlignment="1">
      <alignment vertical="center"/>
    </xf>
    <xf numFmtId="0" fontId="5" fillId="18" borderId="0" xfId="0" applyFont="1" applyFill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8" xfId="0" applyFont="1" applyBorder="1"/>
    <xf numFmtId="0" fontId="7" fillId="0" borderId="22" xfId="0" applyFont="1" applyBorder="1"/>
    <xf numFmtId="0" fontId="7" fillId="19" borderId="8" xfId="0" applyFont="1" applyFill="1" applyBorder="1"/>
    <xf numFmtId="2" fontId="7" fillId="0" borderId="8" xfId="0" applyNumberFormat="1" applyFont="1" applyBorder="1"/>
    <xf numFmtId="164" fontId="7" fillId="0" borderId="8" xfId="0" applyNumberFormat="1" applyFont="1" applyBorder="1"/>
    <xf numFmtId="2" fontId="7" fillId="0" borderId="22" xfId="0" applyNumberFormat="1" applyFont="1" applyBorder="1"/>
    <xf numFmtId="2" fontId="7" fillId="0" borderId="0" xfId="0" applyNumberFormat="1" applyFont="1"/>
    <xf numFmtId="0" fontId="7" fillId="3" borderId="8" xfId="0" applyFont="1" applyFill="1" applyBorder="1"/>
    <xf numFmtId="0" fontId="7" fillId="2" borderId="8" xfId="0" applyFont="1" applyFill="1" applyBorder="1"/>
    <xf numFmtId="0" fontId="7" fillId="20" borderId="8" xfId="0" applyFont="1" applyFill="1" applyBorder="1"/>
    <xf numFmtId="0" fontId="7" fillId="21" borderId="9" xfId="0" applyFont="1" applyFill="1" applyBorder="1"/>
    <xf numFmtId="0" fontId="7" fillId="3" borderId="9" xfId="0" applyFont="1" applyFill="1" applyBorder="1"/>
    <xf numFmtId="0" fontId="7" fillId="20" borderId="9" xfId="0" applyFont="1" applyFill="1" applyBorder="1"/>
    <xf numFmtId="0" fontId="8" fillId="2" borderId="8" xfId="0" applyFont="1" applyFill="1" applyBorder="1"/>
    <xf numFmtId="0" fontId="8" fillId="20" borderId="8" xfId="0" applyFont="1" applyFill="1" applyBorder="1"/>
    <xf numFmtId="165" fontId="7" fillId="0" borderId="8" xfId="0" applyNumberFormat="1" applyFont="1" applyBorder="1"/>
    <xf numFmtId="0" fontId="7" fillId="19" borderId="9" xfId="0" applyFont="1" applyFill="1" applyBorder="1"/>
    <xf numFmtId="0" fontId="2" fillId="22" borderId="9" xfId="0" applyFont="1" applyFill="1" applyBorder="1"/>
    <xf numFmtId="0" fontId="9" fillId="23" borderId="9" xfId="0" applyFont="1" applyFill="1" applyBorder="1"/>
    <xf numFmtId="0" fontId="7" fillId="21" borderId="8" xfId="0" applyFont="1" applyFill="1" applyBorder="1"/>
    <xf numFmtId="0" fontId="7" fillId="22" borderId="8" xfId="0" applyFont="1" applyFill="1" applyBorder="1"/>
    <xf numFmtId="0" fontId="7" fillId="23" borderId="8" xfId="0" applyFont="1" applyFill="1" applyBorder="1"/>
    <xf numFmtId="0" fontId="9" fillId="23" borderId="8" xfId="0" applyFont="1" applyFill="1" applyBorder="1"/>
    <xf numFmtId="0" fontId="9" fillId="23" borderId="23" xfId="0" applyFont="1" applyFill="1" applyBorder="1"/>
    <xf numFmtId="0" fontId="7" fillId="0" borderId="10" xfId="0" applyFont="1" applyBorder="1"/>
    <xf numFmtId="164" fontId="7" fillId="0" borderId="0" xfId="0" applyNumberFormat="1" applyFont="1"/>
    <xf numFmtId="0" fontId="10" fillId="0" borderId="0" xfId="0" applyFont="1"/>
    <xf numFmtId="0" fontId="2" fillId="20" borderId="9" xfId="0" applyFont="1" applyFill="1" applyBorder="1"/>
    <xf numFmtId="0" fontId="2" fillId="0" borderId="0" xfId="0" applyFont="1" applyAlignment="1">
      <alignment vertical="center"/>
    </xf>
    <xf numFmtId="165" fontId="7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right"/>
    </xf>
    <xf numFmtId="164" fontId="1" fillId="0" borderId="0" xfId="0" applyNumberFormat="1" applyFont="1"/>
    <xf numFmtId="2" fontId="2" fillId="0" borderId="0" xfId="0" applyNumberFormat="1" applyFont="1"/>
    <xf numFmtId="0" fontId="1" fillId="0" borderId="24" xfId="0" applyFont="1" applyBorder="1"/>
    <xf numFmtId="0" fontId="7" fillId="19" borderId="6" xfId="0" applyFont="1" applyFill="1" applyBorder="1"/>
    <xf numFmtId="0" fontId="7" fillId="19" borderId="25" xfId="0" applyFont="1" applyFill="1" applyBorder="1"/>
    <xf numFmtId="0" fontId="7" fillId="3" borderId="25" xfId="0" applyFont="1" applyFill="1" applyBorder="1"/>
    <xf numFmtId="166" fontId="2" fillId="0" borderId="8" xfId="0" applyNumberFormat="1" applyFont="1" applyBorder="1"/>
    <xf numFmtId="0" fontId="7" fillId="2" borderId="25" xfId="0" applyFont="1" applyFill="1" applyBorder="1"/>
    <xf numFmtId="0" fontId="7" fillId="20" borderId="25" xfId="0" applyFont="1" applyFill="1" applyBorder="1"/>
    <xf numFmtId="0" fontId="7" fillId="0" borderId="26" xfId="0" applyFont="1" applyBorder="1"/>
    <xf numFmtId="2" fontId="2" fillId="0" borderId="8" xfId="0" applyNumberFormat="1" applyFont="1" applyBorder="1"/>
    <xf numFmtId="0" fontId="2" fillId="4" borderId="25" xfId="0" applyFont="1" applyFill="1" applyBorder="1"/>
    <xf numFmtId="0" fontId="2" fillId="0" borderId="5" xfId="0" applyFont="1" applyBorder="1" applyAlignment="1">
      <alignment vertical="center"/>
    </xf>
    <xf numFmtId="0" fontId="2" fillId="24" borderId="9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7" fillId="20" borderId="30" xfId="0" applyFont="1" applyFill="1" applyBorder="1"/>
    <xf numFmtId="0" fontId="7" fillId="2" borderId="30" xfId="0" applyFont="1" applyFill="1" applyBorder="1"/>
    <xf numFmtId="0" fontId="7" fillId="25" borderId="8" xfId="0" applyFont="1" applyFill="1" applyBorder="1"/>
    <xf numFmtId="0" fontId="7" fillId="26" borderId="8" xfId="0" applyFont="1" applyFill="1" applyBorder="1"/>
    <xf numFmtId="0" fontId="7" fillId="27" borderId="8" xfId="0" applyFont="1" applyFill="1" applyBorder="1"/>
    <xf numFmtId="0" fontId="7" fillId="15" borderId="8" xfId="0" applyFont="1" applyFill="1" applyBorder="1"/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" fillId="0" borderId="34" xfId="0" applyFont="1" applyBorder="1"/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19" borderId="9" xfId="0" applyFont="1" applyFill="1" applyBorder="1"/>
    <xf numFmtId="0" fontId="2" fillId="19" borderId="38" xfId="0" applyFont="1" applyFill="1" applyBorder="1"/>
    <xf numFmtId="0" fontId="2" fillId="19" borderId="6" xfId="0" applyFont="1" applyFill="1" applyBorder="1" applyAlignment="1">
      <alignment vertical="center"/>
    </xf>
    <xf numFmtId="0" fontId="2" fillId="19" borderId="6" xfId="0" applyFont="1" applyFill="1" applyBorder="1"/>
    <xf numFmtId="0" fontId="2" fillId="19" borderId="39" xfId="0" applyFont="1" applyFill="1" applyBorder="1"/>
    <xf numFmtId="0" fontId="2" fillId="19" borderId="40" xfId="0" applyFont="1" applyFill="1" applyBorder="1"/>
    <xf numFmtId="0" fontId="2" fillId="19" borderId="41" xfId="0" applyFont="1" applyFill="1" applyBorder="1"/>
    <xf numFmtId="2" fontId="3" fillId="19" borderId="42" xfId="0" applyNumberFormat="1" applyFont="1" applyFill="1" applyBorder="1" applyAlignment="1">
      <alignment vertical="center"/>
    </xf>
    <xf numFmtId="2" fontId="3" fillId="19" borderId="43" xfId="0" applyNumberFormat="1" applyFont="1" applyFill="1" applyBorder="1" applyAlignment="1">
      <alignment vertical="center"/>
    </xf>
    <xf numFmtId="2" fontId="3" fillId="19" borderId="9" xfId="0" applyNumberFormat="1" applyFont="1" applyFill="1" applyBorder="1" applyAlignment="1">
      <alignment vertical="center"/>
    </xf>
    <xf numFmtId="0" fontId="3" fillId="19" borderId="9" xfId="0" applyFont="1" applyFill="1" applyBorder="1"/>
    <xf numFmtId="0" fontId="3" fillId="19" borderId="9" xfId="0" applyFont="1" applyFill="1" applyBorder="1" applyAlignment="1">
      <alignment vertical="center"/>
    </xf>
    <xf numFmtId="0" fontId="2" fillId="19" borderId="8" xfId="0" applyFont="1" applyFill="1" applyBorder="1" applyAlignment="1">
      <alignment vertical="center"/>
    </xf>
    <xf numFmtId="0" fontId="2" fillId="19" borderId="8" xfId="0" applyFont="1" applyFill="1" applyBorder="1"/>
    <xf numFmtId="0" fontId="2" fillId="19" borderId="44" xfId="0" applyFont="1" applyFill="1" applyBorder="1"/>
    <xf numFmtId="0" fontId="2" fillId="19" borderId="45" xfId="0" applyFont="1" applyFill="1" applyBorder="1"/>
    <xf numFmtId="0" fontId="2" fillId="19" borderId="46" xfId="0" applyFont="1" applyFill="1" applyBorder="1"/>
    <xf numFmtId="2" fontId="2" fillId="19" borderId="44" xfId="0" applyNumberFormat="1" applyFont="1" applyFill="1" applyBorder="1"/>
    <xf numFmtId="0" fontId="3" fillId="3" borderId="9" xfId="0" applyFont="1" applyFill="1" applyBorder="1" applyAlignment="1">
      <alignment vertical="center"/>
    </xf>
    <xf numFmtId="0" fontId="2" fillId="3" borderId="23" xfId="0" applyFont="1" applyFill="1" applyBorder="1"/>
    <xf numFmtId="0" fontId="2" fillId="3" borderId="8" xfId="0" applyFont="1" applyFill="1" applyBorder="1" applyAlignment="1">
      <alignment vertical="center"/>
    </xf>
    <xf numFmtId="0" fontId="2" fillId="3" borderId="44" xfId="0" applyFont="1" applyFill="1" applyBorder="1"/>
    <xf numFmtId="0" fontId="2" fillId="3" borderId="45" xfId="0" applyFont="1" applyFill="1" applyBorder="1"/>
    <xf numFmtId="0" fontId="2" fillId="3" borderId="46" xfId="0" applyFont="1" applyFill="1" applyBorder="1"/>
    <xf numFmtId="2" fontId="3" fillId="3" borderId="42" xfId="0" applyNumberFormat="1" applyFont="1" applyFill="1" applyBorder="1" applyAlignment="1">
      <alignment vertical="center"/>
    </xf>
    <xf numFmtId="2" fontId="3" fillId="3" borderId="43" xfId="0" applyNumberFormat="1" applyFont="1" applyFill="1" applyBorder="1" applyAlignment="1">
      <alignment vertical="center"/>
    </xf>
    <xf numFmtId="2" fontId="3" fillId="3" borderId="9" xfId="0" applyNumberFormat="1" applyFont="1" applyFill="1" applyBorder="1" applyAlignment="1">
      <alignment vertical="center"/>
    </xf>
    <xf numFmtId="0" fontId="3" fillId="3" borderId="9" xfId="0" applyFont="1" applyFill="1" applyBorder="1"/>
    <xf numFmtId="0" fontId="2" fillId="3" borderId="38" xfId="0" applyFont="1" applyFill="1" applyBorder="1"/>
    <xf numFmtId="2" fontId="3" fillId="28" borderId="43" xfId="0" applyNumberFormat="1" applyFont="1" applyFill="1" applyBorder="1" applyAlignment="1">
      <alignment vertical="center"/>
    </xf>
    <xf numFmtId="2" fontId="2" fillId="3" borderId="8" xfId="0" applyNumberFormat="1" applyFont="1" applyFill="1" applyBorder="1"/>
    <xf numFmtId="2" fontId="3" fillId="0" borderId="47" xfId="0" applyNumberFormat="1" applyFont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2" fillId="2" borderId="23" xfId="0" applyFont="1" applyFill="1" applyBorder="1"/>
    <xf numFmtId="0" fontId="2" fillId="2" borderId="8" xfId="0" applyFont="1" applyFill="1" applyBorder="1" applyAlignment="1">
      <alignment vertical="center"/>
    </xf>
    <xf numFmtId="0" fontId="2" fillId="2" borderId="44" xfId="0" applyFont="1" applyFill="1" applyBorder="1"/>
    <xf numFmtId="0" fontId="2" fillId="2" borderId="45" xfId="0" applyFont="1" applyFill="1" applyBorder="1"/>
    <xf numFmtId="0" fontId="2" fillId="2" borderId="46" xfId="0" applyFont="1" applyFill="1" applyBorder="1"/>
    <xf numFmtId="2" fontId="3" fillId="2" borderId="42" xfId="0" applyNumberFormat="1" applyFont="1" applyFill="1" applyBorder="1" applyAlignment="1">
      <alignment vertical="center"/>
    </xf>
    <xf numFmtId="2" fontId="3" fillId="2" borderId="43" xfId="0" applyNumberFormat="1" applyFont="1" applyFill="1" applyBorder="1" applyAlignment="1">
      <alignment vertical="center"/>
    </xf>
    <xf numFmtId="2" fontId="3" fillId="2" borderId="9" xfId="0" applyNumberFormat="1" applyFont="1" applyFill="1" applyBorder="1" applyAlignment="1">
      <alignment vertical="center"/>
    </xf>
    <xf numFmtId="0" fontId="3" fillId="2" borderId="9" xfId="0" applyFont="1" applyFill="1" applyBorder="1"/>
    <xf numFmtId="0" fontId="2" fillId="2" borderId="38" xfId="0" applyFont="1" applyFill="1" applyBorder="1"/>
    <xf numFmtId="2" fontId="2" fillId="2" borderId="8" xfId="0" applyNumberFormat="1" applyFont="1" applyFill="1" applyBorder="1"/>
    <xf numFmtId="2" fontId="2" fillId="2" borderId="44" xfId="0" applyNumberFormat="1" applyFont="1" applyFill="1" applyBorder="1"/>
    <xf numFmtId="2" fontId="2" fillId="2" borderId="46" xfId="0" applyNumberFormat="1" applyFont="1" applyFill="1" applyBorder="1"/>
    <xf numFmtId="0" fontId="3" fillId="2" borderId="6" xfId="0" applyFont="1" applyFill="1" applyBorder="1" applyAlignment="1">
      <alignment vertical="center"/>
    </xf>
    <xf numFmtId="0" fontId="7" fillId="20" borderId="48" xfId="0" applyFont="1" applyFill="1" applyBorder="1"/>
    <xf numFmtId="0" fontId="2" fillId="0" borderId="49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22" xfId="0" applyFont="1" applyBorder="1"/>
    <xf numFmtId="2" fontId="3" fillId="0" borderId="50" xfId="0" applyNumberFormat="1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0" xfId="0" applyFont="1"/>
    <xf numFmtId="0" fontId="7" fillId="20" borderId="17" xfId="0" applyFont="1" applyFill="1" applyBorder="1"/>
    <xf numFmtId="2" fontId="2" fillId="0" borderId="44" xfId="0" applyNumberFormat="1" applyFont="1" applyBorder="1"/>
    <xf numFmtId="0" fontId="2" fillId="19" borderId="23" xfId="0" applyFont="1" applyFill="1" applyBorder="1"/>
    <xf numFmtId="2" fontId="2" fillId="19" borderId="8" xfId="0" applyNumberFormat="1" applyFont="1" applyFill="1" applyBorder="1"/>
    <xf numFmtId="166" fontId="2" fillId="19" borderId="45" xfId="0" applyNumberFormat="1" applyFont="1" applyFill="1" applyBorder="1"/>
    <xf numFmtId="2" fontId="2" fillId="3" borderId="44" xfId="0" applyNumberFormat="1" applyFont="1" applyFill="1" applyBorder="1"/>
    <xf numFmtId="2" fontId="2" fillId="3" borderId="46" xfId="0" applyNumberFormat="1" applyFont="1" applyFill="1" applyBorder="1"/>
    <xf numFmtId="0" fontId="7" fillId="3" borderId="23" xfId="0" applyFont="1" applyFill="1" applyBorder="1"/>
    <xf numFmtId="0" fontId="2" fillId="3" borderId="51" xfId="0" applyFont="1" applyFill="1" applyBorder="1"/>
    <xf numFmtId="0" fontId="2" fillId="3" borderId="52" xfId="0" applyFont="1" applyFill="1" applyBorder="1"/>
    <xf numFmtId="0" fontId="2" fillId="3" borderId="53" xfId="0" applyFont="1" applyFill="1" applyBorder="1"/>
    <xf numFmtId="0" fontId="2" fillId="2" borderId="23" xfId="0" applyFont="1" applyFill="1" applyBorder="1" applyAlignment="1">
      <alignment vertical="center"/>
    </xf>
    <xf numFmtId="0" fontId="2" fillId="2" borderId="46" xfId="0" applyFont="1" applyFill="1" applyBorder="1" applyAlignment="1">
      <alignment vertical="center"/>
    </xf>
    <xf numFmtId="0" fontId="2" fillId="2" borderId="54" xfId="0" applyFont="1" applyFill="1" applyBorder="1"/>
    <xf numFmtId="0" fontId="7" fillId="2" borderId="48" xfId="0" applyFont="1" applyFill="1" applyBorder="1"/>
    <xf numFmtId="0" fontId="2" fillId="2" borderId="40" xfId="0" applyFont="1" applyFill="1" applyBorder="1"/>
    <xf numFmtId="0" fontId="2" fillId="2" borderId="39" xfId="0" applyFont="1" applyFill="1" applyBorder="1"/>
    <xf numFmtId="0" fontId="2" fillId="2" borderId="41" xfId="0" applyFont="1" applyFill="1" applyBorder="1"/>
    <xf numFmtId="0" fontId="7" fillId="2" borderId="17" xfId="0" applyFont="1" applyFill="1" applyBorder="1"/>
    <xf numFmtId="0" fontId="2" fillId="0" borderId="35" xfId="0" applyFont="1" applyBorder="1"/>
    <xf numFmtId="0" fontId="2" fillId="0" borderId="37" xfId="0" applyFont="1" applyBorder="1"/>
    <xf numFmtId="0" fontId="2" fillId="0" borderId="36" xfId="0" applyFont="1" applyBorder="1"/>
    <xf numFmtId="0" fontId="2" fillId="0" borderId="55" xfId="0" applyFont="1" applyBorder="1"/>
    <xf numFmtId="2" fontId="3" fillId="0" borderId="56" xfId="0" applyNumberFormat="1" applyFont="1" applyBorder="1" applyAlignment="1">
      <alignment vertical="center"/>
    </xf>
    <xf numFmtId="2" fontId="3" fillId="0" borderId="57" xfId="0" applyNumberFormat="1" applyFont="1" applyBorder="1" applyAlignment="1">
      <alignment vertical="center"/>
    </xf>
    <xf numFmtId="2" fontId="3" fillId="0" borderId="58" xfId="0" applyNumberFormat="1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0" fontId="3" fillId="0" borderId="27" xfId="0" applyFont="1" applyBorder="1"/>
    <xf numFmtId="0" fontId="3" fillId="0" borderId="60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2" fontId="3" fillId="0" borderId="59" xfId="0" applyNumberFormat="1" applyFont="1" applyBorder="1" applyAlignment="1">
      <alignment vertical="center"/>
    </xf>
    <xf numFmtId="2" fontId="3" fillId="0" borderId="60" xfId="0" applyNumberFormat="1" applyFont="1" applyBorder="1" applyAlignment="1">
      <alignment vertical="center"/>
    </xf>
    <xf numFmtId="2" fontId="3" fillId="0" borderId="27" xfId="0" applyNumberFormat="1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61" xfId="0" applyFont="1" applyBorder="1" applyAlignment="1">
      <alignment vertical="center"/>
    </xf>
    <xf numFmtId="0" fontId="3" fillId="0" borderId="62" xfId="0" applyFont="1" applyBorder="1"/>
    <xf numFmtId="0" fontId="5" fillId="0" borderId="63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64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3" fillId="0" borderId="67" xfId="0" applyFont="1" applyBorder="1"/>
    <xf numFmtId="0" fontId="5" fillId="0" borderId="68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2" fontId="3" fillId="0" borderId="69" xfId="0" applyNumberFormat="1" applyFont="1" applyBorder="1" applyAlignment="1">
      <alignment vertical="center"/>
    </xf>
    <xf numFmtId="2" fontId="3" fillId="0" borderId="70" xfId="0" applyNumberFormat="1" applyFont="1" applyBorder="1" applyAlignment="1">
      <alignment vertical="center"/>
    </xf>
    <xf numFmtId="2" fontId="3" fillId="0" borderId="18" xfId="0" applyNumberFormat="1" applyFont="1" applyBorder="1" applyAlignment="1">
      <alignment vertical="center"/>
    </xf>
    <xf numFmtId="0" fontId="11" fillId="0" borderId="0" xfId="0" applyFont="1"/>
    <xf numFmtId="0" fontId="11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9" fontId="3" fillId="0" borderId="0" xfId="0" applyNumberFormat="1" applyFont="1" applyAlignment="1">
      <alignment horizontal="right"/>
    </xf>
    <xf numFmtId="14" fontId="3" fillId="0" borderId="0" xfId="0" applyNumberFormat="1" applyFont="1"/>
    <xf numFmtId="9" fontId="14" fillId="0" borderId="0" xfId="0" applyNumberFormat="1" applyFont="1" applyAlignment="1">
      <alignment horizontal="right" vertical="center"/>
    </xf>
    <xf numFmtId="0" fontId="3" fillId="0" borderId="73" xfId="0" applyFont="1" applyBorder="1"/>
    <xf numFmtId="167" fontId="3" fillId="0" borderId="73" xfId="0" applyNumberFormat="1" applyFont="1" applyBorder="1"/>
    <xf numFmtId="167" fontId="3" fillId="0" borderId="74" xfId="0" applyNumberFormat="1" applyFont="1" applyBorder="1"/>
    <xf numFmtId="0" fontId="3" fillId="0" borderId="74" xfId="0" applyFont="1" applyBorder="1"/>
    <xf numFmtId="0" fontId="3" fillId="0" borderId="75" xfId="0" applyFont="1" applyBorder="1"/>
    <xf numFmtId="0" fontId="3" fillId="0" borderId="35" xfId="0" applyFont="1" applyBorder="1"/>
    <xf numFmtId="167" fontId="3" fillId="0" borderId="76" xfId="0" applyNumberFormat="1" applyFont="1" applyBorder="1"/>
    <xf numFmtId="168" fontId="3" fillId="0" borderId="10" xfId="0" applyNumberFormat="1" applyFont="1" applyBorder="1"/>
    <xf numFmtId="0" fontId="3" fillId="0" borderId="10" xfId="0" applyFont="1" applyBorder="1"/>
    <xf numFmtId="0" fontId="3" fillId="0" borderId="77" xfId="0" applyFont="1" applyBorder="1"/>
    <xf numFmtId="0" fontId="3" fillId="0" borderId="7" xfId="0" applyFont="1" applyBorder="1"/>
    <xf numFmtId="0" fontId="3" fillId="0" borderId="22" xfId="0" applyFont="1" applyBorder="1" applyAlignment="1">
      <alignment horizontal="right"/>
    </xf>
    <xf numFmtId="2" fontId="3" fillId="0" borderId="8" xfId="0" applyNumberFormat="1" applyFont="1" applyBorder="1"/>
    <xf numFmtId="0" fontId="3" fillId="0" borderId="8" xfId="0" applyFont="1" applyBorder="1"/>
    <xf numFmtId="0" fontId="3" fillId="0" borderId="0" xfId="0" applyFont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3" fillId="0" borderId="8" xfId="0" applyFont="1" applyBorder="1" applyAlignment="1">
      <alignment horizontal="right" vertical="center"/>
    </xf>
    <xf numFmtId="0" fontId="3" fillId="0" borderId="16" xfId="0" applyFont="1" applyBorder="1"/>
    <xf numFmtId="0" fontId="3" fillId="0" borderId="16" xfId="0" applyFont="1" applyBorder="1" applyAlignment="1">
      <alignment vertical="center"/>
    </xf>
    <xf numFmtId="0" fontId="11" fillId="0" borderId="13" xfId="0" applyFont="1" applyBorder="1"/>
    <xf numFmtId="0" fontId="3" fillId="0" borderId="22" xfId="0" applyFont="1" applyBorder="1"/>
    <xf numFmtId="0" fontId="3" fillId="0" borderId="16" xfId="0" applyFont="1" applyBorder="1" applyAlignment="1">
      <alignment wrapText="1"/>
    </xf>
    <xf numFmtId="0" fontId="3" fillId="0" borderId="13" xfId="0" applyFont="1" applyBorder="1"/>
    <xf numFmtId="0" fontId="3" fillId="0" borderId="12" xfId="0" applyFont="1" applyBorder="1"/>
    <xf numFmtId="2" fontId="3" fillId="0" borderId="10" xfId="0" applyNumberFormat="1" applyFont="1" applyBorder="1"/>
    <xf numFmtId="0" fontId="3" fillId="0" borderId="8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5" fillId="0" borderId="8" xfId="0" applyFont="1" applyBorder="1" applyAlignment="1">
      <alignment horizontal="center" vertical="center" wrapText="1"/>
    </xf>
    <xf numFmtId="0" fontId="15" fillId="0" borderId="10" xfId="0" applyFont="1" applyBorder="1"/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wrapText="1"/>
    </xf>
    <xf numFmtId="0" fontId="15" fillId="21" borderId="8" xfId="0" applyFont="1" applyFill="1" applyBorder="1" applyAlignment="1">
      <alignment horizontal="right"/>
    </xf>
    <xf numFmtId="0" fontId="15" fillId="0" borderId="8" xfId="0" applyFont="1" applyBorder="1"/>
    <xf numFmtId="0" fontId="15" fillId="0" borderId="22" xfId="0" applyFont="1" applyBorder="1" applyAlignment="1">
      <alignment horizontal="right"/>
    </xf>
    <xf numFmtId="0" fontId="15" fillId="24" borderId="8" xfId="0" applyFont="1" applyFill="1" applyBorder="1" applyAlignment="1">
      <alignment horizontal="right"/>
    </xf>
    <xf numFmtId="0" fontId="15" fillId="23" borderId="8" xfId="0" applyFont="1" applyFill="1" applyBorder="1" applyAlignment="1">
      <alignment horizontal="right"/>
    </xf>
    <xf numFmtId="0" fontId="15" fillId="0" borderId="22" xfId="0" applyFont="1" applyBorder="1"/>
    <xf numFmtId="2" fontId="15" fillId="0" borderId="8" xfId="0" applyNumberFormat="1" applyFont="1" applyBorder="1"/>
    <xf numFmtId="0" fontId="12" fillId="0" borderId="31" xfId="0" applyFont="1" applyBorder="1" applyAlignment="1">
      <alignment horizontal="center"/>
    </xf>
    <xf numFmtId="0" fontId="13" fillId="0" borderId="32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0" fontId="3" fillId="0" borderId="14" xfId="0" applyFont="1" applyBorder="1"/>
    <xf numFmtId="0" fontId="13" fillId="0" borderId="14" xfId="0" applyFont="1" applyBorder="1" applyAlignment="1">
      <alignment vertical="center"/>
    </xf>
    <xf numFmtId="9" fontId="3" fillId="0" borderId="71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3" fillId="0" borderId="7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13" fillId="0" borderId="1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1" fillId="0" borderId="5" xfId="0" applyFont="1" applyBorder="1" applyAlignment="1">
      <alignment horizontal="center" vertical="top"/>
    </xf>
    <xf numFmtId="0" fontId="13" fillId="0" borderId="5" xfId="0" applyFont="1" applyBorder="1" applyAlignment="1">
      <alignment vertical="center"/>
    </xf>
    <xf numFmtId="0" fontId="11" fillId="0" borderId="10" xfId="0" applyFont="1" applyBorder="1" applyAlignment="1">
      <alignment horizontal="center" vertical="top"/>
    </xf>
    <xf numFmtId="0" fontId="13" fillId="0" borderId="7" xfId="0" applyFont="1" applyBorder="1" applyAlignment="1">
      <alignment vertical="center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/>
  </sheetViews>
  <sheetFormatPr defaultColWidth="14.453125" defaultRowHeight="15" customHeight="1"/>
  <cols>
    <col min="1" max="2" width="8.7265625" customWidth="1"/>
    <col min="3" max="3" width="11.81640625" customWidth="1"/>
    <col min="4" max="11" width="8.7265625" customWidth="1"/>
    <col min="12" max="26" width="14" customWidth="1"/>
  </cols>
  <sheetData>
    <row r="1" spans="1:11" ht="14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J1" s="4" t="s">
        <v>8</v>
      </c>
    </row>
    <row r="2" spans="1:11" ht="14.5">
      <c r="A2" s="5" t="s">
        <v>9</v>
      </c>
      <c r="B2" s="5" t="s">
        <v>10</v>
      </c>
      <c r="C2" s="6">
        <v>1</v>
      </c>
      <c r="D2" s="7">
        <v>1</v>
      </c>
      <c r="E2" s="8"/>
      <c r="F2" s="8"/>
      <c r="G2" s="8"/>
      <c r="H2" s="8"/>
    </row>
    <row r="3" spans="1:11" ht="14.5">
      <c r="A3" s="5"/>
      <c r="B3" s="5"/>
      <c r="C3" s="6"/>
      <c r="D3" s="9">
        <v>2</v>
      </c>
      <c r="E3" s="10"/>
      <c r="F3" s="10"/>
      <c r="G3" s="10"/>
      <c r="H3" s="10"/>
    </row>
    <row r="4" spans="1:11" ht="14.5">
      <c r="A4" s="5"/>
      <c r="B4" s="5"/>
      <c r="C4" s="6"/>
      <c r="D4" s="10">
        <v>3</v>
      </c>
      <c r="E4" s="10"/>
      <c r="F4" s="10"/>
      <c r="G4" s="10"/>
      <c r="H4" s="10"/>
    </row>
    <row r="5" spans="1:11" ht="14.5">
      <c r="A5" s="5"/>
      <c r="B5" s="5"/>
      <c r="C5" s="6"/>
      <c r="D5" s="10">
        <v>4</v>
      </c>
      <c r="E5" s="10"/>
      <c r="F5" s="10"/>
      <c r="G5" s="10"/>
      <c r="H5" s="10"/>
      <c r="I5" s="11" t="s">
        <v>11</v>
      </c>
      <c r="J5" s="11" t="s">
        <v>12</v>
      </c>
    </row>
    <row r="6" spans="1:11" ht="14.5">
      <c r="A6" s="5"/>
      <c r="B6" s="5"/>
      <c r="C6" s="8"/>
      <c r="D6" s="10">
        <v>5</v>
      </c>
      <c r="E6" s="10"/>
      <c r="F6" s="10"/>
      <c r="G6" s="10"/>
      <c r="H6" s="10"/>
      <c r="I6" s="12" t="s">
        <v>11</v>
      </c>
      <c r="J6" s="12" t="s">
        <v>13</v>
      </c>
      <c r="K6" s="12"/>
    </row>
    <row r="7" spans="1:11" ht="14.5">
      <c r="A7" s="5"/>
      <c r="B7" s="5"/>
      <c r="C7" s="13">
        <v>3</v>
      </c>
      <c r="D7" s="9">
        <v>6</v>
      </c>
      <c r="E7" s="10"/>
      <c r="F7" s="10"/>
      <c r="G7" s="10"/>
      <c r="H7" s="10"/>
      <c r="I7" s="14" t="s">
        <v>11</v>
      </c>
      <c r="J7" s="14" t="s">
        <v>14</v>
      </c>
      <c r="K7" s="10"/>
    </row>
    <row r="8" spans="1:11" ht="14.5">
      <c r="A8" s="5"/>
      <c r="B8" s="5"/>
      <c r="C8" s="6"/>
      <c r="D8" s="10">
        <v>7</v>
      </c>
      <c r="E8" s="10"/>
      <c r="F8" s="10"/>
      <c r="G8" s="10"/>
      <c r="H8" s="10"/>
    </row>
    <row r="9" spans="1:11" ht="14.5">
      <c r="A9" s="5"/>
      <c r="B9" s="5"/>
      <c r="C9" s="6"/>
      <c r="D9" s="15">
        <v>8</v>
      </c>
      <c r="E9" s="10"/>
      <c r="F9" s="10"/>
      <c r="G9" s="10"/>
      <c r="H9" s="10"/>
    </row>
    <row r="10" spans="1:11" ht="14.5">
      <c r="A10" s="5"/>
      <c r="B10" s="5"/>
      <c r="C10" s="6"/>
      <c r="D10" s="10">
        <v>9</v>
      </c>
      <c r="E10" s="10"/>
      <c r="F10" s="10"/>
      <c r="G10" s="10"/>
      <c r="H10" s="10"/>
      <c r="I10" s="16" t="s">
        <v>15</v>
      </c>
      <c r="J10" s="4" t="s">
        <v>16</v>
      </c>
    </row>
    <row r="11" spans="1:11" ht="14.5">
      <c r="A11" s="17"/>
      <c r="B11" s="17"/>
      <c r="C11" s="8"/>
      <c r="D11" s="10">
        <v>10</v>
      </c>
      <c r="E11" s="10"/>
      <c r="F11" s="10"/>
      <c r="G11" s="10"/>
      <c r="H11" s="10"/>
    </row>
    <row r="12" spans="1:11" ht="14.5">
      <c r="A12" s="18" t="s">
        <v>9</v>
      </c>
      <c r="B12" s="13" t="s">
        <v>10</v>
      </c>
      <c r="C12" s="19">
        <v>1</v>
      </c>
      <c r="D12" s="15">
        <v>58</v>
      </c>
      <c r="E12" s="10"/>
      <c r="F12" s="10"/>
      <c r="G12" s="10"/>
      <c r="H12" s="10"/>
    </row>
    <row r="13" spans="1:11" ht="14.5">
      <c r="A13" s="5"/>
      <c r="B13" s="6"/>
      <c r="C13" s="20"/>
      <c r="D13" s="9">
        <v>59</v>
      </c>
      <c r="E13" s="10"/>
      <c r="F13" s="10"/>
      <c r="G13" s="10"/>
      <c r="H13" s="10"/>
      <c r="J13" s="4"/>
    </row>
    <row r="14" spans="1:11" ht="14.5">
      <c r="A14" s="5"/>
      <c r="B14" s="6"/>
      <c r="C14" s="20"/>
      <c r="D14" s="10">
        <v>60</v>
      </c>
      <c r="E14" s="10"/>
      <c r="F14" s="10"/>
      <c r="G14" s="10"/>
      <c r="H14" s="10"/>
    </row>
    <row r="15" spans="1:11" ht="14.5">
      <c r="A15" s="5"/>
      <c r="B15" s="6"/>
      <c r="C15" s="20"/>
      <c r="D15" s="9">
        <v>61</v>
      </c>
      <c r="E15" s="10"/>
      <c r="F15" s="10"/>
      <c r="G15" s="10"/>
      <c r="H15" s="10"/>
    </row>
    <row r="16" spans="1:11" ht="14.5">
      <c r="A16" s="5"/>
      <c r="B16" s="6"/>
      <c r="C16" s="21"/>
      <c r="D16" s="10">
        <v>62</v>
      </c>
      <c r="E16" s="10"/>
      <c r="F16" s="10"/>
      <c r="G16" s="10"/>
      <c r="H16" s="10"/>
    </row>
    <row r="17" spans="1:8" ht="14.5">
      <c r="A17" s="5"/>
      <c r="B17" s="6"/>
      <c r="C17" s="19">
        <v>3</v>
      </c>
      <c r="D17" s="15">
        <v>63</v>
      </c>
      <c r="E17" s="10"/>
      <c r="F17" s="10"/>
      <c r="G17" s="10"/>
      <c r="H17" s="10"/>
    </row>
    <row r="18" spans="1:8" ht="14.5">
      <c r="A18" s="5"/>
      <c r="B18" s="6"/>
      <c r="C18" s="20"/>
      <c r="D18" s="10">
        <v>64</v>
      </c>
      <c r="E18" s="10"/>
      <c r="F18" s="10"/>
      <c r="G18" s="10"/>
      <c r="H18" s="10"/>
    </row>
    <row r="19" spans="1:8" ht="14.5">
      <c r="A19" s="5"/>
      <c r="B19" s="6"/>
      <c r="C19" s="20"/>
      <c r="D19" s="15">
        <v>65</v>
      </c>
      <c r="E19" s="10"/>
      <c r="F19" s="10"/>
      <c r="G19" s="10"/>
      <c r="H19" s="10"/>
    </row>
    <row r="20" spans="1:8" ht="14.5">
      <c r="A20" s="5"/>
      <c r="B20" s="6"/>
      <c r="C20" s="20"/>
      <c r="D20" s="10">
        <v>66</v>
      </c>
      <c r="E20" s="10"/>
      <c r="F20" s="10"/>
      <c r="G20" s="10"/>
      <c r="H20" s="10"/>
    </row>
    <row r="21" spans="1:8" ht="15.75" customHeight="1">
      <c r="A21" s="5"/>
      <c r="B21" s="6"/>
      <c r="C21" s="21"/>
      <c r="D21" s="9">
        <v>67</v>
      </c>
      <c r="E21" s="10"/>
      <c r="F21" s="10"/>
      <c r="G21" s="10"/>
      <c r="H21" s="10"/>
    </row>
    <row r="22" spans="1:8" ht="15.75" customHeight="1">
      <c r="A22" s="18" t="s">
        <v>17</v>
      </c>
      <c r="B22" s="13" t="s">
        <v>10</v>
      </c>
      <c r="C22" s="13">
        <v>2</v>
      </c>
      <c r="D22" s="15">
        <v>11</v>
      </c>
      <c r="E22" s="10"/>
      <c r="F22" s="10"/>
      <c r="G22" s="10"/>
      <c r="H22" s="10"/>
    </row>
    <row r="23" spans="1:8" ht="15.75" customHeight="1">
      <c r="A23" s="5"/>
      <c r="B23" s="6"/>
      <c r="C23" s="6"/>
      <c r="D23" s="9">
        <v>13</v>
      </c>
      <c r="E23" s="10"/>
      <c r="F23" s="10"/>
      <c r="G23" s="10"/>
      <c r="H23" s="10"/>
    </row>
    <row r="24" spans="1:8" ht="15.75" customHeight="1">
      <c r="A24" s="5"/>
      <c r="B24" s="6"/>
      <c r="C24" s="6"/>
      <c r="D24" s="10">
        <v>14</v>
      </c>
      <c r="E24" s="10"/>
      <c r="F24" s="10"/>
      <c r="G24" s="10"/>
      <c r="H24" s="10"/>
    </row>
    <row r="25" spans="1:8" ht="15.75" customHeight="1">
      <c r="A25" s="5"/>
      <c r="B25" s="6"/>
      <c r="C25" s="6"/>
      <c r="D25" s="10">
        <v>15</v>
      </c>
      <c r="E25" s="10"/>
      <c r="F25" s="10"/>
      <c r="G25" s="10"/>
      <c r="H25" s="10"/>
    </row>
    <row r="26" spans="1:8" ht="15.75" customHeight="1">
      <c r="A26" s="5"/>
      <c r="B26" s="6"/>
      <c r="C26" s="8"/>
      <c r="D26" s="10">
        <v>16</v>
      </c>
      <c r="E26" s="10"/>
      <c r="F26" s="10"/>
      <c r="G26" s="10"/>
      <c r="H26" s="10"/>
    </row>
    <row r="27" spans="1:8" ht="15.75" customHeight="1">
      <c r="A27" s="5"/>
      <c r="B27" s="6"/>
      <c r="C27" s="13">
        <v>3</v>
      </c>
      <c r="D27" s="9">
        <v>17</v>
      </c>
      <c r="E27" s="10"/>
      <c r="F27" s="10"/>
      <c r="G27" s="10"/>
      <c r="H27" s="10"/>
    </row>
    <row r="28" spans="1:8" ht="15.75" customHeight="1">
      <c r="A28" s="5"/>
      <c r="B28" s="6"/>
      <c r="C28" s="6"/>
      <c r="D28" s="10">
        <v>18</v>
      </c>
      <c r="E28" s="10"/>
      <c r="F28" s="10"/>
      <c r="G28" s="10"/>
      <c r="H28" s="10"/>
    </row>
    <row r="29" spans="1:8" ht="15.75" customHeight="1">
      <c r="A29" s="5"/>
      <c r="B29" s="6"/>
      <c r="C29" s="6"/>
      <c r="D29" s="15">
        <v>19</v>
      </c>
      <c r="E29" s="10"/>
      <c r="F29" s="10"/>
      <c r="G29" s="10"/>
      <c r="H29" s="10"/>
    </row>
    <row r="30" spans="1:8" ht="15.75" customHeight="1">
      <c r="A30" s="5"/>
      <c r="B30" s="6"/>
      <c r="C30" s="6"/>
      <c r="D30" s="10">
        <v>30</v>
      </c>
      <c r="E30" s="10"/>
      <c r="F30" s="10"/>
      <c r="G30" s="10"/>
      <c r="H30" s="10"/>
    </row>
    <row r="31" spans="1:8" ht="15.75" customHeight="1">
      <c r="A31" s="5"/>
      <c r="B31" s="8"/>
      <c r="C31" s="8"/>
      <c r="D31" s="10">
        <v>31</v>
      </c>
      <c r="E31" s="10"/>
      <c r="F31" s="10"/>
      <c r="G31" s="10"/>
      <c r="H31" s="10"/>
    </row>
    <row r="32" spans="1:8" ht="15.75" customHeight="1">
      <c r="A32" s="5"/>
      <c r="B32" s="5" t="s">
        <v>18</v>
      </c>
      <c r="C32" s="13" t="s">
        <v>19</v>
      </c>
      <c r="D32" s="10" t="s">
        <v>20</v>
      </c>
      <c r="E32" s="10"/>
      <c r="F32" s="10"/>
      <c r="G32" s="10"/>
      <c r="H32" s="10"/>
    </row>
    <row r="33" spans="1:8" ht="15.75" customHeight="1">
      <c r="A33" s="17"/>
      <c r="B33" s="17"/>
      <c r="C33" s="8" t="s">
        <v>21</v>
      </c>
      <c r="D33" s="10" t="s">
        <v>22</v>
      </c>
      <c r="E33" s="10"/>
      <c r="F33" s="10"/>
      <c r="G33" s="10"/>
      <c r="H33" s="10"/>
    </row>
    <row r="34" spans="1:8" ht="15.75" customHeight="1">
      <c r="A34" s="13" t="s">
        <v>17</v>
      </c>
      <c r="B34" s="13" t="s">
        <v>10</v>
      </c>
      <c r="C34" s="19">
        <v>1</v>
      </c>
      <c r="D34" s="9">
        <v>68</v>
      </c>
      <c r="E34" s="10"/>
      <c r="F34" s="10"/>
      <c r="G34" s="10"/>
      <c r="H34" s="10"/>
    </row>
    <row r="35" spans="1:8" ht="15.75" customHeight="1">
      <c r="A35" s="6"/>
      <c r="B35" s="6"/>
      <c r="C35" s="20"/>
      <c r="D35" s="15">
        <v>69</v>
      </c>
      <c r="E35" s="10"/>
      <c r="F35" s="10"/>
      <c r="G35" s="10"/>
      <c r="H35" s="10"/>
    </row>
    <row r="36" spans="1:8" ht="15.75" customHeight="1">
      <c r="A36" s="6"/>
      <c r="B36" s="6"/>
      <c r="C36" s="20"/>
      <c r="D36" s="10">
        <v>70</v>
      </c>
      <c r="E36" s="10"/>
      <c r="F36" s="10"/>
      <c r="G36" s="10"/>
      <c r="H36" s="10"/>
    </row>
    <row r="37" spans="1:8" ht="15.75" customHeight="1">
      <c r="A37" s="6"/>
      <c r="B37" s="6"/>
      <c r="C37" s="20"/>
      <c r="D37" s="9">
        <v>71</v>
      </c>
      <c r="E37" s="10"/>
      <c r="F37" s="10"/>
      <c r="G37" s="10"/>
      <c r="H37" s="10"/>
    </row>
    <row r="38" spans="1:8" ht="15.75" customHeight="1">
      <c r="A38" s="6"/>
      <c r="B38" s="6"/>
      <c r="C38" s="21"/>
      <c r="D38" s="10">
        <v>72</v>
      </c>
      <c r="E38" s="10"/>
      <c r="F38" s="10"/>
      <c r="G38" s="10"/>
      <c r="H38" s="10"/>
    </row>
    <row r="39" spans="1:8" ht="15.75" customHeight="1">
      <c r="A39" s="6"/>
      <c r="B39" s="6"/>
      <c r="C39" s="19">
        <v>2</v>
      </c>
      <c r="D39" s="15">
        <v>73</v>
      </c>
      <c r="E39" s="10"/>
      <c r="F39" s="10"/>
      <c r="G39" s="10"/>
      <c r="H39" s="10"/>
    </row>
    <row r="40" spans="1:8" ht="15.75" customHeight="1">
      <c r="A40" s="6"/>
      <c r="B40" s="6"/>
      <c r="C40" s="20"/>
      <c r="D40" s="9">
        <v>74</v>
      </c>
      <c r="E40" s="10"/>
      <c r="F40" s="10"/>
      <c r="G40" s="10"/>
      <c r="H40" s="10"/>
    </row>
    <row r="41" spans="1:8" ht="15.75" customHeight="1">
      <c r="A41" s="6"/>
      <c r="B41" s="6"/>
      <c r="C41" s="20"/>
      <c r="D41" s="15">
        <v>75</v>
      </c>
      <c r="E41" s="10"/>
      <c r="F41" s="10"/>
      <c r="G41" s="10"/>
      <c r="H41" s="10"/>
    </row>
    <row r="42" spans="1:8" ht="15.75" customHeight="1">
      <c r="A42" s="6"/>
      <c r="B42" s="6"/>
      <c r="C42" s="20"/>
      <c r="D42" s="10">
        <v>76</v>
      </c>
      <c r="E42" s="10"/>
      <c r="F42" s="10"/>
      <c r="G42" s="10"/>
      <c r="H42" s="10"/>
    </row>
    <row r="43" spans="1:8" ht="15.75" customHeight="1">
      <c r="A43" s="6"/>
      <c r="B43" s="6"/>
      <c r="C43" s="21"/>
      <c r="D43" s="10">
        <v>77</v>
      </c>
      <c r="E43" s="10"/>
      <c r="F43" s="10"/>
      <c r="G43" s="10"/>
      <c r="H43" s="10"/>
    </row>
    <row r="44" spans="1:8" ht="15.75" customHeight="1">
      <c r="A44" s="18" t="s">
        <v>23</v>
      </c>
      <c r="B44" s="18" t="s">
        <v>10</v>
      </c>
      <c r="C44" s="13">
        <v>2</v>
      </c>
      <c r="D44" s="15">
        <v>32</v>
      </c>
      <c r="E44" s="10"/>
      <c r="F44" s="10"/>
      <c r="G44" s="10"/>
      <c r="H44" s="10"/>
    </row>
    <row r="45" spans="1:8" ht="15.75" customHeight="1">
      <c r="A45" s="5"/>
      <c r="B45" s="5"/>
      <c r="C45" s="6"/>
      <c r="D45" s="9">
        <v>33</v>
      </c>
      <c r="E45" s="10"/>
      <c r="F45" s="10"/>
      <c r="G45" s="10"/>
      <c r="H45" s="10"/>
    </row>
    <row r="46" spans="1:8" ht="15.75" customHeight="1">
      <c r="A46" s="5"/>
      <c r="B46" s="5"/>
      <c r="C46" s="6"/>
      <c r="D46" s="15">
        <v>34</v>
      </c>
      <c r="E46" s="10"/>
      <c r="F46" s="10"/>
      <c r="G46" s="10"/>
      <c r="H46" s="10"/>
    </row>
    <row r="47" spans="1:8" ht="15.75" customHeight="1">
      <c r="A47" s="5"/>
      <c r="B47" s="5"/>
      <c r="C47" s="6"/>
      <c r="D47" s="10">
        <v>35</v>
      </c>
      <c r="E47" s="10"/>
      <c r="F47" s="10"/>
      <c r="G47" s="10"/>
      <c r="H47" s="10"/>
    </row>
    <row r="48" spans="1:8" ht="15.75" customHeight="1">
      <c r="A48" s="5"/>
      <c r="B48" s="5"/>
      <c r="C48" s="8"/>
      <c r="D48" s="10">
        <v>36</v>
      </c>
      <c r="E48" s="10"/>
      <c r="F48" s="10"/>
      <c r="G48" s="10"/>
      <c r="H48" s="10"/>
    </row>
    <row r="49" spans="1:8" ht="15.75" customHeight="1">
      <c r="A49" s="5"/>
      <c r="B49" s="13" t="s">
        <v>18</v>
      </c>
      <c r="C49" s="19" t="s">
        <v>19</v>
      </c>
      <c r="D49" s="10" t="s">
        <v>24</v>
      </c>
      <c r="E49" s="10"/>
      <c r="F49" s="10"/>
      <c r="G49" s="10"/>
      <c r="H49" s="10"/>
    </row>
    <row r="50" spans="1:8" ht="15.75" customHeight="1">
      <c r="A50" s="17"/>
      <c r="B50" s="8"/>
      <c r="C50" s="21" t="s">
        <v>21</v>
      </c>
      <c r="D50" s="10" t="s">
        <v>25</v>
      </c>
      <c r="E50" s="10"/>
      <c r="F50" s="10"/>
      <c r="G50" s="10"/>
      <c r="H50" s="10"/>
    </row>
    <row r="51" spans="1:8" ht="15.75" customHeight="1">
      <c r="A51" s="13" t="s">
        <v>23</v>
      </c>
      <c r="B51" s="6" t="s">
        <v>10</v>
      </c>
      <c r="C51" s="19">
        <v>1</v>
      </c>
      <c r="D51" s="15">
        <v>78</v>
      </c>
      <c r="E51" s="10"/>
      <c r="F51" s="10"/>
      <c r="G51" s="10"/>
      <c r="H51" s="10"/>
    </row>
    <row r="52" spans="1:8" ht="15.75" customHeight="1">
      <c r="A52" s="6"/>
      <c r="B52" s="6"/>
      <c r="C52" s="20"/>
      <c r="D52" s="9">
        <v>79</v>
      </c>
      <c r="E52" s="10"/>
      <c r="F52" s="10"/>
      <c r="G52" s="10"/>
      <c r="H52" s="10"/>
    </row>
    <row r="53" spans="1:8" ht="15.75" customHeight="1">
      <c r="A53" s="6"/>
      <c r="B53" s="6"/>
      <c r="C53" s="20"/>
      <c r="D53" s="10">
        <v>80</v>
      </c>
      <c r="E53" s="10"/>
      <c r="F53" s="10"/>
      <c r="G53" s="10"/>
      <c r="H53" s="10"/>
    </row>
    <row r="54" spans="1:8" ht="15.75" customHeight="1">
      <c r="A54" s="6"/>
      <c r="B54" s="6"/>
      <c r="C54" s="20"/>
      <c r="D54" s="10">
        <v>81</v>
      </c>
      <c r="E54" s="10"/>
      <c r="F54" s="10"/>
      <c r="G54" s="10"/>
      <c r="H54" s="10"/>
    </row>
    <row r="55" spans="1:8" ht="15.75" customHeight="1">
      <c r="A55" s="6"/>
      <c r="B55" s="6"/>
      <c r="C55" s="21"/>
      <c r="D55" s="9">
        <v>82</v>
      </c>
      <c r="E55" s="10"/>
      <c r="F55" s="10"/>
      <c r="G55" s="10"/>
      <c r="H55" s="10"/>
    </row>
    <row r="56" spans="1:8" ht="15.75" customHeight="1">
      <c r="A56" s="6"/>
      <c r="B56" s="6"/>
      <c r="C56" s="19">
        <v>2</v>
      </c>
      <c r="D56" s="10">
        <v>83</v>
      </c>
      <c r="E56" s="10"/>
      <c r="F56" s="10"/>
      <c r="G56" s="10"/>
      <c r="H56" s="10"/>
    </row>
    <row r="57" spans="1:8" ht="15.75" customHeight="1">
      <c r="A57" s="6"/>
      <c r="B57" s="6"/>
      <c r="C57" s="20"/>
      <c r="D57" s="15">
        <v>84</v>
      </c>
      <c r="E57" s="10"/>
      <c r="F57" s="10"/>
      <c r="G57" s="10"/>
      <c r="H57" s="10"/>
    </row>
    <row r="58" spans="1:8" ht="15.75" customHeight="1">
      <c r="A58" s="6"/>
      <c r="B58" s="6"/>
      <c r="C58" s="20"/>
      <c r="D58" s="9">
        <v>85</v>
      </c>
      <c r="E58" s="10"/>
      <c r="F58" s="10"/>
      <c r="G58" s="10"/>
      <c r="H58" s="10"/>
    </row>
    <row r="59" spans="1:8" ht="15.75" customHeight="1">
      <c r="A59" s="6"/>
      <c r="B59" s="6"/>
      <c r="C59" s="20"/>
      <c r="D59" s="15">
        <v>86</v>
      </c>
      <c r="E59" s="10"/>
      <c r="F59" s="10"/>
      <c r="G59" s="10"/>
      <c r="H59" s="10"/>
    </row>
    <row r="60" spans="1:8" ht="15.75" customHeight="1">
      <c r="A60" s="6"/>
      <c r="B60" s="6"/>
      <c r="C60" s="21"/>
      <c r="D60" s="9">
        <v>87</v>
      </c>
      <c r="E60" s="10"/>
      <c r="F60" s="10"/>
      <c r="G60" s="10"/>
      <c r="H60" s="10"/>
    </row>
    <row r="61" spans="1:8" ht="15.75" customHeight="1">
      <c r="A61" s="18" t="s">
        <v>26</v>
      </c>
      <c r="B61" s="13" t="s">
        <v>10</v>
      </c>
      <c r="C61" s="13">
        <v>1</v>
      </c>
      <c r="D61" s="15">
        <v>37</v>
      </c>
      <c r="E61" s="10"/>
      <c r="F61" s="10"/>
      <c r="G61" s="10"/>
      <c r="H61" s="10"/>
    </row>
    <row r="62" spans="1:8" ht="15.75" customHeight="1">
      <c r="A62" s="5"/>
      <c r="B62" s="6"/>
      <c r="C62" s="6"/>
      <c r="D62" s="9">
        <v>38</v>
      </c>
      <c r="E62" s="10"/>
      <c r="F62" s="10"/>
      <c r="G62" s="10"/>
      <c r="H62" s="10"/>
    </row>
    <row r="63" spans="1:8" ht="15.75" customHeight="1">
      <c r="A63" s="5"/>
      <c r="B63" s="6"/>
      <c r="C63" s="6"/>
      <c r="D63" s="10">
        <v>39</v>
      </c>
      <c r="E63" s="10"/>
      <c r="F63" s="10"/>
      <c r="G63" s="10"/>
      <c r="H63" s="10"/>
    </row>
    <row r="64" spans="1:8" ht="15.75" customHeight="1">
      <c r="A64" s="5"/>
      <c r="B64" s="6"/>
      <c r="C64" s="6"/>
      <c r="D64" s="10">
        <v>40</v>
      </c>
      <c r="E64" s="10"/>
      <c r="F64" s="10"/>
      <c r="G64" s="10"/>
      <c r="H64" s="10"/>
    </row>
    <row r="65" spans="1:8" ht="15.75" customHeight="1">
      <c r="A65" s="5"/>
      <c r="B65" s="6"/>
      <c r="C65" s="8"/>
      <c r="D65" s="10">
        <v>41</v>
      </c>
      <c r="E65" s="10"/>
      <c r="F65" s="10"/>
      <c r="G65" s="10"/>
      <c r="H65" s="10"/>
    </row>
    <row r="66" spans="1:8" ht="15.75" customHeight="1">
      <c r="A66" s="5"/>
      <c r="B66" s="6"/>
      <c r="C66" s="13">
        <v>2</v>
      </c>
      <c r="D66" s="9">
        <v>42</v>
      </c>
      <c r="E66" s="10"/>
      <c r="F66" s="10"/>
      <c r="G66" s="10"/>
      <c r="H66" s="10"/>
    </row>
    <row r="67" spans="1:8" ht="15.75" customHeight="1">
      <c r="A67" s="5"/>
      <c r="B67" s="6"/>
      <c r="C67" s="6"/>
      <c r="D67" s="15">
        <v>43</v>
      </c>
      <c r="E67" s="10"/>
      <c r="F67" s="10"/>
      <c r="G67" s="10"/>
      <c r="H67" s="10"/>
    </row>
    <row r="68" spans="1:8" ht="15.75" customHeight="1">
      <c r="A68" s="5"/>
      <c r="B68" s="6"/>
      <c r="C68" s="6"/>
      <c r="D68" s="10">
        <v>44</v>
      </c>
      <c r="E68" s="10"/>
      <c r="F68" s="10"/>
      <c r="G68" s="10"/>
      <c r="H68" s="10"/>
    </row>
    <row r="69" spans="1:8" ht="15.75" customHeight="1">
      <c r="A69" s="5"/>
      <c r="B69" s="6"/>
      <c r="C69" s="6"/>
      <c r="D69" s="9">
        <v>45</v>
      </c>
      <c r="E69" s="10"/>
      <c r="F69" s="10"/>
      <c r="G69" s="10"/>
      <c r="H69" s="10"/>
    </row>
    <row r="70" spans="1:8" ht="15.75" customHeight="1">
      <c r="A70" s="5"/>
      <c r="B70" s="8"/>
      <c r="C70" s="8"/>
      <c r="D70" s="10">
        <v>46</v>
      </c>
      <c r="E70" s="10"/>
      <c r="F70" s="10"/>
      <c r="G70" s="10"/>
      <c r="H70" s="10"/>
    </row>
    <row r="71" spans="1:8" ht="15.75" customHeight="1">
      <c r="A71" s="5"/>
      <c r="B71" s="5" t="s">
        <v>18</v>
      </c>
      <c r="C71" s="13" t="s">
        <v>19</v>
      </c>
      <c r="D71" s="10" t="s">
        <v>27</v>
      </c>
      <c r="E71" s="10"/>
      <c r="F71" s="10"/>
      <c r="G71" s="10"/>
      <c r="H71" s="10"/>
    </row>
    <row r="72" spans="1:8" ht="15.75" customHeight="1">
      <c r="A72" s="17"/>
      <c r="B72" s="17"/>
      <c r="C72" s="8" t="s">
        <v>21</v>
      </c>
      <c r="D72" s="10" t="s">
        <v>28</v>
      </c>
      <c r="E72" s="10"/>
      <c r="F72" s="10"/>
      <c r="G72" s="10"/>
      <c r="H72" s="10"/>
    </row>
    <row r="73" spans="1:8" ht="15.75" customHeight="1">
      <c r="A73" s="13" t="s">
        <v>26</v>
      </c>
      <c r="B73" s="13" t="s">
        <v>10</v>
      </c>
      <c r="C73" s="19">
        <v>2</v>
      </c>
      <c r="D73" s="15">
        <v>88</v>
      </c>
      <c r="E73" s="10"/>
      <c r="F73" s="10"/>
      <c r="G73" s="10"/>
      <c r="H73" s="10"/>
    </row>
    <row r="74" spans="1:8" ht="15.75" customHeight="1">
      <c r="A74" s="6"/>
      <c r="B74" s="6"/>
      <c r="C74" s="20"/>
      <c r="D74" s="9">
        <v>89</v>
      </c>
      <c r="E74" s="10"/>
      <c r="F74" s="10"/>
      <c r="G74" s="10"/>
      <c r="H74" s="10"/>
    </row>
    <row r="75" spans="1:8" ht="15.75" customHeight="1">
      <c r="A75" s="6"/>
      <c r="B75" s="6"/>
      <c r="C75" s="20"/>
      <c r="D75" s="15">
        <v>90</v>
      </c>
      <c r="E75" s="10"/>
      <c r="F75" s="10"/>
      <c r="G75" s="10"/>
      <c r="H75" s="10"/>
    </row>
    <row r="76" spans="1:8" ht="15.75" customHeight="1">
      <c r="A76" s="6"/>
      <c r="B76" s="6"/>
      <c r="C76" s="20"/>
      <c r="D76" s="10">
        <v>91</v>
      </c>
      <c r="E76" s="10"/>
      <c r="F76" s="10"/>
      <c r="G76" s="10"/>
      <c r="H76" s="10"/>
    </row>
    <row r="77" spans="1:8" ht="15.75" customHeight="1">
      <c r="A77" s="6"/>
      <c r="B77" s="6"/>
      <c r="C77" s="21"/>
      <c r="D77" s="10">
        <v>92</v>
      </c>
      <c r="E77" s="10"/>
      <c r="F77" s="10"/>
      <c r="G77" s="10"/>
      <c r="H77" s="10"/>
    </row>
    <row r="78" spans="1:8" ht="15.75" customHeight="1">
      <c r="A78" s="6"/>
      <c r="B78" s="6"/>
      <c r="C78" s="19">
        <v>1</v>
      </c>
      <c r="D78" s="9">
        <v>93</v>
      </c>
      <c r="E78" s="10"/>
      <c r="F78" s="10"/>
      <c r="G78" s="10"/>
      <c r="H78" s="10"/>
    </row>
    <row r="79" spans="1:8" ht="15.75" customHeight="1">
      <c r="A79" s="6"/>
      <c r="B79" s="6"/>
      <c r="C79" s="20"/>
      <c r="D79" s="15">
        <v>94</v>
      </c>
      <c r="E79" s="10"/>
      <c r="F79" s="10"/>
      <c r="G79" s="10"/>
      <c r="H79" s="10"/>
    </row>
    <row r="80" spans="1:8" ht="15.75" customHeight="1">
      <c r="A80" s="6"/>
      <c r="B80" s="6"/>
      <c r="C80" s="20"/>
      <c r="D80" s="10">
        <v>95</v>
      </c>
      <c r="E80" s="10"/>
      <c r="F80" s="10"/>
      <c r="G80" s="10"/>
      <c r="H80" s="10"/>
    </row>
    <row r="81" spans="1:8" ht="15.75" customHeight="1">
      <c r="A81" s="6"/>
      <c r="B81" s="6"/>
      <c r="C81" s="20"/>
      <c r="D81" s="10">
        <v>96</v>
      </c>
      <c r="E81" s="10"/>
      <c r="F81" s="10"/>
      <c r="G81" s="10"/>
      <c r="H81" s="10"/>
    </row>
    <row r="82" spans="1:8" ht="15.75" customHeight="1">
      <c r="A82" s="6"/>
      <c r="B82" s="6"/>
      <c r="C82" s="20"/>
      <c r="D82" s="10">
        <v>97</v>
      </c>
      <c r="E82" s="13"/>
      <c r="F82" s="13"/>
      <c r="G82" s="13"/>
      <c r="H82" s="13"/>
    </row>
    <row r="83" spans="1:8" ht="15.75" customHeight="1">
      <c r="A83" s="18" t="s">
        <v>29</v>
      </c>
      <c r="B83" s="18" t="s">
        <v>10</v>
      </c>
      <c r="C83" s="13">
        <v>2</v>
      </c>
      <c r="D83" s="22">
        <v>48</v>
      </c>
      <c r="E83" s="10"/>
      <c r="F83" s="10"/>
      <c r="G83" s="10"/>
      <c r="H83" s="10"/>
    </row>
    <row r="84" spans="1:8" ht="15.75" customHeight="1">
      <c r="A84" s="17"/>
      <c r="B84" s="17"/>
      <c r="C84" s="8"/>
      <c r="D84" s="22">
        <v>49</v>
      </c>
      <c r="E84" s="10"/>
      <c r="F84" s="10"/>
      <c r="G84" s="10"/>
      <c r="H84" s="10"/>
    </row>
    <row r="85" spans="1:8" ht="15.75" customHeight="1">
      <c r="A85" s="18" t="s">
        <v>30</v>
      </c>
      <c r="B85" s="18" t="s">
        <v>10</v>
      </c>
      <c r="C85" s="13">
        <v>1</v>
      </c>
      <c r="D85" s="22">
        <v>58</v>
      </c>
      <c r="E85" s="10"/>
      <c r="F85" s="10"/>
      <c r="G85" s="10"/>
      <c r="H85" s="10"/>
    </row>
    <row r="86" spans="1:8" ht="15.75" customHeight="1">
      <c r="A86" s="5"/>
      <c r="B86" s="5"/>
      <c r="C86" s="6"/>
      <c r="D86" s="22">
        <v>59</v>
      </c>
      <c r="E86" s="10"/>
      <c r="F86" s="10"/>
      <c r="G86" s="10"/>
      <c r="H86" s="10"/>
    </row>
    <row r="87" spans="1:8" ht="15.75" customHeight="1">
      <c r="A87" s="5"/>
      <c r="B87" s="5"/>
      <c r="C87" s="6"/>
      <c r="D87" s="22">
        <v>60</v>
      </c>
      <c r="E87" s="10"/>
      <c r="F87" s="10"/>
      <c r="G87" s="10"/>
      <c r="H87" s="10"/>
    </row>
    <row r="88" spans="1:8" ht="15.75" customHeight="1">
      <c r="A88" s="5"/>
      <c r="B88" s="5"/>
      <c r="C88" s="6"/>
      <c r="D88" s="22">
        <v>61</v>
      </c>
      <c r="E88" s="10"/>
      <c r="F88" s="10"/>
      <c r="G88" s="10"/>
      <c r="H88" s="10"/>
    </row>
    <row r="89" spans="1:8" ht="15.75" customHeight="1">
      <c r="A89" s="5"/>
      <c r="B89" s="5"/>
      <c r="C89" s="6"/>
      <c r="D89" s="22">
        <v>62</v>
      </c>
      <c r="E89" s="10"/>
      <c r="F89" s="10"/>
      <c r="G89" s="10"/>
      <c r="H89" s="10"/>
    </row>
    <row r="90" spans="1:8" ht="15.75" customHeight="1">
      <c r="A90" s="17"/>
      <c r="B90" s="17"/>
      <c r="C90" s="8"/>
      <c r="D90" s="22">
        <v>63</v>
      </c>
      <c r="E90" s="10"/>
      <c r="F90" s="10"/>
      <c r="G90" s="10"/>
      <c r="H90" s="10"/>
    </row>
    <row r="91" spans="1:8" ht="15.75" customHeight="1">
      <c r="A91" s="18" t="s">
        <v>31</v>
      </c>
      <c r="B91" s="13" t="s">
        <v>10</v>
      </c>
      <c r="C91" s="13">
        <v>1</v>
      </c>
      <c r="D91" s="22">
        <v>56</v>
      </c>
      <c r="E91" s="10"/>
      <c r="F91" s="10"/>
      <c r="G91" s="10"/>
      <c r="H91" s="10"/>
    </row>
    <row r="92" spans="1:8" ht="15.75" customHeight="1">
      <c r="A92" s="17"/>
      <c r="B92" s="8"/>
      <c r="C92" s="8"/>
      <c r="D92" s="22">
        <v>57</v>
      </c>
      <c r="E92" s="10"/>
      <c r="F92" s="10"/>
      <c r="G92" s="10"/>
      <c r="H92" s="10"/>
    </row>
    <row r="93" spans="1:8" ht="15.75" customHeight="1"/>
    <row r="94" spans="1:8" ht="15.75" customHeight="1"/>
    <row r="95" spans="1:8" ht="15.75" customHeight="1"/>
    <row r="96" spans="1:8" ht="15.75" customHeight="1"/>
    <row r="97" spans="1:8" ht="15.75" customHeight="1">
      <c r="A97" s="23" t="s">
        <v>32</v>
      </c>
      <c r="B97" s="24"/>
      <c r="C97" s="23">
        <v>2</v>
      </c>
      <c r="D97" s="15">
        <v>1</v>
      </c>
      <c r="E97" s="25"/>
      <c r="F97" s="25"/>
      <c r="G97" s="25"/>
      <c r="H97" s="25"/>
    </row>
    <row r="98" spans="1:8" ht="15.75" customHeight="1">
      <c r="A98" s="26"/>
      <c r="B98" s="27"/>
      <c r="C98" s="26"/>
      <c r="D98" s="9">
        <v>2</v>
      </c>
      <c r="E98" s="25"/>
      <c r="F98" s="25"/>
      <c r="G98" s="25"/>
      <c r="H98" s="25"/>
    </row>
    <row r="99" spans="1:8" ht="15.75" customHeight="1">
      <c r="A99" s="26"/>
      <c r="B99" s="27"/>
      <c r="C99" s="26"/>
      <c r="D99" s="10">
        <v>3</v>
      </c>
      <c r="E99" s="25"/>
      <c r="F99" s="25"/>
      <c r="G99" s="25"/>
      <c r="H99" s="25"/>
    </row>
    <row r="100" spans="1:8" ht="15.75" customHeight="1">
      <c r="A100" s="26"/>
      <c r="B100" s="27"/>
      <c r="C100" s="26"/>
      <c r="D100" s="10">
        <v>4</v>
      </c>
      <c r="E100" s="25"/>
      <c r="F100" s="25"/>
      <c r="G100" s="25"/>
      <c r="H100" s="25"/>
    </row>
    <row r="101" spans="1:8" ht="15.75" customHeight="1">
      <c r="A101" s="26"/>
      <c r="B101" s="27"/>
      <c r="C101" s="28"/>
      <c r="D101" s="15">
        <v>5</v>
      </c>
      <c r="E101" s="25"/>
      <c r="F101" s="25"/>
      <c r="G101" s="25"/>
      <c r="H101" s="25"/>
    </row>
    <row r="102" spans="1:8" ht="15.75" customHeight="1">
      <c r="A102" s="26"/>
      <c r="B102" s="27"/>
      <c r="C102" s="23">
        <v>4</v>
      </c>
      <c r="D102" s="10">
        <v>50</v>
      </c>
      <c r="E102" s="25"/>
      <c r="F102" s="25"/>
      <c r="G102" s="25"/>
      <c r="H102" s="25"/>
    </row>
    <row r="103" spans="1:8" ht="15.75" customHeight="1">
      <c r="A103" s="26"/>
      <c r="B103" s="27"/>
      <c r="C103" s="26"/>
      <c r="D103" s="15">
        <v>51</v>
      </c>
      <c r="E103" s="25"/>
      <c r="F103" s="25"/>
      <c r="G103" s="25"/>
      <c r="H103" s="25"/>
    </row>
    <row r="104" spans="1:8" ht="15.75" customHeight="1">
      <c r="A104" s="26"/>
      <c r="B104" s="27"/>
      <c r="C104" s="26"/>
      <c r="D104" s="9">
        <v>52</v>
      </c>
      <c r="E104" s="25"/>
      <c r="F104" s="25"/>
      <c r="G104" s="25"/>
      <c r="H104" s="25"/>
    </row>
    <row r="105" spans="1:8" ht="15.75" customHeight="1">
      <c r="A105" s="26"/>
      <c r="B105" s="27"/>
      <c r="C105" s="26"/>
      <c r="D105" s="10">
        <v>53</v>
      </c>
      <c r="E105" s="25"/>
      <c r="F105" s="25"/>
      <c r="G105" s="25"/>
      <c r="H105" s="25"/>
    </row>
    <row r="106" spans="1:8" ht="15.75" customHeight="1">
      <c r="A106" s="26"/>
      <c r="B106" s="27"/>
      <c r="C106" s="28"/>
      <c r="D106" s="10">
        <v>54</v>
      </c>
      <c r="E106" s="25"/>
      <c r="F106" s="25"/>
      <c r="G106" s="25"/>
      <c r="H106" s="25"/>
    </row>
    <row r="107" spans="1:8" ht="15.75" customHeight="1">
      <c r="A107" s="26"/>
      <c r="B107" s="27"/>
      <c r="C107" s="23">
        <v>1</v>
      </c>
      <c r="D107" s="10">
        <v>55</v>
      </c>
      <c r="E107" s="25"/>
      <c r="F107" s="25"/>
      <c r="G107" s="25"/>
      <c r="H107" s="25"/>
    </row>
    <row r="108" spans="1:8" ht="15.75" customHeight="1">
      <c r="A108" s="26"/>
      <c r="B108" s="27"/>
      <c r="C108" s="26"/>
      <c r="D108" s="10">
        <v>56</v>
      </c>
      <c r="E108" s="25"/>
      <c r="F108" s="25"/>
      <c r="G108" s="25"/>
      <c r="H108" s="25"/>
    </row>
    <row r="109" spans="1:8" ht="15.75" customHeight="1">
      <c r="A109" s="26"/>
      <c r="B109" s="27"/>
      <c r="C109" s="26"/>
      <c r="D109" s="15">
        <v>57</v>
      </c>
      <c r="E109" s="25"/>
      <c r="F109" s="25"/>
      <c r="G109" s="25"/>
      <c r="H109" s="25"/>
    </row>
    <row r="110" spans="1:8" ht="15.75" customHeight="1">
      <c r="A110" s="26"/>
      <c r="B110" s="27"/>
      <c r="C110" s="26"/>
      <c r="D110" s="9">
        <v>58</v>
      </c>
      <c r="E110" s="25"/>
      <c r="F110" s="25"/>
      <c r="G110" s="25"/>
      <c r="H110" s="25"/>
    </row>
    <row r="111" spans="1:8" ht="15.75" customHeight="1">
      <c r="A111" s="26"/>
      <c r="B111" s="27"/>
      <c r="C111" s="26"/>
      <c r="D111" s="10">
        <v>59</v>
      </c>
      <c r="E111" s="25"/>
      <c r="F111" s="25"/>
      <c r="G111" s="25"/>
      <c r="H111" s="25"/>
    </row>
    <row r="112" spans="1:8" ht="15.75" customHeight="1">
      <c r="A112" s="26"/>
      <c r="B112" s="27"/>
      <c r="C112" s="28"/>
      <c r="D112" s="10">
        <v>60</v>
      </c>
      <c r="E112" s="25"/>
      <c r="F112" s="25"/>
      <c r="G112" s="25"/>
      <c r="H112" s="25"/>
    </row>
    <row r="113" spans="1:8" ht="15.75" customHeight="1">
      <c r="A113" s="26"/>
      <c r="B113" s="27"/>
      <c r="C113" s="23">
        <v>3</v>
      </c>
      <c r="D113" s="9">
        <v>65</v>
      </c>
      <c r="E113" s="25"/>
      <c r="F113" s="25"/>
      <c r="G113" s="25"/>
      <c r="H113" s="25"/>
    </row>
    <row r="114" spans="1:8" ht="15.75" customHeight="1">
      <c r="A114" s="26"/>
      <c r="B114" s="27"/>
      <c r="C114" s="26"/>
      <c r="D114" s="10">
        <v>66</v>
      </c>
      <c r="E114" s="25"/>
      <c r="F114" s="25"/>
      <c r="G114" s="25"/>
      <c r="H114" s="25"/>
    </row>
    <row r="115" spans="1:8" ht="15.75" customHeight="1">
      <c r="A115" s="26"/>
      <c r="B115" s="27"/>
      <c r="C115" s="26"/>
      <c r="D115" s="10">
        <v>67</v>
      </c>
      <c r="E115" s="25"/>
      <c r="F115" s="25"/>
      <c r="G115" s="25"/>
      <c r="H115" s="25"/>
    </row>
    <row r="116" spans="1:8" ht="15.75" customHeight="1">
      <c r="A116" s="26"/>
      <c r="B116" s="27"/>
      <c r="C116" s="26"/>
      <c r="D116" s="15">
        <v>68</v>
      </c>
      <c r="E116" s="25"/>
      <c r="F116" s="25"/>
      <c r="G116" s="25"/>
      <c r="H116" s="25"/>
    </row>
    <row r="117" spans="1:8" ht="15.75" customHeight="1">
      <c r="A117" s="28"/>
      <c r="B117" s="27"/>
      <c r="C117" s="28"/>
      <c r="D117" s="9">
        <v>69</v>
      </c>
      <c r="E117" s="25"/>
      <c r="F117" s="25"/>
      <c r="G117" s="25"/>
      <c r="H117" s="25"/>
    </row>
    <row r="118" spans="1:8" ht="15.75" customHeight="1">
      <c r="A118" s="23" t="s">
        <v>33</v>
      </c>
      <c r="B118" s="27"/>
      <c r="C118" s="23">
        <v>3</v>
      </c>
      <c r="D118" s="15">
        <v>6</v>
      </c>
      <c r="E118" s="25"/>
      <c r="F118" s="25"/>
      <c r="G118" s="25"/>
      <c r="H118" s="25"/>
    </row>
    <row r="119" spans="1:8" ht="15.75" customHeight="1">
      <c r="A119" s="26"/>
      <c r="B119" s="27"/>
      <c r="C119" s="26"/>
      <c r="D119" s="9">
        <v>7</v>
      </c>
      <c r="E119" s="25"/>
      <c r="F119" s="25"/>
      <c r="G119" s="25"/>
      <c r="H119" s="25"/>
    </row>
    <row r="120" spans="1:8" ht="15.75" customHeight="1">
      <c r="A120" s="26"/>
      <c r="B120" s="27"/>
      <c r="C120" s="26"/>
      <c r="D120" s="10">
        <v>8</v>
      </c>
      <c r="E120" s="25"/>
      <c r="F120" s="25"/>
      <c r="G120" s="25"/>
      <c r="H120" s="25"/>
    </row>
    <row r="121" spans="1:8" ht="15.75" customHeight="1">
      <c r="A121" s="26"/>
      <c r="B121" s="27"/>
      <c r="C121" s="26"/>
      <c r="D121" s="15">
        <v>9</v>
      </c>
      <c r="E121" s="25"/>
      <c r="F121" s="25"/>
      <c r="G121" s="25"/>
      <c r="H121" s="25"/>
    </row>
    <row r="122" spans="1:8" ht="15.75" customHeight="1">
      <c r="A122" s="26"/>
      <c r="B122" s="27"/>
      <c r="C122" s="26"/>
      <c r="D122" s="9">
        <v>10</v>
      </c>
      <c r="E122" s="25"/>
      <c r="F122" s="25"/>
      <c r="G122" s="25"/>
      <c r="H122" s="25"/>
    </row>
    <row r="123" spans="1:8" ht="15.75" customHeight="1">
      <c r="A123" s="26"/>
      <c r="B123" s="27"/>
      <c r="C123" s="28"/>
      <c r="D123" s="10">
        <v>11</v>
      </c>
      <c r="E123" s="25"/>
      <c r="F123" s="25"/>
      <c r="G123" s="25"/>
      <c r="H123" s="25"/>
    </row>
    <row r="124" spans="1:8" ht="15.75" customHeight="1">
      <c r="A124" s="26"/>
      <c r="B124" s="27"/>
      <c r="C124" s="23">
        <v>1</v>
      </c>
      <c r="D124" s="10">
        <v>44</v>
      </c>
      <c r="E124" s="25"/>
      <c r="F124" s="25"/>
      <c r="G124" s="25"/>
      <c r="H124" s="25"/>
    </row>
    <row r="125" spans="1:8" ht="15.75" customHeight="1">
      <c r="A125" s="26"/>
      <c r="B125" s="27"/>
      <c r="C125" s="26"/>
      <c r="D125" s="15">
        <v>45</v>
      </c>
      <c r="E125" s="25"/>
      <c r="F125" s="25"/>
      <c r="G125" s="25"/>
      <c r="H125" s="25"/>
    </row>
    <row r="126" spans="1:8" ht="15.75" customHeight="1">
      <c r="A126" s="26"/>
      <c r="B126" s="27"/>
      <c r="C126" s="26"/>
      <c r="D126" s="9">
        <v>46</v>
      </c>
      <c r="E126" s="25"/>
      <c r="F126" s="25"/>
      <c r="G126" s="25"/>
      <c r="H126" s="25"/>
    </row>
    <row r="127" spans="1:8" ht="15.75" customHeight="1">
      <c r="A127" s="26"/>
      <c r="B127" s="27"/>
      <c r="C127" s="26"/>
      <c r="D127" s="10">
        <v>47</v>
      </c>
      <c r="E127" s="25"/>
      <c r="F127" s="25"/>
      <c r="G127" s="25"/>
      <c r="H127" s="25"/>
    </row>
    <row r="128" spans="1:8" ht="15.75" customHeight="1">
      <c r="A128" s="26"/>
      <c r="B128" s="27"/>
      <c r="C128" s="26"/>
      <c r="D128" s="15">
        <v>48</v>
      </c>
      <c r="E128" s="25"/>
      <c r="F128" s="25"/>
      <c r="G128" s="25"/>
      <c r="H128" s="25"/>
    </row>
    <row r="129" spans="1:8" ht="15.75" customHeight="1">
      <c r="A129" s="26"/>
      <c r="B129" s="27"/>
      <c r="C129" s="26"/>
      <c r="D129" s="9">
        <v>49</v>
      </c>
      <c r="E129" s="25"/>
      <c r="F129" s="25"/>
      <c r="G129" s="25"/>
      <c r="H129" s="25"/>
    </row>
    <row r="130" spans="1:8" ht="15.75" customHeight="1">
      <c r="A130" s="26"/>
      <c r="B130" s="26"/>
      <c r="C130" s="24">
        <v>2</v>
      </c>
      <c r="D130" s="29">
        <v>61</v>
      </c>
      <c r="E130" s="25"/>
      <c r="F130" s="25"/>
      <c r="G130" s="25"/>
      <c r="H130" s="25"/>
    </row>
    <row r="131" spans="1:8" ht="15.75" customHeight="1">
      <c r="A131" s="26"/>
      <c r="B131" s="26"/>
      <c r="C131" s="27"/>
      <c r="D131" s="30">
        <v>62</v>
      </c>
      <c r="E131" s="25"/>
      <c r="F131" s="25"/>
      <c r="G131" s="25"/>
      <c r="H131" s="25"/>
    </row>
    <row r="132" spans="1:8" ht="15.75" customHeight="1">
      <c r="A132" s="26"/>
      <c r="B132" s="26"/>
      <c r="C132" s="27"/>
      <c r="D132" s="31">
        <v>63</v>
      </c>
      <c r="E132" s="25"/>
      <c r="F132" s="25"/>
      <c r="G132" s="25"/>
      <c r="H132" s="25"/>
    </row>
    <row r="133" spans="1:8" ht="15.75" customHeight="1">
      <c r="A133" s="26"/>
      <c r="B133" s="26"/>
      <c r="C133" s="27"/>
      <c r="D133" s="29">
        <v>64</v>
      </c>
      <c r="E133" s="25"/>
      <c r="F133" s="25"/>
      <c r="G133" s="25"/>
      <c r="H133" s="25"/>
    </row>
    <row r="134" spans="1:8" ht="15.75" customHeight="1">
      <c r="A134" s="26"/>
      <c r="B134" s="26"/>
      <c r="C134" s="32"/>
      <c r="D134" s="29" t="s">
        <v>34</v>
      </c>
      <c r="E134" s="25"/>
      <c r="F134" s="25"/>
      <c r="G134" s="25"/>
      <c r="H134" s="25"/>
    </row>
    <row r="135" spans="1:8" ht="15.75" customHeight="1">
      <c r="A135" s="23" t="s">
        <v>35</v>
      </c>
      <c r="B135" s="27"/>
      <c r="C135" s="26">
        <v>2</v>
      </c>
      <c r="D135" s="15">
        <v>17</v>
      </c>
      <c r="E135" s="25"/>
      <c r="F135" s="25"/>
      <c r="G135" s="25"/>
      <c r="H135" s="25"/>
    </row>
    <row r="136" spans="1:8" ht="15.75" customHeight="1">
      <c r="A136" s="26"/>
      <c r="B136" s="27"/>
      <c r="C136" s="26"/>
      <c r="D136" s="9">
        <v>18</v>
      </c>
      <c r="E136" s="25"/>
      <c r="F136" s="25"/>
      <c r="G136" s="25"/>
      <c r="H136" s="25"/>
    </row>
    <row r="137" spans="1:8" ht="15.75" customHeight="1">
      <c r="A137" s="26"/>
      <c r="B137" s="27"/>
      <c r="C137" s="26"/>
      <c r="D137" s="10">
        <v>19</v>
      </c>
      <c r="E137" s="25"/>
      <c r="F137" s="25"/>
      <c r="G137" s="25"/>
      <c r="H137" s="25"/>
    </row>
    <row r="138" spans="1:8" ht="15.75" customHeight="1">
      <c r="A138" s="26"/>
      <c r="B138" s="27"/>
      <c r="C138" s="26"/>
      <c r="D138" s="10">
        <v>20</v>
      </c>
      <c r="E138" s="25"/>
      <c r="F138" s="25"/>
      <c r="G138" s="25"/>
      <c r="H138" s="25"/>
    </row>
    <row r="139" spans="1:8" ht="15.75" customHeight="1">
      <c r="A139" s="26"/>
      <c r="B139" s="27"/>
      <c r="C139" s="26"/>
      <c r="D139" s="10">
        <v>21</v>
      </c>
      <c r="E139" s="25"/>
      <c r="F139" s="25"/>
      <c r="G139" s="25"/>
      <c r="H139" s="25"/>
    </row>
    <row r="140" spans="1:8" ht="15.75" customHeight="1">
      <c r="A140" s="26"/>
      <c r="B140" s="27"/>
      <c r="C140" s="28"/>
      <c r="D140" s="10">
        <v>22</v>
      </c>
      <c r="E140" s="25"/>
      <c r="F140" s="25"/>
      <c r="G140" s="25"/>
      <c r="H140" s="25"/>
    </row>
    <row r="141" spans="1:8" ht="15.75" customHeight="1">
      <c r="A141" s="26"/>
      <c r="B141" s="27"/>
      <c r="C141" s="23">
        <v>1</v>
      </c>
      <c r="D141" s="10">
        <v>70</v>
      </c>
      <c r="E141" s="25"/>
      <c r="F141" s="25"/>
      <c r="G141" s="25"/>
      <c r="H141" s="25"/>
    </row>
    <row r="142" spans="1:8" ht="15.75" customHeight="1">
      <c r="A142" s="26"/>
      <c r="B142" s="27"/>
      <c r="C142" s="26"/>
      <c r="D142" s="15">
        <v>71</v>
      </c>
      <c r="E142" s="25"/>
      <c r="F142" s="25"/>
      <c r="G142" s="25"/>
      <c r="H142" s="25"/>
    </row>
    <row r="143" spans="1:8" ht="15.75" customHeight="1">
      <c r="A143" s="26"/>
      <c r="B143" s="27"/>
      <c r="C143" s="26"/>
      <c r="D143" s="9">
        <v>72</v>
      </c>
      <c r="E143" s="25"/>
      <c r="F143" s="25"/>
      <c r="G143" s="25"/>
      <c r="H143" s="25"/>
    </row>
    <row r="144" spans="1:8" ht="15.75" customHeight="1">
      <c r="A144" s="26"/>
      <c r="B144" s="27"/>
      <c r="C144" s="26"/>
      <c r="D144" s="10">
        <v>73</v>
      </c>
      <c r="E144" s="25"/>
      <c r="F144" s="25"/>
      <c r="G144" s="25"/>
      <c r="H144" s="25"/>
    </row>
    <row r="145" spans="1:8" ht="15.75" customHeight="1">
      <c r="A145" s="26"/>
      <c r="B145" s="27"/>
      <c r="C145" s="26"/>
      <c r="D145" s="10">
        <v>74</v>
      </c>
      <c r="E145" s="25"/>
      <c r="F145" s="25"/>
      <c r="G145" s="25"/>
      <c r="H145" s="25"/>
    </row>
    <row r="146" spans="1:8" ht="15.75" customHeight="1">
      <c r="A146" s="26"/>
      <c r="B146" s="27"/>
      <c r="C146" s="28"/>
      <c r="D146" s="10">
        <v>75</v>
      </c>
      <c r="E146" s="25"/>
      <c r="F146" s="25"/>
      <c r="G146" s="25"/>
      <c r="H146" s="25"/>
    </row>
    <row r="147" spans="1:8" ht="15.75" customHeight="1">
      <c r="A147" s="26"/>
      <c r="B147" s="27"/>
      <c r="C147" s="23">
        <v>3</v>
      </c>
      <c r="D147" s="10">
        <v>33</v>
      </c>
      <c r="E147" s="25"/>
      <c r="F147" s="25"/>
      <c r="G147" s="25"/>
      <c r="H147" s="25"/>
    </row>
    <row r="148" spans="1:8" ht="15.75" customHeight="1">
      <c r="A148" s="26"/>
      <c r="B148" s="27"/>
      <c r="C148" s="26"/>
      <c r="D148" s="10">
        <v>34</v>
      </c>
      <c r="E148" s="25"/>
      <c r="F148" s="25"/>
      <c r="G148" s="25"/>
      <c r="H148" s="25"/>
    </row>
    <row r="149" spans="1:8" ht="15.75" customHeight="1">
      <c r="A149" s="26"/>
      <c r="B149" s="27"/>
      <c r="C149" s="26"/>
      <c r="D149" s="15">
        <v>35</v>
      </c>
      <c r="E149" s="25"/>
      <c r="F149" s="25"/>
      <c r="G149" s="25"/>
      <c r="H149" s="25"/>
    </row>
    <row r="150" spans="1:8" ht="15.75" customHeight="1">
      <c r="A150" s="26"/>
      <c r="B150" s="27"/>
      <c r="C150" s="26"/>
      <c r="D150" s="9">
        <v>36</v>
      </c>
      <c r="E150" s="25"/>
      <c r="F150" s="25"/>
      <c r="G150" s="25"/>
      <c r="H150" s="25"/>
    </row>
    <row r="151" spans="1:8" ht="15.75" customHeight="1">
      <c r="A151" s="26"/>
      <c r="B151" s="27"/>
      <c r="C151" s="26"/>
      <c r="D151" s="10">
        <v>37</v>
      </c>
      <c r="E151" s="25"/>
      <c r="F151" s="25"/>
      <c r="G151" s="25"/>
      <c r="H151" s="25"/>
    </row>
    <row r="152" spans="1:8" ht="15.75" customHeight="1">
      <c r="A152" s="26"/>
      <c r="B152" s="27"/>
      <c r="C152" s="28"/>
      <c r="D152" s="10">
        <v>38</v>
      </c>
      <c r="E152" s="25"/>
      <c r="F152" s="25"/>
      <c r="G152" s="25"/>
      <c r="H152" s="25"/>
    </row>
    <row r="153" spans="1:8" ht="15.75" customHeight="1">
      <c r="A153" s="5"/>
      <c r="B153" s="6" t="s">
        <v>10</v>
      </c>
      <c r="C153" s="4">
        <v>6</v>
      </c>
      <c r="D153" s="10">
        <v>118</v>
      </c>
      <c r="E153" s="10"/>
      <c r="F153" s="10"/>
      <c r="G153" s="10"/>
      <c r="H153" s="10"/>
    </row>
    <row r="154" spans="1:8" ht="15.75" customHeight="1">
      <c r="A154" s="5"/>
      <c r="B154" s="6"/>
      <c r="C154" s="4"/>
      <c r="D154" s="10">
        <v>119</v>
      </c>
      <c r="E154" s="10"/>
      <c r="F154" s="10"/>
      <c r="G154" s="10"/>
      <c r="H154" s="10"/>
    </row>
    <row r="155" spans="1:8" ht="15.75" customHeight="1">
      <c r="A155" s="5"/>
      <c r="B155" s="6"/>
      <c r="C155" s="4"/>
      <c r="D155" s="10">
        <v>120</v>
      </c>
      <c r="E155" s="10"/>
      <c r="F155" s="10"/>
      <c r="G155" s="10"/>
      <c r="H155" s="10"/>
    </row>
    <row r="156" spans="1:8" ht="15.75" customHeight="1">
      <c r="A156" s="5"/>
      <c r="B156" s="6"/>
      <c r="C156" s="4"/>
      <c r="D156" s="15">
        <v>121</v>
      </c>
      <c r="E156" s="10"/>
      <c r="F156" s="10"/>
      <c r="G156" s="10"/>
      <c r="H156" s="10"/>
    </row>
    <row r="157" spans="1:8" ht="15.75" customHeight="1">
      <c r="A157" s="5"/>
      <c r="B157" s="6"/>
      <c r="C157" s="33"/>
      <c r="D157" s="9">
        <v>123</v>
      </c>
      <c r="E157" s="10"/>
      <c r="F157" s="10"/>
      <c r="G157" s="10"/>
      <c r="H157" s="10"/>
    </row>
    <row r="158" spans="1:8" ht="15.75" customHeight="1">
      <c r="A158" s="5"/>
      <c r="B158" s="6"/>
      <c r="C158" s="34">
        <v>5</v>
      </c>
      <c r="D158" s="9">
        <v>124</v>
      </c>
      <c r="E158" s="10"/>
      <c r="F158" s="10"/>
      <c r="G158" s="10"/>
      <c r="H158" s="10"/>
    </row>
    <row r="159" spans="1:8" ht="15.75" customHeight="1">
      <c r="A159" s="5"/>
      <c r="B159" s="6"/>
      <c r="C159" s="4"/>
      <c r="D159" s="10">
        <v>125</v>
      </c>
      <c r="E159" s="10"/>
      <c r="F159" s="10"/>
      <c r="G159" s="10"/>
      <c r="H159" s="10"/>
    </row>
    <row r="160" spans="1:8" ht="15.75" customHeight="1">
      <c r="A160" s="5"/>
      <c r="B160" s="6"/>
      <c r="C160" s="4"/>
      <c r="D160" s="10">
        <v>126</v>
      </c>
      <c r="E160" s="10"/>
      <c r="F160" s="10"/>
      <c r="G160" s="10"/>
      <c r="H160" s="10"/>
    </row>
    <row r="161" spans="1:8" ht="15.75" customHeight="1">
      <c r="A161" s="5"/>
      <c r="B161" s="6"/>
      <c r="C161" s="4"/>
      <c r="D161" s="10">
        <v>127</v>
      </c>
      <c r="E161" s="10"/>
      <c r="F161" s="10"/>
      <c r="G161" s="10"/>
      <c r="H161" s="10"/>
    </row>
    <row r="162" spans="1:8" ht="15.75" customHeight="1">
      <c r="A162" s="5"/>
      <c r="B162" s="6"/>
      <c r="C162" s="33"/>
      <c r="D162" s="15">
        <v>128</v>
      </c>
      <c r="E162" s="10"/>
      <c r="F162" s="10"/>
      <c r="G162" s="10"/>
      <c r="H162" s="10"/>
    </row>
    <row r="163" spans="1:8" ht="15.75" customHeight="1">
      <c r="A163" s="5"/>
      <c r="B163" s="6"/>
      <c r="C163" s="34">
        <v>4</v>
      </c>
      <c r="D163" s="10">
        <v>129</v>
      </c>
      <c r="E163" s="10"/>
      <c r="F163" s="10"/>
      <c r="G163" s="10"/>
      <c r="H163" s="10"/>
    </row>
    <row r="164" spans="1:8" ht="15.75" customHeight="1">
      <c r="A164" s="5"/>
      <c r="B164" s="6"/>
      <c r="C164" s="4"/>
      <c r="D164" s="10">
        <v>130</v>
      </c>
      <c r="E164" s="10"/>
      <c r="F164" s="10"/>
      <c r="G164" s="10"/>
      <c r="H164" s="10"/>
    </row>
    <row r="165" spans="1:8" ht="15.75" customHeight="1">
      <c r="A165" s="5"/>
      <c r="B165" s="6"/>
      <c r="C165" s="4"/>
      <c r="D165" s="10">
        <v>131</v>
      </c>
      <c r="E165" s="10"/>
      <c r="F165" s="10"/>
      <c r="G165" s="10"/>
      <c r="H165" s="10"/>
    </row>
    <row r="166" spans="1:8" ht="15.75" customHeight="1">
      <c r="A166" s="5"/>
      <c r="B166" s="6"/>
      <c r="C166" s="4"/>
      <c r="D166" s="10">
        <v>132</v>
      </c>
      <c r="E166" s="10"/>
      <c r="F166" s="10"/>
      <c r="G166" s="10"/>
      <c r="H166" s="10"/>
    </row>
    <row r="167" spans="1:8" ht="15.75" customHeight="1">
      <c r="A167" s="17"/>
      <c r="B167" s="6"/>
      <c r="C167" s="4"/>
      <c r="D167" s="10">
        <v>133</v>
      </c>
      <c r="E167" s="10"/>
      <c r="F167" s="10"/>
      <c r="G167" s="10"/>
      <c r="H167" s="10"/>
    </row>
    <row r="168" spans="1:8" ht="15.75" customHeight="1">
      <c r="A168" s="23" t="s">
        <v>36</v>
      </c>
      <c r="B168" s="27"/>
      <c r="C168" s="23">
        <v>4</v>
      </c>
      <c r="D168" s="15">
        <v>23</v>
      </c>
      <c r="E168" s="25"/>
      <c r="F168" s="25"/>
      <c r="G168" s="25"/>
      <c r="H168" s="25"/>
    </row>
    <row r="169" spans="1:8" ht="15.75" customHeight="1">
      <c r="A169" s="26"/>
      <c r="B169" s="27"/>
      <c r="C169" s="26"/>
      <c r="D169" s="9">
        <v>24</v>
      </c>
      <c r="E169" s="25"/>
      <c r="F169" s="25"/>
      <c r="G169" s="25"/>
      <c r="H169" s="25"/>
    </row>
    <row r="170" spans="1:8" ht="15.75" customHeight="1">
      <c r="A170" s="26"/>
      <c r="B170" s="27"/>
      <c r="C170" s="26"/>
      <c r="D170" s="10">
        <v>25</v>
      </c>
      <c r="E170" s="25"/>
      <c r="F170" s="25"/>
      <c r="G170" s="25"/>
      <c r="H170" s="25"/>
    </row>
    <row r="171" spans="1:8" ht="15.75" customHeight="1">
      <c r="A171" s="26"/>
      <c r="B171" s="27"/>
      <c r="C171" s="26"/>
      <c r="D171" s="10">
        <v>26</v>
      </c>
      <c r="E171" s="25"/>
      <c r="F171" s="25"/>
      <c r="G171" s="25"/>
      <c r="H171" s="25"/>
    </row>
    <row r="172" spans="1:8" ht="15.75" customHeight="1">
      <c r="A172" s="26"/>
      <c r="B172" s="27"/>
      <c r="C172" s="26"/>
      <c r="D172" s="10">
        <v>27</v>
      </c>
      <c r="E172" s="25"/>
      <c r="F172" s="25"/>
      <c r="G172" s="25"/>
      <c r="H172" s="25"/>
    </row>
    <row r="173" spans="1:8" ht="15.75" customHeight="1">
      <c r="A173" s="26"/>
      <c r="B173" s="27"/>
      <c r="C173" s="23">
        <v>2</v>
      </c>
      <c r="D173" s="10">
        <v>28</v>
      </c>
      <c r="E173" s="25"/>
      <c r="F173" s="25"/>
      <c r="G173" s="25"/>
      <c r="H173" s="25"/>
    </row>
    <row r="174" spans="1:8" ht="15.75" customHeight="1">
      <c r="A174" s="26"/>
      <c r="B174" s="27"/>
      <c r="C174" s="26"/>
      <c r="D174" s="15">
        <v>29</v>
      </c>
      <c r="E174" s="25"/>
      <c r="F174" s="25"/>
      <c r="G174" s="25"/>
      <c r="H174" s="25"/>
    </row>
    <row r="175" spans="1:8" ht="15.75" customHeight="1">
      <c r="A175" s="26"/>
      <c r="B175" s="27"/>
      <c r="C175" s="26"/>
      <c r="D175" s="9">
        <v>30</v>
      </c>
      <c r="E175" s="25"/>
      <c r="F175" s="25"/>
      <c r="G175" s="25"/>
      <c r="H175" s="25"/>
    </row>
    <row r="176" spans="1:8" ht="15.75" customHeight="1">
      <c r="A176" s="26"/>
      <c r="B176" s="27"/>
      <c r="C176" s="26"/>
      <c r="D176" s="10">
        <v>31</v>
      </c>
      <c r="E176" s="25"/>
      <c r="F176" s="25"/>
      <c r="G176" s="25"/>
      <c r="H176" s="25"/>
    </row>
    <row r="177" spans="1:8" ht="15.75" customHeight="1">
      <c r="A177" s="26"/>
      <c r="B177" s="27"/>
      <c r="C177" s="28"/>
      <c r="D177" s="10">
        <v>32</v>
      </c>
      <c r="E177" s="25"/>
      <c r="F177" s="25"/>
      <c r="G177" s="25"/>
      <c r="H177" s="25"/>
    </row>
    <row r="178" spans="1:8" ht="15.75" customHeight="1">
      <c r="A178" s="26"/>
      <c r="B178" s="27"/>
      <c r="C178" s="23">
        <v>3</v>
      </c>
      <c r="D178" s="10">
        <v>39</v>
      </c>
      <c r="E178" s="25"/>
      <c r="F178" s="25"/>
      <c r="G178" s="25"/>
      <c r="H178" s="25"/>
    </row>
    <row r="179" spans="1:8" ht="15.75" customHeight="1">
      <c r="A179" s="26"/>
      <c r="B179" s="27"/>
      <c r="C179" s="26"/>
      <c r="D179" s="10">
        <v>40</v>
      </c>
      <c r="E179" s="25"/>
      <c r="F179" s="25"/>
      <c r="G179" s="25"/>
      <c r="H179" s="25"/>
    </row>
    <row r="180" spans="1:8" ht="15.75" customHeight="1">
      <c r="A180" s="26"/>
      <c r="B180" s="27"/>
      <c r="C180" s="26"/>
      <c r="D180" s="15">
        <v>41</v>
      </c>
      <c r="E180" s="25"/>
      <c r="F180" s="25"/>
      <c r="G180" s="25"/>
      <c r="H180" s="25"/>
    </row>
    <row r="181" spans="1:8" ht="15.75" customHeight="1">
      <c r="A181" s="26"/>
      <c r="B181" s="27"/>
      <c r="C181" s="26"/>
      <c r="D181" s="9">
        <v>42</v>
      </c>
      <c r="E181" s="25"/>
      <c r="F181" s="25"/>
      <c r="G181" s="25"/>
      <c r="H181" s="25"/>
    </row>
    <row r="182" spans="1:8" ht="15.75" customHeight="1">
      <c r="A182" s="26"/>
      <c r="B182" s="27"/>
      <c r="C182" s="28"/>
      <c r="D182" s="10">
        <v>43</v>
      </c>
      <c r="E182" s="25"/>
      <c r="F182" s="25"/>
      <c r="G182" s="25"/>
      <c r="H182" s="25"/>
    </row>
    <row r="183" spans="1:8" ht="15.75" customHeight="1">
      <c r="A183" s="26"/>
      <c r="B183" s="27"/>
      <c r="C183" s="23">
        <v>1</v>
      </c>
      <c r="D183" s="10">
        <v>12</v>
      </c>
      <c r="E183" s="25"/>
      <c r="F183" s="25"/>
      <c r="G183" s="25"/>
      <c r="H183" s="25"/>
    </row>
    <row r="184" spans="1:8" ht="15.75" customHeight="1">
      <c r="A184" s="26"/>
      <c r="B184" s="27"/>
      <c r="C184" s="26"/>
      <c r="D184" s="10">
        <v>13</v>
      </c>
      <c r="E184" s="25"/>
      <c r="F184" s="25"/>
      <c r="G184" s="25"/>
      <c r="H184" s="25"/>
    </row>
    <row r="185" spans="1:8" ht="15.75" customHeight="1">
      <c r="A185" s="26"/>
      <c r="B185" s="27"/>
      <c r="C185" s="26"/>
      <c r="D185" s="10">
        <v>14</v>
      </c>
      <c r="E185" s="25"/>
      <c r="F185" s="25"/>
      <c r="G185" s="25"/>
      <c r="H185" s="25"/>
    </row>
    <row r="186" spans="1:8" ht="15.75" customHeight="1">
      <c r="A186" s="26"/>
      <c r="B186" s="27"/>
      <c r="C186" s="26"/>
      <c r="D186" s="15">
        <v>15</v>
      </c>
      <c r="E186" s="25"/>
      <c r="F186" s="25"/>
      <c r="G186" s="25"/>
      <c r="H186" s="25"/>
    </row>
    <row r="187" spans="1:8" ht="15.75" customHeight="1">
      <c r="A187" s="26"/>
      <c r="B187" s="27"/>
      <c r="C187" s="28"/>
      <c r="D187" s="9">
        <v>16</v>
      </c>
      <c r="E187" s="25"/>
      <c r="F187" s="25"/>
      <c r="G187" s="25"/>
      <c r="H187" s="25"/>
    </row>
    <row r="188" spans="1:8" ht="15.75" customHeight="1">
      <c r="A188" s="5"/>
      <c r="B188" s="6" t="s">
        <v>10</v>
      </c>
      <c r="C188" s="4">
        <v>8</v>
      </c>
      <c r="D188" s="9">
        <v>98</v>
      </c>
      <c r="E188" s="10"/>
      <c r="F188" s="10"/>
      <c r="G188" s="10"/>
      <c r="H188" s="10"/>
    </row>
    <row r="189" spans="1:8" ht="15.75" customHeight="1">
      <c r="A189" s="5"/>
      <c r="B189" s="6"/>
      <c r="C189" s="4"/>
      <c r="D189" s="10">
        <v>99</v>
      </c>
      <c r="E189" s="10"/>
      <c r="F189" s="10"/>
      <c r="G189" s="10"/>
      <c r="H189" s="10"/>
    </row>
    <row r="190" spans="1:8" ht="15.75" customHeight="1">
      <c r="A190" s="5"/>
      <c r="B190" s="6"/>
      <c r="C190" s="4"/>
      <c r="D190" s="10">
        <v>100</v>
      </c>
      <c r="E190" s="10"/>
      <c r="F190" s="10"/>
      <c r="G190" s="10"/>
      <c r="H190" s="10"/>
    </row>
    <row r="191" spans="1:8" ht="15.75" customHeight="1">
      <c r="A191" s="5"/>
      <c r="B191" s="6"/>
      <c r="C191" s="4"/>
      <c r="D191" s="10">
        <v>101</v>
      </c>
      <c r="E191" s="10"/>
      <c r="F191" s="10"/>
      <c r="G191" s="10"/>
      <c r="H191" s="10"/>
    </row>
    <row r="192" spans="1:8" ht="15.75" customHeight="1">
      <c r="A192" s="5"/>
      <c r="B192" s="6"/>
      <c r="C192" s="33"/>
      <c r="D192" s="15">
        <v>102</v>
      </c>
      <c r="E192" s="10"/>
      <c r="F192" s="10"/>
      <c r="G192" s="10"/>
      <c r="H192" s="10"/>
    </row>
    <row r="193" spans="1:8" ht="15.75" customHeight="1">
      <c r="A193" s="5"/>
      <c r="B193" s="6"/>
      <c r="C193" s="34">
        <v>7</v>
      </c>
      <c r="D193" s="10">
        <v>103</v>
      </c>
      <c r="E193" s="10"/>
      <c r="F193" s="10"/>
      <c r="G193" s="10"/>
      <c r="H193" s="10"/>
    </row>
    <row r="194" spans="1:8" ht="15.75" customHeight="1">
      <c r="A194" s="5"/>
      <c r="B194" s="6"/>
      <c r="C194" s="4"/>
      <c r="D194" s="10">
        <v>104</v>
      </c>
      <c r="E194" s="10"/>
      <c r="F194" s="10"/>
      <c r="G194" s="10"/>
      <c r="H194" s="10"/>
    </row>
    <row r="195" spans="1:8" ht="15.75" customHeight="1">
      <c r="A195" s="5"/>
      <c r="B195" s="6"/>
      <c r="C195" s="4"/>
      <c r="D195" s="10">
        <v>105</v>
      </c>
      <c r="E195" s="10"/>
      <c r="F195" s="10"/>
      <c r="G195" s="10"/>
      <c r="H195" s="10"/>
    </row>
    <row r="196" spans="1:8" ht="15.75" customHeight="1">
      <c r="A196" s="5"/>
      <c r="B196" s="6"/>
      <c r="C196" s="4"/>
      <c r="D196" s="10">
        <v>106</v>
      </c>
      <c r="E196" s="10"/>
      <c r="F196" s="10"/>
      <c r="G196" s="10"/>
      <c r="H196" s="10"/>
    </row>
    <row r="197" spans="1:8" ht="15.75" customHeight="1">
      <c r="A197" s="5"/>
      <c r="B197" s="6"/>
      <c r="C197" s="33"/>
      <c r="D197" s="10">
        <v>107</v>
      </c>
      <c r="E197" s="10"/>
      <c r="F197" s="10"/>
      <c r="G197" s="10"/>
      <c r="H197" s="10"/>
    </row>
    <row r="198" spans="1:8" ht="15.75" customHeight="1">
      <c r="A198" s="5"/>
      <c r="B198" s="6"/>
      <c r="C198" s="34">
        <v>6</v>
      </c>
      <c r="D198" s="10">
        <v>108</v>
      </c>
      <c r="E198" s="10"/>
      <c r="F198" s="10"/>
      <c r="G198" s="10"/>
      <c r="H198" s="10"/>
    </row>
    <row r="199" spans="1:8" ht="15.75" customHeight="1">
      <c r="A199" s="5"/>
      <c r="B199" s="6"/>
      <c r="C199" s="4"/>
      <c r="D199" s="10">
        <v>109</v>
      </c>
      <c r="E199" s="10"/>
      <c r="F199" s="10"/>
      <c r="G199" s="10"/>
      <c r="H199" s="10"/>
    </row>
    <row r="200" spans="1:8" ht="15.75" customHeight="1">
      <c r="A200" s="5"/>
      <c r="B200" s="6"/>
      <c r="C200" s="4"/>
      <c r="D200" s="10">
        <v>110</v>
      </c>
      <c r="E200" s="10"/>
      <c r="F200" s="10"/>
      <c r="G200" s="10"/>
      <c r="H200" s="10"/>
    </row>
    <row r="201" spans="1:8" ht="15.75" customHeight="1">
      <c r="A201" s="5"/>
      <c r="B201" s="6"/>
      <c r="C201" s="4"/>
      <c r="D201" s="10">
        <v>111</v>
      </c>
      <c r="E201" s="10"/>
      <c r="F201" s="10"/>
      <c r="G201" s="10"/>
      <c r="H201" s="10"/>
    </row>
    <row r="202" spans="1:8" ht="15.75" customHeight="1">
      <c r="A202" s="5"/>
      <c r="B202" s="6"/>
      <c r="C202" s="33"/>
      <c r="D202" s="10">
        <v>112</v>
      </c>
      <c r="E202" s="10"/>
      <c r="F202" s="10"/>
      <c r="G202" s="10"/>
      <c r="H202" s="10"/>
    </row>
    <row r="203" spans="1:8" ht="15.75" customHeight="1">
      <c r="A203" s="5"/>
      <c r="B203" s="6"/>
      <c r="C203" s="34">
        <v>5</v>
      </c>
      <c r="D203" s="10">
        <v>113</v>
      </c>
      <c r="E203" s="10"/>
      <c r="F203" s="10"/>
      <c r="G203" s="10"/>
      <c r="H203" s="10"/>
    </row>
    <row r="204" spans="1:8" ht="15.75" customHeight="1">
      <c r="A204" s="5"/>
      <c r="B204" s="6"/>
      <c r="C204" s="4"/>
      <c r="D204" s="10">
        <v>114</v>
      </c>
      <c r="E204" s="10"/>
      <c r="F204" s="10"/>
      <c r="G204" s="10"/>
      <c r="H204" s="10"/>
    </row>
    <row r="205" spans="1:8" ht="15.75" customHeight="1">
      <c r="A205" s="5"/>
      <c r="B205" s="6"/>
      <c r="C205" s="4"/>
      <c r="D205" s="10">
        <v>115</v>
      </c>
      <c r="E205" s="10"/>
      <c r="F205" s="10"/>
      <c r="G205" s="10"/>
      <c r="H205" s="10"/>
    </row>
    <row r="206" spans="1:8" ht="15.75" customHeight="1">
      <c r="A206" s="5"/>
      <c r="B206" s="6"/>
      <c r="C206" s="4"/>
      <c r="D206" s="10">
        <v>116</v>
      </c>
      <c r="E206" s="10"/>
      <c r="F206" s="10"/>
      <c r="G206" s="10"/>
      <c r="H206" s="10"/>
    </row>
    <row r="207" spans="1:8" ht="15.75" customHeight="1">
      <c r="A207" s="17"/>
      <c r="B207" s="8"/>
      <c r="C207" s="33"/>
      <c r="D207" s="10">
        <v>117</v>
      </c>
      <c r="E207" s="10"/>
      <c r="F207" s="10"/>
      <c r="G207" s="10"/>
      <c r="H207" s="10"/>
    </row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53125" defaultRowHeight="15" customHeight="1"/>
  <cols>
    <col min="1" max="2" width="8.7265625" customWidth="1"/>
    <col min="3" max="3" width="10.26953125" customWidth="1"/>
    <col min="4" max="5" width="8.7265625" customWidth="1"/>
    <col min="6" max="6" width="12.453125" customWidth="1"/>
    <col min="7" max="7" width="8.7265625" customWidth="1"/>
    <col min="8" max="8" width="13.81640625" customWidth="1"/>
    <col min="9" max="12" width="8.7265625" customWidth="1"/>
    <col min="13" max="24" width="14" customWidth="1"/>
  </cols>
  <sheetData>
    <row r="1" spans="1:18" ht="38.25" customHeight="1">
      <c r="A1" s="35" t="s">
        <v>37</v>
      </c>
      <c r="B1" s="35"/>
    </row>
    <row r="2" spans="1:18" ht="14.5">
      <c r="A2" s="36" t="s">
        <v>38</v>
      </c>
      <c r="B2" s="37" t="s">
        <v>39</v>
      </c>
      <c r="C2" s="37" t="s">
        <v>40</v>
      </c>
      <c r="D2" s="37" t="s">
        <v>3</v>
      </c>
      <c r="E2" s="38" t="s">
        <v>41</v>
      </c>
      <c r="F2" s="39" t="s">
        <v>42</v>
      </c>
      <c r="O2" s="4" t="s">
        <v>43</v>
      </c>
      <c r="P2" s="4" t="s">
        <v>44</v>
      </c>
    </row>
    <row r="3" spans="1:18" ht="14.5">
      <c r="A3" s="6" t="s">
        <v>9</v>
      </c>
      <c r="B3" s="6">
        <v>1</v>
      </c>
      <c r="C3" s="6">
        <v>3</v>
      </c>
      <c r="D3" s="40">
        <v>1</v>
      </c>
      <c r="E3" s="41" t="str">
        <f>IF(COUNTIF('Sl suberinskabe'!$A$5:$A$84, $D3) &gt; 0,"sub",IF(COUNTIF('Sl hito+suberinskabe'!$A$5:$A$78, $D3) &gt; 0,"hito_sub",""))</f>
        <v>hito_sub</v>
      </c>
      <c r="F3" s="41" t="str">
        <f>IF(COUNTIF('ūd. sorbcija Sl'!$C$3:$C$43, $D3) &gt; 0, "ūdens sorbc",IF(COUNTIF(spiedei!$C$2:$C$41, $D3) &gt; 0, "spiede", IF(COUNTIF(higro!$C$5:$C$18, $D3) &gt; 0, "higroskopija",IF(COUNTIF(higro!$C$31:$C$45, $D3) &gt; 0, "higroskopija",IF(COUNTIF(Komp!$A$2:$A$13, $D3) &gt; 0, "komposts","")))))</f>
        <v>spiede</v>
      </c>
      <c r="N3" s="42" t="s">
        <v>45</v>
      </c>
      <c r="O3" s="4">
        <v>5</v>
      </c>
      <c r="P3" s="4">
        <v>5</v>
      </c>
    </row>
    <row r="4" spans="1:18" ht="14.5">
      <c r="A4" s="6"/>
      <c r="B4" s="6"/>
      <c r="C4" s="6"/>
      <c r="D4" s="43">
        <v>2</v>
      </c>
      <c r="E4" s="41" t="str">
        <f>IF(COUNTIF('Sl suberinskabe'!$A$5:$A$84, $D4) &gt; 0,"sub",IF(COUNTIF('Sl hito+suberinskabe'!$A$5:$A$78, $D4) &gt; 0,"hito_sub",""))</f>
        <v>hito_sub</v>
      </c>
      <c r="F4" s="41" t="str">
        <f>IF(COUNTIF('ūd. sorbcija Sl'!$C$3:$C$43, $D4) &gt; 0, "ūdens sorbc",IF(COUNTIF(spiedei!$C$2:$C$41, $D4) &gt; 0, "spiede", IF(COUNTIF(higro!$C$5:$C$18, $D4) &gt; 0, "higroskopija",IF(COUNTIF(higro!$C$31:$C$45, $D4) &gt; 0, "higroskopija",IF(COUNTIF(Komp!$A$2:$A$13, $D4) &gt; 0, "komposts","")))))</f>
        <v>ūdens sorbc</v>
      </c>
      <c r="N4" s="44" t="s">
        <v>46</v>
      </c>
      <c r="O4" s="4">
        <v>5</v>
      </c>
      <c r="P4" s="4">
        <v>5</v>
      </c>
    </row>
    <row r="5" spans="1:18" ht="14.5">
      <c r="A5" s="6"/>
      <c r="B5" s="6"/>
      <c r="C5" s="6"/>
      <c r="D5" s="45">
        <v>3</v>
      </c>
      <c r="E5" s="41" t="str">
        <f>IF(COUNTIF('Sl suberinskabe'!$A$5:$A$84, $D5) &gt; 0,"sub",IF(COUNTIF('Sl hito+suberinskabe'!$A$5:$A$78, $D5) &gt; 0,"hito_sub",""))</f>
        <v>sub</v>
      </c>
      <c r="F5" s="41" t="str">
        <f>IF(COUNTIF('ūd. sorbcija Sl'!$C$3:$C$43, $D5) &gt; 0, "ūdens sorbc",IF(COUNTIF(spiedei!$C$2:$C$41, $D5) &gt; 0, "spiede", IF(COUNTIF(higro!$C$5:$C$18, $D5) &gt; 0, "higroskopija",IF(COUNTIF(higro!$C$31:$C$45, $D5) &gt; 0, "higroskopija",IF(COUNTIF(Komp!$A$2:$A$13, $D5) &gt; 0, "komposts","")))))</f>
        <v>spiede</v>
      </c>
      <c r="N5" s="46" t="s">
        <v>47</v>
      </c>
      <c r="O5" s="10">
        <v>3</v>
      </c>
      <c r="P5" s="10">
        <v>3</v>
      </c>
    </row>
    <row r="6" spans="1:18" ht="14.5">
      <c r="A6" s="6"/>
      <c r="B6" s="6"/>
      <c r="C6" s="6"/>
      <c r="D6" s="47">
        <v>4</v>
      </c>
      <c r="E6" s="41" t="str">
        <f>IF(COUNTIF('Sl suberinskabe'!$A$5:$A$84, $D6) &gt; 0,"sub",IF(COUNTIF('Sl hito+suberinskabe'!$A$5:$A$78, $D6) &gt; 0,"hito_sub",""))</f>
        <v>sub</v>
      </c>
      <c r="F6" s="41" t="str">
        <f>IF(COUNTIF('ūd. sorbcija Sl'!$C$3:$C$43, $D6) &gt; 0, "ūdens sorbc",IF(COUNTIF(spiedei!$C$2:$C$41, $D6) &gt; 0, "spiede", IF(COUNTIF(higro!$C$5:$C$18, $D6) &gt; 0, "higroskopija",IF(COUNTIF(higro!$C$31:$C$45, $D6) &gt; 0, "higroskopija",IF(COUNTIF(Komp!$A$2:$A$13, $D6) &gt; 0, "komposts","")))))</f>
        <v>komposts</v>
      </c>
      <c r="N6" s="48" t="s">
        <v>48</v>
      </c>
      <c r="O6" s="4">
        <v>3</v>
      </c>
      <c r="P6" s="4">
        <v>3</v>
      </c>
      <c r="Q6" s="4" t="s">
        <v>49</v>
      </c>
    </row>
    <row r="7" spans="1:18" ht="14.5">
      <c r="A7" s="6"/>
      <c r="B7" s="6"/>
      <c r="C7" s="8"/>
      <c r="D7" s="49">
        <v>5</v>
      </c>
      <c r="E7" s="41" t="str">
        <f>IF(COUNTIF('Sl suberinskabe'!$A$5:$A$84, $D7) &gt; 0,"sub",IF(COUNTIF('Sl hito+suberinskabe'!$A$5:$A$78, $D7) &gt; 0,"hito_sub",""))</f>
        <v>hito_sub</v>
      </c>
      <c r="F7" s="41" t="str">
        <f>IF(COUNTIF('ūd. sorbcija Sl'!$C$3:$C$43, $D7) &gt; 0, "ūdens sorbc",IF(COUNTIF(spiedei!$C$2:$C$41, $D7) &gt; 0, "spiede", IF(COUNTIF(higro!$C$5:$C$18, $D7) &gt; 0, "higroskopija",IF(COUNTIF(higro!$C$31:$C$45, $D7) &gt; 0, "higroskopija",IF(COUNTIF(Komp!$A$2:$A$13, $D7) &gt; 0, "komposts","")))))</f>
        <v>higroskopija</v>
      </c>
      <c r="N7" s="50" t="s">
        <v>50</v>
      </c>
      <c r="O7" s="4">
        <v>2</v>
      </c>
      <c r="P7" s="4">
        <v>2</v>
      </c>
      <c r="Q7" s="4" t="s">
        <v>49</v>
      </c>
    </row>
    <row r="8" spans="1:18" ht="14.5">
      <c r="A8" s="6"/>
      <c r="B8" s="6"/>
      <c r="C8" s="13">
        <v>4</v>
      </c>
      <c r="D8" s="43">
        <v>6</v>
      </c>
      <c r="E8" s="41" t="str">
        <f>IF(COUNTIF('Sl suberinskabe'!$A$5:$A$84, $D8) &gt; 0,"sub",IF(COUNTIF('Sl hito+suberinskabe'!$A$5:$A$78, $D8) &gt; 0,"hito_sub",""))</f>
        <v>hito_sub</v>
      </c>
      <c r="F8" s="41" t="str">
        <f>IF(COUNTIF('ūd. sorbcija Sl'!$C$3:$C$43, $D8) &gt; 0, "ūdens sorbc",IF(COUNTIF(spiedei!$C$2:$C$41, $D8) &gt; 0, "spiede", IF(COUNTIF(higro!$C$5:$C$18, $D8) &gt; 0, "higroskopija",IF(COUNTIF(higro!$C$31:$C$45, $D8) &gt; 0, "higroskopija",IF(COUNTIF(Komp!$A$2:$A$13, $D8) &gt; 0, "komposts","")))))</f>
        <v>ūdens sorbc</v>
      </c>
      <c r="N8" s="51" t="s">
        <v>51</v>
      </c>
      <c r="O8" s="4">
        <v>2</v>
      </c>
      <c r="P8" s="4">
        <v>2</v>
      </c>
      <c r="Q8" s="4" t="s">
        <v>49</v>
      </c>
    </row>
    <row r="9" spans="1:18" ht="14.5">
      <c r="A9" s="6"/>
      <c r="B9" s="6"/>
      <c r="C9" s="6"/>
      <c r="D9" s="43">
        <v>7</v>
      </c>
      <c r="E9" s="41" t="str">
        <f>IF(COUNTIF('Sl suberinskabe'!$A$5:$A$84, $D9) &gt; 0,"sub",IF(COUNTIF('Sl hito+suberinskabe'!$A$5:$A$78, $D9) &gt; 0,"hito_sub",""))</f>
        <v>sub</v>
      </c>
      <c r="F9" s="41" t="str">
        <f>IF(COUNTIF('ūd. sorbcija Sl'!$C$3:$C$43, $D9) &gt; 0, "ūdens sorbc",IF(COUNTIF(spiedei!$C$2:$C$41, $D9) &gt; 0, "spiede", IF(COUNTIF(higro!$C$5:$C$18, $D9) &gt; 0, "higroskopija",IF(COUNTIF(higro!$C$31:$C$45, $D9) &gt; 0, "higroskopija",IF(COUNTIF(Komp!$A$2:$A$13, $D9) &gt; 0, "komposts","")))))</f>
        <v>ūdens sorbc</v>
      </c>
      <c r="O9" s="4">
        <v>20</v>
      </c>
      <c r="P9" s="4">
        <v>20</v>
      </c>
    </row>
    <row r="10" spans="1:18" ht="14.5">
      <c r="A10" s="6"/>
      <c r="B10" s="6"/>
      <c r="C10" s="6"/>
      <c r="D10" s="52">
        <v>8</v>
      </c>
      <c r="E10" s="41" t="str">
        <f>IF(COUNTIF('Sl suberinskabe'!$A$5:$A$84, $D10) &gt; 0,"sub",IF(COUNTIF('Sl hito+suberinskabe'!$A$5:$A$78, $D10) &gt; 0,"hito_sub",""))</f>
        <v>sub</v>
      </c>
      <c r="F10" s="41" t="str">
        <f>IF(COUNTIF('ūd. sorbcija Sl'!$C$3:$C$43, $D10) &gt; 0, "ūdens sorbc",IF(COUNTIF(spiedei!$C$2:$C$41, $D10) &gt; 0, "spiede", IF(COUNTIF(higro!$C$5:$C$18, $D10) &gt; 0, "higroskopija",IF(COUNTIF(higro!$C$31:$C$45, $D10) &gt; 0, "higroskopija",IF(COUNTIF(Komp!$A$2:$A$13, $D10) &gt; 0, "komposts","")))))</f>
        <v>komposts</v>
      </c>
    </row>
    <row r="11" spans="1:18" ht="14.5">
      <c r="A11" s="6"/>
      <c r="B11" s="6"/>
      <c r="C11" s="6"/>
      <c r="D11" s="49">
        <v>9</v>
      </c>
      <c r="E11" s="41" t="str">
        <f>IF(COUNTIF('Sl suberinskabe'!$A$5:$A$84, $D11) &gt; 0,"sub",IF(COUNTIF('Sl hito+suberinskabe'!$A$5:$A$78, $D11) &gt; 0,"hito_sub",""))</f>
        <v>sub</v>
      </c>
      <c r="F11" s="41" t="str">
        <f>IF(COUNTIF('ūd. sorbcija Sl'!$C$3:$C$43, $D11) &gt; 0, "ūdens sorbc",IF(COUNTIF(spiedei!$C$2:$C$41, $D11) &gt; 0, "spiede", IF(COUNTIF(higro!$C$5:$C$18, $D11) &gt; 0, "higroskopija",IF(COUNTIF(higro!$C$31:$C$45, $D11) &gt; 0, "higroskopija",IF(COUNTIF(Komp!$A$2:$A$13, $D11) &gt; 0, "komposts","")))))</f>
        <v>higroskopija</v>
      </c>
      <c r="N11" s="53" t="s">
        <v>52</v>
      </c>
      <c r="O11" s="53" t="s">
        <v>53</v>
      </c>
      <c r="P11" s="53"/>
      <c r="Q11" s="53"/>
      <c r="R11" s="53"/>
    </row>
    <row r="12" spans="1:18" ht="14.5">
      <c r="A12" s="6"/>
      <c r="B12" s="6"/>
      <c r="C12" s="8"/>
      <c r="D12" s="54">
        <v>10</v>
      </c>
      <c r="E12" s="41" t="str">
        <f>IF(COUNTIF('Sl suberinskabe'!$A$5:$A$84, $D12) &gt; 0,"sub",IF(COUNTIF('Sl hito+suberinskabe'!$A$5:$A$78, $D12) &gt; 0,"hito_sub",""))</f>
        <v>hito_sub</v>
      </c>
      <c r="F12" s="41" t="str">
        <f>IF(COUNTIF('ūd. sorbcija Sl'!$C$3:$C$43, $D12) &gt; 0, "ūdens sorbc",IF(COUNTIF(spiedei!$C$2:$C$41, $D12) &gt; 0, "spiede", IF(COUNTIF(higro!$C$5:$C$18, $D12) &gt; 0, "higroskopija",IF(COUNTIF(higro!$C$31:$C$45, $D12) &gt; 0, "higroskopija",IF(COUNTIF(Komp!$A$2:$A$13, $D12) &gt; 0, "komposts","")))))</f>
        <v/>
      </c>
    </row>
    <row r="13" spans="1:18" ht="14.5">
      <c r="A13" s="6"/>
      <c r="B13" s="6"/>
      <c r="C13" s="13">
        <v>5</v>
      </c>
      <c r="D13" s="22">
        <v>11</v>
      </c>
      <c r="E13" s="41" t="str">
        <f>IF(COUNTIF('Sl suberinskabe'!$A$5:$A$84, $D13) &gt; 0,"sub",IF(COUNTIF('Sl hito+suberinskabe'!$A$5:$A$78, $D13) &gt; 0,"hito_sub",""))</f>
        <v>hito_sub</v>
      </c>
      <c r="F13" s="41" t="str">
        <f>IF(COUNTIF('ūd. sorbcija Sl'!$C$3:$C$43, $D13) &gt; 0, "ūdens sorbc",IF(COUNTIF(spiedei!$C$2:$C$41, $D13) &gt; 0, "spiede", IF(COUNTIF(higro!$C$5:$C$18, $D13) &gt; 0, "higroskopija",IF(COUNTIF(higro!$C$31:$C$45, $D13) &gt; 0, "higroskopija",IF(COUNTIF(Komp!$A$2:$A$13, $D13) &gt; 0, "komposts","")))))</f>
        <v/>
      </c>
    </row>
    <row r="14" spans="1:18" ht="14.5">
      <c r="A14" s="6"/>
      <c r="B14" s="6"/>
      <c r="C14" s="6"/>
      <c r="D14" s="54">
        <v>12</v>
      </c>
      <c r="E14" s="41" t="str">
        <f>IF(COUNTIF('Sl suberinskabe'!$A$5:$A$84, $D14) &gt; 0,"sub",IF(COUNTIF('Sl hito+suberinskabe'!$A$5:$A$78, $D14) &gt; 0,"hito_sub",""))</f>
        <v>sub</v>
      </c>
      <c r="F14" s="41" t="str">
        <f>IF(COUNTIF('ūd. sorbcija Sl'!$C$3:$C$43, $D14) &gt; 0, "ūdens sorbc",IF(COUNTIF(spiedei!$C$2:$C$41, $D14) &gt; 0, "spiede", IF(COUNTIF(higro!$C$5:$C$18, $D14) &gt; 0, "higroskopija",IF(COUNTIF(higro!$C$31:$C$45, $D14) &gt; 0, "higroskopija",IF(COUNTIF(Komp!$A$2:$A$13, $D14) &gt; 0, "komposts","")))))</f>
        <v>komposts</v>
      </c>
    </row>
    <row r="15" spans="1:18" ht="14.5">
      <c r="A15" s="6"/>
      <c r="B15" s="6"/>
      <c r="C15" s="6"/>
      <c r="D15" s="43">
        <v>13</v>
      </c>
      <c r="E15" s="41" t="str">
        <f>IF(COUNTIF('Sl suberinskabe'!$A$5:$A$84, $D15) &gt; 0,"sub",IF(COUNTIF('Sl hito+suberinskabe'!$A$5:$A$78, $D15) &gt; 0,"hito_sub",""))</f>
        <v>sub</v>
      </c>
      <c r="F15" s="41" t="str">
        <f>IF(COUNTIF('ūd. sorbcija Sl'!$C$3:$C$43, $D15) &gt; 0, "ūdens sorbc",IF(COUNTIF(spiedei!$C$2:$C$41, $D15) &gt; 0, "spiede", IF(COUNTIF(higro!$C$5:$C$18, $D15) &gt; 0, "higroskopija",IF(COUNTIF(higro!$C$31:$C$45, $D15) &gt; 0, "higroskopija",IF(COUNTIF(Komp!$A$2:$A$13, $D15) &gt; 0, "komposts","")))))</f>
        <v>ūdens sorbc</v>
      </c>
    </row>
    <row r="16" spans="1:18" ht="14.5">
      <c r="A16" s="6"/>
      <c r="B16" s="6"/>
      <c r="C16" s="6"/>
      <c r="D16" s="45">
        <v>14</v>
      </c>
      <c r="E16" s="41" t="str">
        <f>IF(COUNTIF('Sl suberinskabe'!$A$5:$A$84, $D16) &gt; 0,"sub",IF(COUNTIF('Sl hito+suberinskabe'!$A$5:$A$78, $D16) &gt; 0,"hito_sub",""))</f>
        <v>hito_sub</v>
      </c>
      <c r="F16" s="41" t="str">
        <f>IF(COUNTIF('ūd. sorbcija Sl'!$C$3:$C$43, $D16) &gt; 0, "ūdens sorbc",IF(COUNTIF(spiedei!$C$2:$C$41, $D16) &gt; 0, "spiede", IF(COUNTIF(higro!$C$5:$C$18, $D16) &gt; 0, "higroskopija",IF(COUNTIF(higro!$C$31:$C$45, $D16) &gt; 0, "higroskopija",IF(COUNTIF(Komp!$A$2:$A$13, $D16) &gt; 0, "komposts","")))))</f>
        <v>spiede</v>
      </c>
    </row>
    <row r="17" spans="1:6" ht="14.5">
      <c r="A17" s="6"/>
      <c r="B17" s="8"/>
      <c r="C17" s="8"/>
      <c r="D17" s="10">
        <v>15</v>
      </c>
      <c r="E17" s="41" t="str">
        <f>IF(COUNTIF('Sl suberinskabe'!$A$5:$A$84, $D17) &gt; 0,"sub",IF(COUNTIF('Sl hito+suberinskabe'!$A$5:$A$78, $D17) &gt; 0,"hito_sub",""))</f>
        <v/>
      </c>
      <c r="F17" s="41" t="str">
        <f>IF(COUNTIF('ūd. sorbcija Sl'!$C$3:$C$43, $D17) &gt; 0, "ūdens sorbc",IF(COUNTIF(spiedei!$C$2:$C$41, $D17) &gt; 0, "spiede", IF(COUNTIF(higro!$C$5:$C$18, $D17) &gt; 0, "higroskopija",IF(COUNTIF(higro!$C$31:$C$45, $D17) &gt; 0, "higroskopija",IF(COUNTIF(Komp!$A$2:$A$13, $D17) &gt; 0, "komposts","")))))</f>
        <v/>
      </c>
    </row>
    <row r="18" spans="1:6" ht="14.5">
      <c r="A18" s="6"/>
      <c r="B18" s="13">
        <v>3</v>
      </c>
      <c r="C18" s="13">
        <v>7</v>
      </c>
      <c r="D18" s="43">
        <v>16</v>
      </c>
      <c r="E18" s="41" t="str">
        <f>IF(COUNTIF('Sl suberinskabe'!$A$5:$A$84, $D18) &gt; 0,"sub",IF(COUNTIF('Sl hito+suberinskabe'!$A$5:$A$78, $D18) &gt; 0,"hito_sub",""))</f>
        <v>hito_sub</v>
      </c>
      <c r="F18" s="41" t="str">
        <f>IF(COUNTIF('ūd. sorbcija Sl'!$C$3:$C$43, $D18) &gt; 0, "ūdens sorbc",IF(COUNTIF(spiedei!$C$2:$C$41, $D18) &gt; 0, "spiede", IF(COUNTIF(higro!$C$5:$C$18, $D18) &gt; 0, "higroskopija",IF(COUNTIF(higro!$C$31:$C$45, $D18) &gt; 0, "higroskopija",IF(COUNTIF(Komp!$A$2:$A$13, $D18) &gt; 0, "komposts","")))))</f>
        <v>ūdens sorbc</v>
      </c>
    </row>
    <row r="19" spans="1:6" ht="14.5">
      <c r="A19" s="6"/>
      <c r="B19" s="6"/>
      <c r="C19" s="6"/>
      <c r="D19" s="49">
        <v>17</v>
      </c>
      <c r="E19" s="41" t="str">
        <f>IF(COUNTIF('Sl suberinskabe'!$A$5:$A$84, $D19) &gt; 0,"sub",IF(COUNTIF('Sl hito+suberinskabe'!$A$5:$A$78, $D19) &gt; 0,"hito_sub",""))</f>
        <v>hito_sub</v>
      </c>
      <c r="F19" s="41" t="str">
        <f>IF(COUNTIF('ūd. sorbcija Sl'!$C$3:$C$43, $D19) &gt; 0, "ūdens sorbc",IF(COUNTIF(spiedei!$C$2:$C$41, $D19) &gt; 0, "spiede", IF(COUNTIF(higro!$C$5:$C$18, $D19) &gt; 0, "higroskopija",IF(COUNTIF(higro!$C$31:$C$45, $D19) &gt; 0, "higroskopija",IF(COUNTIF(Komp!$A$2:$A$13, $D19) &gt; 0, "komposts","")))))</f>
        <v>higroskopija</v>
      </c>
    </row>
    <row r="20" spans="1:6" ht="14.5">
      <c r="A20" s="6"/>
      <c r="B20" s="6"/>
      <c r="C20" s="6"/>
      <c r="D20" s="43">
        <v>18</v>
      </c>
      <c r="E20" s="41" t="str">
        <f>IF(COUNTIF('Sl suberinskabe'!$A$5:$A$84, $D20) &gt; 0,"sub",IF(COUNTIF('Sl hito+suberinskabe'!$A$5:$A$78, $D20) &gt; 0,"hito_sub",""))</f>
        <v>sub</v>
      </c>
      <c r="F20" s="41" t="str">
        <f>IF(COUNTIF('ūd. sorbcija Sl'!$C$3:$C$43, $D20) &gt; 0, "ūdens sorbc",IF(COUNTIF(spiedei!$C$2:$C$41, $D20) &gt; 0, "spiede", IF(COUNTIF(higro!$C$5:$C$18, $D20) &gt; 0, "higroskopija",IF(COUNTIF(higro!$C$31:$C$45, $D20) &gt; 0, "higroskopija",IF(COUNTIF(Komp!$A$2:$A$13, $D20) &gt; 0, "komposts","")))))</f>
        <v>ūdens sorbc</v>
      </c>
    </row>
    <row r="21" spans="1:6" ht="15.75" customHeight="1">
      <c r="A21" s="6"/>
      <c r="B21" s="6"/>
      <c r="C21" s="6"/>
      <c r="D21" s="45">
        <v>19</v>
      </c>
      <c r="E21" s="41" t="str">
        <f>IF(COUNTIF('Sl suberinskabe'!$A$5:$A$84, $D21) &gt; 0,"sub",IF(COUNTIF('Sl hito+suberinskabe'!$A$5:$A$78, $D21) &gt; 0,"hito_sub",""))</f>
        <v>hito_sub</v>
      </c>
      <c r="F21" s="41" t="str">
        <f>IF(COUNTIF('ūd. sorbcija Sl'!$C$3:$C$43, $D21) &gt; 0, "ūdens sorbc",IF(COUNTIF(spiedei!$C$2:$C$41, $D21) &gt; 0, "spiede", IF(COUNTIF(higro!$C$5:$C$18, $D21) &gt; 0, "higroskopija",IF(COUNTIF(higro!$C$31:$C$45, $D21) &gt; 0, "higroskopija",IF(COUNTIF(Komp!$A$2:$A$13, $D21) &gt; 0, "komposts","")))))</f>
        <v>spiede</v>
      </c>
    </row>
    <row r="22" spans="1:6" ht="15.75" customHeight="1">
      <c r="A22" s="6"/>
      <c r="B22" s="6"/>
      <c r="C22" s="8"/>
      <c r="D22" s="47">
        <v>20</v>
      </c>
      <c r="E22" s="41" t="str">
        <f>IF(COUNTIF('Sl suberinskabe'!$A$5:$A$84, $D22) &gt; 0,"sub",IF(COUNTIF('Sl hito+suberinskabe'!$A$5:$A$78, $D22) &gt; 0,"hito_sub",""))</f>
        <v>hito_sub</v>
      </c>
      <c r="F22" s="41" t="str">
        <f>IF(COUNTIF('ūd. sorbcija Sl'!$C$3:$C$43, $D22) &gt; 0, "ūdens sorbc",IF(COUNTIF(spiedei!$C$2:$C$41, $D22) &gt; 0, "spiede", IF(COUNTIF(higro!$C$5:$C$18, $D22) &gt; 0, "higroskopija",IF(COUNTIF(higro!$C$31:$C$45, $D22) &gt; 0, "higroskopija",IF(COUNTIF(Komp!$A$2:$A$13, $D22) &gt; 0, "komposts","")))))</f>
        <v/>
      </c>
    </row>
    <row r="23" spans="1:6" ht="15.75" customHeight="1">
      <c r="A23" s="6"/>
      <c r="B23" s="6"/>
      <c r="C23" s="13">
        <v>9</v>
      </c>
      <c r="D23" s="52">
        <v>21</v>
      </c>
      <c r="E23" s="41" t="str">
        <f>IF(COUNTIF('Sl suberinskabe'!$A$5:$A$84, $D23) &gt; 0,"sub",IF(COUNTIF('Sl hito+suberinskabe'!$A$5:$A$78, $D23) &gt; 0,"hito_sub",""))</f>
        <v>sub</v>
      </c>
      <c r="F23" s="41" t="str">
        <f>IF(COUNTIF('ūd. sorbcija Sl'!$C$3:$C$43, $D23) &gt; 0, "ūdens sorbc",IF(COUNTIF(spiedei!$C$2:$C$41, $D23) &gt; 0, "spiede", IF(COUNTIF(higro!$C$5:$C$18, $D23) &gt; 0, "higroskopija",IF(COUNTIF(higro!$C$31:$C$45, $D23) &gt; 0, "higroskopija",IF(COUNTIF(Komp!$A$2:$A$13, $D23) &gt; 0, "komposts","")))))</f>
        <v/>
      </c>
    </row>
    <row r="24" spans="1:6" ht="15.75" customHeight="1">
      <c r="A24" s="6"/>
      <c r="B24" s="6"/>
      <c r="C24" s="6"/>
      <c r="D24" s="45">
        <v>22</v>
      </c>
      <c r="E24" s="41" t="str">
        <f>IF(COUNTIF('Sl suberinskabe'!$A$5:$A$84, $D24) &gt; 0,"sub",IF(COUNTIF('Sl hito+suberinskabe'!$A$5:$A$78, $D24) &gt; 0,"hito_sub",""))</f>
        <v>sub</v>
      </c>
      <c r="F24" s="41" t="str">
        <f>IF(COUNTIF('ūd. sorbcija Sl'!$C$3:$C$43, $D24) &gt; 0, "ūdens sorbc",IF(COUNTIF(spiedei!$C$2:$C$41, $D24) &gt; 0, "spiede", IF(COUNTIF(higro!$C$5:$C$18, $D24) &gt; 0, "higroskopija",IF(COUNTIF(higro!$C$31:$C$45, $D24) &gt; 0, "higroskopija",IF(COUNTIF(Komp!$A$2:$A$13, $D24) &gt; 0, "komposts","")))))</f>
        <v>spiede</v>
      </c>
    </row>
    <row r="25" spans="1:6" ht="15.75" customHeight="1">
      <c r="A25" s="6"/>
      <c r="B25" s="6"/>
      <c r="C25" s="6"/>
      <c r="D25" s="47">
        <v>23</v>
      </c>
      <c r="E25" s="41" t="str">
        <f>IF(COUNTIF('Sl suberinskabe'!$A$5:$A$84, $D25) &gt; 0,"sub",IF(COUNTIF('Sl hito+suberinskabe'!$A$5:$A$78, $D25) &gt; 0,"hito_sub",""))</f>
        <v>sub</v>
      </c>
      <c r="F25" s="41" t="str">
        <f>IF(COUNTIF('ūd. sorbcija Sl'!$C$3:$C$43, $D25) &gt; 0, "ūdens sorbc",IF(COUNTIF(spiedei!$C$2:$C$41, $D25) &gt; 0, "spiede", IF(COUNTIF(higro!$C$5:$C$18, $D25) &gt; 0, "higroskopija",IF(COUNTIF(higro!$C$31:$C$45, $D25) &gt; 0, "higroskopija",IF(COUNTIF(Komp!$A$2:$A$13, $D25) &gt; 0, "komposts","")))))</f>
        <v/>
      </c>
    </row>
    <row r="26" spans="1:6" ht="15.75" customHeight="1">
      <c r="A26" s="6"/>
      <c r="B26" s="6"/>
      <c r="C26" s="6"/>
      <c r="D26" s="54">
        <v>24</v>
      </c>
      <c r="E26" s="41" t="str">
        <f>IF(COUNTIF('Sl suberinskabe'!$A$5:$A$84, $D26) &gt; 0,"sub",IF(COUNTIF('Sl hito+suberinskabe'!$A$5:$A$78, $D26) &gt; 0,"hito_sub",""))</f>
        <v>hito_sub</v>
      </c>
      <c r="F26" s="41" t="str">
        <f>IF(COUNTIF('ūd. sorbcija Sl'!$C$3:$C$43, $D26) &gt; 0, "ūdens sorbc",IF(COUNTIF(spiedei!$C$2:$C$41, $D26) &gt; 0, "spiede", IF(COUNTIF(higro!$C$5:$C$18, $D26) &gt; 0, "higroskopija",IF(COUNTIF(higro!$C$31:$C$45, $D26) &gt; 0, "higroskopija",IF(COUNTIF(Komp!$A$2:$A$13, $D26) &gt; 0, "komposts","")))))</f>
        <v/>
      </c>
    </row>
    <row r="27" spans="1:6" ht="15.75" customHeight="1">
      <c r="A27" s="6"/>
      <c r="B27" s="6"/>
      <c r="C27" s="8"/>
      <c r="D27" s="10">
        <v>25</v>
      </c>
      <c r="E27" s="41" t="str">
        <f>IF(COUNTIF('Sl suberinskabe'!$A$5:$A$84, $D27) &gt; 0,"sub",IF(COUNTIF('Sl hito+suberinskabe'!$A$5:$A$78, $D27) &gt; 0,"hito_sub",""))</f>
        <v/>
      </c>
      <c r="F27" s="41" t="str">
        <f>IF(COUNTIF('ūd. sorbcija Sl'!$C$3:$C$43, $D27) &gt; 0, "ūdens sorbc",IF(COUNTIF(spiedei!$C$2:$C$41, $D27) &gt; 0, "spiede", IF(COUNTIF(higro!$C$5:$C$18, $D27) &gt; 0, "higroskopija",IF(COUNTIF(higro!$C$31:$C$45, $D27) &gt; 0, "higroskopija",IF(COUNTIF(Komp!$A$2:$A$13, $D27) &gt; 0, "komposts","")))))</f>
        <v/>
      </c>
    </row>
    <row r="28" spans="1:6" ht="15.75" customHeight="1">
      <c r="A28" s="6"/>
      <c r="B28" s="6"/>
      <c r="C28" s="13">
        <v>10</v>
      </c>
      <c r="D28" s="47">
        <v>26</v>
      </c>
      <c r="E28" s="41" t="str">
        <f>IF(COUNTIF('Sl suberinskabe'!$A$5:$A$84, $D28) &gt; 0,"sub",IF(COUNTIF('Sl hito+suberinskabe'!$A$5:$A$78, $D28) &gt; 0,"hito_sub",""))</f>
        <v>hito_sub</v>
      </c>
      <c r="F28" s="41" t="str">
        <f>IF(COUNTIF('ūd. sorbcija Sl'!$C$3:$C$43, $D28) &gt; 0, "ūdens sorbc",IF(COUNTIF(spiedei!$C$2:$C$41, $D28) &gt; 0, "spiede", IF(COUNTIF(higro!$C$5:$C$18, $D28) &gt; 0, "higroskopija",IF(COUNTIF(higro!$C$31:$C$45, $D28) &gt; 0, "higroskopija",IF(COUNTIF(Komp!$A$2:$A$13, $D28) &gt; 0, "komposts","")))))</f>
        <v/>
      </c>
    </row>
    <row r="29" spans="1:6" ht="15.75" customHeight="1">
      <c r="A29" s="6"/>
      <c r="B29" s="6"/>
      <c r="C29" s="6"/>
      <c r="D29" s="49">
        <v>27</v>
      </c>
      <c r="E29" s="41" t="str">
        <f>IF(COUNTIF('Sl suberinskabe'!$A$5:$A$84, $D29) &gt; 0,"sub",IF(COUNTIF('Sl hito+suberinskabe'!$A$5:$A$78, $D29) &gt; 0,"hito_sub",""))</f>
        <v>sub</v>
      </c>
      <c r="F29" s="41" t="str">
        <f>IF(COUNTIF('ūd. sorbcija Sl'!$C$3:$C$43, $D29) &gt; 0, "ūdens sorbc",IF(COUNTIF(spiedei!$C$2:$C$41, $D29) &gt; 0, "spiede", IF(COUNTIF(higro!$C$5:$C$18, $D29) &gt; 0, "higroskopija",IF(COUNTIF(higro!$C$31:$C$45, $D29) &gt; 0, "higroskopija",IF(COUNTIF(Komp!$A$2:$A$13, $D29) &gt; 0, "komposts","")))))</f>
        <v>higroskopija</v>
      </c>
    </row>
    <row r="30" spans="1:6" ht="15.75" customHeight="1">
      <c r="A30" s="6"/>
      <c r="B30" s="6"/>
      <c r="C30" s="6"/>
      <c r="D30" s="54">
        <v>28</v>
      </c>
      <c r="E30" s="41" t="str">
        <f>IF(COUNTIF('Sl suberinskabe'!$A$5:$A$84, $D30) &gt; 0,"sub",IF(COUNTIF('Sl hito+suberinskabe'!$A$5:$A$78, $D30) &gt; 0,"hito_sub",""))</f>
        <v>sub</v>
      </c>
      <c r="F30" s="41" t="str">
        <f>IF(COUNTIF('ūd. sorbcija Sl'!$C$3:$C$43, $D30) &gt; 0, "ūdens sorbc",IF(COUNTIF(spiedei!$C$2:$C$41, $D30) &gt; 0, "spiede", IF(COUNTIF(higro!$C$5:$C$18, $D30) &gt; 0, "higroskopija",IF(COUNTIF(higro!$C$31:$C$45, $D30) &gt; 0, "higroskopija",IF(COUNTIF(Komp!$A$2:$A$13, $D30) &gt; 0, "komposts","")))))</f>
        <v/>
      </c>
    </row>
    <row r="31" spans="1:6" ht="15.75" customHeight="1">
      <c r="A31" s="6"/>
      <c r="B31" s="6"/>
      <c r="C31" s="6"/>
      <c r="D31" s="43">
        <v>29</v>
      </c>
      <c r="E31" s="41" t="str">
        <f>IF(COUNTIF('Sl suberinskabe'!$A$5:$A$84, $D31) &gt; 0,"sub",IF(COUNTIF('Sl hito+suberinskabe'!$A$5:$A$78, $D31) &gt; 0,"hito_sub",""))</f>
        <v>hito_sub</v>
      </c>
      <c r="F31" s="41" t="str">
        <f>IF(COUNTIF('ūd. sorbcija Sl'!$C$3:$C$43, $D31) &gt; 0, "ūdens sorbc",IF(COUNTIF(spiedei!$C$2:$C$41, $D31) &gt; 0, "spiede", IF(COUNTIF(higro!$C$5:$C$18, $D31) &gt; 0, "higroskopija",IF(COUNTIF(higro!$C$31:$C$45, $D31) &gt; 0, "higroskopija",IF(COUNTIF(Komp!$A$2:$A$13, $D31) &gt; 0, "komposts","")))))</f>
        <v>ūdens sorbc</v>
      </c>
    </row>
    <row r="32" spans="1:6" ht="15.75" customHeight="1">
      <c r="A32" s="8"/>
      <c r="B32" s="8"/>
      <c r="C32" s="8"/>
      <c r="D32" s="10">
        <v>30</v>
      </c>
      <c r="E32" s="41" t="str">
        <f>IF(COUNTIF('Sl suberinskabe'!$A$5:$A$84, $D32) &gt; 0,"sub",IF(COUNTIF('Sl hito+suberinskabe'!$A$5:$A$78, $D32) &gt; 0,"hito_sub",""))</f>
        <v/>
      </c>
      <c r="F32" s="41" t="str">
        <f>IF(COUNTIF('ūd. sorbcija Sl'!$C$3:$C$43, $D32) &gt; 0, "ūdens sorbc",IF(COUNTIF(spiedei!$C$2:$C$41, $D32) &gt; 0, "spiede", IF(COUNTIF(higro!$C$5:$C$18, $D32) &gt; 0, "higroskopija",IF(COUNTIF(higro!$C$31:$C$45, $D32) &gt; 0, "higroskopija",IF(COUNTIF(Komp!$A$2:$A$13, $D32) &gt; 0, "komposts","")))))</f>
        <v/>
      </c>
    </row>
    <row r="33" spans="1:6" ht="15.75" customHeight="1">
      <c r="A33" s="4" t="s">
        <v>9</v>
      </c>
      <c r="B33" s="13">
        <v>1</v>
      </c>
      <c r="C33" s="13">
        <v>60</v>
      </c>
      <c r="D33" s="49">
        <v>99</v>
      </c>
      <c r="E33" s="41" t="str">
        <f>IF(COUNTIF('Sl suberinskabe'!$A$5:$A$84, $D33) &gt; 0,"sub",IF(COUNTIF('Sl hito+suberinskabe'!$A$5:$A$78, $D33) &gt; 0,"hito_sub",""))</f>
        <v>hito_sub</v>
      </c>
      <c r="F33" s="41" t="str">
        <f>IF(COUNTIF('ūd. sorbcija Sl'!$C$3:$C$43, $D33) &gt; 0, "ūdens sorbc",IF(COUNTIF(spiedei!$C$2:$C$41, $D33) &gt; 0, "spiede", IF(COUNTIF(higro!$C$5:$C$18, $D33) &gt; 0, "higroskopija",IF(COUNTIF(higro!$C$31:$C$45, $D33) &gt; 0, "higroskopija",IF(COUNTIF(Komp!$A$2:$A$13, $D33) &gt; 0, "komposts","")))))</f>
        <v>higroskopija</v>
      </c>
    </row>
    <row r="34" spans="1:6" ht="15.75" customHeight="1">
      <c r="B34" s="6"/>
      <c r="C34" s="6"/>
      <c r="D34" s="45">
        <v>100</v>
      </c>
      <c r="E34" s="41" t="str">
        <f>IF(COUNTIF('Sl suberinskabe'!$A$5:$A$84, $D34) &gt; 0,"sub",IF(COUNTIF('Sl hito+suberinskabe'!$A$5:$A$78, $D34) &gt; 0,"hito_sub",""))</f>
        <v>hito_sub</v>
      </c>
      <c r="F34" s="41" t="str">
        <f>IF(COUNTIF('ūd. sorbcija Sl'!$C$3:$C$43, $D34) &gt; 0, "ūdens sorbc",IF(COUNTIF(spiedei!$C$2:$C$41, $D34) &gt; 0, "spiede", IF(COUNTIF(higro!$C$5:$C$18, $D34) &gt; 0, "higroskopija",IF(COUNTIF(higro!$C$31:$C$45, $D34) &gt; 0, "higroskopija",IF(COUNTIF(Komp!$A$2:$A$13, $D34) &gt; 0, "komposts","")))))</f>
        <v>spiede</v>
      </c>
    </row>
    <row r="35" spans="1:6" ht="15.75" customHeight="1">
      <c r="B35" s="6"/>
      <c r="C35" s="6"/>
      <c r="D35" s="45">
        <v>101</v>
      </c>
      <c r="E35" s="41" t="str">
        <f>IF(COUNTIF('Sl suberinskabe'!$A$5:$A$84, $D35) &gt; 0,"sub",IF(COUNTIF('Sl hito+suberinskabe'!$A$5:$A$78, $D35) &gt; 0,"hito_sub",""))</f>
        <v>sub</v>
      </c>
      <c r="F35" s="41" t="str">
        <f>IF(COUNTIF('ūd. sorbcija Sl'!$C$3:$C$43, $D35) &gt; 0, "ūdens sorbc",IF(COUNTIF(spiedei!$C$2:$C$41, $D35) &gt; 0, "spiede", IF(COUNTIF(higro!$C$5:$C$18, $D35) &gt; 0, "higroskopija",IF(COUNTIF(higro!$C$31:$C$45, $D35) &gt; 0, "higroskopija",IF(COUNTIF(Komp!$A$2:$A$13, $D35) &gt; 0, "komposts","")))))</f>
        <v>spiede</v>
      </c>
    </row>
    <row r="36" spans="1:6" ht="15.75" customHeight="1">
      <c r="B36" s="6"/>
      <c r="C36" s="6"/>
      <c r="D36" s="47">
        <v>102</v>
      </c>
      <c r="E36" s="41" t="str">
        <f>IF(COUNTIF('Sl suberinskabe'!$A$5:$A$84, $D36) &gt; 0,"sub",IF(COUNTIF('Sl hito+suberinskabe'!$A$5:$A$78, $D36) &gt; 0,"hito_sub",""))</f>
        <v>sub</v>
      </c>
      <c r="F36" s="41" t="str">
        <f>IF(COUNTIF('ūd. sorbcija Sl'!$C$3:$C$43, $D36) &gt; 0, "ūdens sorbc",IF(COUNTIF(spiedei!$C$2:$C$41, $D36) &gt; 0, "spiede", IF(COUNTIF(higro!$C$5:$C$18, $D36) &gt; 0, "higroskopija",IF(COUNTIF(higro!$C$31:$C$45, $D36) &gt; 0, "higroskopija",IF(COUNTIF(Komp!$A$2:$A$13, $D36) &gt; 0, "komposts","")))))</f>
        <v/>
      </c>
    </row>
    <row r="37" spans="1:6" ht="15.75" customHeight="1">
      <c r="B37" s="6"/>
      <c r="C37" s="8"/>
      <c r="D37" s="10">
        <v>103</v>
      </c>
      <c r="E37" s="41" t="str">
        <f>IF(COUNTIF('Sl suberinskabe'!$A$5:$A$84, $D37) &gt; 0,"sub",IF(COUNTIF('Sl hito+suberinskabe'!$A$5:$A$78, $D37) &gt; 0,"hito_sub",""))</f>
        <v/>
      </c>
      <c r="F37" s="41" t="str">
        <f>IF(COUNTIF('ūd. sorbcija Sl'!$C$3:$C$43, $D37) &gt; 0, "ūdens sorbc",IF(COUNTIF(spiedei!$C$2:$C$41, $D37) &gt; 0, "spiede", IF(COUNTIF(higro!$C$5:$C$18, $D37) &gt; 0, "higroskopija",IF(COUNTIF(higro!$C$31:$C$45, $D37) &gt; 0, "higroskopija",IF(COUNTIF(Komp!$A$2:$A$13, $D37) &gt; 0, "komposts","")))))</f>
        <v/>
      </c>
    </row>
    <row r="38" spans="1:6" ht="15.75" customHeight="1">
      <c r="B38" s="6"/>
      <c r="C38" s="13">
        <v>62</v>
      </c>
      <c r="D38" s="47">
        <v>104</v>
      </c>
      <c r="E38" s="41" t="str">
        <f>IF(COUNTIF('Sl suberinskabe'!$A$5:$A$84, $D38) &gt; 0,"sub",IF(COUNTIF('Sl hito+suberinskabe'!$A$5:$A$78, $D38) &gt; 0,"hito_sub",""))</f>
        <v>hito_sub</v>
      </c>
      <c r="F38" s="41" t="str">
        <f>IF(COUNTIF('ūd. sorbcija Sl'!$C$3:$C$43, $D38) &gt; 0, "ūdens sorbc",IF(COUNTIF(spiedei!$C$2:$C$41, $D38) &gt; 0, "spiede", IF(COUNTIF(higro!$C$5:$C$18, $D38) &gt; 0, "higroskopija",IF(COUNTIF(higro!$C$31:$C$45, $D38) &gt; 0, "higroskopija",IF(COUNTIF(Komp!$A$2:$A$13, $D38) &gt; 0, "komposts","")))))</f>
        <v/>
      </c>
    </row>
    <row r="39" spans="1:6" ht="15.75" customHeight="1">
      <c r="B39" s="6"/>
      <c r="C39" s="6"/>
      <c r="D39" s="43">
        <v>105</v>
      </c>
      <c r="E39" s="41" t="str">
        <f>IF(COUNTIF('Sl suberinskabe'!$A$5:$A$84, $D39) &gt; 0,"sub",IF(COUNTIF('Sl hito+suberinskabe'!$A$5:$A$78, $D39) &gt; 0,"hito_sub",""))</f>
        <v>sub</v>
      </c>
      <c r="F39" s="41" t="str">
        <f>IF(COUNTIF('ūd. sorbcija Sl'!$C$3:$C$43, $D39) &gt; 0, "ūdens sorbc",IF(COUNTIF(spiedei!$C$2:$C$41, $D39) &gt; 0, "spiede", IF(COUNTIF(higro!$C$5:$C$18, $D39) &gt; 0, "higroskopija",IF(COUNTIF(higro!$C$31:$C$45, $D39) &gt; 0, "higroskopija",IF(COUNTIF(Komp!$A$2:$A$13, $D39) &gt; 0, "komposts","")))))</f>
        <v>ūdens sorbc</v>
      </c>
    </row>
    <row r="40" spans="1:6" ht="15.75" customHeight="1">
      <c r="B40" s="6"/>
      <c r="C40" s="6"/>
      <c r="D40" s="49">
        <v>106</v>
      </c>
      <c r="E40" s="41" t="str">
        <f>IF(COUNTIF('Sl suberinskabe'!$A$5:$A$84, $D40) &gt; 0,"sub",IF(COUNTIF('Sl hito+suberinskabe'!$A$5:$A$78, $D40) &gt; 0,"hito_sub",""))</f>
        <v>sub</v>
      </c>
      <c r="F40" s="41" t="str">
        <f>IF(COUNTIF('ūd. sorbcija Sl'!$C$3:$C$43, $D40) &gt; 0, "ūdens sorbc",IF(COUNTIF(spiedei!$C$2:$C$41, $D40) &gt; 0, "spiede", IF(COUNTIF(higro!$C$5:$C$18, $D40) &gt; 0, "higroskopija",IF(COUNTIF(higro!$C$31:$C$45, $D40) &gt; 0, "higroskopija",IF(COUNTIF(Komp!$A$2:$A$13, $D40) &gt; 0, "komposts","")))))</f>
        <v>higroskopija</v>
      </c>
    </row>
    <row r="41" spans="1:6" ht="15.75" customHeight="1">
      <c r="B41" s="6"/>
      <c r="C41" s="6"/>
      <c r="D41" s="22">
        <v>107</v>
      </c>
      <c r="E41" s="41" t="str">
        <f>IF(COUNTIF('Sl suberinskabe'!$A$5:$A$84, $D41) &gt; 0,"sub",IF(COUNTIF('Sl hito+suberinskabe'!$A$5:$A$78, $D41) &gt; 0,"hito_sub",""))</f>
        <v>hito_sub</v>
      </c>
      <c r="F41" s="41" t="str">
        <f>IF(COUNTIF('ūd. sorbcija Sl'!$C$3:$C$43, $D41) &gt; 0, "ūdens sorbc",IF(COUNTIF(spiedei!$C$2:$C$41, $D41) &gt; 0, "spiede", IF(COUNTIF(higro!$C$5:$C$18, $D41) &gt; 0, "higroskopija",IF(COUNTIF(higro!$C$31:$C$45, $D41) &gt; 0, "higroskopija",IF(COUNTIF(Komp!$A$2:$A$13, $D41) &gt; 0, "komposts","")))))</f>
        <v/>
      </c>
    </row>
    <row r="42" spans="1:6" ht="15.75" customHeight="1">
      <c r="B42" s="8"/>
      <c r="C42" s="8"/>
      <c r="D42" s="10">
        <v>108</v>
      </c>
      <c r="E42" s="41" t="str">
        <f>IF(COUNTIF('Sl suberinskabe'!$A$5:$A$84, $D42) &gt; 0,"sub",IF(COUNTIF('Sl hito+suberinskabe'!$A$5:$A$78, $D42) &gt; 0,"hito_sub",""))</f>
        <v/>
      </c>
      <c r="F42" s="41" t="str">
        <f>IF(COUNTIF('ūd. sorbcija Sl'!$C$3:$C$43, $D42) &gt; 0, "ūdens sorbc",IF(COUNTIF(spiedei!$C$2:$C$41, $D42) &gt; 0, "spiede", IF(COUNTIF(higro!$C$5:$C$18, $D42) &gt; 0, "higroskopija",IF(COUNTIF(higro!$C$31:$C$45, $D42) &gt; 0, "higroskopija",IF(COUNTIF(Komp!$A$2:$A$13, $D42) &gt; 0, "komposts","")))))</f>
        <v/>
      </c>
    </row>
    <row r="43" spans="1:6" ht="15.75" customHeight="1">
      <c r="B43" s="13">
        <v>2</v>
      </c>
      <c r="C43" s="13">
        <v>64</v>
      </c>
      <c r="D43" s="10">
        <v>109</v>
      </c>
      <c r="E43" s="41" t="str">
        <f>IF(COUNTIF('Sl suberinskabe'!$A$5:$A$84, $D43) &gt; 0,"sub",IF(COUNTIF('Sl hito+suberinskabe'!$A$5:$A$78, $D43) &gt; 0,"hito_sub",""))</f>
        <v/>
      </c>
      <c r="F43" s="41" t="str">
        <f>IF(COUNTIF('ūd. sorbcija Sl'!$C$3:$C$43, $D43) &gt; 0, "ūdens sorbc",IF(COUNTIF(spiedei!$C$2:$C$41, $D43) &gt; 0, "spiede", IF(COUNTIF(higro!$C$5:$C$18, $D43) &gt; 0, "higroskopija",IF(COUNTIF(higro!$C$31:$C$45, $D43) &gt; 0, "higroskopija",IF(COUNTIF(Komp!$A$2:$A$13, $D43) &gt; 0, "komposts","")))))</f>
        <v/>
      </c>
    </row>
    <row r="44" spans="1:6" ht="15.75" customHeight="1">
      <c r="B44" s="6"/>
      <c r="C44" s="6"/>
      <c r="D44" s="10">
        <v>110</v>
      </c>
      <c r="E44" s="41" t="str">
        <f>IF(COUNTIF('Sl suberinskabe'!$A$5:$A$84, $D44) &gt; 0,"sub",IF(COUNTIF('Sl hito+suberinskabe'!$A$5:$A$78, $D44) &gt; 0,"hito_sub",""))</f>
        <v/>
      </c>
      <c r="F44" s="41" t="str">
        <f>IF(COUNTIF('ūd. sorbcija Sl'!$C$3:$C$43, $D44) &gt; 0, "ūdens sorbc",IF(COUNTIF(spiedei!$C$2:$C$41, $D44) &gt; 0, "spiede", IF(COUNTIF(higro!$C$5:$C$18, $D44) &gt; 0, "higroskopija",IF(COUNTIF(higro!$C$31:$C$45, $D44) &gt; 0, "higroskopija",IF(COUNTIF(Komp!$A$2:$A$13, $D44) &gt; 0, "komposts","")))))</f>
        <v/>
      </c>
    </row>
    <row r="45" spans="1:6" ht="15.75" customHeight="1">
      <c r="B45" s="6"/>
      <c r="C45" s="6"/>
      <c r="D45" s="45">
        <v>111</v>
      </c>
      <c r="E45" s="41" t="str">
        <f>IF(COUNTIF('Sl suberinskabe'!$A$5:$A$84, $D45) &gt; 0,"sub",IF(COUNTIF('Sl hito+suberinskabe'!$A$5:$A$78, $D45) &gt; 0,"hito_sub",""))</f>
        <v>sub</v>
      </c>
      <c r="F45" s="41" t="str">
        <f>IF(COUNTIF('ūd. sorbcija Sl'!$C$3:$C$43, $D45) &gt; 0, "ūdens sorbc",IF(COUNTIF(spiedei!$C$2:$C$41, $D45) &gt; 0, "spiede", IF(COUNTIF(higro!$C$5:$C$18, $D45) &gt; 0, "higroskopija",IF(COUNTIF(higro!$C$31:$C$45, $D45) &gt; 0, "higroskopija",IF(COUNTIF(Komp!$A$2:$A$13, $D45) &gt; 0, "komposts","")))))</f>
        <v>spiede</v>
      </c>
    </row>
    <row r="46" spans="1:6" ht="15.75" customHeight="1">
      <c r="B46" s="6"/>
      <c r="C46" s="6"/>
      <c r="D46" s="10">
        <v>112</v>
      </c>
      <c r="E46" s="41" t="str">
        <f>IF(COUNTIF('Sl suberinskabe'!$A$5:$A$84, $D46) &gt; 0,"sub",IF(COUNTIF('Sl hito+suberinskabe'!$A$5:$A$78, $D46) &gt; 0,"hito_sub",""))</f>
        <v/>
      </c>
      <c r="F46" s="41" t="str">
        <f>IF(COUNTIF('ūd. sorbcija Sl'!$C$3:$C$43, $D46) &gt; 0, "ūdens sorbc",IF(COUNTIF(spiedei!$C$2:$C$41, $D46) &gt; 0, "spiede", IF(COUNTIF(higro!$C$5:$C$18, $D46) &gt; 0, "higroskopija",IF(COUNTIF(higro!$C$31:$C$45, $D46) &gt; 0, "higroskopija",IF(COUNTIF(Komp!$A$2:$A$13, $D46) &gt; 0, "komposts","")))))</f>
        <v/>
      </c>
    </row>
    <row r="47" spans="1:6" ht="15.75" customHeight="1">
      <c r="B47" s="6"/>
      <c r="C47" s="8"/>
      <c r="D47" s="43">
        <v>113</v>
      </c>
      <c r="E47" s="41" t="str">
        <f>IF(COUNTIF('Sl suberinskabe'!$A$5:$A$84, $D47) &gt; 0,"sub",IF(COUNTIF('Sl hito+suberinskabe'!$A$5:$A$78, $D47) &gt; 0,"hito_sub",""))</f>
        <v>sub</v>
      </c>
      <c r="F47" s="41" t="str">
        <f>IF(COUNTIF('ūd. sorbcija Sl'!$C$3:$C$43, $D47) &gt; 0, "ūdens sorbc",IF(COUNTIF(spiedei!$C$2:$C$41, $D47) &gt; 0, "spiede", IF(COUNTIF(higro!$C$5:$C$18, $D47) &gt; 0, "higroskopija",IF(COUNTIF(higro!$C$31:$C$45, $D47) &gt; 0, "higroskopija",IF(COUNTIF(Komp!$A$2:$A$13, $D47) &gt; 0, "komposts","")))))</f>
        <v>ūdens sorbc</v>
      </c>
    </row>
    <row r="48" spans="1:6" ht="15.75" customHeight="1">
      <c r="B48" s="6"/>
      <c r="C48" s="13">
        <v>66</v>
      </c>
      <c r="D48" s="10">
        <v>114</v>
      </c>
      <c r="E48" s="41" t="str">
        <f>IF(COUNTIF('Sl suberinskabe'!$A$5:$A$84, $D48) &gt; 0,"sub",IF(COUNTIF('Sl hito+suberinskabe'!$A$5:$A$78, $D48) &gt; 0,"hito_sub",""))</f>
        <v/>
      </c>
      <c r="F48" s="41" t="str">
        <f>IF(COUNTIF('ūd. sorbcija Sl'!$C$3:$C$43, $D48) &gt; 0, "ūdens sorbc",IF(COUNTIF(spiedei!$C$2:$C$41, $D48) &gt; 0, "spiede", IF(COUNTIF(higro!$C$5:$C$18, $D48) &gt; 0, "higroskopija",IF(COUNTIF(higro!$C$31:$C$45, $D48) &gt; 0, "higroskopija",IF(COUNTIF(Komp!$A$2:$A$13, $D48) &gt; 0, "komposts","")))))</f>
        <v/>
      </c>
    </row>
    <row r="49" spans="1:6" ht="15.75" customHeight="1">
      <c r="B49" s="6"/>
      <c r="C49" s="6"/>
      <c r="D49" s="45">
        <v>115</v>
      </c>
      <c r="E49" s="41" t="str">
        <f>IF(COUNTIF('Sl suberinskabe'!$A$5:$A$84, $D49) &gt; 0,"sub",IF(COUNTIF('Sl hito+suberinskabe'!$A$5:$A$78, $D49) &gt; 0,"hito_sub",""))</f>
        <v>sub</v>
      </c>
      <c r="F49" s="41" t="str">
        <f>IF(COUNTIF('ūd. sorbcija Sl'!$C$3:$C$43, $D49) &gt; 0, "ūdens sorbc",IF(COUNTIF(spiedei!$C$2:$C$41, $D49) &gt; 0, "spiede", IF(COUNTIF(higro!$C$5:$C$18, $D49) &gt; 0, "higroskopija",IF(COUNTIF(higro!$C$31:$C$45, $D49) &gt; 0, "higroskopija",IF(COUNTIF(Komp!$A$2:$A$13, $D49) &gt; 0, "komposts","")))))</f>
        <v>spiede</v>
      </c>
    </row>
    <row r="50" spans="1:6" ht="15.75" customHeight="1">
      <c r="B50" s="6"/>
      <c r="C50" s="6"/>
      <c r="D50" s="45">
        <v>116</v>
      </c>
      <c r="E50" s="41" t="str">
        <f>IF(COUNTIF('Sl suberinskabe'!$A$5:$A$84, $D50) &gt; 0,"sub",IF(COUNTIF('Sl hito+suberinskabe'!$A$5:$A$78, $D50) &gt; 0,"hito_sub",""))</f>
        <v>hito_sub</v>
      </c>
      <c r="F50" s="41" t="str">
        <f>IF(COUNTIF('ūd. sorbcija Sl'!$C$3:$C$43, $D50) &gt; 0, "ūdens sorbc",IF(COUNTIF(spiedei!$C$2:$C$41, $D50) &gt; 0, "spiede", IF(COUNTIF(higro!$C$5:$C$18, $D50) &gt; 0, "higroskopija",IF(COUNTIF(higro!$C$31:$C$45, $D50) &gt; 0, "higroskopija",IF(COUNTIF(Komp!$A$2:$A$13, $D50) &gt; 0, "komposts","")))))</f>
        <v>spiede</v>
      </c>
    </row>
    <row r="51" spans="1:6" ht="15.75" customHeight="1">
      <c r="B51" s="6"/>
      <c r="C51" s="6"/>
      <c r="D51" s="43">
        <v>117</v>
      </c>
      <c r="E51" s="41" t="str">
        <f>IF(COUNTIF('Sl suberinskabe'!$A$5:$A$84, $D51) &gt; 0,"sub",IF(COUNTIF('Sl hito+suberinskabe'!$A$5:$A$78, $D51) &gt; 0,"hito_sub",""))</f>
        <v>hito_sub</v>
      </c>
      <c r="F51" s="41" t="str">
        <f>IF(COUNTIF('ūd. sorbcija Sl'!$C$3:$C$43, $D51) &gt; 0, "ūdens sorbc",IF(COUNTIF(spiedei!$C$2:$C$41, $D51) &gt; 0, "spiede", IF(COUNTIF(higro!$C$5:$C$18, $D51) &gt; 0, "higroskopija",IF(COUNTIF(higro!$C$31:$C$45, $D51) &gt; 0, "higroskopija",IF(COUNTIF(Komp!$A$2:$A$13, $D51) &gt; 0, "komposts","")))))</f>
        <v>ūdens sorbc</v>
      </c>
    </row>
    <row r="52" spans="1:6" ht="15.75" customHeight="1">
      <c r="B52" s="8"/>
      <c r="C52" s="8"/>
      <c r="D52" s="10">
        <v>118</v>
      </c>
      <c r="E52" s="41" t="str">
        <f>IF(COUNTIF('Sl suberinskabe'!$A$5:$A$84, $D52) &gt; 0,"sub",IF(COUNTIF('Sl hito+suberinskabe'!$A$5:$A$78, $D52) &gt; 0,"hito_sub",""))</f>
        <v/>
      </c>
      <c r="F52" s="41" t="str">
        <f>IF(COUNTIF('ūd. sorbcija Sl'!$C$3:$C$43, $D52) &gt; 0, "ūdens sorbc",IF(COUNTIF(spiedei!$C$2:$C$41, $D52) &gt; 0, "spiede", IF(COUNTIF(higro!$C$5:$C$18, $D52) &gt; 0, "higroskopija",IF(COUNTIF(higro!$C$31:$C$45, $D52) &gt; 0, "higroskopija",IF(COUNTIF(Komp!$A$2:$A$13, $D52) &gt; 0, "komposts","")))))</f>
        <v/>
      </c>
    </row>
    <row r="53" spans="1:6" ht="15.75" customHeight="1">
      <c r="A53" s="13" t="s">
        <v>17</v>
      </c>
      <c r="B53" s="19">
        <v>2</v>
      </c>
      <c r="C53" s="13">
        <v>14</v>
      </c>
      <c r="D53" s="47">
        <v>31</v>
      </c>
      <c r="E53" s="41" t="str">
        <f>IF(COUNTIF('Sl suberinskabe'!$A$5:$A$84, $D53) &gt; 0,"sub",IF(COUNTIF('Sl hito+suberinskabe'!$A$5:$A$78, $D53) &gt; 0,"hito_sub",""))</f>
        <v>hito_sub</v>
      </c>
      <c r="F53" s="41" t="str">
        <f>IF(COUNTIF('ūd. sorbcija Sl'!$C$3:$C$43, $D53) &gt; 0, "ūdens sorbc",IF(COUNTIF(spiedei!$C$2:$C$41, $D53) &gt; 0, "spiede", IF(COUNTIF(higro!$C$5:$C$18, $D53) &gt; 0, "higroskopija",IF(COUNTIF(higro!$C$31:$C$45, $D53) &gt; 0, "higroskopija",IF(COUNTIF(Komp!$A$2:$A$13, $D53) &gt; 0, "komposts","")))))</f>
        <v/>
      </c>
    </row>
    <row r="54" spans="1:6" ht="15.75" customHeight="1">
      <c r="A54" s="6"/>
      <c r="B54" s="20"/>
      <c r="C54" s="6"/>
      <c r="D54" s="45">
        <v>32</v>
      </c>
      <c r="E54" s="41" t="str">
        <f>IF(COUNTIF('Sl suberinskabe'!$A$5:$A$84, $D54) &gt; 0,"sub",IF(COUNTIF('Sl hito+suberinskabe'!$A$5:$A$78, $D54) &gt; 0,"hito_sub",""))</f>
        <v>hito_sub</v>
      </c>
      <c r="F54" s="41" t="str">
        <f>IF(COUNTIF('ūd. sorbcija Sl'!$C$3:$C$43, $D54) &gt; 0, "ūdens sorbc",IF(COUNTIF(spiedei!$C$2:$C$41, $D54) &gt; 0, "spiede", IF(COUNTIF(higro!$C$5:$C$18, $D54) &gt; 0, "higroskopija",IF(COUNTIF(higro!$C$31:$C$45, $D54) &gt; 0, "higroskopija",IF(COUNTIF(Komp!$A$2:$A$13, $D54) &gt; 0, "komposts","")))))</f>
        <v>spiede</v>
      </c>
    </row>
    <row r="55" spans="1:6" ht="15.75" customHeight="1">
      <c r="A55" s="6"/>
      <c r="B55" s="20"/>
      <c r="C55" s="6"/>
      <c r="D55" s="45">
        <v>33</v>
      </c>
      <c r="E55" s="41" t="str">
        <f>IF(COUNTIF('Sl suberinskabe'!$A$5:$A$84, $D55) &gt; 0,"sub",IF(COUNTIF('Sl hito+suberinskabe'!$A$5:$A$78, $D55) &gt; 0,"hito_sub",""))</f>
        <v>sub</v>
      </c>
      <c r="F55" s="41" t="str">
        <f>IF(COUNTIF('ūd. sorbcija Sl'!$C$3:$C$43, $D55) &gt; 0, "ūdens sorbc",IF(COUNTIF(spiedei!$C$2:$C$41, $D55) &gt; 0, "spiede", IF(COUNTIF(higro!$C$5:$C$18, $D55) &gt; 0, "higroskopija",IF(COUNTIF(higro!$C$31:$C$45, $D55) &gt; 0, "higroskopija",IF(COUNTIF(Komp!$A$2:$A$13, $D55) &gt; 0, "komposts","")))))</f>
        <v>spiede</v>
      </c>
    </row>
    <row r="56" spans="1:6" ht="15.75" customHeight="1">
      <c r="A56" s="6"/>
      <c r="B56" s="20"/>
      <c r="C56" s="6"/>
      <c r="D56" s="43">
        <v>34</v>
      </c>
      <c r="E56" s="41" t="str">
        <f>IF(COUNTIF('Sl suberinskabe'!$A$5:$A$84, $D56) &gt; 0,"sub",IF(COUNTIF('Sl hito+suberinskabe'!$A$5:$A$78, $D56) &gt; 0,"hito_sub",""))</f>
        <v>sub</v>
      </c>
      <c r="F56" s="41" t="str">
        <f>IF(COUNTIF('ūd. sorbcija Sl'!$C$3:$C$43, $D56) &gt; 0, "ūdens sorbc",IF(COUNTIF(spiedei!$C$2:$C$41, $D56) &gt; 0, "spiede", IF(COUNTIF(higro!$C$5:$C$18, $D56) &gt; 0, "higroskopija",IF(COUNTIF(higro!$C$31:$C$45, $D56) &gt; 0, "higroskopija",IF(COUNTIF(Komp!$A$2:$A$13, $D56) &gt; 0, "komposts","")))))</f>
        <v>ūdens sorbc</v>
      </c>
    </row>
    <row r="57" spans="1:6" ht="15.75" customHeight="1">
      <c r="A57" s="6"/>
      <c r="B57" s="20"/>
      <c r="C57" s="6"/>
      <c r="D57" s="43">
        <v>35</v>
      </c>
      <c r="E57" s="41" t="str">
        <f>IF(COUNTIF('Sl suberinskabe'!$A$5:$A$84, $D57) &gt; 0,"sub",IF(COUNTIF('Sl hito+suberinskabe'!$A$5:$A$78, $D57) &gt; 0,"hito_sub",""))</f>
        <v>hito_sub</v>
      </c>
      <c r="F57" s="41" t="str">
        <f>IF(COUNTIF('ūd. sorbcija Sl'!$C$3:$C$43, $D57) &gt; 0, "ūdens sorbc",IF(COUNTIF(spiedei!$C$2:$C$41, $D57) &gt; 0, "spiede", IF(COUNTIF(higro!$C$5:$C$18, $D57) &gt; 0, "higroskopija",IF(COUNTIF(higro!$C$31:$C$45, $D57) &gt; 0, "higroskopija",IF(COUNTIF(Komp!$A$2:$A$13, $D57) &gt; 0, "komposts","")))))</f>
        <v>ūdens sorbc</v>
      </c>
    </row>
    <row r="58" spans="1:6" ht="15.75" customHeight="1">
      <c r="A58" s="6"/>
      <c r="B58" s="20"/>
      <c r="C58" s="8"/>
      <c r="D58" s="10">
        <v>36</v>
      </c>
      <c r="E58" s="41" t="str">
        <f>IF(COUNTIF('Sl suberinskabe'!$A$5:$A$84, $D58) &gt; 0,"sub",IF(COUNTIF('Sl hito+suberinskabe'!$A$5:$A$78, $D58) &gt; 0,"hito_sub",""))</f>
        <v/>
      </c>
      <c r="F58" s="41" t="str">
        <f>IF(COUNTIF('ūd. sorbcija Sl'!$C$3:$C$43, $D58) &gt; 0, "ūdens sorbc",IF(COUNTIF(spiedei!$C$2:$C$41, $D58) &gt; 0, "spiede", IF(COUNTIF(higro!$C$5:$C$18, $D58) &gt; 0, "higroskopija",IF(COUNTIF(higro!$C$31:$C$45, $D58) &gt; 0, "higroskopija",IF(COUNTIF(Komp!$A$2:$A$13, $D58) &gt; 0, "komposts","")))))</f>
        <v/>
      </c>
    </row>
    <row r="59" spans="1:6" ht="15.75" customHeight="1">
      <c r="A59" s="6"/>
      <c r="B59" s="20"/>
      <c r="C59" s="13">
        <v>15</v>
      </c>
      <c r="D59" s="55">
        <v>37</v>
      </c>
      <c r="E59" s="41" t="str">
        <f>IF(COUNTIF('Sl suberinskabe'!$A$5:$A$84, $D59) &gt; 0,"sub",IF(COUNTIF('Sl hito+suberinskabe'!$A$5:$A$78, $D59) &gt; 0,"hito_sub",""))</f>
        <v>hito_sub</v>
      </c>
      <c r="F59" s="41" t="str">
        <f>IF(COUNTIF('ūd. sorbcija Sl'!$C$3:$C$43, $D59) &gt; 0, "ūdens sorbc",IF(COUNTIF(spiedei!$C$2:$C$41, $D59) &gt; 0, "spiede", IF(COUNTIF(higro!$C$5:$C$18, $D59) &gt; 0, "higroskopija",IF(COUNTIF(higro!$C$31:$C$45, $D59) &gt; 0, "higroskopija",IF(COUNTIF(Komp!$A$2:$A$13, $D59) &gt; 0, "komposts","")))))</f>
        <v>higroskopija</v>
      </c>
    </row>
    <row r="60" spans="1:6" ht="15.75" customHeight="1">
      <c r="A60" s="6"/>
      <c r="B60" s="20"/>
      <c r="C60" s="6"/>
      <c r="D60" s="54">
        <v>38</v>
      </c>
      <c r="E60" s="41" t="str">
        <f>IF(COUNTIF('Sl suberinskabe'!$A$5:$A$84, $D60) &gt; 0,"sub",IF(COUNTIF('Sl hito+suberinskabe'!$A$5:$A$78, $D60) &gt; 0,"hito_sub",""))</f>
        <v>sub</v>
      </c>
      <c r="F60" s="41" t="str">
        <f>IF(COUNTIF('ūd. sorbcija Sl'!$C$3:$C$43, $D60) &gt; 0, "ūdens sorbc",IF(COUNTIF(spiedei!$C$2:$C$41, $D60) &gt; 0, "spiede", IF(COUNTIF(higro!$C$5:$C$18, $D60) &gt; 0, "higroskopija",IF(COUNTIF(higro!$C$31:$C$45, $D60) &gt; 0, "higroskopija",IF(COUNTIF(Komp!$A$2:$A$13, $D60) &gt; 0, "komposts","")))))</f>
        <v/>
      </c>
    </row>
    <row r="61" spans="1:6" ht="15.75" customHeight="1">
      <c r="A61" s="6"/>
      <c r="B61" s="20"/>
      <c r="C61" s="6"/>
      <c r="D61" s="49">
        <v>39</v>
      </c>
      <c r="E61" s="41" t="str">
        <f>IF(COUNTIF('Sl suberinskabe'!$A$5:$A$84, $D61) &gt; 0,"sub",IF(COUNTIF('Sl hito+suberinskabe'!$A$5:$A$78, $D61) &gt; 0,"hito_sub",""))</f>
        <v>sub</v>
      </c>
      <c r="F61" s="41" t="str">
        <f>IF(COUNTIF('ūd. sorbcija Sl'!$C$3:$C$43, $D61) &gt; 0, "ūdens sorbc",IF(COUNTIF(spiedei!$C$2:$C$41, $D61) &gt; 0, "spiede", IF(COUNTIF(higro!$C$5:$C$18, $D61) &gt; 0, "higroskopija",IF(COUNTIF(higro!$C$31:$C$45, $D61) &gt; 0, "higroskopija",IF(COUNTIF(Komp!$A$2:$A$13, $D61) &gt; 0, "komposts","")))))</f>
        <v>higroskopija</v>
      </c>
    </row>
    <row r="62" spans="1:6" ht="15.75" customHeight="1">
      <c r="A62" s="6"/>
      <c r="B62" s="20"/>
      <c r="C62" s="6"/>
      <c r="D62" s="43">
        <v>40</v>
      </c>
      <c r="E62" s="41" t="str">
        <f>IF(COUNTIF('Sl suberinskabe'!$A$5:$A$84, $D62) &gt; 0,"sub",IF(COUNTIF('Sl hito+suberinskabe'!$A$5:$A$78, $D62) &gt; 0,"hito_sub",""))</f>
        <v>sub</v>
      </c>
      <c r="F62" s="41" t="str">
        <f>IF(COUNTIF('ūd. sorbcija Sl'!$C$3:$C$43, $D62) &gt; 0, "ūdens sorbc",IF(COUNTIF(spiedei!$C$2:$C$41, $D62) &gt; 0, "spiede", IF(COUNTIF(higro!$C$5:$C$18, $D62) &gt; 0, "higroskopija",IF(COUNTIF(higro!$C$31:$C$45, $D62) &gt; 0, "higroskopija",IF(COUNTIF(Komp!$A$2:$A$13, $D62) &gt; 0, "komposts","")))))</f>
        <v>ūdens sorbc</v>
      </c>
    </row>
    <row r="63" spans="1:6" ht="15.75" customHeight="1">
      <c r="A63" s="6"/>
      <c r="B63" s="20"/>
      <c r="C63" s="6"/>
      <c r="D63" s="52">
        <v>41</v>
      </c>
      <c r="E63" s="41" t="str">
        <f>IF(COUNTIF('Sl suberinskabe'!$A$5:$A$84, $D63) &gt; 0,"sub",IF(COUNTIF('Sl hito+suberinskabe'!$A$5:$A$78, $D63) &gt; 0,"hito_sub",""))</f>
        <v>sub</v>
      </c>
      <c r="F63" s="41" t="str">
        <f>IF(COUNTIF('ūd. sorbcija Sl'!$C$3:$C$43, $D63) &gt; 0, "ūdens sorbc",IF(COUNTIF(spiedei!$C$2:$C$41, $D63) &gt; 0, "spiede", IF(COUNTIF(higro!$C$5:$C$18, $D63) &gt; 0, "higroskopija",IF(COUNTIF(higro!$C$31:$C$45, $D63) &gt; 0, "higroskopija",IF(COUNTIF(Komp!$A$2:$A$13, $D63) &gt; 0, "komposts","")))))</f>
        <v/>
      </c>
    </row>
    <row r="64" spans="1:6" ht="15.75" customHeight="1">
      <c r="A64" s="6"/>
      <c r="B64" s="20"/>
      <c r="C64" s="8"/>
      <c r="D64" s="10">
        <v>42</v>
      </c>
      <c r="E64" s="41" t="str">
        <f>IF(COUNTIF('Sl suberinskabe'!$A$5:$A$84, $D64) &gt; 0,"sub",IF(COUNTIF('Sl hito+suberinskabe'!$A$5:$A$78, $D64) &gt; 0,"hito_sub",""))</f>
        <v/>
      </c>
      <c r="F64" s="41" t="str">
        <f>IF(COUNTIF('ūd. sorbcija Sl'!$C$3:$C$43, $D64) &gt; 0, "ūdens sorbc",IF(COUNTIF(spiedei!$C$2:$C$41, $D64) &gt; 0, "spiede", IF(COUNTIF(higro!$C$5:$C$18, $D64) &gt; 0, "higroskopija",IF(COUNTIF(higro!$C$31:$C$45, $D64) &gt; 0, "higroskopija",IF(COUNTIF(Komp!$A$2:$A$13, $D64) &gt; 0, "komposts","")))))</f>
        <v/>
      </c>
    </row>
    <row r="65" spans="1:6" ht="15.75" customHeight="1">
      <c r="A65" s="6"/>
      <c r="B65" s="20"/>
      <c r="C65" s="13">
        <v>16</v>
      </c>
      <c r="D65" s="10">
        <v>43</v>
      </c>
      <c r="E65" s="41" t="str">
        <f>IF(COUNTIF('Sl suberinskabe'!$A$5:$A$84, $D65) &gt; 0,"sub",IF(COUNTIF('Sl hito+suberinskabe'!$A$5:$A$78, $D65) &gt; 0,"hito_sub",""))</f>
        <v/>
      </c>
      <c r="F65" s="41" t="str">
        <f>IF(COUNTIF('ūd. sorbcija Sl'!$C$3:$C$43, $D65) &gt; 0, "ūdens sorbc",IF(COUNTIF(spiedei!$C$2:$C$41, $D65) &gt; 0, "spiede", IF(COUNTIF(higro!$C$5:$C$18, $D65) &gt; 0, "higroskopija",IF(COUNTIF(higro!$C$31:$C$45, $D65) &gt; 0, "higroskopija",IF(COUNTIF(Komp!$A$2:$A$13, $D65) &gt; 0, "komposts","")))))</f>
        <v/>
      </c>
    </row>
    <row r="66" spans="1:6" ht="15.75" customHeight="1">
      <c r="A66" s="6"/>
      <c r="B66" s="20"/>
      <c r="C66" s="6"/>
      <c r="D66" s="45">
        <v>44</v>
      </c>
      <c r="E66" s="41" t="str">
        <f>IF(COUNTIF('Sl suberinskabe'!$A$5:$A$84, $D66) &gt; 0,"sub",IF(COUNTIF('Sl hito+suberinskabe'!$A$5:$A$78, $D66) &gt; 0,"hito_sub",""))</f>
        <v>hito_sub</v>
      </c>
      <c r="F66" s="41" t="str">
        <f>IF(COUNTIF('ūd. sorbcija Sl'!$C$3:$C$43, $D66) &gt; 0, "ūdens sorbc",IF(COUNTIF(spiedei!$C$2:$C$41, $D66) &gt; 0, "spiede", IF(COUNTIF(higro!$C$5:$C$18, $D66) &gt; 0, "higroskopija",IF(COUNTIF(higro!$C$31:$C$45, $D66) &gt; 0, "higroskopija",IF(COUNTIF(Komp!$A$2:$A$13, $D66) &gt; 0, "komposts","")))))</f>
        <v>spiede</v>
      </c>
    </row>
    <row r="67" spans="1:6" ht="15.75" customHeight="1">
      <c r="A67" s="6"/>
      <c r="B67" s="20"/>
      <c r="C67" s="6"/>
      <c r="D67" s="45">
        <v>45</v>
      </c>
      <c r="E67" s="41" t="str">
        <f>IF(COUNTIF('Sl suberinskabe'!$A$5:$A$84, $D67) &gt; 0,"sub",IF(COUNTIF('Sl hito+suberinskabe'!$A$5:$A$78, $D67) &gt; 0,"hito_sub",""))</f>
        <v>sub</v>
      </c>
      <c r="F67" s="41" t="str">
        <f>IF(COUNTIF('ūd. sorbcija Sl'!$C$3:$C$43, $D67) &gt; 0, "ūdens sorbc",IF(COUNTIF(spiedei!$C$2:$C$41, $D67) &gt; 0, "spiede", IF(COUNTIF(higro!$C$5:$C$18, $D67) &gt; 0, "higroskopija",IF(COUNTIF(higro!$C$31:$C$45, $D67) &gt; 0, "higroskopija",IF(COUNTIF(Komp!$A$2:$A$13, $D67) &gt; 0, "komposts","")))))</f>
        <v>spiede</v>
      </c>
    </row>
    <row r="68" spans="1:6" ht="15.75" customHeight="1">
      <c r="A68" s="6"/>
      <c r="B68" s="20"/>
      <c r="C68" s="6"/>
      <c r="D68" s="47">
        <v>46</v>
      </c>
      <c r="E68" s="41" t="str">
        <f>IF(COUNTIF('Sl suberinskabe'!$A$5:$A$84, $D68) &gt; 0,"sub",IF(COUNTIF('Sl hito+suberinskabe'!$A$5:$A$78, $D68) &gt; 0,"hito_sub",""))</f>
        <v>sub</v>
      </c>
      <c r="F68" s="41" t="str">
        <f>IF(COUNTIF('ūd. sorbcija Sl'!$C$3:$C$43, $D68) &gt; 0, "ūdens sorbc",IF(COUNTIF(spiedei!$C$2:$C$41, $D68) &gt; 0, "spiede", IF(COUNTIF(higro!$C$5:$C$18, $D68) &gt; 0, "higroskopija",IF(COUNTIF(higro!$C$31:$C$45, $D68) &gt; 0, "higroskopija",IF(COUNTIF(Komp!$A$2:$A$13, $D68) &gt; 0, "komposts","")))))</f>
        <v>komposts</v>
      </c>
    </row>
    <row r="69" spans="1:6" ht="15.75" customHeight="1">
      <c r="A69" s="6"/>
      <c r="B69" s="20"/>
      <c r="C69" s="6"/>
      <c r="D69" s="22">
        <v>47</v>
      </c>
      <c r="E69" s="41" t="str">
        <f>IF(COUNTIF('Sl suberinskabe'!$A$5:$A$84, $D69) &gt; 0,"sub",IF(COUNTIF('Sl hito+suberinskabe'!$A$5:$A$78, $D69) &gt; 0,"hito_sub",""))</f>
        <v>hito_sub</v>
      </c>
      <c r="F69" s="41" t="str">
        <f>IF(COUNTIF('ūd. sorbcija Sl'!$C$3:$C$43, $D69) &gt; 0, "ūdens sorbc",IF(COUNTIF(spiedei!$C$2:$C$41, $D69) &gt; 0, "spiede", IF(COUNTIF(higro!$C$5:$C$18, $D69) &gt; 0, "higroskopija",IF(COUNTIF(higro!$C$31:$C$45, $D69) &gt; 0, "higroskopija",IF(COUNTIF(Komp!$A$2:$A$13, $D69) &gt; 0, "komposts","")))))</f>
        <v/>
      </c>
    </row>
    <row r="70" spans="1:6" ht="15.75" customHeight="1">
      <c r="A70" s="6"/>
      <c r="B70" s="21"/>
      <c r="C70" s="8"/>
      <c r="D70" s="10">
        <v>48</v>
      </c>
      <c r="E70" s="41" t="str">
        <f>IF(COUNTIF('Sl suberinskabe'!$A$5:$A$84, $D70) &gt; 0,"sub",IF(COUNTIF('Sl hito+suberinskabe'!$A$5:$A$78, $D70) &gt; 0,"hito_sub",""))</f>
        <v/>
      </c>
      <c r="F70" s="41" t="str">
        <f>IF(COUNTIF('ūd. sorbcija Sl'!$C$3:$C$43, $D70) &gt; 0, "ūdens sorbc",IF(COUNTIF(spiedei!$C$2:$C$41, $D70) &gt; 0, "spiede", IF(COUNTIF(higro!$C$5:$C$18, $D70) &gt; 0, "higroskopija",IF(COUNTIF(higro!$C$31:$C$45, $D70) &gt; 0, "higroskopija",IF(COUNTIF(Komp!$A$2:$A$13, $D70) &gt; 0, "komposts","")))))</f>
        <v/>
      </c>
    </row>
    <row r="71" spans="1:6" ht="15.75" customHeight="1">
      <c r="A71" s="6"/>
      <c r="B71" s="19">
        <v>3</v>
      </c>
      <c r="C71" s="13">
        <v>18</v>
      </c>
      <c r="D71" s="43">
        <v>49</v>
      </c>
      <c r="E71" s="41" t="str">
        <f>IF(COUNTIF('Sl suberinskabe'!$A$5:$A$84, $D71) &gt; 0,"sub",IF(COUNTIF('Sl hito+suberinskabe'!$A$5:$A$78, $D71) &gt; 0,"hito_sub",""))</f>
        <v>hito_sub</v>
      </c>
      <c r="F71" s="41" t="str">
        <f>IF(COUNTIF('ūd. sorbcija Sl'!$C$3:$C$43, $D71) &gt; 0, "ūdens sorbc",IF(COUNTIF(spiedei!$C$2:$C$41, $D71) &gt; 0, "spiede", IF(COUNTIF(higro!$C$5:$C$18, $D71) &gt; 0, "higroskopija",IF(COUNTIF(higro!$C$31:$C$45, $D71) &gt; 0, "higroskopija",IF(COUNTIF(Komp!$A$2:$A$13, $D71) &gt; 0, "komposts","")))))</f>
        <v>ūdens sorbc</v>
      </c>
    </row>
    <row r="72" spans="1:6" ht="15.75" customHeight="1">
      <c r="A72" s="6"/>
      <c r="B72" s="20"/>
      <c r="C72" s="6"/>
      <c r="D72" s="47">
        <v>50</v>
      </c>
      <c r="E72" s="41" t="str">
        <f>IF(COUNTIF('Sl suberinskabe'!$A$5:$A$84, $D72) &gt; 0,"sub",IF(COUNTIF('Sl hito+suberinskabe'!$A$5:$A$78, $D72) &gt; 0,"hito_sub",""))</f>
        <v>hito_sub</v>
      </c>
      <c r="F72" s="41" t="str">
        <f>IF(COUNTIF('ūd. sorbcija Sl'!$C$3:$C$43, $D72) &gt; 0, "ūdens sorbc",IF(COUNTIF(spiedei!$C$2:$C$41, $D72) &gt; 0, "spiede", IF(COUNTIF(higro!$C$5:$C$18, $D72) &gt; 0, "higroskopija",IF(COUNTIF(higro!$C$31:$C$45, $D72) &gt; 0, "higroskopija",IF(COUNTIF(Komp!$A$2:$A$13, $D72) &gt; 0, "komposts","")))))</f>
        <v/>
      </c>
    </row>
    <row r="73" spans="1:6" ht="15.75" customHeight="1">
      <c r="A73" s="6"/>
      <c r="B73" s="20"/>
      <c r="C73" s="6"/>
      <c r="D73" s="52">
        <v>51</v>
      </c>
      <c r="E73" s="41" t="str">
        <f>IF(COUNTIF('Sl suberinskabe'!$A$5:$A$84, $D73) &gt; 0,"sub",IF(COUNTIF('Sl hito+suberinskabe'!$A$5:$A$78, $D73) &gt; 0,"hito_sub",""))</f>
        <v>sub</v>
      </c>
      <c r="F73" s="41" t="str">
        <f>IF(COUNTIF('ūd. sorbcija Sl'!$C$3:$C$43, $D73) &gt; 0, "ūdens sorbc",IF(COUNTIF(spiedei!$C$2:$C$41, $D73) &gt; 0, "spiede", IF(COUNTIF(higro!$C$5:$C$18, $D73) &gt; 0, "higroskopija",IF(COUNTIF(higro!$C$31:$C$45, $D73) &gt; 0, "higroskopija",IF(COUNTIF(Komp!$A$2:$A$13, $D73) &gt; 0, "komposts","")))))</f>
        <v>komposts</v>
      </c>
    </row>
    <row r="74" spans="1:6" ht="15.75" customHeight="1">
      <c r="A74" s="6"/>
      <c r="B74" s="20"/>
      <c r="C74" s="6"/>
      <c r="D74" s="43">
        <v>52</v>
      </c>
      <c r="E74" s="41" t="str">
        <f>IF(COUNTIF('Sl suberinskabe'!$A$5:$A$84, $D74) &gt; 0,"sub",IF(COUNTIF('Sl hito+suberinskabe'!$A$5:$A$78, $D74) &gt; 0,"hito_sub",""))</f>
        <v>sub</v>
      </c>
      <c r="F74" s="41" t="str">
        <f>IF(COUNTIF('ūd. sorbcija Sl'!$C$3:$C$43, $D74) &gt; 0, "ūdens sorbc",IF(COUNTIF(spiedei!$C$2:$C$41, $D74) &gt; 0, "spiede", IF(COUNTIF(higro!$C$5:$C$18, $D74) &gt; 0, "higroskopija",IF(COUNTIF(higro!$C$31:$C$45, $D74) &gt; 0, "higroskopija",IF(COUNTIF(Komp!$A$2:$A$13, $D74) &gt; 0, "komposts","")))))</f>
        <v>ūdens sorbc</v>
      </c>
    </row>
    <row r="75" spans="1:6" ht="15.75" customHeight="1">
      <c r="A75" s="6"/>
      <c r="B75" s="20"/>
      <c r="C75" s="8"/>
      <c r="D75" s="55">
        <v>53</v>
      </c>
      <c r="E75" s="41" t="str">
        <f>IF(COUNTIF('Sl suberinskabe'!$A$5:$A$84, $D75) &gt; 0,"sub",IF(COUNTIF('Sl hito+suberinskabe'!$A$5:$A$78, $D75) &gt; 0,"hito_sub",""))</f>
        <v>hito_sub</v>
      </c>
      <c r="F75" s="41" t="str">
        <f>IF(COUNTIF('ūd. sorbcija Sl'!$C$3:$C$43, $D75) &gt; 0, "ūdens sorbc",IF(COUNTIF(spiedei!$C$2:$C$41, $D75) &gt; 0, "spiede", IF(COUNTIF(higro!$C$5:$C$18, $D75) &gt; 0, "higroskopija",IF(COUNTIF(higro!$C$31:$C$45, $D75) &gt; 0, "higroskopija",IF(COUNTIF(Komp!$A$2:$A$13, $D75) &gt; 0, "komposts","")))))</f>
        <v>higroskopija</v>
      </c>
    </row>
    <row r="76" spans="1:6" ht="15.75" customHeight="1">
      <c r="A76" s="6"/>
      <c r="B76" s="20"/>
      <c r="C76" s="13">
        <v>30</v>
      </c>
      <c r="D76" s="10">
        <v>54</v>
      </c>
      <c r="E76" s="41" t="str">
        <f>IF(COUNTIF('Sl suberinskabe'!$A$5:$A$84, $D76) &gt; 0,"sub",IF(COUNTIF('Sl hito+suberinskabe'!$A$5:$A$78, $D76) &gt; 0,"hito_sub",""))</f>
        <v/>
      </c>
      <c r="F76" s="41" t="str">
        <f>IF(COUNTIF('ūd. sorbcija Sl'!$C$3:$C$43, $D76) &gt; 0, "ūdens sorbc",IF(COUNTIF(spiedei!$C$2:$C$41, $D76) &gt; 0, "spiede", IF(COUNTIF(higro!$C$5:$C$18, $D76) &gt; 0, "higroskopija",IF(COUNTIF(higro!$C$31:$C$45, $D76) &gt; 0, "higroskopija",IF(COUNTIF(Komp!$A$2:$A$13, $D76) &gt; 0, "komposts","")))))</f>
        <v/>
      </c>
    </row>
    <row r="77" spans="1:6" ht="15.75" customHeight="1">
      <c r="A77" s="6"/>
      <c r="B77" s="20"/>
      <c r="C77" s="6"/>
      <c r="D77" s="49">
        <v>55</v>
      </c>
      <c r="E77" s="41" t="str">
        <f>IF(COUNTIF('Sl suberinskabe'!$A$5:$A$84, $D77) &gt; 0,"sub",IF(COUNTIF('Sl hito+suberinskabe'!$A$5:$A$78, $D77) &gt; 0,"hito_sub",""))</f>
        <v>sub</v>
      </c>
      <c r="F77" s="41" t="str">
        <f>IF(COUNTIF('ūd. sorbcija Sl'!$C$3:$C$43, $D77) &gt; 0, "ūdens sorbc",IF(COUNTIF(spiedei!$C$2:$C$41, $D77) &gt; 0, "spiede", IF(COUNTIF(higro!$C$5:$C$18, $D77) &gt; 0, "higroskopija",IF(COUNTIF(higro!$C$31:$C$45, $D77) &gt; 0, "higroskopija",IF(COUNTIF(Komp!$A$2:$A$13, $D77) &gt; 0, "komposts","")))))</f>
        <v>higroskopija</v>
      </c>
    </row>
    <row r="78" spans="1:6" ht="15.75" customHeight="1">
      <c r="A78" s="6"/>
      <c r="B78" s="20"/>
      <c r="C78" s="6"/>
      <c r="D78" s="45">
        <v>56</v>
      </c>
      <c r="E78" s="41" t="str">
        <f>IF(COUNTIF('Sl suberinskabe'!$A$5:$A$84, $D78) &gt; 0,"sub",IF(COUNTIF('Sl hito+suberinskabe'!$A$5:$A$78, $D78) &gt; 0,"hito_sub",""))</f>
        <v>sub</v>
      </c>
      <c r="F78" s="41" t="str">
        <f>IF(COUNTIF('ūd. sorbcija Sl'!$C$3:$C$43, $D78) &gt; 0, "ūdens sorbc",IF(COUNTIF(spiedei!$C$2:$C$41, $D78) &gt; 0, "spiede", IF(COUNTIF(higro!$C$5:$C$18, $D78) &gt; 0, "higroskopija",IF(COUNTIF(higro!$C$31:$C$45, $D78) &gt; 0, "higroskopija",IF(COUNTIF(Komp!$A$2:$A$13, $D78) &gt; 0, "komposts","")))))</f>
        <v>spiede</v>
      </c>
    </row>
    <row r="79" spans="1:6" ht="15.75" customHeight="1">
      <c r="A79" s="6"/>
      <c r="B79" s="20"/>
      <c r="C79" s="6"/>
      <c r="D79" s="22">
        <v>57</v>
      </c>
      <c r="E79" s="41" t="str">
        <f>IF(COUNTIF('Sl suberinskabe'!$A$5:$A$84, $D79) &gt; 0,"sub",IF(COUNTIF('Sl hito+suberinskabe'!$A$5:$A$78, $D79) &gt; 0,"hito_sub",""))</f>
        <v>hito_sub</v>
      </c>
      <c r="F79" s="41" t="str">
        <f>IF(COUNTIF('ūd. sorbcija Sl'!$C$3:$C$43, $D79) &gt; 0, "ūdens sorbc",IF(COUNTIF(spiedei!$C$2:$C$41, $D79) &gt; 0, "spiede", IF(COUNTIF(higro!$C$5:$C$18, $D79) &gt; 0, "higroskopija",IF(COUNTIF(higro!$C$31:$C$45, $D79) &gt; 0, "higroskopija",IF(COUNTIF(Komp!$A$2:$A$13, $D79) &gt; 0, "komposts","")))))</f>
        <v/>
      </c>
    </row>
    <row r="80" spans="1:6" ht="15.75" customHeight="1">
      <c r="A80" s="6"/>
      <c r="B80" s="20"/>
      <c r="C80" s="8"/>
      <c r="D80" s="10">
        <v>58</v>
      </c>
      <c r="E80" s="41" t="str">
        <f>IF(COUNTIF('Sl suberinskabe'!$A$5:$A$84, $D80) &gt; 0,"sub",IF(COUNTIF('Sl hito+suberinskabe'!$A$5:$A$78, $D80) &gt; 0,"hito_sub",""))</f>
        <v/>
      </c>
      <c r="F80" s="41" t="str">
        <f>IF(COUNTIF('ūd. sorbcija Sl'!$C$3:$C$43, $D80) &gt; 0, "ūdens sorbc",IF(COUNTIF(spiedei!$C$2:$C$41, $D80) &gt; 0, "spiede", IF(COUNTIF(higro!$C$5:$C$18, $D80) &gt; 0, "higroskopija",IF(COUNTIF(higro!$C$31:$C$45, $D80) &gt; 0, "higroskopija",IF(COUNTIF(Komp!$A$2:$A$13, $D80) &gt; 0, "komposts","")))))</f>
        <v/>
      </c>
    </row>
    <row r="81" spans="1:6" ht="15.75" customHeight="1">
      <c r="A81" s="6"/>
      <c r="B81" s="20"/>
      <c r="C81" s="13">
        <v>31</v>
      </c>
      <c r="D81" s="43">
        <v>59</v>
      </c>
      <c r="E81" s="41" t="str">
        <f>IF(COUNTIF('Sl suberinskabe'!$A$5:$A$84, $D81) &gt; 0,"sub",IF(COUNTIF('Sl hito+suberinskabe'!$A$5:$A$78, $D81) &gt; 0,"hito_sub",""))</f>
        <v>hito_sub</v>
      </c>
      <c r="F81" s="41" t="str">
        <f>IF(COUNTIF('ūd. sorbcija Sl'!$C$3:$C$43, $D81) &gt; 0, "ūdens sorbc",IF(COUNTIF(spiedei!$C$2:$C$41, $D81) &gt; 0, "spiede", IF(COUNTIF(higro!$C$5:$C$18, $D81) &gt; 0, "higroskopija",IF(COUNTIF(higro!$C$31:$C$45, $D81) &gt; 0, "higroskopija",IF(COUNTIF(Komp!$A$2:$A$13, $D81) &gt; 0, "komposts","")))))</f>
        <v>ūdens sorbc</v>
      </c>
    </row>
    <row r="82" spans="1:6" ht="15.75" customHeight="1">
      <c r="A82" s="6"/>
      <c r="B82" s="20"/>
      <c r="C82" s="6"/>
      <c r="D82" s="47">
        <v>60</v>
      </c>
      <c r="E82" s="41" t="str">
        <f>IF(COUNTIF('Sl suberinskabe'!$A$5:$A$84, $D82) &gt; 0,"sub",IF(COUNTIF('Sl hito+suberinskabe'!$A$5:$A$78, $D82) &gt; 0,"hito_sub",""))</f>
        <v>sub</v>
      </c>
      <c r="F82" s="41" t="str">
        <f>IF(COUNTIF('ūd. sorbcija Sl'!$C$3:$C$43, $D82) &gt; 0, "ūdens sorbc",IF(COUNTIF(spiedei!$C$2:$C$41, $D82) &gt; 0, "spiede", IF(COUNTIF(higro!$C$5:$C$18, $D82) &gt; 0, "higroskopija",IF(COUNTIF(higro!$C$31:$C$45, $D82) &gt; 0, "higroskopija",IF(COUNTIF(Komp!$A$2:$A$13, $D82) &gt; 0, "komposts","")))))</f>
        <v/>
      </c>
    </row>
    <row r="83" spans="1:6" ht="15.75" customHeight="1">
      <c r="A83" s="6"/>
      <c r="B83" s="20"/>
      <c r="C83" s="6"/>
      <c r="D83" s="54">
        <v>61</v>
      </c>
      <c r="E83" s="41" t="str">
        <f>IF(COUNTIF('Sl suberinskabe'!$A$5:$A$84, $D83) &gt; 0,"sub",IF(COUNTIF('Sl hito+suberinskabe'!$A$5:$A$78, $D83) &gt; 0,"hito_sub",""))</f>
        <v>sub</v>
      </c>
      <c r="F83" s="41" t="str">
        <f>IF(COUNTIF('ūd. sorbcija Sl'!$C$3:$C$43, $D83) &gt; 0, "ūdens sorbc",IF(COUNTIF(spiedei!$C$2:$C$41, $D83) &gt; 0, "spiede", IF(COUNTIF(higro!$C$5:$C$18, $D83) &gt; 0, "higroskopija",IF(COUNTIF(higro!$C$31:$C$45, $D83) &gt; 0, "higroskopija",IF(COUNTIF(Komp!$A$2:$A$13, $D83) &gt; 0, "komposts","")))))</f>
        <v>komposts</v>
      </c>
    </row>
    <row r="84" spans="1:6" ht="15.75" customHeight="1">
      <c r="A84" s="6"/>
      <c r="B84" s="20"/>
      <c r="C84" s="6"/>
      <c r="D84" s="54">
        <v>62</v>
      </c>
      <c r="E84" s="41" t="str">
        <f>IF(COUNTIF('Sl suberinskabe'!$A$5:$A$84, $D84) &gt; 0,"sub",IF(COUNTIF('Sl hito+suberinskabe'!$A$5:$A$78, $D84) &gt; 0,"hito_sub",""))</f>
        <v>hito_sub</v>
      </c>
      <c r="F84" s="41" t="str">
        <f>IF(COUNTIF('ūd. sorbcija Sl'!$C$3:$C$43, $D84) &gt; 0, "ūdens sorbc",IF(COUNTIF(spiedei!$C$2:$C$41, $D84) &gt; 0, "spiede", IF(COUNTIF(higro!$C$5:$C$18, $D84) &gt; 0, "higroskopija",IF(COUNTIF(higro!$C$31:$C$45, $D84) &gt; 0, "higroskopija",IF(COUNTIF(Komp!$A$2:$A$13, $D84) &gt; 0, "komposts","")))))</f>
        <v/>
      </c>
    </row>
    <row r="85" spans="1:6" ht="15.75" customHeight="1">
      <c r="A85" s="8"/>
      <c r="B85" s="21"/>
      <c r="C85" s="8"/>
      <c r="D85" s="10">
        <v>63</v>
      </c>
      <c r="E85" s="41" t="str">
        <f>IF(COUNTIF('Sl suberinskabe'!$A$5:$A$84, $D85) &gt; 0,"sub",IF(COUNTIF('Sl hito+suberinskabe'!$A$5:$A$78, $D85) &gt; 0,"hito_sub",""))</f>
        <v/>
      </c>
      <c r="F85" s="41" t="str">
        <f>IF(COUNTIF('ūd. sorbcija Sl'!$C$3:$C$43, $D85) &gt; 0, "ūdens sorbc",IF(COUNTIF(spiedei!$C$2:$C$41, $D85) &gt; 0, "spiede", IF(COUNTIF(higro!$C$5:$C$18, $D85) &gt; 0, "higroskopija",IF(COUNTIF(higro!$C$31:$C$45, $D85) &gt; 0, "higroskopija",IF(COUNTIF(Komp!$A$2:$A$13, $D85) &gt; 0, "komposts","")))))</f>
        <v/>
      </c>
    </row>
    <row r="86" spans="1:6" ht="15.75" customHeight="1">
      <c r="A86" s="13" t="s">
        <v>17</v>
      </c>
      <c r="B86" s="13">
        <v>1</v>
      </c>
      <c r="C86" s="13">
        <v>70</v>
      </c>
      <c r="D86" s="10">
        <v>119</v>
      </c>
      <c r="E86" s="41" t="str">
        <f>IF(COUNTIF('Sl suberinskabe'!$A$5:$A$84, $D86) &gt; 0,"sub",IF(COUNTIF('Sl hito+suberinskabe'!$A$5:$A$78, $D86) &gt; 0,"hito_sub",""))</f>
        <v/>
      </c>
      <c r="F86" s="41" t="str">
        <f>IF(COUNTIF('ūd. sorbcija Sl'!$C$3:$C$43, $D86) &gt; 0, "ūdens sorbc",IF(COUNTIF(spiedei!$C$2:$C$41, $D86) &gt; 0, "spiede", IF(COUNTIF(higro!$C$5:$C$18, $D86) &gt; 0, "higroskopija",IF(COUNTIF(higro!$C$31:$C$45, $D86) &gt; 0, "higroskopija",IF(COUNTIF(Komp!$A$2:$A$13, $D86) &gt; 0, "komposts","")))))</f>
        <v/>
      </c>
    </row>
    <row r="87" spans="1:6" ht="15.75" customHeight="1">
      <c r="A87" s="6"/>
      <c r="B87" s="6"/>
      <c r="C87" s="6"/>
      <c r="D87" s="45">
        <v>120</v>
      </c>
      <c r="E87" s="41" t="str">
        <f>IF(COUNTIF('Sl suberinskabe'!$A$5:$A$84, $D87) &gt; 0,"sub",IF(COUNTIF('Sl hito+suberinskabe'!$A$5:$A$78, $D87) &gt; 0,"hito_sub",""))</f>
        <v>hito_sub</v>
      </c>
      <c r="F87" s="41" t="str">
        <f>IF(COUNTIF('ūd. sorbcija Sl'!$C$3:$C$43, $D87) &gt; 0, "ūdens sorbc",IF(COUNTIF(spiedei!$C$2:$C$41, $D87) &gt; 0, "spiede", IF(COUNTIF(higro!$C$5:$C$18, $D87) &gt; 0, "higroskopija",IF(COUNTIF(higro!$C$31:$C$45, $D87) &gt; 0, "higroskopija",IF(COUNTIF(Komp!$A$2:$A$13, $D87) &gt; 0, "komposts","")))))</f>
        <v>spiede</v>
      </c>
    </row>
    <row r="88" spans="1:6" ht="15.75" customHeight="1">
      <c r="A88" s="6"/>
      <c r="B88" s="6"/>
      <c r="C88" s="6"/>
      <c r="D88" s="43">
        <v>121</v>
      </c>
      <c r="E88" s="41" t="str">
        <f>IF(COUNTIF('Sl suberinskabe'!$A$5:$A$84, $D88) &gt; 0,"sub",IF(COUNTIF('Sl hito+suberinskabe'!$A$5:$A$78, $D88) &gt; 0,"hito_sub",""))</f>
        <v>sub</v>
      </c>
      <c r="F88" s="41" t="str">
        <f>IF(COUNTIF('ūd. sorbcija Sl'!$C$3:$C$43, $D88) &gt; 0, "ūdens sorbc",IF(COUNTIF(spiedei!$C$2:$C$41, $D88) &gt; 0, "spiede", IF(COUNTIF(higro!$C$5:$C$18, $D88) &gt; 0, "higroskopija",IF(COUNTIF(higro!$C$31:$C$45, $D88) &gt; 0, "higroskopija",IF(COUNTIF(Komp!$A$2:$A$13, $D88) &gt; 0, "komposts","")))))</f>
        <v>ūdens sorbc</v>
      </c>
    </row>
    <row r="89" spans="1:6" ht="15.75" customHeight="1">
      <c r="A89" s="6"/>
      <c r="B89" s="6"/>
      <c r="C89" s="6"/>
      <c r="D89" s="49">
        <v>122</v>
      </c>
      <c r="E89" s="41" t="str">
        <f>IF(COUNTIF('Sl suberinskabe'!$A$5:$A$84, $D89) &gt; 0,"sub",IF(COUNTIF('Sl hito+suberinskabe'!$A$5:$A$78, $D89) &gt; 0,"hito_sub",""))</f>
        <v>sub</v>
      </c>
      <c r="F89" s="41" t="str">
        <f>IF(COUNTIF('ūd. sorbcija Sl'!$C$3:$C$43, $D89) &gt; 0, "ūdens sorbc",IF(COUNTIF(spiedei!$C$2:$C$41, $D89) &gt; 0, "spiede", IF(COUNTIF(higro!$C$5:$C$18, $D89) &gt; 0, "higroskopija",IF(COUNTIF(higro!$C$31:$C$45, $D89) &gt; 0, "higroskopija",IF(COUNTIF(Komp!$A$2:$A$13, $D89) &gt; 0, "komposts","")))))</f>
        <v>higroskopija</v>
      </c>
    </row>
    <row r="90" spans="1:6" ht="15.75" customHeight="1">
      <c r="A90" s="6"/>
      <c r="B90" s="6"/>
      <c r="C90" s="8"/>
      <c r="D90" s="43">
        <v>123</v>
      </c>
      <c r="E90" s="41" t="str">
        <f>IF(COUNTIF('Sl suberinskabe'!$A$5:$A$84, $D90) &gt; 0,"sub",IF(COUNTIF('Sl hito+suberinskabe'!$A$5:$A$78, $D90) &gt; 0,"hito_sub",""))</f>
        <v>hito_sub</v>
      </c>
      <c r="F90" s="41" t="str">
        <f>IF(COUNTIF('ūd. sorbcija Sl'!$C$3:$C$43, $D90) &gt; 0, "ūdens sorbc",IF(COUNTIF(spiedei!$C$2:$C$41, $D90) &gt; 0, "spiede", IF(COUNTIF(higro!$C$5:$C$18, $D90) &gt; 0, "higroskopija",IF(COUNTIF(higro!$C$31:$C$45, $D90) &gt; 0, "higroskopija",IF(COUNTIF(Komp!$A$2:$A$13, $D90) &gt; 0, "komposts","")))))</f>
        <v>ūdens sorbc</v>
      </c>
    </row>
    <row r="91" spans="1:6" ht="15.75" customHeight="1">
      <c r="A91" s="6"/>
      <c r="B91" s="6"/>
      <c r="C91" s="13">
        <v>72</v>
      </c>
      <c r="D91" s="47">
        <v>124</v>
      </c>
      <c r="E91" s="41" t="str">
        <f>IF(COUNTIF('Sl suberinskabe'!$A$5:$A$84, $D91) &gt; 0,"sub",IF(COUNTIF('Sl hito+suberinskabe'!$A$5:$A$78, $D91) &gt; 0,"hito_sub",""))</f>
        <v>hito_sub</v>
      </c>
      <c r="F91" s="41" t="str">
        <f>IF(COUNTIF('ūd. sorbcija Sl'!$C$3:$C$43, $D91) &gt; 0, "ūdens sorbc",IF(COUNTIF(spiedei!$C$2:$C$41, $D91) &gt; 0, "spiede", IF(COUNTIF(higro!$C$5:$C$18, $D91) &gt; 0, "higroskopija",IF(COUNTIF(higro!$C$31:$C$45, $D91) &gt; 0, "higroskopija",IF(COUNTIF(Komp!$A$2:$A$13, $D91) &gt; 0, "komposts","")))))</f>
        <v/>
      </c>
    </row>
    <row r="92" spans="1:6" ht="15.75" customHeight="1">
      <c r="A92" s="6"/>
      <c r="B92" s="6"/>
      <c r="C92" s="6"/>
      <c r="D92" s="45">
        <v>125</v>
      </c>
      <c r="E92" s="41" t="str">
        <f>IF(COUNTIF('Sl suberinskabe'!$A$5:$A$84, $D92) &gt; 0,"sub",IF(COUNTIF('Sl hito+suberinskabe'!$A$5:$A$78, $D92) &gt; 0,"hito_sub",""))</f>
        <v>sub</v>
      </c>
      <c r="F92" s="41" t="str">
        <f>IF(COUNTIF('ūd. sorbcija Sl'!$C$3:$C$43, $D92) &gt; 0, "ūdens sorbc",IF(COUNTIF(spiedei!$C$2:$C$41, $D92) &gt; 0, "spiede", IF(COUNTIF(higro!$C$5:$C$18, $D92) &gt; 0, "higroskopija",IF(COUNTIF(higro!$C$31:$C$45, $D92) &gt; 0, "higroskopija",IF(COUNTIF(Komp!$A$2:$A$13, $D92) &gt; 0, "komposts","")))))</f>
        <v>spiede</v>
      </c>
    </row>
    <row r="93" spans="1:6" ht="15.75" customHeight="1">
      <c r="A93" s="6"/>
      <c r="B93" s="6"/>
      <c r="C93" s="6"/>
      <c r="D93" s="45">
        <v>126</v>
      </c>
      <c r="E93" s="41" t="str">
        <f>IF(COUNTIF('Sl suberinskabe'!$A$5:$A$84, $D93) &gt; 0,"sub",IF(COUNTIF('Sl hito+suberinskabe'!$A$5:$A$78, $D93) &gt; 0,"hito_sub",""))</f>
        <v>hito_sub</v>
      </c>
      <c r="F93" s="41" t="str">
        <f>IF(COUNTIF('ūd. sorbcija Sl'!$C$3:$C$43, $D93) &gt; 0, "ūdens sorbc",IF(COUNTIF(spiedei!$C$2:$C$41, $D93) &gt; 0, "spiede", IF(COUNTIF(higro!$C$5:$C$18, $D93) &gt; 0, "higroskopija",IF(COUNTIF(higro!$C$31:$C$45, $D93) &gt; 0, "higroskopija",IF(COUNTIF(Komp!$A$2:$A$13, $D93) &gt; 0, "komposts","")))))</f>
        <v>spiede</v>
      </c>
    </row>
    <row r="94" spans="1:6" ht="15.75" customHeight="1">
      <c r="A94" s="6"/>
      <c r="B94" s="6"/>
      <c r="C94" s="6"/>
      <c r="D94" s="54">
        <v>127</v>
      </c>
      <c r="E94" s="41" t="str">
        <f>IF(COUNTIF('Sl suberinskabe'!$A$5:$A$84, $D94) &gt; 0,"sub",IF(COUNTIF('Sl hito+suberinskabe'!$A$5:$A$78, $D94) &gt; 0,"hito_sub",""))</f>
        <v>hito_sub</v>
      </c>
      <c r="F94" s="41" t="str">
        <f>IF(COUNTIF('ūd. sorbcija Sl'!$C$3:$C$43, $D94) &gt; 0, "ūdens sorbc",IF(COUNTIF(spiedei!$C$2:$C$41, $D94) &gt; 0, "spiede", IF(COUNTIF(higro!$C$5:$C$18, $D94) &gt; 0, "higroskopija",IF(COUNTIF(higro!$C$31:$C$45, $D94) &gt; 0, "higroskopija",IF(COUNTIF(Komp!$A$2:$A$13, $D94) &gt; 0, "komposts","")))))</f>
        <v/>
      </c>
    </row>
    <row r="95" spans="1:6" ht="15.75" customHeight="1">
      <c r="A95" s="6"/>
      <c r="B95" s="8"/>
      <c r="C95" s="8"/>
      <c r="D95" s="10">
        <v>128</v>
      </c>
      <c r="E95" s="41" t="str">
        <f>IF(COUNTIF('Sl suberinskabe'!$A$5:$A$84, $D95) &gt; 0,"sub",IF(COUNTIF('Sl hito+suberinskabe'!$A$5:$A$78, $D95) &gt; 0,"hito_sub",""))</f>
        <v/>
      </c>
      <c r="F95" s="41" t="str">
        <f>IF(COUNTIF('ūd. sorbcija Sl'!$C$3:$C$43, $D95) &gt; 0, "ūdens sorbc",IF(COUNTIF(spiedei!$C$2:$C$41, $D95) &gt; 0, "spiede", IF(COUNTIF(higro!$C$5:$C$18, $D95) &gt; 0, "higroskopija",IF(COUNTIF(higro!$C$31:$C$45, $D95) &gt; 0, "higroskopija",IF(COUNTIF(Komp!$A$2:$A$13, $D95) &gt; 0, "komposts","")))))</f>
        <v/>
      </c>
    </row>
    <row r="96" spans="1:6" ht="15.75" customHeight="1">
      <c r="A96" s="6"/>
      <c r="B96" s="13">
        <v>2</v>
      </c>
      <c r="C96" s="13">
        <v>76</v>
      </c>
      <c r="D96" s="10">
        <v>129</v>
      </c>
      <c r="E96" s="41" t="str">
        <f>IF(COUNTIF('Sl suberinskabe'!$A$5:$A$84, $D96) &gt; 0,"sub",IF(COUNTIF('Sl hito+suberinskabe'!$A$5:$A$78, $D96) &gt; 0,"hito_sub",""))</f>
        <v/>
      </c>
      <c r="F96" s="41" t="str">
        <f>IF(COUNTIF('ūd. sorbcija Sl'!$C$3:$C$43, $D96) &gt; 0, "ūdens sorbc",IF(COUNTIF(spiedei!$C$2:$C$41, $D96) &gt; 0, "spiede", IF(COUNTIF(higro!$C$5:$C$18, $D96) &gt; 0, "higroskopija",IF(COUNTIF(higro!$C$31:$C$45, $D96) &gt; 0, "higroskopija",IF(COUNTIF(Komp!$A$2:$A$13, $D96) &gt; 0, "komposts","")))))</f>
        <v/>
      </c>
    </row>
    <row r="97" spans="1:6" ht="15.75" customHeight="1">
      <c r="A97" s="6"/>
      <c r="B97" s="6"/>
      <c r="C97" s="6"/>
      <c r="D97" s="43">
        <v>130</v>
      </c>
      <c r="E97" s="41" t="str">
        <f>IF(COUNTIF('Sl suberinskabe'!$A$5:$A$84, $D97) &gt; 0,"sub",IF(COUNTIF('Sl hito+suberinskabe'!$A$5:$A$78, $D97) &gt; 0,"hito_sub",""))</f>
        <v>hito_sub</v>
      </c>
      <c r="F97" s="41" t="str">
        <f>IF(COUNTIF('ūd. sorbcija Sl'!$C$3:$C$43, $D97) &gt; 0, "ūdens sorbc",IF(COUNTIF(spiedei!$C$2:$C$41, $D97) &gt; 0, "spiede", IF(COUNTIF(higro!$C$5:$C$18, $D97) &gt; 0, "higroskopija",IF(COUNTIF(higro!$C$31:$C$45, $D97) &gt; 0, "higroskopija",IF(COUNTIF(Komp!$A$2:$A$13, $D97) &gt; 0, "komposts","")))))</f>
        <v>ūdens sorbc</v>
      </c>
    </row>
    <row r="98" spans="1:6" ht="15.75" customHeight="1">
      <c r="A98" s="6"/>
      <c r="B98" s="6"/>
      <c r="C98" s="6"/>
      <c r="D98" s="47">
        <v>131</v>
      </c>
      <c r="E98" s="41" t="str">
        <f>IF(COUNTIF('Sl suberinskabe'!$A$5:$A$84, $D98) &gt; 0,"sub",IF(COUNTIF('Sl hito+suberinskabe'!$A$5:$A$78, $D98) &gt; 0,"hito_sub",""))</f>
        <v>sub</v>
      </c>
      <c r="F98" s="41" t="str">
        <f>IF(COUNTIF('ūd. sorbcija Sl'!$C$3:$C$43, $D98) &gt; 0, "ūdens sorbc",IF(COUNTIF(spiedei!$C$2:$C$41, $D98) &gt; 0, "spiede", IF(COUNTIF(higro!$C$5:$C$18, $D98) &gt; 0, "higroskopija",IF(COUNTIF(higro!$C$31:$C$45, $D98) &gt; 0, "higroskopija",IF(COUNTIF(Komp!$A$2:$A$13, $D98) &gt; 0, "komposts","")))))</f>
        <v/>
      </c>
    </row>
    <row r="99" spans="1:6" ht="15.75" customHeight="1">
      <c r="A99" s="6"/>
      <c r="B99" s="6"/>
      <c r="C99" s="6"/>
      <c r="D99" s="45">
        <v>132</v>
      </c>
      <c r="E99" s="41" t="str">
        <f>IF(COUNTIF('Sl suberinskabe'!$A$5:$A$84, $D99) &gt; 0,"sub",IF(COUNTIF('Sl hito+suberinskabe'!$A$5:$A$78, $D99) &gt; 0,"hito_sub",""))</f>
        <v>sub</v>
      </c>
      <c r="F99" s="41" t="str">
        <f>IF(COUNTIF('ūd. sorbcija Sl'!$C$3:$C$43, $D99) &gt; 0, "ūdens sorbc",IF(COUNTIF(spiedei!$C$2:$C$41, $D99) &gt; 0, "spiede", IF(COUNTIF(higro!$C$5:$C$18, $D99) &gt; 0, "higroskopija",IF(COUNTIF(higro!$C$31:$C$45, $D99) &gt; 0, "higroskopija",IF(COUNTIF(Komp!$A$2:$A$13, $D99) &gt; 0, "komposts","")))))</f>
        <v>spiede</v>
      </c>
    </row>
    <row r="100" spans="1:6" ht="15.75" customHeight="1">
      <c r="A100" s="6"/>
      <c r="B100" s="6"/>
      <c r="C100" s="8"/>
      <c r="D100" s="10">
        <v>133</v>
      </c>
      <c r="E100" s="41" t="str">
        <f>IF(COUNTIF('Sl suberinskabe'!$A$5:$A$84, $D100) &gt; 0,"sub",IF(COUNTIF('Sl hito+suberinskabe'!$A$5:$A$78, $D100) &gt; 0,"hito_sub",""))</f>
        <v/>
      </c>
      <c r="F100" s="41" t="str">
        <f>IF(COUNTIF('ūd. sorbcija Sl'!$C$3:$C$43, $D100) &gt; 0, "ūdens sorbc",IF(COUNTIF(spiedei!$C$2:$C$41, $D100) &gt; 0, "spiede", IF(COUNTIF(higro!$C$5:$C$18, $D100) &gt; 0, "higroskopija",IF(COUNTIF(higro!$C$31:$C$45, $D100) &gt; 0, "higroskopija",IF(COUNTIF(Komp!$A$2:$A$13, $D100) &gt; 0, "komposts","")))))</f>
        <v/>
      </c>
    </row>
    <row r="101" spans="1:6" ht="15.75" customHeight="1">
      <c r="A101" s="6"/>
      <c r="B101" s="6"/>
      <c r="C101" s="13">
        <v>77</v>
      </c>
      <c r="D101" s="55">
        <v>134</v>
      </c>
      <c r="E101" s="41" t="str">
        <f>IF(COUNTIF('Sl suberinskabe'!$A$5:$A$84, $D101) &gt; 0,"sub",IF(COUNTIF('Sl hito+suberinskabe'!$A$5:$A$78, $D101) &gt; 0,"hito_sub",""))</f>
        <v>hito_sub</v>
      </c>
      <c r="F101" s="41" t="str">
        <f>IF(COUNTIF('ūd. sorbcija Sl'!$C$3:$C$43, $D101) &gt; 0, "ūdens sorbc",IF(COUNTIF(spiedei!$C$2:$C$41, $D101) &gt; 0, "spiede", IF(COUNTIF(higro!$C$5:$C$18, $D101) &gt; 0, "higroskopija",IF(COUNTIF(higro!$C$31:$C$45, $D101) &gt; 0, "higroskopija",IF(COUNTIF(Komp!$A$2:$A$13, $D101) &gt; 0, "komposts","")))))</f>
        <v>higroskopija</v>
      </c>
    </row>
    <row r="102" spans="1:6" ht="15.75" customHeight="1">
      <c r="A102" s="6"/>
      <c r="B102" s="6"/>
      <c r="C102" s="6"/>
      <c r="D102" s="45">
        <v>135</v>
      </c>
      <c r="E102" s="41" t="str">
        <f>IF(COUNTIF('Sl suberinskabe'!$A$5:$A$84, $D102) &gt; 0,"sub",IF(COUNTIF('Sl hito+suberinskabe'!$A$5:$A$78, $D102) &gt; 0,"hito_sub",""))</f>
        <v>hito_sub</v>
      </c>
      <c r="F102" s="41" t="str">
        <f>IF(COUNTIF('ūd. sorbcija Sl'!$C$3:$C$43, $D102) &gt; 0, "ūdens sorbc",IF(COUNTIF(spiedei!$C$2:$C$41, $D102) &gt; 0, "spiede", IF(COUNTIF(higro!$C$5:$C$18, $D102) &gt; 0, "higroskopija",IF(COUNTIF(higro!$C$31:$C$45, $D102) &gt; 0, "higroskopija",IF(COUNTIF(Komp!$A$2:$A$13, $D102) &gt; 0, "komposts","")))))</f>
        <v>spiede</v>
      </c>
    </row>
    <row r="103" spans="1:6" ht="15.75" customHeight="1">
      <c r="A103" s="6"/>
      <c r="B103" s="6"/>
      <c r="C103" s="6"/>
      <c r="D103" s="43">
        <v>136</v>
      </c>
      <c r="E103" s="41" t="str">
        <f>IF(COUNTIF('Sl suberinskabe'!$A$5:$A$84, $D103) &gt; 0,"sub",IF(COUNTIF('Sl hito+suberinskabe'!$A$5:$A$78, $D103) &gt; 0,"hito_sub",""))</f>
        <v>sub</v>
      </c>
      <c r="F103" s="41" t="str">
        <f>IF(COUNTIF('ūd. sorbcija Sl'!$C$3:$C$43, $D103) &gt; 0, "ūdens sorbc",IF(COUNTIF(spiedei!$C$2:$C$41, $D103) &gt; 0, "spiede", IF(COUNTIF(higro!$C$5:$C$18, $D103) &gt; 0, "higroskopija",IF(COUNTIF(higro!$C$31:$C$45, $D103) &gt; 0, "higroskopija",IF(COUNTIF(Komp!$A$2:$A$13, $D103) &gt; 0, "komposts","")))))</f>
        <v>ūdens sorbc</v>
      </c>
    </row>
    <row r="104" spans="1:6" ht="15.75" customHeight="1">
      <c r="A104" s="6"/>
      <c r="B104" s="6"/>
      <c r="C104" s="6"/>
      <c r="D104" s="10">
        <v>137</v>
      </c>
      <c r="E104" s="41" t="str">
        <f>IF(COUNTIF('Sl suberinskabe'!$A$5:$A$84, $D104) &gt; 0,"sub",IF(COUNTIF('Sl hito+suberinskabe'!$A$5:$A$78, $D104) &gt; 0,"hito_sub",""))</f>
        <v/>
      </c>
      <c r="F104" s="41" t="str">
        <f>IF(COUNTIF('ūd. sorbcija Sl'!$C$3:$C$43, $D104) &gt; 0, "ūdens sorbc",IF(COUNTIF(spiedei!$C$2:$C$41, $D104) &gt; 0, "spiede", IF(COUNTIF(higro!$C$5:$C$18, $D104) &gt; 0, "higroskopija",IF(COUNTIF(higro!$C$31:$C$45, $D104) &gt; 0, "higroskopija",IF(COUNTIF(Komp!$A$2:$A$13, $D104) &gt; 0, "komposts","")))))</f>
        <v/>
      </c>
    </row>
    <row r="105" spans="1:6" ht="15.75" customHeight="1">
      <c r="A105" s="8"/>
      <c r="B105" s="8"/>
      <c r="C105" s="8"/>
      <c r="D105" s="10">
        <v>138</v>
      </c>
      <c r="E105" s="41" t="str">
        <f>IF(COUNTIF('Sl suberinskabe'!$A$5:$A$84, $D105) &gt; 0,"sub",IF(COUNTIF('Sl hito+suberinskabe'!$A$5:$A$78, $D105) &gt; 0,"hito_sub",""))</f>
        <v/>
      </c>
      <c r="F105" s="41" t="str">
        <f>IF(COUNTIF('ūd. sorbcija Sl'!$C$3:$C$43, $D105) &gt; 0, "ūdens sorbc",IF(COUNTIF(spiedei!$C$2:$C$41, $D105) &gt; 0, "spiede", IF(COUNTIF(higro!$C$5:$C$18, $D105) &gt; 0, "higroskopija",IF(COUNTIF(higro!$C$31:$C$45, $D105) &gt; 0, "higroskopija",IF(COUNTIF(Komp!$A$2:$A$13, $D105) &gt; 0, "komposts","")))))</f>
        <v/>
      </c>
    </row>
    <row r="106" spans="1:6" ht="15.75" customHeight="1">
      <c r="A106" s="18" t="s">
        <v>17</v>
      </c>
      <c r="B106" s="13" t="s">
        <v>54</v>
      </c>
      <c r="C106" s="19" t="s">
        <v>20</v>
      </c>
      <c r="D106" s="10">
        <v>179</v>
      </c>
      <c r="E106" s="41" t="str">
        <f>IF(COUNTIF('Sl suberinskabe'!$A$5:$A$84, $D106) &gt; 0,"sub",IF(COUNTIF('Sl hito+suberinskabe'!$A$5:$A$78, $D106) &gt; 0,"hito_sub",""))</f>
        <v/>
      </c>
      <c r="F106" s="41" t="str">
        <f>IF(COUNTIF('ūd. sorbcija Sl'!$C$3:$C$43, $D106) &gt; 0, "ūdens sorbc",IF(COUNTIF(spiedei!$C$2:$C$41, $D106) &gt; 0, "spiede", IF(COUNTIF(higro!$C$5:$C$18, $D106) &gt; 0, "higroskopija",IF(COUNTIF(higro!$C$31:$C$45, $D106) &gt; 0, "higroskopija",IF(COUNTIF(Komp!$A$2:$A$13, $D106) &gt; 0, "komposts","")))))</f>
        <v/>
      </c>
    </row>
    <row r="107" spans="1:6" ht="15.75" customHeight="1">
      <c r="A107" s="5"/>
      <c r="B107" s="6"/>
      <c r="C107" s="20"/>
      <c r="D107" s="10">
        <v>180</v>
      </c>
      <c r="E107" s="41" t="str">
        <f>IF(COUNTIF('Sl suberinskabe'!$A$5:$A$84, $D107) &gt; 0,"sub",IF(COUNTIF('Sl hito+suberinskabe'!$A$5:$A$78, $D107) &gt; 0,"hito_sub",""))</f>
        <v/>
      </c>
      <c r="F107" s="41" t="str">
        <f>IF(COUNTIF('ūd. sorbcija Sl'!$C$3:$C$43, $D107) &gt; 0, "ūdens sorbc",IF(COUNTIF(spiedei!$C$2:$C$41, $D107) &gt; 0, "spiede", IF(COUNTIF(higro!$C$5:$C$18, $D107) &gt; 0, "higroskopija",IF(COUNTIF(higro!$C$31:$C$45, $D107) &gt; 0, "higroskopija",IF(COUNTIF(Komp!$A$2:$A$13, $D107) &gt; 0, "komposts","")))))</f>
        <v/>
      </c>
    </row>
    <row r="108" spans="1:6" ht="15.75" customHeight="1">
      <c r="A108" s="5"/>
      <c r="B108" s="6"/>
      <c r="C108" s="20"/>
      <c r="D108" s="10">
        <v>181</v>
      </c>
      <c r="E108" s="41" t="str">
        <f>IF(COUNTIF('Sl suberinskabe'!$A$5:$A$84, $D108) &gt; 0,"sub",IF(COUNTIF('Sl hito+suberinskabe'!$A$5:$A$78, $D108) &gt; 0,"hito_sub",""))</f>
        <v/>
      </c>
      <c r="F108" s="41" t="str">
        <f>IF(COUNTIF('ūd. sorbcija Sl'!$C$3:$C$43, $D108) &gt; 0, "ūdens sorbc",IF(COUNTIF(spiedei!$C$2:$C$41, $D108) &gt; 0, "spiede", IF(COUNTIF(higro!$C$5:$C$18, $D108) &gt; 0, "higroskopija",IF(COUNTIF(higro!$C$31:$C$45, $D108) &gt; 0, "higroskopija",IF(COUNTIF(Komp!$A$2:$A$13, $D108) &gt; 0, "komposts","")))))</f>
        <v/>
      </c>
    </row>
    <row r="109" spans="1:6" ht="15.75" customHeight="1">
      <c r="A109" s="5"/>
      <c r="B109" s="6"/>
      <c r="C109" s="21"/>
      <c r="D109" s="10">
        <v>182</v>
      </c>
      <c r="E109" s="41" t="str">
        <f>IF(COUNTIF('Sl suberinskabe'!$A$5:$A$84, $D109) &gt; 0,"sub",IF(COUNTIF('Sl hito+suberinskabe'!$A$5:$A$78, $D109) &gt; 0,"hito_sub",""))</f>
        <v/>
      </c>
      <c r="F109" s="41" t="str">
        <f>IF(COUNTIF('ūd. sorbcija Sl'!$C$3:$C$43, $D109) &gt; 0, "ūdens sorbc",IF(COUNTIF(spiedei!$C$2:$C$41, $D109) &gt; 0, "spiede", IF(COUNTIF(higro!$C$5:$C$18, $D109) &gt; 0, "higroskopija",IF(COUNTIF(higro!$C$31:$C$45, $D109) &gt; 0, "higroskopija",IF(COUNTIF(Komp!$A$2:$A$13, $D109) &gt; 0, "komposts","")))))</f>
        <v/>
      </c>
    </row>
    <row r="110" spans="1:6" ht="15.75" customHeight="1">
      <c r="A110" s="5"/>
      <c r="B110" s="6"/>
      <c r="C110" s="19" t="s">
        <v>22</v>
      </c>
      <c r="D110" s="10">
        <v>183</v>
      </c>
      <c r="E110" s="41" t="str">
        <f>IF(COUNTIF('Sl suberinskabe'!$A$5:$A$84, $D110) &gt; 0,"sub",IF(COUNTIF('Sl hito+suberinskabe'!$A$5:$A$78, $D110) &gt; 0,"hito_sub",""))</f>
        <v/>
      </c>
      <c r="F110" s="41" t="str">
        <f>IF(COUNTIF('ūd. sorbcija Sl'!$C$3:$C$43, $D110) &gt; 0, "ūdens sorbc",IF(COUNTIF(spiedei!$C$2:$C$41, $D110) &gt; 0, "spiede", IF(COUNTIF(higro!$C$5:$C$18, $D110) &gt; 0, "higroskopija",IF(COUNTIF(higro!$C$31:$C$45, $D110) &gt; 0, "higroskopija",IF(COUNTIF(Komp!$A$2:$A$13, $D110) &gt; 0, "komposts","")))))</f>
        <v/>
      </c>
    </row>
    <row r="111" spans="1:6" ht="15.75" customHeight="1">
      <c r="A111" s="5"/>
      <c r="B111" s="6"/>
      <c r="C111" s="20"/>
      <c r="D111" s="10">
        <v>184</v>
      </c>
      <c r="E111" s="41" t="str">
        <f>IF(COUNTIF('Sl suberinskabe'!$A$5:$A$84, $D111) &gt; 0,"sub",IF(COUNTIF('Sl hito+suberinskabe'!$A$5:$A$78, $D111) &gt; 0,"hito_sub",""))</f>
        <v/>
      </c>
      <c r="F111" s="41" t="str">
        <f>IF(COUNTIF('ūd. sorbcija Sl'!$C$3:$C$43, $D111) &gt; 0, "ūdens sorbc",IF(COUNTIF(spiedei!$C$2:$C$41, $D111) &gt; 0, "spiede", IF(COUNTIF(higro!$C$5:$C$18, $D111) &gt; 0, "higroskopija",IF(COUNTIF(higro!$C$31:$C$45, $D111) &gt; 0, "higroskopija",IF(COUNTIF(Komp!$A$2:$A$13, $D111) &gt; 0, "komposts","")))))</f>
        <v/>
      </c>
    </row>
    <row r="112" spans="1:6" ht="15.75" customHeight="1">
      <c r="A112" s="5"/>
      <c r="B112" s="6"/>
      <c r="C112" s="20"/>
      <c r="D112" s="10">
        <v>185</v>
      </c>
      <c r="E112" s="41" t="str">
        <f>IF(COUNTIF('Sl suberinskabe'!$A$5:$A$84, $D112) &gt; 0,"sub",IF(COUNTIF('Sl hito+suberinskabe'!$A$5:$A$78, $D112) &gt; 0,"hito_sub",""))</f>
        <v/>
      </c>
      <c r="F112" s="41" t="str">
        <f>IF(COUNTIF('ūd. sorbcija Sl'!$C$3:$C$43, $D112) &gt; 0, "ūdens sorbc",IF(COUNTIF(spiedei!$C$2:$C$41, $D112) &gt; 0, "spiede", IF(COUNTIF(higro!$C$5:$C$18, $D112) &gt; 0, "higroskopija",IF(COUNTIF(higro!$C$31:$C$45, $D112) &gt; 0, "higroskopija",IF(COUNTIF(Komp!$A$2:$A$13, $D112) &gt; 0, "komposts","")))))</f>
        <v/>
      </c>
    </row>
    <row r="113" spans="1:6" ht="15.75" customHeight="1">
      <c r="A113" s="17"/>
      <c r="B113" s="8"/>
      <c r="C113" s="21"/>
      <c r="D113" s="10">
        <v>186</v>
      </c>
      <c r="E113" s="41" t="str">
        <f>IF(COUNTIF('Sl suberinskabe'!$A$5:$A$84, $D113) &gt; 0,"sub",IF(COUNTIF('Sl hito+suberinskabe'!$A$5:$A$78, $D113) &gt; 0,"hito_sub",""))</f>
        <v/>
      </c>
      <c r="F113" s="41" t="str">
        <f>IF(COUNTIF('ūd. sorbcija Sl'!$C$3:$C$43, $D113) &gt; 0, "ūdens sorbc",IF(COUNTIF(spiedei!$C$2:$C$41, $D113) &gt; 0, "spiede", IF(COUNTIF(higro!$C$5:$C$18, $D113) &gt; 0, "higroskopija",IF(COUNTIF(higro!$C$31:$C$45, $D113) &gt; 0, "higroskopija",IF(COUNTIF(Komp!$A$2:$A$13, $D113) &gt; 0, "komposts","")))))</f>
        <v/>
      </c>
    </row>
    <row r="114" spans="1:6" ht="15.75" customHeight="1">
      <c r="A114" s="6" t="s">
        <v>23</v>
      </c>
      <c r="B114" s="13">
        <v>2</v>
      </c>
      <c r="C114" s="13">
        <v>35</v>
      </c>
      <c r="D114" s="45">
        <v>64</v>
      </c>
      <c r="E114" s="41" t="str">
        <f>IF(COUNTIF('Sl suberinskabe'!$A$5:$A$84, $D114) &gt; 0,"sub",IF(COUNTIF('Sl hito+suberinskabe'!$A$5:$A$78, $D114) &gt; 0,"hito_sub",""))</f>
        <v>hito_sub</v>
      </c>
      <c r="F114" s="41" t="str">
        <f>IF(COUNTIF('ūd. sorbcija Sl'!$C$3:$C$43, $D114) &gt; 0, "ūdens sorbc",IF(COUNTIF(spiedei!$C$2:$C$41, $D114) &gt; 0, "spiede", IF(COUNTIF(higro!$C$5:$C$18, $D114) &gt; 0, "higroskopija",IF(COUNTIF(higro!$C$31:$C$45, $D114) &gt; 0, "higroskopija",IF(COUNTIF(Komp!$A$2:$A$13, $D114) &gt; 0, "komposts","")))))</f>
        <v>spiede</v>
      </c>
    </row>
    <row r="115" spans="1:6" ht="15.75" customHeight="1">
      <c r="A115" s="6"/>
      <c r="B115" s="6"/>
      <c r="C115" s="6"/>
      <c r="D115" s="45">
        <v>65</v>
      </c>
      <c r="E115" s="41" t="str">
        <f>IF(COUNTIF('Sl suberinskabe'!$A$5:$A$84, $D115) &gt; 0,"sub",IF(COUNTIF('Sl hito+suberinskabe'!$A$5:$A$78, $D115) &gt; 0,"hito_sub",""))</f>
        <v>sub</v>
      </c>
      <c r="F115" s="41" t="str">
        <f>IF(COUNTIF('ūd. sorbcija Sl'!$C$3:$C$43, $D115) &gt; 0, "ūdens sorbc",IF(COUNTIF(spiedei!$C$2:$C$41, $D115) &gt; 0, "spiede", IF(COUNTIF(higro!$C$5:$C$18, $D115) &gt; 0, "higroskopija",IF(COUNTIF(higro!$C$31:$C$45, $D115) &gt; 0, "higroskopija",IF(COUNTIF(Komp!$A$2:$A$13, $D115) &gt; 0, "komposts","")))))</f>
        <v>spiede</v>
      </c>
    </row>
    <row r="116" spans="1:6" ht="15.75" customHeight="1">
      <c r="A116" s="6"/>
      <c r="B116" s="6"/>
      <c r="C116" s="6"/>
      <c r="D116" s="49">
        <v>66</v>
      </c>
      <c r="E116" s="41" t="str">
        <f>IF(COUNTIF('Sl suberinskabe'!$A$5:$A$84, $D116) &gt; 0,"sub",IF(COUNTIF('Sl hito+suberinskabe'!$A$5:$A$78, $D116) &gt; 0,"hito_sub",""))</f>
        <v>sub</v>
      </c>
      <c r="F116" s="41" t="str">
        <f>IF(COUNTIF('ūd. sorbcija Sl'!$C$3:$C$43, $D116) &gt; 0, "ūdens sorbc",IF(COUNTIF(spiedei!$C$2:$C$41, $D116) &gt; 0, "spiede", IF(COUNTIF(higro!$C$5:$C$18, $D116) &gt; 0, "higroskopija",IF(COUNTIF(higro!$C$31:$C$45, $D116) &gt; 0, "higroskopija",IF(COUNTIF(Komp!$A$2:$A$13, $D116) &gt; 0, "komposts","")))))</f>
        <v>higroskopija</v>
      </c>
    </row>
    <row r="117" spans="1:6" ht="15.75" customHeight="1">
      <c r="A117" s="6"/>
      <c r="B117" s="6"/>
      <c r="C117" s="6"/>
      <c r="D117" s="43">
        <v>67</v>
      </c>
      <c r="E117" s="41" t="str">
        <f>IF(COUNTIF('Sl suberinskabe'!$A$5:$A$84, $D117) &gt; 0,"sub",IF(COUNTIF('Sl hito+suberinskabe'!$A$5:$A$78, $D117) &gt; 0,"hito_sub",""))</f>
        <v>sub</v>
      </c>
      <c r="F117" s="41" t="str">
        <f>IF(COUNTIF('ūd. sorbcija Sl'!$C$3:$C$43, $D117) &gt; 0, "ūdens sorbc",IF(COUNTIF(spiedei!$C$2:$C$41, $D117) &gt; 0, "spiede", IF(COUNTIF(higro!$C$5:$C$18, $D117) &gt; 0, "higroskopija",IF(COUNTIF(higro!$C$31:$C$45, $D117) &gt; 0, "higroskopija",IF(COUNTIF(Komp!$A$2:$A$13, $D117) &gt; 0, "komposts","")))))</f>
        <v>ūdens sorbc</v>
      </c>
    </row>
    <row r="118" spans="1:6" ht="15.75" customHeight="1">
      <c r="A118" s="6"/>
      <c r="B118" s="6"/>
      <c r="C118" s="8"/>
      <c r="D118" s="55">
        <v>68</v>
      </c>
      <c r="E118" s="41" t="str">
        <f>IF(COUNTIF('Sl suberinskabe'!$A$5:$A$84, $D118) &gt; 0,"sub",IF(COUNTIF('Sl hito+suberinskabe'!$A$5:$A$78, $D118) &gt; 0,"hito_sub",""))</f>
        <v>hito_sub</v>
      </c>
      <c r="F118" s="41" t="str">
        <f>IF(COUNTIF('ūd. sorbcija Sl'!$C$3:$C$43, $D118) &gt; 0, "ūdens sorbc",IF(COUNTIF(spiedei!$C$2:$C$41, $D118) &gt; 0, "spiede", IF(COUNTIF(higro!$C$5:$C$18, $D118) &gt; 0, "higroskopija",IF(COUNTIF(higro!$C$31:$C$45, $D118) &gt; 0, "higroskopija",IF(COUNTIF(Komp!$A$2:$A$13, $D118) &gt; 0, "komposts","")))))</f>
        <v/>
      </c>
    </row>
    <row r="119" spans="1:6" ht="15.75" customHeight="1">
      <c r="A119" s="6"/>
      <c r="B119" s="6"/>
      <c r="C119" s="13">
        <v>36</v>
      </c>
      <c r="D119" s="47">
        <v>69</v>
      </c>
      <c r="E119" s="41" t="str">
        <f>IF(COUNTIF('Sl suberinskabe'!$A$5:$A$84, $D119) &gt; 0,"sub",IF(COUNTIF('Sl hito+suberinskabe'!$A$5:$A$78, $D119) &gt; 0,"hito_sub",""))</f>
        <v>sub</v>
      </c>
      <c r="F119" s="41" t="str">
        <f>IF(COUNTIF('ūd. sorbcija Sl'!$C$3:$C$43, $D119) &gt; 0, "ūdens sorbc",IF(COUNTIF(spiedei!$C$2:$C$41, $D119) &gt; 0, "spiede", IF(COUNTIF(higro!$C$5:$C$18, $D119) &gt; 0, "higroskopija",IF(COUNTIF(higro!$C$31:$C$45, $D119) &gt; 0, "higroskopija",IF(COUNTIF(Komp!$A$2:$A$13, $D119) &gt; 0, "komposts","")))))</f>
        <v>komposts</v>
      </c>
    </row>
    <row r="120" spans="1:6" ht="15.75" customHeight="1">
      <c r="A120" s="6"/>
      <c r="B120" s="6"/>
      <c r="C120" s="6"/>
      <c r="D120" s="45">
        <v>70</v>
      </c>
      <c r="E120" s="41" t="str">
        <f>IF(COUNTIF('Sl suberinskabe'!$A$5:$A$84, $D120) &gt; 0,"sub",IF(COUNTIF('Sl hito+suberinskabe'!$A$5:$A$78, $D120) &gt; 0,"hito_sub",""))</f>
        <v>sub</v>
      </c>
      <c r="F120" s="41" t="str">
        <f>IF(COUNTIF('ūd. sorbcija Sl'!$C$3:$C$43, $D120) &gt; 0, "ūdens sorbc",IF(COUNTIF(spiedei!$C$2:$C$41, $D120) &gt; 0, "spiede", IF(COUNTIF(higro!$C$5:$C$18, $D120) &gt; 0, "higroskopija",IF(COUNTIF(higro!$C$31:$C$45, $D120) &gt; 0, "higroskopija",IF(COUNTIF(Komp!$A$2:$A$13, $D120) &gt; 0, "komposts","")))))</f>
        <v>spiede</v>
      </c>
    </row>
    <row r="121" spans="1:6" ht="15.75" customHeight="1">
      <c r="A121" s="6"/>
      <c r="B121" s="6"/>
      <c r="C121" s="6"/>
      <c r="D121" s="43">
        <v>71</v>
      </c>
      <c r="E121" s="41" t="str">
        <f>IF(COUNTIF('Sl suberinskabe'!$A$5:$A$84, $D121) &gt; 0,"sub",IF(COUNTIF('Sl hito+suberinskabe'!$A$5:$A$78, $D121) &gt; 0,"hito_sub",""))</f>
        <v>sub</v>
      </c>
      <c r="F121" s="41" t="str">
        <f>IF(COUNTIF('ūd. sorbcija Sl'!$C$3:$C$43, $D121) &gt; 0, "ūdens sorbc",IF(COUNTIF(spiedei!$C$2:$C$41, $D121) &gt; 0, "spiede", IF(COUNTIF(higro!$C$5:$C$18, $D121) &gt; 0, "higroskopija",IF(COUNTIF(higro!$C$31:$C$45, $D121) &gt; 0, "higroskopija",IF(COUNTIF(Komp!$A$2:$A$13, $D121) &gt; 0, "komposts","")))))</f>
        <v>ūdens sorbc</v>
      </c>
    </row>
    <row r="122" spans="1:6" ht="15.75" customHeight="1">
      <c r="A122" s="6"/>
      <c r="B122" s="6"/>
      <c r="C122" s="6"/>
      <c r="D122" s="54">
        <v>72</v>
      </c>
      <c r="E122" s="41" t="str">
        <f>IF(COUNTIF('Sl suberinskabe'!$A$5:$A$84, $D122) &gt; 0,"sub",IF(COUNTIF('Sl hito+suberinskabe'!$A$5:$A$78, $D122) &gt; 0,"hito_sub",""))</f>
        <v>sub</v>
      </c>
      <c r="F122" s="41" t="str">
        <f>IF(COUNTIF('ūd. sorbcija Sl'!$C$3:$C$43, $D122) &gt; 0, "ūdens sorbc",IF(COUNTIF(spiedei!$C$2:$C$41, $D122) &gt; 0, "spiede", IF(COUNTIF(higro!$C$5:$C$18, $D122) &gt; 0, "higroskopija",IF(COUNTIF(higro!$C$31:$C$45, $D122) &gt; 0, "higroskopija",IF(COUNTIF(Komp!$A$2:$A$13, $D122) &gt; 0, "komposts","")))))</f>
        <v/>
      </c>
    </row>
    <row r="123" spans="1:6" ht="15.75" customHeight="1">
      <c r="A123" s="8"/>
      <c r="B123" s="8"/>
      <c r="C123" s="8"/>
      <c r="D123" s="45">
        <v>73</v>
      </c>
      <c r="E123" s="41" t="str">
        <f>IF(COUNTIF('Sl suberinskabe'!$A$5:$A$84, $D123) &gt; 0,"sub",IF(COUNTIF('Sl hito+suberinskabe'!$A$5:$A$78, $D123) &gt; 0,"hito_sub",""))</f>
        <v>hito_sub</v>
      </c>
      <c r="F123" s="41" t="str">
        <f>IF(COUNTIF('ūd. sorbcija Sl'!$C$3:$C$43, $D123) &gt; 0, "ūdens sorbc",IF(COUNTIF(spiedei!$C$2:$C$41, $D123) &gt; 0, "spiede", IF(COUNTIF(higro!$C$5:$C$18, $D123) &gt; 0, "higroskopija",IF(COUNTIF(higro!$C$31:$C$45, $D123) &gt; 0, "higroskopija",IF(COUNTIF(Komp!$A$2:$A$13, $D123) &gt; 0, "komposts","")))))</f>
        <v>spiede</v>
      </c>
    </row>
    <row r="124" spans="1:6" ht="15.75" customHeight="1">
      <c r="A124" s="13" t="s">
        <v>23</v>
      </c>
      <c r="B124" s="13">
        <v>1</v>
      </c>
      <c r="C124" s="13">
        <v>80</v>
      </c>
      <c r="D124" s="45">
        <v>139</v>
      </c>
      <c r="E124" s="41" t="str">
        <f>IF(COUNTIF('Sl suberinskabe'!$A$5:$A$84, $D124) &gt; 0,"sub",IF(COUNTIF('Sl hito+suberinskabe'!$A$5:$A$78, $D124) &gt; 0,"hito_sub",""))</f>
        <v>hito_sub</v>
      </c>
      <c r="F124" s="41" t="str">
        <f>IF(COUNTIF('ūd. sorbcija Sl'!$C$3:$C$43, $D124) &gt; 0, "ūdens sorbc",IF(COUNTIF(spiedei!$C$2:$C$41, $D124) &gt; 0, "spiede", IF(COUNTIF(higro!$C$5:$C$18, $D124) &gt; 0, "higroskopija",IF(COUNTIF(higro!$C$31:$C$45, $D124) &gt; 0, "higroskopija",IF(COUNTIF(Komp!$A$2:$A$13, $D124) &gt; 0, "komposts","")))))</f>
        <v>spiede</v>
      </c>
    </row>
    <row r="125" spans="1:6" ht="15.75" customHeight="1">
      <c r="A125" s="6"/>
      <c r="B125" s="6"/>
      <c r="C125" s="6"/>
      <c r="D125" s="45">
        <v>140</v>
      </c>
      <c r="E125" s="41" t="str">
        <f>IF(COUNTIF('Sl suberinskabe'!$A$5:$A$84, $D125) &gt; 0,"sub",IF(COUNTIF('Sl hito+suberinskabe'!$A$5:$A$78, $D125) &gt; 0,"hito_sub",""))</f>
        <v>sub</v>
      </c>
      <c r="F125" s="41" t="str">
        <f>IF(COUNTIF('ūd. sorbcija Sl'!$C$3:$C$43, $D125) &gt; 0, "ūdens sorbc",IF(COUNTIF(spiedei!$C$2:$C$41, $D125) &gt; 0, "spiede", IF(COUNTIF(higro!$C$5:$C$18, $D125) &gt; 0, "higroskopija",IF(COUNTIF(higro!$C$31:$C$45, $D125) &gt; 0, "higroskopija",IF(COUNTIF(Komp!$A$2:$A$13, $D125) &gt; 0, "komposts","")))))</f>
        <v>spiede</v>
      </c>
    </row>
    <row r="126" spans="1:6" ht="15.75" customHeight="1">
      <c r="A126" s="6"/>
      <c r="B126" s="6"/>
      <c r="C126" s="6"/>
      <c r="D126" s="43">
        <v>141</v>
      </c>
      <c r="E126" s="41" t="str">
        <f>IF(COUNTIF('Sl suberinskabe'!$A$5:$A$84, $D126) &gt; 0,"sub",IF(COUNTIF('Sl hito+suberinskabe'!$A$5:$A$78, $D126) &gt; 0,"hito_sub",""))</f>
        <v>sub</v>
      </c>
      <c r="F126" s="41" t="str">
        <f>IF(COUNTIF('ūd. sorbcija Sl'!$C$3:$C$43, $D126) &gt; 0, "ūdens sorbc",IF(COUNTIF(spiedei!$C$2:$C$41, $D126) &gt; 0, "spiede", IF(COUNTIF(higro!$C$5:$C$18, $D126) &gt; 0, "higroskopija",IF(COUNTIF(higro!$C$31:$C$45, $D126) &gt; 0, "higroskopija",IF(COUNTIF(Komp!$A$2:$A$13, $D126) &gt; 0, "komposts","")))))</f>
        <v>ūdens sorbc</v>
      </c>
    </row>
    <row r="127" spans="1:6" ht="15.75" customHeight="1">
      <c r="A127" s="6"/>
      <c r="B127" s="6"/>
      <c r="C127" s="6"/>
      <c r="D127" s="49">
        <v>142</v>
      </c>
      <c r="E127" s="41" t="str">
        <f>IF(COUNTIF('Sl suberinskabe'!$A$5:$A$84, $D127) &gt; 0,"sub",IF(COUNTIF('Sl hito+suberinskabe'!$A$5:$A$78, $D127) &gt; 0,"hito_sub",""))</f>
        <v>sub</v>
      </c>
      <c r="F127" s="41" t="str">
        <f>IF(COUNTIF('ūd. sorbcija Sl'!$C$3:$C$43, $D127) &gt; 0, "ūdens sorbc",IF(COUNTIF(spiedei!$C$2:$C$41, $D127) &gt; 0, "spiede", IF(COUNTIF(higro!$C$5:$C$18, $D127) &gt; 0, "higroskopija",IF(COUNTIF(higro!$C$31:$C$45, $D127) &gt; 0, "higroskopija",IF(COUNTIF(Komp!$A$2:$A$13, $D127) &gt; 0, "komposts","")))))</f>
        <v>higroskopija</v>
      </c>
    </row>
    <row r="128" spans="1:6" ht="15.75" customHeight="1">
      <c r="A128" s="6"/>
      <c r="B128" s="6"/>
      <c r="C128" s="8"/>
      <c r="D128" s="55">
        <v>143</v>
      </c>
      <c r="E128" s="41" t="str">
        <f>IF(COUNTIF('Sl suberinskabe'!$A$5:$A$84, $D128) &gt; 0,"sub",IF(COUNTIF('Sl hito+suberinskabe'!$A$5:$A$78, $D128) &gt; 0,"hito_sub",""))</f>
        <v>hito_sub</v>
      </c>
      <c r="F128" s="41" t="str">
        <f>IF(COUNTIF('ūd. sorbcija Sl'!$C$3:$C$43, $D128) &gt; 0, "ūdens sorbc",IF(COUNTIF(spiedei!$C$2:$C$41, $D128) &gt; 0, "spiede", IF(COUNTIF(higro!$C$5:$C$18, $D128) &gt; 0, "higroskopija",IF(COUNTIF(higro!$C$31:$C$45, $D128) &gt; 0, "higroskopija",IF(COUNTIF(Komp!$A$2:$A$13, $D128) &gt; 0, "komposts","")))))</f>
        <v>higroskopija</v>
      </c>
    </row>
    <row r="129" spans="1:9" ht="15.75" customHeight="1">
      <c r="A129" s="6"/>
      <c r="B129" s="6"/>
      <c r="C129" s="13">
        <v>81</v>
      </c>
      <c r="D129" s="54">
        <v>144</v>
      </c>
      <c r="E129" s="41" t="str">
        <f>IF(COUNTIF('Sl suberinskabe'!$A$5:$A$84, $D129) &gt; 0,"sub",IF(COUNTIF('Sl hito+suberinskabe'!$A$5:$A$78, $D129) &gt; 0,"hito_sub",""))</f>
        <v>sub</v>
      </c>
      <c r="F129" s="41" t="str">
        <f>IF(COUNTIF('ūd. sorbcija Sl'!$C$3:$C$43, $D129) &gt; 0, "ūdens sorbc",IF(COUNTIF(spiedei!$C$2:$C$41, $D129) &gt; 0, "spiede", IF(COUNTIF(higro!$C$5:$C$18, $D129) &gt; 0, "higroskopija",IF(COUNTIF(higro!$C$31:$C$45, $D129) &gt; 0, "higroskopija",IF(COUNTIF(Komp!$A$2:$A$13, $D129) &gt; 0, "komposts","")))))</f>
        <v>komposts</v>
      </c>
    </row>
    <row r="130" spans="1:9" ht="15.75" customHeight="1">
      <c r="A130" s="6"/>
      <c r="B130" s="6"/>
      <c r="C130" s="6"/>
      <c r="D130" s="43">
        <v>145</v>
      </c>
      <c r="E130" s="41" t="str">
        <f>IF(COUNTIF('Sl suberinskabe'!$A$5:$A$84, $D130) &gt; 0,"sub",IF(COUNTIF('Sl hito+suberinskabe'!$A$5:$A$78, $D130) &gt; 0,"hito_sub",""))</f>
        <v>sub</v>
      </c>
      <c r="F130" s="41" t="str">
        <f>IF(COUNTIF('ūd. sorbcija Sl'!$C$3:$C$43, $D130) &gt; 0, "ūdens sorbc",IF(COUNTIF(spiedei!$C$2:$C$41, $D130) &gt; 0, "spiede", IF(COUNTIF(higro!$C$5:$C$18, $D130) &gt; 0, "higroskopija",IF(COUNTIF(higro!$C$31:$C$45, $D130) &gt; 0, "higroskopija",IF(COUNTIF(Komp!$A$2:$A$13, $D130) &gt; 0, "komposts","")))))</f>
        <v>ūdens sorbc</v>
      </c>
    </row>
    <row r="131" spans="1:9" ht="15.75" customHeight="1">
      <c r="A131" s="6"/>
      <c r="B131" s="6"/>
      <c r="C131" s="6"/>
      <c r="D131" s="45">
        <v>146</v>
      </c>
      <c r="E131" s="41" t="str">
        <f>IF(COUNTIF('Sl suberinskabe'!$A$5:$A$84, $D131) &gt; 0,"sub",IF(COUNTIF('Sl hito+suberinskabe'!$A$5:$A$78, $D131) &gt; 0,"hito_sub",""))</f>
        <v>sub</v>
      </c>
      <c r="F131" s="41" t="str">
        <f>IF(COUNTIF('ūd. sorbcija Sl'!$C$3:$C$43, $D131) &gt; 0, "ūdens sorbc",IF(COUNTIF(spiedei!$C$2:$C$41, $D131) &gt; 0, "spiede", IF(COUNTIF(higro!$C$5:$C$18, $D131) &gt; 0, "higroskopija",IF(COUNTIF(higro!$C$31:$C$45, $D131) &gt; 0, "higroskopija",IF(COUNTIF(Komp!$A$2:$A$13, $D131) &gt; 0, "komposts","")))))</f>
        <v>spiede</v>
      </c>
    </row>
    <row r="132" spans="1:9" ht="15.75" customHeight="1">
      <c r="A132" s="6"/>
      <c r="B132" s="6"/>
      <c r="C132" s="6"/>
      <c r="D132" s="47">
        <v>147</v>
      </c>
      <c r="E132" s="41" t="str">
        <f>IF(COUNTIF('Sl suberinskabe'!$A$5:$A$84, $D132) &gt; 0,"sub",IF(COUNTIF('Sl hito+suberinskabe'!$A$5:$A$78, $D132) &gt; 0,"hito_sub",""))</f>
        <v>sub</v>
      </c>
      <c r="F132" s="41" t="str">
        <f>IF(COUNTIF('ūd. sorbcija Sl'!$C$3:$C$43, $D132) &gt; 0, "ūdens sorbc",IF(COUNTIF(spiedei!$C$2:$C$41, $D132) &gt; 0, "spiede", IF(COUNTIF(higro!$C$5:$C$18, $D132) &gt; 0, "higroskopija",IF(COUNTIF(higro!$C$31:$C$45, $D132) &gt; 0, "higroskopija",IF(COUNTIF(Komp!$A$2:$A$13, $D132) &gt; 0, "komposts","")))))</f>
        <v>higroskopija</v>
      </c>
    </row>
    <row r="133" spans="1:9" ht="15.75" customHeight="1">
      <c r="A133" s="6"/>
      <c r="B133" s="8"/>
      <c r="C133" s="8"/>
      <c r="D133" s="45">
        <v>148</v>
      </c>
      <c r="E133" s="41" t="str">
        <f>IF(COUNTIF('Sl suberinskabe'!$A$5:$A$84, $D133) &gt; 0,"sub",IF(COUNTIF('Sl hito+suberinskabe'!$A$5:$A$78, $D133) &gt; 0,"hito_sub",""))</f>
        <v>hito_sub</v>
      </c>
      <c r="F133" s="41" t="str">
        <f>IF(COUNTIF('ūd. sorbcija Sl'!$C$3:$C$43, $D133) &gt; 0, "ūdens sorbc",IF(COUNTIF(spiedei!$C$2:$C$41, $D133) &gt; 0, "spiede", IF(COUNTIF(higro!$C$5:$C$18, $D133) &gt; 0, "higroskopija",IF(COUNTIF(higro!$C$31:$C$45, $D133) &gt; 0, "higroskopija",IF(COUNTIF(Komp!$A$2:$A$13, $D133) &gt; 0, "komposts","")))))</f>
        <v>spiede</v>
      </c>
      <c r="I133" s="4" t="s">
        <v>55</v>
      </c>
    </row>
    <row r="134" spans="1:9" ht="15.75" customHeight="1">
      <c r="A134" s="6"/>
      <c r="B134" s="13">
        <v>2</v>
      </c>
      <c r="C134" s="13">
        <v>83</v>
      </c>
      <c r="D134" s="47">
        <v>149</v>
      </c>
      <c r="E134" s="41" t="str">
        <f>IF(COUNTIF('Sl suberinskabe'!$A$5:$A$84, $D134) &gt; 0,"sub",IF(COUNTIF('Sl hito+suberinskabe'!$A$5:$A$78, $D134) &gt; 0,"hito_sub",""))</f>
        <v>sub</v>
      </c>
      <c r="F134" s="41" t="str">
        <f>IF(COUNTIF('ūd. sorbcija Sl'!$C$3:$C$43, $D134) &gt; 0, "ūdens sorbc",IF(COUNTIF(spiedei!$C$2:$C$41, $D134) &gt; 0, "spiede", IF(COUNTIF(higro!$C$5:$C$18, $D134) &gt; 0, "higroskopija",IF(COUNTIF(higro!$C$31:$C$45, $D134) &gt; 0, "higroskopija",IF(COUNTIF(Komp!$A$2:$A$13, $D134) &gt; 0, "komposts","")))))</f>
        <v>komposts</v>
      </c>
    </row>
    <row r="135" spans="1:9" ht="15.75" customHeight="1">
      <c r="A135" s="6"/>
      <c r="B135" s="6"/>
      <c r="C135" s="6"/>
      <c r="D135" s="45">
        <v>150</v>
      </c>
      <c r="E135" s="41" t="str">
        <f>IF(COUNTIF('Sl suberinskabe'!$A$5:$A$84, $D135) &gt; 0,"sub",IF(COUNTIF('Sl hito+suberinskabe'!$A$5:$A$78, $D135) &gt; 0,"hito_sub",""))</f>
        <v>hito_sub</v>
      </c>
      <c r="F135" s="41" t="str">
        <f>IF(COUNTIF('ūd. sorbcija Sl'!$C$3:$C$43, $D135) &gt; 0, "ūdens sorbc",IF(COUNTIF(spiedei!$C$2:$C$41, $D135) &gt; 0, "spiede", IF(COUNTIF(higro!$C$5:$C$18, $D135) &gt; 0, "higroskopija",IF(COUNTIF(higro!$C$31:$C$45, $D135) &gt; 0, "higroskopija",IF(COUNTIF(Komp!$A$2:$A$13, $D135) &gt; 0, "komposts","")))))</f>
        <v>spiede</v>
      </c>
    </row>
    <row r="136" spans="1:9" ht="15.75" customHeight="1">
      <c r="A136" s="6"/>
      <c r="B136" s="6"/>
      <c r="C136" s="6"/>
      <c r="D136" s="45">
        <v>151</v>
      </c>
      <c r="E136" s="41" t="str">
        <f>IF(COUNTIF('Sl suberinskabe'!$A$5:$A$84, $D136) &gt; 0,"sub",IF(COUNTIF('Sl hito+suberinskabe'!$A$5:$A$78, $D136) &gt; 0,"hito_sub",""))</f>
        <v>sub</v>
      </c>
      <c r="F136" s="41" t="str">
        <f>IF(COUNTIF('ūd. sorbcija Sl'!$C$3:$C$43, $D136) &gt; 0, "ūdens sorbc",IF(COUNTIF(spiedei!$C$2:$C$41, $D136) &gt; 0, "spiede", IF(COUNTIF(higro!$C$5:$C$18, $D136) &gt; 0, "higroskopija",IF(COUNTIF(higro!$C$31:$C$45, $D136) &gt; 0, "higroskopija",IF(COUNTIF(Komp!$A$2:$A$13, $D136) &gt; 0, "komposts","")))))</f>
        <v>spiede</v>
      </c>
    </row>
    <row r="137" spans="1:9" ht="15.75" customHeight="1">
      <c r="A137" s="6"/>
      <c r="B137" s="6"/>
      <c r="C137" s="6"/>
      <c r="D137" s="43">
        <v>152</v>
      </c>
      <c r="E137" s="41" t="str">
        <f>IF(COUNTIF('Sl suberinskabe'!$A$5:$A$84, $D137) &gt; 0,"sub",IF(COUNTIF('Sl hito+suberinskabe'!$A$5:$A$78, $D137) &gt; 0,"hito_sub",""))</f>
        <v>sub</v>
      </c>
      <c r="F137" s="41" t="str">
        <f>IF(COUNTIF('ūd. sorbcija Sl'!$C$3:$C$43, $D137) &gt; 0, "ūdens sorbc",IF(COUNTIF(spiedei!$C$2:$C$41, $D137) &gt; 0, "spiede", IF(COUNTIF(higro!$C$5:$C$18, $D137) &gt; 0, "higroskopija",IF(COUNTIF(higro!$C$31:$C$45, $D137) &gt; 0, "higroskopija",IF(COUNTIF(Komp!$A$2:$A$13, $D137) &gt; 0, "komposts","")))))</f>
        <v>ūdens sorbc</v>
      </c>
    </row>
    <row r="138" spans="1:9" ht="15.75" customHeight="1">
      <c r="A138" s="8"/>
      <c r="B138" s="8"/>
      <c r="C138" s="8"/>
      <c r="D138" s="43">
        <v>153</v>
      </c>
      <c r="E138" s="41" t="str">
        <f>IF(COUNTIF('Sl suberinskabe'!$A$5:$A$84, $D138) &gt; 0,"sub",IF(COUNTIF('Sl hito+suberinskabe'!$A$5:$A$78, $D138) &gt; 0,"hito_sub",""))</f>
        <v>sub</v>
      </c>
      <c r="F138" s="41" t="str">
        <f>IF(COUNTIF('ūd. sorbcija Sl'!$C$3:$C$43, $D138) &gt; 0, "ūdens sorbc",IF(COUNTIF(spiedei!$C$2:$C$41, $D138) &gt; 0, "spiede", IF(COUNTIF(higro!$C$5:$C$18, $D138) &gt; 0, "higroskopija",IF(COUNTIF(higro!$C$31:$C$45, $D138) &gt; 0, "higroskopija",IF(COUNTIF(Komp!$A$2:$A$13, $D138) &gt; 0, "komposts","")))))</f>
        <v>ūdens sorbc</v>
      </c>
    </row>
    <row r="139" spans="1:9" ht="15.75" customHeight="1">
      <c r="A139" s="18" t="s">
        <v>23</v>
      </c>
      <c r="B139" s="13" t="s">
        <v>54</v>
      </c>
      <c r="C139" s="13" t="s">
        <v>24</v>
      </c>
      <c r="D139" s="43">
        <v>187</v>
      </c>
      <c r="E139" s="41" t="str">
        <f>IF(COUNTIF('Sl suberinskabe'!$A$5:$A$84, $D139) &gt; 0,"sub",IF(COUNTIF('Sl hito+suberinskabe'!$A$5:$A$78, $D139) &gt; 0,"hito_sub",""))</f>
        <v>hito_sub</v>
      </c>
      <c r="F139" s="41" t="str">
        <f>IF(COUNTIF('ūd. sorbcija Sl'!$C$3:$C$43, $D139) &gt; 0, "ūdens sorbc",IF(COUNTIF(spiedei!$C$2:$C$41, $D139) &gt; 0, "spiede", IF(COUNTIF(higro!$C$5:$C$18, $D139) &gt; 0, "higroskopija",IF(COUNTIF(higro!$C$31:$C$45, $D139) &gt; 0, "higroskopija",IF(COUNTIF(Komp!$A$2:$A$13, $D139) &gt; 0, "komposts","")))))</f>
        <v>ūdens sorbc</v>
      </c>
    </row>
    <row r="140" spans="1:9" ht="15.75" customHeight="1">
      <c r="A140" s="5"/>
      <c r="B140" s="6"/>
      <c r="C140" s="6"/>
      <c r="D140" s="47">
        <v>188</v>
      </c>
      <c r="E140" s="41" t="str">
        <f>IF(COUNTIF('Sl suberinskabe'!$A$5:$A$84, $D140) &gt; 0,"sub",IF(COUNTIF('Sl hito+suberinskabe'!$A$5:$A$78, $D140) &gt; 0,"hito_sub",""))</f>
        <v>hito_sub</v>
      </c>
      <c r="F140" s="41" t="str">
        <f>IF(COUNTIF('ūd. sorbcija Sl'!$C$3:$C$43, $D140) &gt; 0, "ūdens sorbc",IF(COUNTIF(spiedei!$C$2:$C$41, $D140) &gt; 0, "spiede", IF(COUNTIF(higro!$C$5:$C$18, $D140) &gt; 0, "higroskopija",IF(COUNTIF(higro!$C$31:$C$45, $D140) &gt; 0, "higroskopija",IF(COUNTIF(Komp!$A$2:$A$13, $D140) &gt; 0, "komposts","")))))</f>
        <v/>
      </c>
    </row>
    <row r="141" spans="1:9" ht="15.75" customHeight="1">
      <c r="A141" s="5"/>
      <c r="B141" s="6"/>
      <c r="C141" s="6"/>
      <c r="D141" s="43">
        <v>189</v>
      </c>
      <c r="E141" s="41" t="str">
        <f>IF(COUNTIF('Sl suberinskabe'!$A$5:$A$84, $D141) &gt; 0,"sub",IF(COUNTIF('Sl hito+suberinskabe'!$A$5:$A$78, $D141) &gt; 0,"hito_sub",""))</f>
        <v>hito_sub</v>
      </c>
      <c r="F141" s="41" t="str">
        <f>IF(COUNTIF('ūd. sorbcija Sl'!$C$3:$C$43, $D141) &gt; 0, "ūdens sorbc",IF(COUNTIF(spiedei!$C$2:$C$41, $D141) &gt; 0, "spiede", IF(COUNTIF(higro!$C$5:$C$18, $D141) &gt; 0, "higroskopija",IF(COUNTIF(higro!$C$31:$C$45, $D141) &gt; 0, "higroskopija",IF(COUNTIF(Komp!$A$2:$A$13, $D141) &gt; 0, "komposts","")))))</f>
        <v>ūdens sorbc</v>
      </c>
    </row>
    <row r="142" spans="1:9" ht="15.75" customHeight="1">
      <c r="A142" s="5"/>
      <c r="B142" s="6"/>
      <c r="C142" s="8"/>
      <c r="D142" s="55">
        <v>190</v>
      </c>
      <c r="E142" s="41" t="str">
        <f>IF(COUNTIF('Sl suberinskabe'!$A$5:$A$84, $D142) &gt; 0,"sub",IF(COUNTIF('Sl hito+suberinskabe'!$A$5:$A$78, $D142) &gt; 0,"hito_sub",""))</f>
        <v>hito_sub</v>
      </c>
      <c r="F142" s="41" t="str">
        <f>IF(COUNTIF('ūd. sorbcija Sl'!$C$3:$C$43, $D142) &gt; 0, "ūdens sorbc",IF(COUNTIF(spiedei!$C$2:$C$41, $D142) &gt; 0, "spiede", IF(COUNTIF(higro!$C$5:$C$18, $D142) &gt; 0, "higroskopija",IF(COUNTIF(higro!$C$31:$C$45, $D142) &gt; 0, "higroskopija",IF(COUNTIF(Komp!$A$2:$A$13, $D142) &gt; 0, "komposts","")))))</f>
        <v>higroskopija</v>
      </c>
    </row>
    <row r="143" spans="1:9" ht="15.75" customHeight="1">
      <c r="A143" s="5"/>
      <c r="B143" s="6"/>
      <c r="C143" s="13" t="s">
        <v>25</v>
      </c>
      <c r="D143" s="43">
        <v>191</v>
      </c>
      <c r="E143" s="41" t="str">
        <f>IF(COUNTIF('Sl suberinskabe'!$A$5:$A$84, $D143) &gt; 0,"sub",IF(COUNTIF('Sl hito+suberinskabe'!$A$5:$A$78, $D143) &gt; 0,"hito_sub",""))</f>
        <v>hito_sub</v>
      </c>
      <c r="F143" s="41" t="str">
        <f>IF(COUNTIF('ūd. sorbcija Sl'!$C$3:$C$43, $D143) &gt; 0, "ūdens sorbc",IF(COUNTIF(spiedei!$C$2:$C$41, $D143) &gt; 0, "spiede", IF(COUNTIF(higro!$C$5:$C$18, $D143) &gt; 0, "higroskopija",IF(COUNTIF(higro!$C$31:$C$45, $D143) &gt; 0, "higroskopija",IF(COUNTIF(Komp!$A$2:$A$13, $D143) &gt; 0, "komposts","")))))</f>
        <v>ūdens sorbc</v>
      </c>
    </row>
    <row r="144" spans="1:9" ht="15.75" customHeight="1">
      <c r="A144" s="5"/>
      <c r="B144" s="6"/>
      <c r="C144" s="6"/>
      <c r="D144" s="22">
        <v>192</v>
      </c>
      <c r="E144" s="41" t="str">
        <f>IF(COUNTIF('Sl suberinskabe'!$A$5:$A$84, $D144) &gt; 0,"sub",IF(COUNTIF('Sl hito+suberinskabe'!$A$5:$A$78, $D144) &gt; 0,"hito_sub",""))</f>
        <v>hito_sub</v>
      </c>
      <c r="F144" s="41" t="str">
        <f>IF(COUNTIF('ūd. sorbcija Sl'!$C$3:$C$43, $D144) &gt; 0, "ūdens sorbc",IF(COUNTIF(spiedei!$C$2:$C$41, $D144) &gt; 0, "spiede", IF(COUNTIF(higro!$C$5:$C$18, $D144) &gt; 0, "higroskopija",IF(COUNTIF(higro!$C$31:$C$45, $D144) &gt; 0, "higroskopija",IF(COUNTIF(Komp!$A$2:$A$13, $D144) &gt; 0, "komposts","")))))</f>
        <v>higroskopija</v>
      </c>
    </row>
    <row r="145" spans="1:6" ht="15.75" customHeight="1">
      <c r="A145" s="5"/>
      <c r="B145" s="6"/>
      <c r="C145" s="6"/>
      <c r="D145" s="43">
        <v>193</v>
      </c>
      <c r="E145" s="41" t="str">
        <f>IF(COUNTIF('Sl suberinskabe'!$A$5:$A$84, $D145) &gt; 0,"sub",IF(COUNTIF('Sl hito+suberinskabe'!$A$5:$A$78, $D145) &gt; 0,"hito_sub",""))</f>
        <v>hito_sub</v>
      </c>
      <c r="F145" s="41" t="str">
        <f>IF(COUNTIF('ūd. sorbcija Sl'!$C$3:$C$43, $D145) &gt; 0, "ūdens sorbc",IF(COUNTIF(spiedei!$C$2:$C$41, $D145) &gt; 0, "spiede", IF(COUNTIF(higro!$C$5:$C$18, $D145) &gt; 0, "higroskopija",IF(COUNTIF(higro!$C$31:$C$45, $D145) &gt; 0, "higroskopija",IF(COUNTIF(Komp!$A$2:$A$13, $D145) &gt; 0, "komposts","")))))</f>
        <v>ūdens sorbc</v>
      </c>
    </row>
    <row r="146" spans="1:6" ht="15.75" customHeight="1">
      <c r="A146" s="17"/>
      <c r="B146" s="8"/>
      <c r="C146" s="8"/>
      <c r="D146" s="54">
        <v>194</v>
      </c>
      <c r="E146" s="41" t="str">
        <f>IF(COUNTIF('Sl suberinskabe'!$A$5:$A$84, $D146) &gt; 0,"sub",IF(COUNTIF('Sl hito+suberinskabe'!$A$5:$A$78, $D146) &gt; 0,"hito_sub",""))</f>
        <v>hito_sub</v>
      </c>
      <c r="F146" s="41" t="str">
        <f>IF(COUNTIF('ūd. sorbcija Sl'!$C$3:$C$43, $D146) &gt; 0, "ūdens sorbc",IF(COUNTIF(spiedei!$C$2:$C$41, $D146) &gt; 0, "spiede", IF(COUNTIF(higro!$C$5:$C$18, $D146) &gt; 0, "higroskopija",IF(COUNTIF(higro!$C$31:$C$45, $D146) &gt; 0, "higroskopija",IF(COUNTIF(Komp!$A$2:$A$13, $D146) &gt; 0, "komposts","")))))</f>
        <v/>
      </c>
    </row>
    <row r="147" spans="1:6" ht="15.75" customHeight="1">
      <c r="A147" s="13" t="s">
        <v>26</v>
      </c>
      <c r="B147" s="13">
        <v>1</v>
      </c>
      <c r="C147" s="13">
        <v>39</v>
      </c>
      <c r="D147" s="45">
        <v>74</v>
      </c>
      <c r="E147" s="41" t="str">
        <f>IF(COUNTIF('Sl suberinskabe'!$A$5:$A$84, $D147) &gt; 0,"sub",IF(COUNTIF('Sl hito+suberinskabe'!$A$5:$A$78, $D147) &gt; 0,"hito_sub",""))</f>
        <v>hito_sub</v>
      </c>
      <c r="F147" s="41" t="str">
        <f>IF(COUNTIF('ūd. sorbcija Sl'!$C$3:$C$43, $D147) &gt; 0, "ūdens sorbc",IF(COUNTIF(spiedei!$C$2:$C$41, $D147) &gt; 0, "spiede", IF(COUNTIF(higro!$C$5:$C$18, $D147) &gt; 0, "higroskopija",IF(COUNTIF(higro!$C$31:$C$45, $D147) &gt; 0, "higroskopija",IF(COUNTIF(Komp!$A$2:$A$13, $D147) &gt; 0, "komposts","")))))</f>
        <v>spiede</v>
      </c>
    </row>
    <row r="148" spans="1:6" ht="15.75" customHeight="1">
      <c r="A148" s="6"/>
      <c r="B148" s="6"/>
      <c r="C148" s="6"/>
      <c r="D148" s="49">
        <v>75</v>
      </c>
      <c r="E148" s="41" t="str">
        <f>IF(COUNTIF('Sl suberinskabe'!$A$5:$A$84, $D148) &gt; 0,"sub",IF(COUNTIF('Sl hito+suberinskabe'!$A$5:$A$78, $D148) &gt; 0,"hito_sub",""))</f>
        <v>sub</v>
      </c>
      <c r="F148" s="41" t="str">
        <f>IF(COUNTIF('ūd. sorbcija Sl'!$C$3:$C$43, $D148) &gt; 0, "ūdens sorbc",IF(COUNTIF(spiedei!$C$2:$C$41, $D148) &gt; 0, "spiede", IF(COUNTIF(higro!$C$5:$C$18, $D148) &gt; 0, "higroskopija",IF(COUNTIF(higro!$C$31:$C$45, $D148) &gt; 0, "higroskopija",IF(COUNTIF(Komp!$A$2:$A$13, $D148) &gt; 0, "komposts","")))))</f>
        <v>higroskopija</v>
      </c>
    </row>
    <row r="149" spans="1:6" ht="15.75" customHeight="1">
      <c r="A149" s="6"/>
      <c r="B149" s="6"/>
      <c r="C149" s="6"/>
      <c r="D149" s="45">
        <v>76</v>
      </c>
      <c r="E149" s="41" t="str">
        <f>IF(COUNTIF('Sl suberinskabe'!$A$5:$A$84, $D149) &gt; 0,"sub",IF(COUNTIF('Sl hito+suberinskabe'!$A$5:$A$78, $D149) &gt; 0,"hito_sub",""))</f>
        <v>sub</v>
      </c>
      <c r="F149" s="41" t="str">
        <f>IF(COUNTIF('ūd. sorbcija Sl'!$C$3:$C$43, $D149) &gt; 0, "ūdens sorbc",IF(COUNTIF(spiedei!$C$2:$C$41, $D149) &gt; 0, "spiede", IF(COUNTIF(higro!$C$5:$C$18, $D149) &gt; 0, "higroskopija",IF(COUNTIF(higro!$C$31:$C$45, $D149) &gt; 0, "higroskopija",IF(COUNTIF(Komp!$A$2:$A$13, $D149) &gt; 0, "komposts","")))))</f>
        <v>spiede</v>
      </c>
    </row>
    <row r="150" spans="1:6" ht="15.75" customHeight="1">
      <c r="A150" s="6"/>
      <c r="B150" s="6"/>
      <c r="C150" s="6"/>
      <c r="D150" s="54">
        <v>77</v>
      </c>
      <c r="E150" s="41" t="str">
        <f>IF(COUNTIF('Sl suberinskabe'!$A$5:$A$84, $D150) &gt; 0,"sub",IF(COUNTIF('Sl hito+suberinskabe'!$A$5:$A$78, $D150) &gt; 0,"hito_sub",""))</f>
        <v>sub</v>
      </c>
      <c r="F150" s="41" t="str">
        <f>IF(COUNTIF('ūd. sorbcija Sl'!$C$3:$C$43, $D150) &gt; 0, "ūdens sorbc",IF(COUNTIF(spiedei!$C$2:$C$41, $D150) &gt; 0, "spiede", IF(COUNTIF(higro!$C$5:$C$18, $D150) &gt; 0, "higroskopija",IF(COUNTIF(higro!$C$31:$C$45, $D150) &gt; 0, "higroskopija",IF(COUNTIF(Komp!$A$2:$A$13, $D150) &gt; 0, "komposts","")))))</f>
        <v/>
      </c>
    </row>
    <row r="151" spans="1:6" ht="15.75" customHeight="1">
      <c r="A151" s="6"/>
      <c r="B151" s="6"/>
      <c r="C151" s="8"/>
      <c r="D151" s="43">
        <v>78</v>
      </c>
      <c r="E151" s="41" t="str">
        <f>IF(COUNTIF('Sl suberinskabe'!$A$5:$A$84, $D151) &gt; 0,"sub",IF(COUNTIF('Sl hito+suberinskabe'!$A$5:$A$78, $D151) &gt; 0,"hito_sub",""))</f>
        <v>hito_sub</v>
      </c>
      <c r="F151" s="41" t="str">
        <f>IF(COUNTIF('ūd. sorbcija Sl'!$C$3:$C$43, $D151) &gt; 0, "ūdens sorbc",IF(COUNTIF(spiedei!$C$2:$C$41, $D151) &gt; 0, "spiede", IF(COUNTIF(higro!$C$5:$C$18, $D151) &gt; 0, "higroskopija",IF(COUNTIF(higro!$C$31:$C$45, $D151) &gt; 0, "higroskopija",IF(COUNTIF(Komp!$A$2:$A$13, $D151) &gt; 0, "komposts","")))))</f>
        <v>ūdens sorbc</v>
      </c>
    </row>
    <row r="152" spans="1:6" ht="15.75" customHeight="1">
      <c r="A152" s="6"/>
      <c r="B152" s="6"/>
      <c r="C152" s="13">
        <v>40</v>
      </c>
      <c r="D152" s="22">
        <v>79</v>
      </c>
      <c r="E152" s="41" t="str">
        <f>IF(COUNTIF('Sl suberinskabe'!$A$5:$A$84, $D152) &gt; 0,"sub",IF(COUNTIF('Sl hito+suberinskabe'!$A$5:$A$78, $D152) &gt; 0,"hito_sub",""))</f>
        <v>hito_sub</v>
      </c>
      <c r="F152" s="41" t="str">
        <f>IF(COUNTIF('ūd. sorbcija Sl'!$C$3:$C$43, $D152) &gt; 0, "ūdens sorbc",IF(COUNTIF(spiedei!$C$2:$C$41, $D152) &gt; 0, "spiede", IF(COUNTIF(higro!$C$5:$C$18, $D152) &gt; 0, "higroskopija",IF(COUNTIF(higro!$C$31:$C$45, $D152) &gt; 0, "higroskopija",IF(COUNTIF(Komp!$A$2:$A$13, $D152) &gt; 0, "komposts","")))))</f>
        <v/>
      </c>
    </row>
    <row r="153" spans="1:6" ht="15.75" customHeight="1">
      <c r="A153" s="6"/>
      <c r="B153" s="6"/>
      <c r="C153" s="6"/>
      <c r="D153" s="43">
        <v>80</v>
      </c>
      <c r="E153" s="41" t="str">
        <f>IF(COUNTIF('Sl suberinskabe'!$A$5:$A$84, $D153) &gt; 0,"sub",IF(COUNTIF('Sl hito+suberinskabe'!$A$5:$A$78, $D153) &gt; 0,"hito_sub",""))</f>
        <v>sub</v>
      </c>
      <c r="F153" s="41" t="str">
        <f>IF(COUNTIF('ūd. sorbcija Sl'!$C$3:$C$43, $D153) &gt; 0, "ūdens sorbc",IF(COUNTIF(spiedei!$C$2:$C$41, $D153) &gt; 0, "spiede", IF(COUNTIF(higro!$C$5:$C$18, $D153) &gt; 0, "higroskopija",IF(COUNTIF(higro!$C$31:$C$45, $D153) &gt; 0, "higroskopija",IF(COUNTIF(Komp!$A$2:$A$13, $D153) &gt; 0, "komposts","")))))</f>
        <v>ūdens sorbc</v>
      </c>
    </row>
    <row r="154" spans="1:6" ht="15.75" customHeight="1">
      <c r="A154" s="6"/>
      <c r="B154" s="6"/>
      <c r="C154" s="6"/>
      <c r="D154" s="49">
        <v>81</v>
      </c>
      <c r="E154" s="41" t="str">
        <f>IF(COUNTIF('Sl suberinskabe'!$A$5:$A$84, $D154) &gt; 0,"sub",IF(COUNTIF('Sl hito+suberinskabe'!$A$5:$A$78, $D154) &gt; 0,"hito_sub",""))</f>
        <v>sub</v>
      </c>
      <c r="F154" s="41" t="str">
        <f>IF(COUNTIF('ūd. sorbcija Sl'!$C$3:$C$43, $D154) &gt; 0, "ūdens sorbc",IF(COUNTIF(spiedei!$C$2:$C$41, $D154) &gt; 0, "spiede", IF(COUNTIF(higro!$C$5:$C$18, $D154) &gt; 0, "higroskopija",IF(COUNTIF(higro!$C$31:$C$45, $D154) &gt; 0, "higroskopija",IF(COUNTIF(Komp!$A$2:$A$13, $D154) &gt; 0, "komposts","")))))</f>
        <v>higroskopija</v>
      </c>
    </row>
    <row r="155" spans="1:6" ht="15.75" customHeight="1">
      <c r="A155" s="6"/>
      <c r="B155" s="6"/>
      <c r="C155" s="6"/>
      <c r="D155" s="47">
        <v>82</v>
      </c>
      <c r="E155" s="41" t="str">
        <f>IF(COUNTIF('Sl suberinskabe'!$A$5:$A$84, $D155) &gt; 0,"sub",IF(COUNTIF('Sl hito+suberinskabe'!$A$5:$A$78, $D155) &gt; 0,"hito_sub",""))</f>
        <v>sub</v>
      </c>
      <c r="F155" s="41" t="str">
        <f>IF(COUNTIF('ūd. sorbcija Sl'!$C$3:$C$43, $D155) &gt; 0, "ūdens sorbc",IF(COUNTIF(spiedei!$C$2:$C$41, $D155) &gt; 0, "spiede", IF(COUNTIF(higro!$C$5:$C$18, $D155) &gt; 0, "higroskopija",IF(COUNTIF(higro!$C$31:$C$45, $D155) &gt; 0, "higroskopija",IF(COUNTIF(Komp!$A$2:$A$13, $D155) &gt; 0, "komposts","")))))</f>
        <v/>
      </c>
    </row>
    <row r="156" spans="1:6" ht="15.75" customHeight="1">
      <c r="A156" s="6"/>
      <c r="B156" s="6"/>
      <c r="C156" s="8"/>
      <c r="D156" s="52">
        <v>83</v>
      </c>
      <c r="E156" s="41" t="str">
        <f>IF(COUNTIF('Sl suberinskabe'!$A$5:$A$84, $D156) &gt; 0,"sub",IF(COUNTIF('Sl hito+suberinskabe'!$A$5:$A$78, $D156) &gt; 0,"hito_sub",""))</f>
        <v>sub</v>
      </c>
      <c r="F156" s="41" t="str">
        <f>IF(COUNTIF('ūd. sorbcija Sl'!$C$3:$C$43, $D156) &gt; 0, "ūdens sorbc",IF(COUNTIF(spiedei!$C$2:$C$41, $D156) &gt; 0, "spiede", IF(COUNTIF(higro!$C$5:$C$18, $D156) &gt; 0, "higroskopija",IF(COUNTIF(higro!$C$31:$C$45, $D156) &gt; 0, "higroskopija",IF(COUNTIF(Komp!$A$2:$A$13, $D156) &gt; 0, "komposts","")))))</f>
        <v/>
      </c>
    </row>
    <row r="157" spans="1:6" ht="15.75" customHeight="1">
      <c r="A157" s="6"/>
      <c r="B157" s="6"/>
      <c r="C157" s="13">
        <v>41</v>
      </c>
      <c r="D157" s="47">
        <v>84</v>
      </c>
      <c r="E157" s="41" t="str">
        <f>IF(COUNTIF('Sl suberinskabe'!$A$5:$A$84, $D157) &gt; 0,"sub",IF(COUNTIF('Sl hito+suberinskabe'!$A$5:$A$78, $D157) &gt; 0,"hito_sub",""))</f>
        <v>hito_sub</v>
      </c>
      <c r="F157" s="41" t="str">
        <f>IF(COUNTIF('ūd. sorbcija Sl'!$C$3:$C$43, $D157) &gt; 0, "ūdens sorbc",IF(COUNTIF(spiedei!$C$2:$C$41, $D157) &gt; 0, "spiede", IF(COUNTIF(higro!$C$5:$C$18, $D157) &gt; 0, "higroskopija",IF(COUNTIF(higro!$C$31:$C$45, $D157) &gt; 0, "higroskopija",IF(COUNTIF(Komp!$A$2:$A$13, $D157) &gt; 0, "komposts","")))))</f>
        <v/>
      </c>
    </row>
    <row r="158" spans="1:6" ht="15.75" customHeight="1">
      <c r="A158" s="6"/>
      <c r="B158" s="6"/>
      <c r="C158" s="6"/>
      <c r="D158" s="43">
        <v>85</v>
      </c>
      <c r="E158" s="41" t="str">
        <f>IF(COUNTIF('Sl suberinskabe'!$A$5:$A$84, $D158) &gt; 0,"sub",IF(COUNTIF('Sl hito+suberinskabe'!$A$5:$A$78, $D158) &gt; 0,"hito_sub",""))</f>
        <v>sub</v>
      </c>
      <c r="F158" s="41" t="str">
        <f>IF(COUNTIF('ūd. sorbcija Sl'!$C$3:$C$43, $D158) &gt; 0, "ūdens sorbc",IF(COUNTIF(spiedei!$C$2:$C$41, $D158) &gt; 0, "spiede", IF(COUNTIF(higro!$C$5:$C$18, $D158) &gt; 0, "higroskopija",IF(COUNTIF(higro!$C$31:$C$45, $D158) &gt; 0, "higroskopija",IF(COUNTIF(Komp!$A$2:$A$13, $D158) &gt; 0, "komposts","")))))</f>
        <v>ūdens sorbc</v>
      </c>
    </row>
    <row r="159" spans="1:6" ht="15.75" customHeight="1">
      <c r="A159" s="6"/>
      <c r="B159" s="6"/>
      <c r="C159" s="6"/>
      <c r="D159" s="45">
        <v>86</v>
      </c>
      <c r="E159" s="41" t="str">
        <f>IF(COUNTIF('Sl suberinskabe'!$A$5:$A$84, $D159) &gt; 0,"sub",IF(COUNTIF('Sl hito+suberinskabe'!$A$5:$A$78, $D159) &gt; 0,"hito_sub",""))</f>
        <v>sub</v>
      </c>
      <c r="F159" s="41" t="str">
        <f>IF(COUNTIF('ūd. sorbcija Sl'!$C$3:$C$43, $D159) &gt; 0, "ūdens sorbc",IF(COUNTIF(spiedei!$C$2:$C$41, $D159) &gt; 0, "spiede", IF(COUNTIF(higro!$C$5:$C$18, $D159) &gt; 0, "higroskopija",IF(COUNTIF(higro!$C$31:$C$45, $D159) &gt; 0, "higroskopija",IF(COUNTIF(Komp!$A$2:$A$13, $D159) &gt; 0, "komposts","")))))</f>
        <v>spiede</v>
      </c>
    </row>
    <row r="160" spans="1:6" ht="15.75" customHeight="1">
      <c r="A160" s="6"/>
      <c r="B160" s="6"/>
      <c r="C160" s="6"/>
      <c r="D160" s="45">
        <v>87</v>
      </c>
      <c r="E160" s="41" t="str">
        <f>IF(COUNTIF('Sl suberinskabe'!$A$5:$A$84, $D160) &gt; 0,"sub",IF(COUNTIF('Sl hito+suberinskabe'!$A$5:$A$78, $D160) &gt; 0,"hito_sub",""))</f>
        <v>hito_sub</v>
      </c>
      <c r="F160" s="41" t="str">
        <f>IF(COUNTIF('ūd. sorbcija Sl'!$C$3:$C$43, $D160) &gt; 0, "ūdens sorbc",IF(COUNTIF(spiedei!$C$2:$C$41, $D160) &gt; 0, "spiede", IF(COUNTIF(higro!$C$5:$C$18, $D160) &gt; 0, "higroskopija",IF(COUNTIF(higro!$C$31:$C$45, $D160) &gt; 0, "higroskopija",IF(COUNTIF(Komp!$A$2:$A$13, $D160) &gt; 0, "komposts","")))))</f>
        <v>spiede</v>
      </c>
    </row>
    <row r="161" spans="1:6" ht="15.75" customHeight="1">
      <c r="A161" s="6"/>
      <c r="B161" s="8"/>
      <c r="C161" s="8"/>
      <c r="D161" s="54">
        <v>88</v>
      </c>
      <c r="E161" s="41" t="str">
        <f>IF(COUNTIF('Sl suberinskabe'!$A$5:$A$84, $D161) &gt; 0,"sub",IF(COUNTIF('Sl hito+suberinskabe'!$A$5:$A$78, $D161) &gt; 0,"hito_sub",""))</f>
        <v>hito_sub</v>
      </c>
      <c r="F161" s="41" t="str">
        <f>IF(COUNTIF('ūd. sorbcija Sl'!$C$3:$C$43, $D161) &gt; 0, "ūdens sorbc",IF(COUNTIF(spiedei!$C$2:$C$41, $D161) &gt; 0, "spiede", IF(COUNTIF(higro!$C$5:$C$18, $D161) &gt; 0, "higroskopija",IF(COUNTIF(higro!$C$31:$C$45, $D161) &gt; 0, "higroskopija",IF(COUNTIF(Komp!$A$2:$A$13, $D161) &gt; 0, "komposts","")))))</f>
        <v>higroskopija</v>
      </c>
    </row>
    <row r="162" spans="1:6" ht="15.75" customHeight="1">
      <c r="A162" s="6"/>
      <c r="B162" s="13">
        <v>2</v>
      </c>
      <c r="C162" s="13">
        <v>44</v>
      </c>
      <c r="D162" s="43">
        <v>89</v>
      </c>
      <c r="E162" s="41" t="str">
        <f>IF(COUNTIF('Sl suberinskabe'!$A$5:$A$84, $D162) &gt; 0,"sub",IF(COUNTIF('Sl hito+suberinskabe'!$A$5:$A$78, $D162) &gt; 0,"hito_sub",""))</f>
        <v>hito_sub</v>
      </c>
      <c r="F162" s="41" t="str">
        <f>IF(COUNTIF('ūd. sorbcija Sl'!$C$3:$C$43, $D162) &gt; 0, "ūdens sorbc",IF(COUNTIF(spiedei!$C$2:$C$41, $D162) &gt; 0, "spiede", IF(COUNTIF(higro!$C$5:$C$18, $D162) &gt; 0, "higroskopija",IF(COUNTIF(higro!$C$31:$C$45, $D162) &gt; 0, "higroskopija",IF(COUNTIF(Komp!$A$2:$A$13, $D162) &gt; 0, "komposts","")))))</f>
        <v>ūdens sorbc</v>
      </c>
    </row>
    <row r="163" spans="1:6" ht="15.75" customHeight="1">
      <c r="A163" s="6"/>
      <c r="B163" s="6"/>
      <c r="C163" s="6"/>
      <c r="D163" s="47">
        <v>90</v>
      </c>
      <c r="E163" s="41" t="str">
        <f>IF(COUNTIF('Sl suberinskabe'!$A$5:$A$84, $D163) &gt; 0,"sub",IF(COUNTIF('Sl hito+suberinskabe'!$A$5:$A$78, $D163) &gt; 0,"hito_sub",""))</f>
        <v>sub</v>
      </c>
      <c r="F163" s="41" t="str">
        <f>IF(COUNTIF('ūd. sorbcija Sl'!$C$3:$C$43, $D163) &gt; 0, "ūdens sorbc",IF(COUNTIF(spiedei!$C$2:$C$41, $D163) &gt; 0, "spiede", IF(COUNTIF(higro!$C$5:$C$18, $D163) &gt; 0, "higroskopija",IF(COUNTIF(higro!$C$31:$C$45, $D163) &gt; 0, "higroskopija",IF(COUNTIF(Komp!$A$2:$A$13, $D163) &gt; 0, "komposts","")))))</f>
        <v/>
      </c>
    </row>
    <row r="164" spans="1:6" ht="15.75" customHeight="1">
      <c r="A164" s="6"/>
      <c r="B164" s="6"/>
      <c r="C164" s="6"/>
      <c r="D164" s="49">
        <v>91</v>
      </c>
      <c r="E164" s="41" t="str">
        <f>IF(COUNTIF('Sl suberinskabe'!$A$5:$A$84, $D164) &gt; 0,"sub",IF(COUNTIF('Sl hito+suberinskabe'!$A$5:$A$78, $D164) &gt; 0,"hito_sub",""))</f>
        <v>sub</v>
      </c>
      <c r="F164" s="41" t="str">
        <f>IF(COUNTIF('ūd. sorbcija Sl'!$C$3:$C$43, $D164) &gt; 0, "ūdens sorbc",IF(COUNTIF(spiedei!$C$2:$C$41, $D164) &gt; 0, "spiede", IF(COUNTIF(higro!$C$5:$C$18, $D164) &gt; 0, "higroskopija",IF(COUNTIF(higro!$C$31:$C$45, $D164) &gt; 0, "higroskopija",IF(COUNTIF(Komp!$A$2:$A$13, $D164) &gt; 0, "komposts","")))))</f>
        <v>higroskopija</v>
      </c>
    </row>
    <row r="165" spans="1:6" ht="15.75" customHeight="1">
      <c r="A165" s="6"/>
      <c r="B165" s="6"/>
      <c r="C165" s="6"/>
      <c r="D165" s="45">
        <v>92</v>
      </c>
      <c r="E165" s="41" t="str">
        <f>IF(COUNTIF('Sl suberinskabe'!$A$5:$A$84, $D165) &gt; 0,"sub",IF(COUNTIF('Sl hito+suberinskabe'!$A$5:$A$78, $D165) &gt; 0,"hito_sub",""))</f>
        <v>sub</v>
      </c>
      <c r="F165" s="41" t="str">
        <f>IF(COUNTIF('ūd. sorbcija Sl'!$C$3:$C$43, $D165) &gt; 0, "ūdens sorbc",IF(COUNTIF(spiedei!$C$2:$C$41, $D165) &gt; 0, "spiede", IF(COUNTIF(higro!$C$5:$C$18, $D165) &gt; 0, "higroskopija",IF(COUNTIF(higro!$C$31:$C$45, $D165) &gt; 0, "higroskopija",IF(COUNTIF(Komp!$A$2:$A$13, $D165) &gt; 0, "komposts","")))))</f>
        <v>spiede</v>
      </c>
    </row>
    <row r="166" spans="1:6" ht="15.75" customHeight="1">
      <c r="A166" s="6"/>
      <c r="B166" s="6"/>
      <c r="C166" s="8"/>
      <c r="D166" s="45">
        <v>93</v>
      </c>
      <c r="E166" s="41" t="str">
        <f>IF(COUNTIF('Sl suberinskabe'!$A$5:$A$84, $D166) &gt; 0,"sub",IF(COUNTIF('Sl hito+suberinskabe'!$A$5:$A$78, $D166) &gt; 0,"hito_sub",""))</f>
        <v>hito_sub</v>
      </c>
      <c r="F166" s="41" t="str">
        <f>IF(COUNTIF('ūd. sorbcija Sl'!$C$3:$C$43, $D166) &gt; 0, "ūdens sorbc",IF(COUNTIF(spiedei!$C$2:$C$41, $D166) &gt; 0, "spiede", IF(COUNTIF(higro!$C$5:$C$18, $D166) &gt; 0, "higroskopija",IF(COUNTIF(higro!$C$31:$C$45, $D166) &gt; 0, "higroskopija",IF(COUNTIF(Komp!$A$2:$A$13, $D166) &gt; 0, "komposts","")))))</f>
        <v>spiede</v>
      </c>
    </row>
    <row r="167" spans="1:6" ht="15.75" customHeight="1">
      <c r="A167" s="6"/>
      <c r="B167" s="6"/>
      <c r="C167" s="13">
        <v>46</v>
      </c>
      <c r="D167" s="43">
        <v>94</v>
      </c>
      <c r="E167" s="41" t="str">
        <f>IF(COUNTIF('Sl suberinskabe'!$A$5:$A$84, $D167) &gt; 0,"sub",IF(COUNTIF('Sl hito+suberinskabe'!$A$5:$A$78, $D167) &gt; 0,"hito_sub",""))</f>
        <v>hito_sub</v>
      </c>
      <c r="F167" s="41" t="str">
        <f>IF(COUNTIF('ūd. sorbcija Sl'!$C$3:$C$43, $D167) &gt; 0, "ūdens sorbc",IF(COUNTIF(spiedei!$C$2:$C$41, $D167) &gt; 0, "spiede", IF(COUNTIF(higro!$C$5:$C$18, $D167) &gt; 0, "higroskopija",IF(COUNTIF(higro!$C$31:$C$45, $D167) &gt; 0, "higroskopija",IF(COUNTIF(Komp!$A$2:$A$13, $D167) &gt; 0, "komposts","")))))</f>
        <v>ūdens sorbc</v>
      </c>
    </row>
    <row r="168" spans="1:6" ht="15.75" customHeight="1">
      <c r="A168" s="6"/>
      <c r="B168" s="6"/>
      <c r="C168" s="6"/>
      <c r="D168" s="43">
        <v>95</v>
      </c>
      <c r="E168" s="41" t="str">
        <f>IF(COUNTIF('Sl suberinskabe'!$A$5:$A$84, $D168) &gt; 0,"sub",IF(COUNTIF('Sl hito+suberinskabe'!$A$5:$A$78, $D168) &gt; 0,"hito_sub",""))</f>
        <v>sub</v>
      </c>
      <c r="F168" s="41" t="str">
        <f>IF(COUNTIF('ūd. sorbcija Sl'!$C$3:$C$43, $D168) &gt; 0, "ūdens sorbc",IF(COUNTIF(spiedei!$C$2:$C$41, $D168) &gt; 0, "spiede", IF(COUNTIF(higro!$C$5:$C$18, $D168) &gt; 0, "higroskopija",IF(COUNTIF(higro!$C$31:$C$45, $D168) &gt; 0, "higroskopija",IF(COUNTIF(Komp!$A$2:$A$13, $D168) &gt; 0, "komposts","")))))</f>
        <v>ūdens sorbc</v>
      </c>
    </row>
    <row r="169" spans="1:6" ht="15.75" customHeight="1">
      <c r="A169" s="6"/>
      <c r="B169" s="6"/>
      <c r="C169" s="6"/>
      <c r="D169" s="52">
        <v>96</v>
      </c>
      <c r="E169" s="41" t="str">
        <f>IF(COUNTIF('Sl suberinskabe'!$A$5:$A$84, $D169) &gt; 0,"sub",IF(COUNTIF('Sl hito+suberinskabe'!$A$5:$A$78, $D169) &gt; 0,"hito_sub",""))</f>
        <v>sub</v>
      </c>
      <c r="F169" s="41" t="str">
        <f>IF(COUNTIF('ūd. sorbcija Sl'!$C$3:$C$43, $D169) &gt; 0, "ūdens sorbc",IF(COUNTIF(spiedei!$C$2:$C$41, $D169) &gt; 0, "spiede", IF(COUNTIF(higro!$C$5:$C$18, $D169) &gt; 0, "higroskopija",IF(COUNTIF(higro!$C$31:$C$45, $D169) &gt; 0, "higroskopija",IF(COUNTIF(Komp!$A$2:$A$13, $D169) &gt; 0, "komposts","")))))</f>
        <v>komposts</v>
      </c>
    </row>
    <row r="170" spans="1:6" ht="15.75" customHeight="1">
      <c r="A170" s="6"/>
      <c r="B170" s="6"/>
      <c r="C170" s="6"/>
      <c r="D170" s="54">
        <v>97</v>
      </c>
      <c r="E170" s="41" t="str">
        <f>IF(COUNTIF('Sl suberinskabe'!$A$5:$A$84, $D170) &gt; 0,"sub",IF(COUNTIF('Sl hito+suberinskabe'!$A$5:$A$78, $D170) &gt; 0,"hito_sub",""))</f>
        <v>sub</v>
      </c>
      <c r="F170" s="41" t="str">
        <f>IF(COUNTIF('ūd. sorbcija Sl'!$C$3:$C$43, $D170) &gt; 0, "ūdens sorbc",IF(COUNTIF(spiedei!$C$2:$C$41, $D170) &gt; 0, "spiede", IF(COUNTIF(higro!$C$5:$C$18, $D170) &gt; 0, "higroskopija",IF(COUNTIF(higro!$C$31:$C$45, $D170) &gt; 0, "higroskopija",IF(COUNTIF(Komp!$A$2:$A$13, $D170) &gt; 0, "komposts","")))))</f>
        <v>komposts</v>
      </c>
    </row>
    <row r="171" spans="1:6" ht="15.75" customHeight="1">
      <c r="A171" s="8"/>
      <c r="B171" s="8"/>
      <c r="C171" s="8"/>
      <c r="D171" s="22">
        <v>98</v>
      </c>
      <c r="E171" s="41" t="str">
        <f>IF(COUNTIF('Sl suberinskabe'!$A$5:$A$84, $D171) &gt; 0,"sub",IF(COUNTIF('Sl hito+suberinskabe'!$A$5:$A$78, $D171) &gt; 0,"hito_sub",""))</f>
        <v>hito_sub</v>
      </c>
      <c r="F171" s="41" t="str">
        <f>IF(COUNTIF('ūd. sorbcija Sl'!$C$3:$C$43, $D171) &gt; 0, "ūdens sorbc",IF(COUNTIF(spiedei!$C$2:$C$41, $D171) &gt; 0, "spiede", IF(COUNTIF(higro!$C$5:$C$18, $D171) &gt; 0, "higroskopija",IF(COUNTIF(higro!$C$31:$C$45, $D171) &gt; 0, "higroskopija",IF(COUNTIF(Komp!$A$2:$A$13, $D171) &gt; 0, "komposts","")))))</f>
        <v/>
      </c>
    </row>
    <row r="172" spans="1:6" ht="15.75" customHeight="1">
      <c r="A172" s="13" t="s">
        <v>26</v>
      </c>
      <c r="B172" s="13">
        <v>1</v>
      </c>
      <c r="C172" s="13">
        <v>91</v>
      </c>
      <c r="D172" s="54">
        <v>154</v>
      </c>
      <c r="E172" s="41" t="str">
        <f>IF(COUNTIF('Sl suberinskabe'!$A$5:$A$84, $D172) &gt; 0,"sub",IF(COUNTIF('Sl hito+suberinskabe'!$A$5:$A$78, $D172) &gt; 0,"hito_sub",""))</f>
        <v>sub</v>
      </c>
      <c r="F172" s="41" t="str">
        <f>IF(COUNTIF('ūd. sorbcija Sl'!$C$3:$C$43, $D172) &gt; 0, "ūdens sorbc",IF(COUNTIF(spiedei!$C$2:$C$41, $D172) &gt; 0, "spiede", IF(COUNTIF(higro!$C$5:$C$18, $D172) &gt; 0, "higroskopija",IF(COUNTIF(higro!$C$31:$C$45, $D172) &gt; 0, "higroskopija",IF(COUNTIF(Komp!$A$2:$A$13, $D172) &gt; 0, "komposts","")))))</f>
        <v>komposts</v>
      </c>
    </row>
    <row r="173" spans="1:6" ht="15.75" customHeight="1">
      <c r="A173" s="6"/>
      <c r="B173" s="6"/>
      <c r="C173" s="6"/>
      <c r="D173" s="43">
        <v>155</v>
      </c>
      <c r="E173" s="41" t="str">
        <f>IF(COUNTIF('Sl suberinskabe'!$A$5:$A$84, $D173) &gt; 0,"sub",IF(COUNTIF('Sl hito+suberinskabe'!$A$5:$A$78, $D173) &gt; 0,"hito_sub",""))</f>
        <v>hito_sub</v>
      </c>
      <c r="F173" s="41" t="str">
        <f>IF(COUNTIF('ūd. sorbcija Sl'!$C$3:$C$43, $D173) &gt; 0, "ūdens sorbc",IF(COUNTIF(spiedei!$C$2:$C$41, $D173) &gt; 0, "spiede", IF(COUNTIF(higro!$C$5:$C$18, $D173) &gt; 0, "higroskopija",IF(COUNTIF(higro!$C$31:$C$45, $D173) &gt; 0, "higroskopija",IF(COUNTIF(Komp!$A$2:$A$13, $D173) &gt; 0, "komposts","")))))</f>
        <v>ūdens sorbc</v>
      </c>
    </row>
    <row r="174" spans="1:6" ht="15.75" customHeight="1">
      <c r="A174" s="6"/>
      <c r="B174" s="6"/>
      <c r="C174" s="6"/>
      <c r="D174" s="45">
        <v>156</v>
      </c>
      <c r="E174" s="41" t="str">
        <f>IF(COUNTIF('Sl suberinskabe'!$A$5:$A$84, $D174) &gt; 0,"sub",IF(COUNTIF('Sl hito+suberinskabe'!$A$5:$A$78, $D174) &gt; 0,"hito_sub",""))</f>
        <v>sub</v>
      </c>
      <c r="F174" s="41" t="str">
        <f>IF(COUNTIF('ūd. sorbcija Sl'!$C$3:$C$43, $D174) &gt; 0, "ūdens sorbc",IF(COUNTIF(spiedei!$C$2:$C$41, $D174) &gt; 0, "spiede", IF(COUNTIF(higro!$C$5:$C$18, $D174) &gt; 0, "higroskopija",IF(COUNTIF(higro!$C$31:$C$45, $D174) &gt; 0, "higroskopija",IF(COUNTIF(Komp!$A$2:$A$13, $D174) &gt; 0, "komposts","")))))</f>
        <v>spiede</v>
      </c>
    </row>
    <row r="175" spans="1:6" ht="15.75" customHeight="1">
      <c r="A175" s="6"/>
      <c r="B175" s="6"/>
      <c r="C175" s="6"/>
      <c r="D175" s="47">
        <v>157</v>
      </c>
      <c r="E175" s="41" t="str">
        <f>IF(COUNTIF('Sl suberinskabe'!$A$5:$A$84, $D175) &gt; 0,"sub",IF(COUNTIF('Sl hito+suberinskabe'!$A$5:$A$78, $D175) &gt; 0,"hito_sub",""))</f>
        <v>hito_sub</v>
      </c>
      <c r="F175" s="41" t="str">
        <f>IF(COUNTIF('ūd. sorbcija Sl'!$C$3:$C$43, $D175) &gt; 0, "ūdens sorbc",IF(COUNTIF(spiedei!$C$2:$C$41, $D175) &gt; 0, "spiede", IF(COUNTIF(higro!$C$5:$C$18, $D175) &gt; 0, "higroskopija",IF(COUNTIF(higro!$C$31:$C$45, $D175) &gt; 0, "higroskopija",IF(COUNTIF(Komp!$A$2:$A$13, $D175) &gt; 0, "komposts","")))))</f>
        <v/>
      </c>
    </row>
    <row r="176" spans="1:6" ht="15.75" customHeight="1">
      <c r="A176" s="6"/>
      <c r="B176" s="6"/>
      <c r="C176" s="8"/>
      <c r="D176" s="55">
        <v>158</v>
      </c>
      <c r="E176" s="41" t="str">
        <f>IF(COUNTIF('Sl suberinskabe'!$A$5:$A$84, $D176) &gt; 0,"sub",IF(COUNTIF('Sl hito+suberinskabe'!$A$5:$A$78, $D176) &gt; 0,"hito_sub",""))</f>
        <v>hito_sub</v>
      </c>
      <c r="F176" s="41" t="str">
        <f>IF(COUNTIF('ūd. sorbcija Sl'!$C$3:$C$43, $D176) &gt; 0, "ūdens sorbc",IF(COUNTIF(spiedei!$C$2:$C$41, $D176) &gt; 0, "spiede", IF(COUNTIF(higro!$C$5:$C$18, $D176) &gt; 0, "higroskopija",IF(COUNTIF(higro!$C$31:$C$45, $D176) &gt; 0, "higroskopija",IF(COUNTIF(Komp!$A$2:$A$13, $D176) &gt; 0, "komposts","")))))</f>
        <v/>
      </c>
    </row>
    <row r="177" spans="1:6" ht="15.75" customHeight="1">
      <c r="A177" s="6"/>
      <c r="B177" s="6"/>
      <c r="C177" s="13">
        <v>92</v>
      </c>
      <c r="D177" s="10">
        <v>159</v>
      </c>
      <c r="E177" s="41" t="str">
        <f>IF(COUNTIF('Sl suberinskabe'!$A$5:$A$84, $D177) &gt; 0,"sub",IF(COUNTIF('Sl hito+suberinskabe'!$A$5:$A$78, $D177) &gt; 0,"hito_sub",""))</f>
        <v/>
      </c>
      <c r="F177" s="41" t="str">
        <f>IF(COUNTIF('ūd. sorbcija Sl'!$C$3:$C$43, $D177) &gt; 0, "ūdens sorbc",IF(COUNTIF(spiedei!$C$2:$C$41, $D177) &gt; 0, "spiede", IF(COUNTIF(higro!$C$5:$C$18, $D177) &gt; 0, "higroskopija",IF(COUNTIF(higro!$C$31:$C$45, $D177) &gt; 0, "higroskopija",IF(COUNTIF(Komp!$A$2:$A$13, $D177) &gt; 0, "komposts","")))))</f>
        <v/>
      </c>
    </row>
    <row r="178" spans="1:6" ht="15.75" customHeight="1">
      <c r="A178" s="6"/>
      <c r="B178" s="6"/>
      <c r="C178" s="6"/>
      <c r="D178" s="43">
        <v>160</v>
      </c>
      <c r="E178" s="41" t="str">
        <f>IF(COUNTIF('Sl suberinskabe'!$A$5:$A$84, $D178) &gt; 0,"sub",IF(COUNTIF('Sl hito+suberinskabe'!$A$5:$A$78, $D178) &gt; 0,"hito_sub",""))</f>
        <v>sub</v>
      </c>
      <c r="F178" s="41" t="str">
        <f>IF(COUNTIF('ūd. sorbcija Sl'!$C$3:$C$43, $D178) &gt; 0, "ūdens sorbc",IF(COUNTIF(spiedei!$C$2:$C$41, $D178) &gt; 0, "spiede", IF(COUNTIF(higro!$C$5:$C$18, $D178) &gt; 0, "higroskopija",IF(COUNTIF(higro!$C$31:$C$45, $D178) &gt; 0, "higroskopija",IF(COUNTIF(Komp!$A$2:$A$13, $D178) &gt; 0, "komposts","")))))</f>
        <v>ūdens sorbc</v>
      </c>
    </row>
    <row r="179" spans="1:6" ht="15.75" customHeight="1">
      <c r="A179" s="6"/>
      <c r="B179" s="6"/>
      <c r="C179" s="6"/>
      <c r="D179" s="45">
        <v>161</v>
      </c>
      <c r="E179" s="41" t="str">
        <f>IF(COUNTIF('Sl suberinskabe'!$A$5:$A$84, $D179) &gt; 0,"sub",IF(COUNTIF('Sl hito+suberinskabe'!$A$5:$A$78, $D179) &gt; 0,"hito_sub",""))</f>
        <v>hito_sub</v>
      </c>
      <c r="F179" s="41" t="str">
        <f>IF(COUNTIF('ūd. sorbcija Sl'!$C$3:$C$43, $D179) &gt; 0, "ūdens sorbc",IF(COUNTIF(spiedei!$C$2:$C$41, $D179) &gt; 0, "spiede", IF(COUNTIF(higro!$C$5:$C$18, $D179) &gt; 0, "higroskopija",IF(COUNTIF(higro!$C$31:$C$45, $D179) &gt; 0, "higroskopija",IF(COUNTIF(Komp!$A$2:$A$13, $D179) &gt; 0, "komposts","")))))</f>
        <v>spiede</v>
      </c>
    </row>
    <row r="180" spans="1:6" ht="15.75" customHeight="1">
      <c r="A180" s="6"/>
      <c r="B180" s="6"/>
      <c r="C180" s="6"/>
      <c r="D180" s="10">
        <v>162</v>
      </c>
      <c r="E180" s="41" t="str">
        <f>IF(COUNTIF('Sl suberinskabe'!$A$5:$A$84, $D180) &gt; 0,"sub",IF(COUNTIF('Sl hito+suberinskabe'!$A$5:$A$78, $D180) &gt; 0,"hito_sub",""))</f>
        <v/>
      </c>
      <c r="F180" s="41" t="str">
        <f>IF(COUNTIF('ūd. sorbcija Sl'!$C$3:$C$43, $D180) &gt; 0, "ūdens sorbc",IF(COUNTIF(spiedei!$C$2:$C$41, $D180) &gt; 0, "spiede", IF(COUNTIF(higro!$C$5:$C$18, $D180) &gt; 0, "higroskopija",IF(COUNTIF(higro!$C$31:$C$45, $D180) &gt; 0, "higroskopija",IF(COUNTIF(Komp!$A$2:$A$13, $D180) &gt; 0, "komposts","")))))</f>
        <v/>
      </c>
    </row>
    <row r="181" spans="1:6" ht="15.75" customHeight="1">
      <c r="A181" s="6"/>
      <c r="B181" s="8"/>
      <c r="C181" s="8"/>
      <c r="D181" s="10">
        <v>163</v>
      </c>
      <c r="E181" s="41" t="str">
        <f>IF(COUNTIF('Sl suberinskabe'!$A$5:$A$84, $D181) &gt; 0,"sub",IF(COUNTIF('Sl hito+suberinskabe'!$A$5:$A$78, $D181) &gt; 0,"hito_sub",""))</f>
        <v/>
      </c>
      <c r="F181" s="41" t="str">
        <f>IF(COUNTIF('ūd. sorbcija Sl'!$C$3:$C$43, $D181) &gt; 0, "ūdens sorbc",IF(COUNTIF(spiedei!$C$2:$C$41, $D181) &gt; 0, "spiede", IF(COUNTIF(higro!$C$5:$C$18, $D181) &gt; 0, "higroskopija",IF(COUNTIF(higro!$C$31:$C$45, $D181) &gt; 0, "higroskopija",IF(COUNTIF(Komp!$A$2:$A$13, $D181) &gt; 0, "komposts","")))))</f>
        <v/>
      </c>
    </row>
    <row r="182" spans="1:6" ht="15.75" customHeight="1">
      <c r="A182" s="6"/>
      <c r="B182" s="13">
        <v>2</v>
      </c>
      <c r="C182" s="13">
        <v>95</v>
      </c>
      <c r="D182" s="10">
        <v>164</v>
      </c>
      <c r="E182" s="41" t="str">
        <f>IF(COUNTIF('Sl suberinskabe'!$A$5:$A$84, $D182) &gt; 0,"sub",IF(COUNTIF('Sl hito+suberinskabe'!$A$5:$A$78, $D182) &gt; 0,"hito_sub",""))</f>
        <v/>
      </c>
      <c r="F182" s="41" t="str">
        <f>IF(COUNTIF('ūd. sorbcija Sl'!$C$3:$C$43, $D182) &gt; 0, "ūdens sorbc",IF(COUNTIF(spiedei!$C$2:$C$41, $D182) &gt; 0, "spiede", IF(COUNTIF(higro!$C$5:$C$18, $D182) &gt; 0, "higroskopija",IF(COUNTIF(higro!$C$31:$C$45, $D182) &gt; 0, "higroskopija",IF(COUNTIF(Komp!$A$2:$A$13, $D182) &gt; 0, "komposts","")))))</f>
        <v/>
      </c>
    </row>
    <row r="183" spans="1:6" ht="15.75" customHeight="1">
      <c r="A183" s="6"/>
      <c r="B183" s="6"/>
      <c r="C183" s="6"/>
      <c r="D183" s="43">
        <v>165</v>
      </c>
      <c r="E183" s="41" t="str">
        <f>IF(COUNTIF('Sl suberinskabe'!$A$5:$A$84, $D183) &gt; 0,"sub",IF(COUNTIF('Sl hito+suberinskabe'!$A$5:$A$78, $D183) &gt; 0,"hito_sub",""))</f>
        <v>hito_sub</v>
      </c>
      <c r="F183" s="41" t="str">
        <f>IF(COUNTIF('ūd. sorbcija Sl'!$C$3:$C$43, $D183) &gt; 0, "ūdens sorbc",IF(COUNTIF(spiedei!$C$2:$C$41, $D183) &gt; 0, "spiede", IF(COUNTIF(higro!$C$5:$C$18, $D183) &gt; 0, "higroskopija",IF(COUNTIF(higro!$C$31:$C$45, $D183) &gt; 0, "higroskopija",IF(COUNTIF(Komp!$A$2:$A$13, $D183) &gt; 0, "komposts","")))))</f>
        <v>ūdens sorbc</v>
      </c>
    </row>
    <row r="184" spans="1:6" ht="15.75" customHeight="1">
      <c r="A184" s="6"/>
      <c r="B184" s="6"/>
      <c r="C184" s="6"/>
      <c r="D184" s="43">
        <v>166</v>
      </c>
      <c r="E184" s="41" t="str">
        <f>IF(COUNTIF('Sl suberinskabe'!$A$5:$A$84, $D184) &gt; 0,"sub",IF(COUNTIF('Sl hito+suberinskabe'!$A$5:$A$78, $D184) &gt; 0,"hito_sub",""))</f>
        <v>sub</v>
      </c>
      <c r="F184" s="41" t="str">
        <f>IF(COUNTIF('ūd. sorbcija Sl'!$C$3:$C$43, $D184) &gt; 0, "ūdens sorbc",IF(COUNTIF(spiedei!$C$2:$C$41, $D184) &gt; 0, "spiede", IF(COUNTIF(higro!$C$5:$C$18, $D184) &gt; 0, "higroskopija",IF(COUNTIF(higro!$C$31:$C$45, $D184) &gt; 0, "higroskopija",IF(COUNTIF(Komp!$A$2:$A$13, $D184) &gt; 0, "komposts","")))))</f>
        <v>ūdens sorbc</v>
      </c>
    </row>
    <row r="185" spans="1:6" ht="15.75" customHeight="1">
      <c r="A185" s="6"/>
      <c r="B185" s="6"/>
      <c r="C185" s="6"/>
      <c r="D185" s="45">
        <v>167</v>
      </c>
      <c r="E185" s="41" t="str">
        <f>IF(COUNTIF('Sl suberinskabe'!$A$5:$A$84, $D185) &gt; 0,"sub",IF(COUNTIF('Sl hito+suberinskabe'!$A$5:$A$78, $D185) &gt; 0,"hito_sub",""))</f>
        <v>hito_sub</v>
      </c>
      <c r="F185" s="41" t="str">
        <f>IF(COUNTIF('ūd. sorbcija Sl'!$C$3:$C$43, $D185) &gt; 0, "ūdens sorbc",IF(COUNTIF(spiedei!$C$2:$C$41, $D185) &gt; 0, "spiede", IF(COUNTIF(higro!$C$5:$C$18, $D185) &gt; 0, "higroskopija",IF(COUNTIF(higro!$C$31:$C$45, $D185) &gt; 0, "higroskopija",IF(COUNTIF(Komp!$A$2:$A$13, $D185) &gt; 0, "komposts","")))))</f>
        <v>spiede</v>
      </c>
    </row>
    <row r="186" spans="1:6" ht="15.75" customHeight="1">
      <c r="A186" s="6"/>
      <c r="B186" s="6"/>
      <c r="C186" s="8"/>
      <c r="D186" s="47">
        <v>168</v>
      </c>
      <c r="E186" s="41" t="str">
        <f>IF(COUNTIF('Sl suberinskabe'!$A$5:$A$84, $D186) &gt; 0,"sub",IF(COUNTIF('Sl hito+suberinskabe'!$A$5:$A$78, $D186) &gt; 0,"hito_sub",""))</f>
        <v>hito_sub</v>
      </c>
      <c r="F186" s="41" t="str">
        <f>IF(COUNTIF('ūd. sorbcija Sl'!$C$3:$C$43, $D186) &gt; 0, "ūdens sorbc",IF(COUNTIF(spiedei!$C$2:$C$41, $D186) &gt; 0, "spiede", IF(COUNTIF(higro!$C$5:$C$18, $D186) &gt; 0, "higroskopija",IF(COUNTIF(higro!$C$31:$C$45, $D186) &gt; 0, "higroskopija",IF(COUNTIF(Komp!$A$2:$A$13, $D186) &gt; 0, "komposts","")))))</f>
        <v>ūdens sorbc</v>
      </c>
    </row>
    <row r="187" spans="1:6" ht="15.75" customHeight="1">
      <c r="A187" s="6"/>
      <c r="B187" s="6"/>
      <c r="C187" s="13">
        <v>96</v>
      </c>
      <c r="D187" s="55">
        <v>169</v>
      </c>
      <c r="E187" s="41" t="str">
        <f>IF(COUNTIF('Sl suberinskabe'!$A$5:$A$84, $D187) &gt; 0,"sub",IF(COUNTIF('Sl hito+suberinskabe'!$A$5:$A$78, $D187) &gt; 0,"hito_sub",""))</f>
        <v>hito_sub</v>
      </c>
      <c r="F187" s="41" t="str">
        <f>IF(COUNTIF('ūd. sorbcija Sl'!$C$3:$C$43, $D187) &gt; 0, "ūdens sorbc",IF(COUNTIF(spiedei!$C$2:$C$41, $D187) &gt; 0, "spiede", IF(COUNTIF(higro!$C$5:$C$18, $D187) &gt; 0, "higroskopija",IF(COUNTIF(higro!$C$31:$C$45, $D187) &gt; 0, "higroskopija",IF(COUNTIF(Komp!$A$2:$A$13, $D187) &gt; 0, "komposts","")))))</f>
        <v>higroskopija</v>
      </c>
    </row>
    <row r="188" spans="1:6" ht="15.75" customHeight="1">
      <c r="A188" s="6"/>
      <c r="B188" s="6"/>
      <c r="C188" s="6"/>
      <c r="D188" s="10">
        <v>170</v>
      </c>
      <c r="E188" s="41" t="str">
        <f>IF(COUNTIF('Sl suberinskabe'!$A$5:$A$84, $D188) &gt; 0,"sub",IF(COUNTIF('Sl hito+suberinskabe'!$A$5:$A$78, $D188) &gt; 0,"hito_sub",""))</f>
        <v/>
      </c>
      <c r="F188" s="41" t="str">
        <f>IF(COUNTIF('ūd. sorbcija Sl'!$C$3:$C$43, $D188) &gt; 0, "ūdens sorbc",IF(COUNTIF(spiedei!$C$2:$C$41, $D188) &gt; 0, "spiede", IF(COUNTIF(higro!$C$5:$C$18, $D188) &gt; 0, "higroskopija",IF(COUNTIF(higro!$C$31:$C$45, $D188) &gt; 0, "higroskopija",IF(COUNTIF(Komp!$A$2:$A$13, $D188) &gt; 0, "komposts","")))))</f>
        <v/>
      </c>
    </row>
    <row r="189" spans="1:6" ht="15.75" customHeight="1">
      <c r="A189" s="6"/>
      <c r="B189" s="6"/>
      <c r="C189" s="6"/>
      <c r="D189" s="47">
        <v>171</v>
      </c>
      <c r="E189" s="41" t="str">
        <f>IF(COUNTIF('Sl suberinskabe'!$A$5:$A$84, $D189) &gt; 0,"sub",IF(COUNTIF('Sl hito+suberinskabe'!$A$5:$A$78, $D189) &gt; 0,"hito_sub",""))</f>
        <v>sub</v>
      </c>
      <c r="F189" s="41" t="str">
        <f>IF(COUNTIF('ūd. sorbcija Sl'!$C$3:$C$43, $D189) &gt; 0, "ūdens sorbc",IF(COUNTIF(spiedei!$C$2:$C$41, $D189) &gt; 0, "spiede", IF(COUNTIF(higro!$C$5:$C$18, $D189) &gt; 0, "higroskopija",IF(COUNTIF(higro!$C$31:$C$45, $D189) &gt; 0, "higroskopija",IF(COUNTIF(Komp!$A$2:$A$13, $D189) &gt; 0, "komposts","")))))</f>
        <v/>
      </c>
    </row>
    <row r="190" spans="1:6" ht="15.75" customHeight="1">
      <c r="A190" s="6"/>
      <c r="B190" s="6"/>
      <c r="C190" s="6"/>
      <c r="D190" s="45">
        <v>172</v>
      </c>
      <c r="E190" s="41" t="str">
        <f>IF(COUNTIF('Sl suberinskabe'!$A$5:$A$84, $D190) &gt; 0,"sub",IF(COUNTIF('Sl hito+suberinskabe'!$A$5:$A$78, $D190) &gt; 0,"hito_sub",""))</f>
        <v>sub</v>
      </c>
      <c r="F190" s="41" t="str">
        <f>IF(COUNTIF('ūd. sorbcija Sl'!$C$3:$C$43, $D190) &gt; 0, "ūdens sorbc",IF(COUNTIF(spiedei!$C$2:$C$41, $D190) &gt; 0, "spiede", IF(COUNTIF(higro!$C$5:$C$18, $D190) &gt; 0, "higroskopija",IF(COUNTIF(higro!$C$31:$C$45, $D190) &gt; 0, "higroskopija",IF(COUNTIF(Komp!$A$2:$A$13, $D190) &gt; 0, "komposts","")))))</f>
        <v>spiede</v>
      </c>
    </row>
    <row r="191" spans="1:6" ht="15.75" customHeight="1">
      <c r="A191" s="6"/>
      <c r="B191" s="6"/>
      <c r="C191" s="8"/>
      <c r="D191" s="10">
        <v>173</v>
      </c>
      <c r="E191" s="41" t="str">
        <f>IF(COUNTIF('Sl suberinskabe'!$A$5:$A$84, $D191) &gt; 0,"sub",IF(COUNTIF('Sl hito+suberinskabe'!$A$5:$A$78, $D191) &gt; 0,"hito_sub",""))</f>
        <v/>
      </c>
      <c r="F191" s="41" t="str">
        <f>IF(COUNTIF('ūd. sorbcija Sl'!$C$3:$C$43, $D191) &gt; 0, "ūdens sorbc",IF(COUNTIF(spiedei!$C$2:$C$41, $D191) &gt; 0, "spiede", IF(COUNTIF(higro!$C$5:$C$18, $D191) &gt; 0, "higroskopija",IF(COUNTIF(higro!$C$31:$C$45, $D191) &gt; 0, "higroskopija",IF(COUNTIF(Komp!$A$2:$A$13, $D191) &gt; 0, "komposts","")))))</f>
        <v/>
      </c>
    </row>
    <row r="192" spans="1:6" ht="15.75" customHeight="1">
      <c r="A192" s="6"/>
      <c r="B192" s="6"/>
      <c r="C192" s="13">
        <v>97</v>
      </c>
      <c r="D192" s="55">
        <v>174</v>
      </c>
      <c r="E192" s="41" t="str">
        <f>IF(COUNTIF('Sl suberinskabe'!$A$5:$A$84, $D192) &gt; 0,"sub",IF(COUNTIF('Sl hito+suberinskabe'!$A$5:$A$78, $D192) &gt; 0,"hito_sub",""))</f>
        <v>hito_sub</v>
      </c>
      <c r="F192" s="41" t="str">
        <f>IF(COUNTIF('ūd. sorbcija Sl'!$C$3:$C$43, $D192) &gt; 0, "ūdens sorbc",IF(COUNTIF(spiedei!$C$2:$C$41, $D192) &gt; 0, "spiede", IF(COUNTIF(higro!$C$5:$C$18, $D192) &gt; 0, "higroskopija",IF(COUNTIF(higro!$C$31:$C$45, $D192) &gt; 0, "higroskopija",IF(COUNTIF(Komp!$A$2:$A$13, $D192) &gt; 0, "komposts","")))))</f>
        <v>higroskopija</v>
      </c>
    </row>
    <row r="193" spans="1:6" ht="15.75" customHeight="1">
      <c r="A193" s="6"/>
      <c r="B193" s="6"/>
      <c r="C193" s="6"/>
      <c r="D193" s="49">
        <v>175</v>
      </c>
      <c r="E193" s="41" t="str">
        <f>IF(COUNTIF('Sl suberinskabe'!$A$5:$A$84, $D193) &gt; 0,"sub",IF(COUNTIF('Sl hito+suberinskabe'!$A$5:$A$78, $D193) &gt; 0,"hito_sub",""))</f>
        <v>sub</v>
      </c>
      <c r="F193" s="41" t="str">
        <f>IF(COUNTIF('ūd. sorbcija Sl'!$C$3:$C$43, $D193) &gt; 0, "ūdens sorbc",IF(COUNTIF(spiedei!$C$2:$C$41, $D193) &gt; 0, "spiede", IF(COUNTIF(higro!$C$5:$C$18, $D193) &gt; 0, "higroskopija",IF(COUNTIF(higro!$C$31:$C$45, $D193) &gt; 0, "higroskopija",IF(COUNTIF(Komp!$A$2:$A$13, $D193) &gt; 0, "komposts","")))))</f>
        <v/>
      </c>
    </row>
    <row r="194" spans="1:6" ht="15.75" customHeight="1">
      <c r="A194" s="6"/>
      <c r="B194" s="6"/>
      <c r="C194" s="6"/>
      <c r="D194" s="10">
        <v>176</v>
      </c>
      <c r="E194" s="41" t="str">
        <f>IF(COUNTIF('Sl suberinskabe'!$A$5:$A$84, $D194) &gt; 0,"sub",IF(COUNTIF('Sl hito+suberinskabe'!$A$5:$A$78, $D194) &gt; 0,"hito_sub",""))</f>
        <v/>
      </c>
      <c r="F194" s="41" t="str">
        <f>IF(COUNTIF('ūd. sorbcija Sl'!$C$3:$C$43, $D194) &gt; 0, "ūdens sorbc",IF(COUNTIF(spiedei!$C$2:$C$41, $D194) &gt; 0, "spiede", IF(COUNTIF(higro!$C$5:$C$18, $D194) &gt; 0, "higroskopija",IF(COUNTIF(higro!$C$31:$C$45, $D194) &gt; 0, "higroskopija",IF(COUNTIF(Komp!$A$2:$A$13, $D194) &gt; 0, "komposts","")))))</f>
        <v/>
      </c>
    </row>
    <row r="195" spans="1:6" ht="15.75" customHeight="1">
      <c r="A195" s="6"/>
      <c r="B195" s="6"/>
      <c r="C195" s="6"/>
      <c r="D195" s="10">
        <v>177</v>
      </c>
      <c r="E195" s="41" t="str">
        <f>IF(COUNTIF('Sl suberinskabe'!$A$5:$A$84, $D195) &gt; 0,"sub",IF(COUNTIF('Sl hito+suberinskabe'!$A$5:$A$78, $D195) &gt; 0,"hito_sub",""))</f>
        <v/>
      </c>
      <c r="F195" s="41" t="str">
        <f>IF(COUNTIF('ūd. sorbcija Sl'!$C$3:$C$43, $D195) &gt; 0, "ūdens sorbc",IF(COUNTIF(spiedei!$C$2:$C$41, $D195) &gt; 0, "spiede", IF(COUNTIF(higro!$C$5:$C$18, $D195) &gt; 0, "higroskopija",IF(COUNTIF(higro!$C$31:$C$45, $D195) &gt; 0, "higroskopija",IF(COUNTIF(Komp!$A$2:$A$13, $D195) &gt; 0, "komposts","")))))</f>
        <v/>
      </c>
    </row>
    <row r="196" spans="1:6" ht="15.75" customHeight="1">
      <c r="A196" s="6"/>
      <c r="B196" s="6"/>
      <c r="C196" s="8"/>
      <c r="D196" s="10">
        <v>178</v>
      </c>
      <c r="E196" s="41" t="str">
        <f>IF(COUNTIF('Sl suberinskabe'!$A$5:$A$84, $D196) &gt; 0,"sub",IF(COUNTIF('Sl hito+suberinskabe'!$A$5:$A$78, $D196) &gt; 0,"hito_sub",""))</f>
        <v/>
      </c>
      <c r="F196" s="41" t="str">
        <f>IF(COUNTIF('ūd. sorbcija Sl'!$C$3:$C$43, $D196) &gt; 0, "ūdens sorbc",IF(COUNTIF(spiedei!$C$2:$C$41, $D196) &gt; 0, "spiede", IF(COUNTIF(higro!$C$5:$C$18, $D196) &gt; 0, "higroskopija",IF(COUNTIF(higro!$C$31:$C$45, $D196) &gt; 0, "higroskopija",IF(COUNTIF(Komp!$A$2:$A$13, $D196) &gt; 0, "komposts","")))))</f>
        <v/>
      </c>
    </row>
    <row r="197" spans="1:6" ht="15.75" customHeight="1">
      <c r="A197" s="18" t="s">
        <v>26</v>
      </c>
      <c r="B197" s="13" t="s">
        <v>54</v>
      </c>
      <c r="C197" s="13" t="s">
        <v>27</v>
      </c>
      <c r="D197" s="10">
        <v>195</v>
      </c>
      <c r="E197" s="41" t="str">
        <f>IF(COUNTIF('Sl suberinskabe'!$A$5:$A$84, $D197) &gt; 0,"sub",IF(COUNTIF('Sl hito+suberinskabe'!$A$5:$A$78, $D197) &gt; 0,"hito_sub",""))</f>
        <v/>
      </c>
      <c r="F197" s="41" t="str">
        <f>IF(COUNTIF('ūd. sorbcija Sl'!$C$3:$C$43, $D197) &gt; 0, "ūdens sorbc",IF(COUNTIF(spiedei!$C$2:$C$41, $D197) &gt; 0, "spiede", IF(COUNTIF(higro!$C$5:$C$18, $D197) &gt; 0, "higroskopija",IF(COUNTIF(higro!$C$31:$C$45, $D197) &gt; 0, "higroskopija",IF(COUNTIF(Komp!$A$2:$A$13, $D197) &gt; 0, "komposts","")))))</f>
        <v/>
      </c>
    </row>
    <row r="198" spans="1:6" ht="15.75" customHeight="1">
      <c r="A198" s="5"/>
      <c r="B198" s="6"/>
      <c r="C198" s="6"/>
      <c r="D198" s="10">
        <v>196</v>
      </c>
      <c r="E198" s="41" t="str">
        <f>IF(COUNTIF('Sl suberinskabe'!$A$5:$A$84, $D198) &gt; 0,"sub",IF(COUNTIF('Sl hito+suberinskabe'!$A$5:$A$78, $D198) &gt; 0,"hito_sub",""))</f>
        <v/>
      </c>
      <c r="F198" s="41" t="str">
        <f>IF(COUNTIF('ūd. sorbcija Sl'!$C$3:$C$43, $D198) &gt; 0, "ūdens sorbc",IF(COUNTIF(spiedei!$C$2:$C$41, $D198) &gt; 0, "spiede", IF(COUNTIF(higro!$C$5:$C$18, $D198) &gt; 0, "higroskopija",IF(COUNTIF(higro!$C$31:$C$45, $D198) &gt; 0, "higroskopija",IF(COUNTIF(Komp!$A$2:$A$13, $D198) &gt; 0, "komposts","")))))</f>
        <v/>
      </c>
    </row>
    <row r="199" spans="1:6" ht="15.75" customHeight="1">
      <c r="A199" s="5"/>
      <c r="B199" s="6"/>
      <c r="C199" s="6"/>
      <c r="D199" s="10">
        <v>197</v>
      </c>
      <c r="E199" s="41" t="str">
        <f>IF(COUNTIF('Sl suberinskabe'!$A$5:$A$84, $D199) &gt; 0,"sub",IF(COUNTIF('Sl hito+suberinskabe'!$A$5:$A$78, $D199) &gt; 0,"hito_sub",""))</f>
        <v/>
      </c>
      <c r="F199" s="41" t="str">
        <f>IF(COUNTIF('ūd. sorbcija Sl'!$C$3:$C$43, $D199) &gt; 0, "ūdens sorbc",IF(COUNTIF(spiedei!$C$2:$C$41, $D199) &gt; 0, "spiede", IF(COUNTIF(higro!$C$5:$C$18, $D199) &gt; 0, "higroskopija",IF(COUNTIF(higro!$C$31:$C$45, $D199) &gt; 0, "higroskopija",IF(COUNTIF(Komp!$A$2:$A$13, $D199) &gt; 0, "komposts","")))))</f>
        <v/>
      </c>
    </row>
    <row r="200" spans="1:6" ht="15.75" customHeight="1">
      <c r="A200" s="5"/>
      <c r="B200" s="6"/>
      <c r="C200" s="8"/>
      <c r="D200" s="10">
        <v>198</v>
      </c>
      <c r="E200" s="41" t="str">
        <f>IF(COUNTIF('Sl suberinskabe'!$A$5:$A$84, $D200) &gt; 0,"sub",IF(COUNTIF('Sl hito+suberinskabe'!$A$5:$A$78, $D200) &gt; 0,"hito_sub",""))</f>
        <v/>
      </c>
      <c r="F200" s="41" t="str">
        <f>IF(COUNTIF('ūd. sorbcija Sl'!$C$3:$C$43, $D200) &gt; 0, "ūdens sorbc",IF(COUNTIF(spiedei!$C$2:$C$41, $D200) &gt; 0, "spiede", IF(COUNTIF(higro!$C$5:$C$18, $D200) &gt; 0, "higroskopija",IF(COUNTIF(higro!$C$31:$C$45, $D200) &gt; 0, "higroskopija",IF(COUNTIF(Komp!$A$2:$A$13, $D200) &gt; 0, "komposts","")))))</f>
        <v/>
      </c>
    </row>
    <row r="201" spans="1:6" ht="15.75" customHeight="1">
      <c r="A201" s="5"/>
      <c r="B201" s="6"/>
      <c r="C201" s="13" t="s">
        <v>28</v>
      </c>
      <c r="D201" s="10">
        <v>199</v>
      </c>
      <c r="E201" s="41" t="str">
        <f>IF(COUNTIF('Sl suberinskabe'!$A$5:$A$84, $D201) &gt; 0,"sub",IF(COUNTIF('Sl hito+suberinskabe'!$A$5:$A$78, $D201) &gt; 0,"hito_sub",""))</f>
        <v/>
      </c>
      <c r="F201" s="41" t="str">
        <f>IF(COUNTIF('ūd. sorbcija Sl'!$C$3:$C$43, $D201) &gt; 0, "ūdens sorbc",IF(COUNTIF(spiedei!$C$2:$C$41, $D201) &gt; 0, "spiede", IF(COUNTIF(higro!$C$5:$C$18, $D201) &gt; 0, "higroskopija",IF(COUNTIF(higro!$C$31:$C$45, $D201) &gt; 0, "higroskopija",IF(COUNTIF(Komp!$A$2:$A$13, $D201) &gt; 0, "komposts","")))))</f>
        <v/>
      </c>
    </row>
    <row r="202" spans="1:6" ht="15.75" customHeight="1">
      <c r="A202" s="5"/>
      <c r="B202" s="6"/>
      <c r="C202" s="6"/>
      <c r="D202" s="10">
        <v>200</v>
      </c>
      <c r="E202" s="41" t="str">
        <f>IF(COUNTIF('Sl suberinskabe'!$A$5:$A$84, $D202) &gt; 0,"sub",IF(COUNTIF('Sl hito+suberinskabe'!$A$5:$A$78, $D202) &gt; 0,"hito_sub",""))</f>
        <v/>
      </c>
      <c r="F202" s="41" t="str">
        <f>IF(COUNTIF('ūd. sorbcija Sl'!$C$3:$C$43, $D202) &gt; 0, "ūdens sorbc",IF(COUNTIF(spiedei!$C$2:$C$41, $D202) &gt; 0, "spiede", IF(COUNTIF(higro!$C$5:$C$18, $D202) &gt; 0, "higroskopija",IF(COUNTIF(higro!$C$31:$C$45, $D202) &gt; 0, "higroskopija",IF(COUNTIF(Komp!$A$2:$A$13, $D202) &gt; 0, "komposts","")))))</f>
        <v/>
      </c>
    </row>
    <row r="203" spans="1:6" ht="15.75" customHeight="1">
      <c r="A203" s="5"/>
      <c r="B203" s="6"/>
      <c r="C203" s="6"/>
      <c r="D203" s="10">
        <v>201</v>
      </c>
      <c r="E203" s="41" t="str">
        <f>IF(COUNTIF('Sl suberinskabe'!$A$5:$A$84, $D203) &gt; 0,"sub",IF(COUNTIF('Sl hito+suberinskabe'!$A$5:$A$78, $D203) &gt; 0,"hito_sub",""))</f>
        <v/>
      </c>
      <c r="F203" s="41" t="str">
        <f>IF(COUNTIF('ūd. sorbcija Sl'!$C$3:$C$43, $D203) &gt; 0, "ūdens sorbc",IF(COUNTIF(spiedei!$C$2:$C$41, $D203) &gt; 0, "spiede", IF(COUNTIF(higro!$C$5:$C$18, $D203) &gt; 0, "higroskopija",IF(COUNTIF(higro!$C$31:$C$45, $D203) &gt; 0, "higroskopija",IF(COUNTIF(Komp!$A$2:$A$13, $D203) &gt; 0, "komposts","")))))</f>
        <v/>
      </c>
    </row>
    <row r="204" spans="1:6" ht="15.75" customHeight="1">
      <c r="A204" s="17"/>
      <c r="B204" s="8"/>
      <c r="C204" s="8"/>
      <c r="D204" s="10">
        <v>202</v>
      </c>
      <c r="E204" s="41" t="str">
        <f>IF(COUNTIF('Sl suberinskabe'!$A$5:$A$84, $D204) &gt; 0,"sub",IF(COUNTIF('Sl hito+suberinskabe'!$A$5:$A$78, $D204) &gt; 0,"hito_sub",""))</f>
        <v/>
      </c>
      <c r="F204" s="41" t="str">
        <f>IF(COUNTIF('ūd. sorbcija Sl'!$C$3:$C$43, $D204) &gt; 0, "ūdens sorbc",IF(COUNTIF(spiedei!$C$2:$C$41, $D204) &gt; 0, "spiede", IF(COUNTIF(higro!$C$5:$C$18, $D204) &gt; 0, "higroskopija",IF(COUNTIF(higro!$C$31:$C$45, $D204) &gt; 0, "higroskopija",IF(COUNTIF(Komp!$A$2:$A$13, $D204) &gt; 0, "komposts","")))))</f>
        <v/>
      </c>
    </row>
    <row r="205" spans="1:6" ht="15.75" customHeight="1"/>
    <row r="206" spans="1:6" ht="15.75" customHeight="1"/>
    <row r="207" spans="1:6" ht="15.75" customHeight="1"/>
    <row r="208" spans="1:6" ht="15.75" customHeight="1"/>
    <row r="209" spans="1:16" ht="15.75" customHeight="1">
      <c r="A209" s="23" t="s">
        <v>32</v>
      </c>
      <c r="B209" s="23">
        <v>2</v>
      </c>
      <c r="C209" s="56">
        <v>3</v>
      </c>
      <c r="D209" s="57">
        <v>101</v>
      </c>
      <c r="E209" s="41" t="str">
        <f>IF(COUNTIF('Sa suberīnskābe'!$B$6:$B$83, $D209) &gt; 0,"sub",IF(COUNTIF('Sa hito + sub'!$B$6:$B$82, $D209) &gt; 0,"hito_sub",""))</f>
        <v>sub</v>
      </c>
      <c r="F209" s="41" t="str">
        <f>IF(COUNTIF('ūd sorbcija Sa'!$C$3:$C$22, $D209) &gt; 0, "ūdens sorbc",IF(COUNTIF(higro!$C$19:$C$30, $D209) &gt; 0, "higroskopija",IF(COUNTIF(higro!$C$47:$C$58, $D209) &gt; 0, "higroskopija",IF(COUNTIF(Komp!$D$2:$D$16, $D209) &gt; 0, "komposts",IF(COUNTIF(spiedei!$C$42:$C$106, $D209) &gt; 0, "spiede","")))))</f>
        <v>spiede</v>
      </c>
    </row>
    <row r="210" spans="1:16" ht="15.75" customHeight="1">
      <c r="A210" s="26" t="s">
        <v>32</v>
      </c>
      <c r="B210" s="26">
        <v>2</v>
      </c>
      <c r="C210" s="58">
        <v>3</v>
      </c>
      <c r="D210" s="59">
        <v>102</v>
      </c>
      <c r="E210" s="41" t="str">
        <f>IF(COUNTIF('Sa suberīnskābe'!$B$6:$B$83, $D210) &gt; 0,"sub",IF(COUNTIF('Sa hito + sub'!$B$6:$B$82, $D210) &gt; 0,"hito_sub",""))</f>
        <v>sub</v>
      </c>
      <c r="F210" s="41" t="str">
        <f>IF(COUNTIF('ūd sorbcija Sa'!$C$3:$C$22, $D210) &gt; 0, "ūdens sorbc",IF(COUNTIF(higro!$C$19:$C$30, $D210) &gt; 0, "higroskopija",IF(COUNTIF(higro!$C$47:$C$58, $D210) &gt; 0, "higroskopija",IF(COUNTIF(Komp!$D$2:$D$16, $D210) &gt; 0, "komposts",IF(COUNTIF(spiedei!$C$42:$C$106, $D210) &gt; 0, "spiede","")))))</f>
        <v>spiede</v>
      </c>
    </row>
    <row r="211" spans="1:16" ht="15.75" customHeight="1">
      <c r="A211" s="26" t="s">
        <v>32</v>
      </c>
      <c r="B211" s="26">
        <v>2</v>
      </c>
      <c r="C211" s="58">
        <v>3</v>
      </c>
      <c r="D211" s="59">
        <v>103</v>
      </c>
      <c r="E211" s="41" t="str">
        <f>IF(COUNTIF('Sa suberīnskābe'!$B$6:$B$83, $D211) &gt; 0,"sub",IF(COUNTIF('Sa hito + sub'!$B$6:$B$82, $D211) &gt; 0,"hito_sub",""))</f>
        <v>sub</v>
      </c>
      <c r="F211" s="41" t="str">
        <f>IF(COUNTIF('ūd sorbcija Sa'!$C$3:$C$22, $D211) &gt; 0, "ūdens sorbc",IF(COUNTIF(higro!$C$19:$C$30, $D211) &gt; 0, "higroskopija",IF(COUNTIF(higro!$C$47:$C$58, $D211) &gt; 0, "higroskopija",IF(COUNTIF(Komp!$D$2:$D$16, $D211) &gt; 0, "komposts",IF(COUNTIF(spiedei!$C$42:$C$106, $D211) &gt; 0, "spiede","")))))</f>
        <v>spiede</v>
      </c>
    </row>
    <row r="212" spans="1:16" ht="15.75" customHeight="1">
      <c r="A212" s="26" t="s">
        <v>32</v>
      </c>
      <c r="B212" s="26">
        <v>2</v>
      </c>
      <c r="C212" s="58">
        <v>3</v>
      </c>
      <c r="D212" s="59">
        <v>104</v>
      </c>
      <c r="E212" s="41" t="str">
        <f>IF(COUNTIF('Sa suberīnskābe'!$B$6:$B$83, $D212) &gt; 0,"sub",IF(COUNTIF('Sa hito + sub'!$B$6:$B$82, $D212) &gt; 0,"hito_sub",""))</f>
        <v>sub</v>
      </c>
      <c r="F212" s="41" t="str">
        <f>IF(COUNTIF('ūd sorbcija Sa'!$C$3:$C$22, $D212) &gt; 0, "ūdens sorbc",IF(COUNTIF(higro!$C$19:$C$30, $D212) &gt; 0, "higroskopija",IF(COUNTIF(higro!$C$47:$C$58, $D212) &gt; 0, "higroskopija",IF(COUNTIF(Komp!$D$2:$D$16, $D212) &gt; 0, "komposts",IF(COUNTIF(spiedei!$C$42:$C$106, $D212) &gt; 0, "spiede","")))))</f>
        <v>spiede</v>
      </c>
    </row>
    <row r="213" spans="1:16" ht="15.75" customHeight="1">
      <c r="A213" s="26" t="s">
        <v>32</v>
      </c>
      <c r="B213" s="26">
        <v>2</v>
      </c>
      <c r="C213" s="58">
        <v>3</v>
      </c>
      <c r="D213" s="59">
        <v>105</v>
      </c>
      <c r="E213" s="41" t="str">
        <f>IF(COUNTIF('Sa suberīnskābe'!$B$6:$B$83, $D213) &gt; 0,"sub",IF(COUNTIF('Sa hito + sub'!$B$6:$B$82, $D213) &gt; 0,"hito_sub",""))</f>
        <v>sub</v>
      </c>
      <c r="F213" s="41" t="str">
        <f>IF(COUNTIF('ūd sorbcija Sa'!$C$3:$C$22, $D213) &gt; 0, "ūdens sorbc",IF(COUNTIF(higro!$C$19:$C$30, $D213) &gt; 0, "higroskopija",IF(COUNTIF(higro!$C$47:$C$58, $D213) &gt; 0, "higroskopija",IF(COUNTIF(Komp!$D$2:$D$16, $D213) &gt; 0, "komposts",IF(COUNTIF(spiedei!$C$42:$C$106, $D213) &gt; 0, "spiede","")))))</f>
        <v>spiede</v>
      </c>
    </row>
    <row r="214" spans="1:16" ht="15.75" customHeight="1">
      <c r="A214" s="26" t="s">
        <v>32</v>
      </c>
      <c r="B214" s="26">
        <v>2</v>
      </c>
      <c r="C214" s="58">
        <v>4</v>
      </c>
      <c r="D214" s="59">
        <v>106</v>
      </c>
      <c r="E214" s="41" t="str">
        <f>IF(COUNTIF('Sa suberīnskābe'!$B$6:$B$83, $D214) &gt; 0,"sub",IF(COUNTIF('Sa hito + sub'!$B$6:$B$82, $D214) &gt; 0,"hito_sub",""))</f>
        <v>hito_sub</v>
      </c>
      <c r="F214" s="60" t="s">
        <v>56</v>
      </c>
    </row>
    <row r="215" spans="1:16" ht="15.75" customHeight="1">
      <c r="A215" s="26" t="s">
        <v>32</v>
      </c>
      <c r="B215" s="26">
        <v>2</v>
      </c>
      <c r="C215" s="58">
        <v>4</v>
      </c>
      <c r="D215" s="59">
        <v>107</v>
      </c>
      <c r="E215" s="41" t="str">
        <f>IF(COUNTIF('Sa suberīnskābe'!$B$6:$B$83, $D215) &gt; 0,"sub",IF(COUNTIF('Sa hito + sub'!$B$6:$B$82, $D215) &gt; 0,"hito_sub",""))</f>
        <v>hito_sub</v>
      </c>
      <c r="F215" s="61" t="s">
        <v>45</v>
      </c>
      <c r="I215" s="58" t="s">
        <v>57</v>
      </c>
    </row>
    <row r="216" spans="1:16" ht="15.75" customHeight="1">
      <c r="A216" s="26" t="s">
        <v>32</v>
      </c>
      <c r="B216" s="26">
        <v>2</v>
      </c>
      <c r="C216" s="58">
        <v>4</v>
      </c>
      <c r="D216" s="59">
        <v>108</v>
      </c>
      <c r="E216" s="41" t="str">
        <f>IF(COUNTIF('Sa suberīnskābe'!$B$6:$B$83, $D216) &gt; 0,"sub",IF(COUNTIF('Sa hito + sub'!$B$6:$B$82, $D216) &gt; 0,"hito_sub",""))</f>
        <v>hito_sub</v>
      </c>
      <c r="F216" s="41" t="str">
        <f>IF(COUNTIF('ūd sorbcija Sa'!$C$3:$C$22, $D216) &gt; 0, "ūdens sorbc",IF(COUNTIF(higro!$C$19:$C$30, $D216) &gt; 0, "higroskopija",IF(COUNTIF(higro!$C$47:$C$58, $D216) &gt; 0, "higroskopija",IF(COUNTIF(Komp!$D$2:$D$16, $D216) &gt; 0, "komposts",IF(COUNTIF(spiedei!$C$42:$C$106, $D216) &gt; 0, "spiede","")))))</f>
        <v>higroskopija</v>
      </c>
      <c r="J216" s="58" t="s">
        <v>58</v>
      </c>
      <c r="K216" s="58" t="s">
        <v>32</v>
      </c>
      <c r="L216" s="58">
        <v>109</v>
      </c>
      <c r="N216" s="58" t="s">
        <v>43</v>
      </c>
      <c r="O216" s="58">
        <v>282</v>
      </c>
    </row>
    <row r="217" spans="1:16" ht="15.75" customHeight="1">
      <c r="A217" s="26" t="s">
        <v>32</v>
      </c>
      <c r="B217" s="26">
        <v>2</v>
      </c>
      <c r="C217" s="58">
        <v>4</v>
      </c>
      <c r="D217" s="59">
        <v>109</v>
      </c>
      <c r="E217" s="41" t="str">
        <f>IF(COUNTIF('Sa suberīnskābe'!$B$6:$B$83, $D217) &gt; 0,"sub",IF(COUNTIF('Sa hito + sub'!$B$6:$B$82, $D217) &gt; 0,"hito_sub",""))</f>
        <v>hito_sub</v>
      </c>
      <c r="F217" s="62" t="s">
        <v>48</v>
      </c>
      <c r="L217" s="58">
        <v>288</v>
      </c>
      <c r="O217" s="58">
        <v>324</v>
      </c>
    </row>
    <row r="218" spans="1:16" ht="15.75" customHeight="1">
      <c r="A218" s="26" t="s">
        <v>32</v>
      </c>
      <c r="B218" s="28">
        <v>2</v>
      </c>
      <c r="C218" s="63">
        <v>4</v>
      </c>
      <c r="D218" s="64">
        <v>110</v>
      </c>
      <c r="E218" s="41" t="str">
        <f>IF(COUNTIF('Sa suberīnskābe'!$B$6:$B$83, $D218) &gt; 0,"sub",IF(COUNTIF('Sa hito + sub'!$B$6:$B$82, $D218) &gt; 0,"hito_sub",""))</f>
        <v>hito_sub</v>
      </c>
      <c r="F218" s="41" t="str">
        <f>IF(COUNTIF('ūd sorbcija Sa'!$C$3:$C$22, $D218) &gt; 0, "ūdens sorbc",IF(COUNTIF(higro!$C$19:$C$30, $D218) &gt; 0, "higroskopija",IF(COUNTIF(higro!$C$47:$C$58, $D218) &gt; 0, "higroskopija",IF(COUNTIF(Komp!$D$2:$D$16, $D218) &gt; 0, "komposts",IF(COUNTIF(spiedei!$C$42:$C$106, $D218) &gt; 0, "spiede","")))))</f>
        <v/>
      </c>
      <c r="K218" s="58" t="s">
        <v>33</v>
      </c>
      <c r="L218" s="58">
        <v>209</v>
      </c>
      <c r="O218" s="65">
        <v>274</v>
      </c>
      <c r="P218" s="58" t="s">
        <v>59</v>
      </c>
    </row>
    <row r="219" spans="1:16" ht="15.75" customHeight="1">
      <c r="A219" s="26" t="s">
        <v>32</v>
      </c>
      <c r="B219" s="23">
        <v>4</v>
      </c>
      <c r="C219" s="56">
        <v>50</v>
      </c>
      <c r="D219" s="57">
        <v>291</v>
      </c>
      <c r="E219" s="41" t="str">
        <f>IF(COUNTIF('Sa suberīnskābe'!$B$6:$B$83, $D219) &gt; 0,"sub",IF(COUNTIF('Sa hito + sub'!$B$6:$B$82, $D219) &gt; 0,"hito_sub",""))</f>
        <v>sub</v>
      </c>
      <c r="F219" s="41" t="str">
        <f>IF(COUNTIF('ūd sorbcija Sa'!$C$3:$C$22, $D219) &gt; 0, "ūdens sorbc",IF(COUNTIF(higro!$C$19:$C$30, $D219) &gt; 0, "higroskopija",IF(COUNTIF(higro!$C$47:$C$58, $D219) &gt; 0, "higroskopija",IF(COUNTIF(Komp!$D$2:$D$16, $D219) &gt; 0, "komposts",IF(COUNTIF(spiedei!$C$42:$C$106, $D219) &gt; 0, "spiede","")))))</f>
        <v>ūdens sorbc</v>
      </c>
      <c r="L219" s="58">
        <v>313</v>
      </c>
      <c r="O219" s="58">
        <v>268</v>
      </c>
    </row>
    <row r="220" spans="1:16" ht="15.75" customHeight="1">
      <c r="A220" s="26" t="s">
        <v>32</v>
      </c>
      <c r="B220" s="26">
        <v>4</v>
      </c>
      <c r="C220" s="58">
        <v>50</v>
      </c>
      <c r="D220" s="59">
        <v>292</v>
      </c>
      <c r="E220" s="41" t="str">
        <f>IF(COUNTIF('Sa suberīnskābe'!$B$6:$B$83, $D220) &gt; 0,"sub",IF(COUNTIF('Sa hito + sub'!$B$6:$B$82, $D220) &gt; 0,"hito_sub",""))</f>
        <v>sub</v>
      </c>
      <c r="F220" s="41" t="str">
        <f>IF(COUNTIF('ūd sorbcija Sa'!$C$3:$C$22, $D220) &gt; 0, "ūdens sorbc",IF(COUNTIF(higro!$C$19:$C$30, $D220) &gt; 0, "higroskopija",IF(COUNTIF(higro!$C$47:$C$58, $D220) &gt; 0, "higroskopija",IF(COUNTIF(Komp!$D$2:$D$16, $D220) &gt; 0, "komposts",IF(COUNTIF(spiedei!$C$42:$C$106, $D220) &gt; 0, "spiede","")))))</f>
        <v>ūdens sorbc</v>
      </c>
      <c r="K220" s="58" t="s">
        <v>35</v>
      </c>
      <c r="L220" s="58">
        <v>174</v>
      </c>
      <c r="O220" s="66">
        <v>345</v>
      </c>
    </row>
    <row r="221" spans="1:16" ht="15.75" customHeight="1">
      <c r="A221" s="26" t="s">
        <v>32</v>
      </c>
      <c r="B221" s="26">
        <v>4</v>
      </c>
      <c r="C221" s="58">
        <v>50</v>
      </c>
      <c r="D221" s="59">
        <v>293</v>
      </c>
      <c r="E221" s="41" t="str">
        <f>IF(COUNTIF('Sa suberīnskābe'!$B$6:$B$83, $D221) &gt; 0,"sub",IF(COUNTIF('Sa hito + sub'!$B$6:$B$82, $D221) &gt; 0,"hito_sub",""))</f>
        <v>sub</v>
      </c>
      <c r="F221" s="41" t="str">
        <f>IF(COUNTIF('ūd sorbcija Sa'!$C$3:$C$22, $D221) &gt; 0, "ūdens sorbc",IF(COUNTIF(higro!$C$19:$C$30, $D221) &gt; 0, "higroskopija",IF(COUNTIF(higro!$C$47:$C$58, $D221) &gt; 0, "higroskopija",IF(COUNTIF(Komp!$D$2:$D$16, $D221) &gt; 0, "komposts",IF(COUNTIF(spiedei!$C$42:$C$106, $D221) &gt; 0, "spiede","")))))</f>
        <v>ūdens sorbc</v>
      </c>
      <c r="L221" s="58">
        <v>228</v>
      </c>
      <c r="O221" s="58">
        <v>56</v>
      </c>
    </row>
    <row r="222" spans="1:16" ht="15.75" customHeight="1">
      <c r="A222" s="26" t="s">
        <v>32</v>
      </c>
      <c r="B222" s="26">
        <v>4</v>
      </c>
      <c r="C222" s="58">
        <v>50</v>
      </c>
      <c r="D222" s="59">
        <v>294</v>
      </c>
      <c r="E222" s="41" t="str">
        <f>IF(COUNTIF('Sa suberīnskābe'!$B$6:$B$83, $D222) &gt; 0,"sub",IF(COUNTIF('Sa hito + sub'!$B$6:$B$82, $D222) &gt; 0,"hito_sub",""))</f>
        <v>sub</v>
      </c>
      <c r="F222" s="41" t="str">
        <f>IF(COUNTIF('ūd sorbcija Sa'!$C$3:$C$22, $D222) &gt; 0, "ūdens sorbc",IF(COUNTIF(higro!$C$19:$C$30, $D222) &gt; 0, "higroskopija",IF(COUNTIF(higro!$C$47:$C$58, $D222) &gt; 0, "higroskopija",IF(COUNTIF(Komp!$D$2:$D$16, $D222) &gt; 0, "komposts",IF(COUNTIF(spiedei!$C$42:$C$106, $D222) &gt; 0, "spiede","")))))</f>
        <v>ūdens sorbc</v>
      </c>
      <c r="K222" s="58" t="s">
        <v>36</v>
      </c>
      <c r="L222" s="65">
        <v>194</v>
      </c>
      <c r="M222" s="58" t="s">
        <v>59</v>
      </c>
      <c r="O222" s="58">
        <v>213</v>
      </c>
    </row>
    <row r="223" spans="1:16" ht="15.75" customHeight="1">
      <c r="A223" s="26" t="s">
        <v>32</v>
      </c>
      <c r="B223" s="26">
        <v>4</v>
      </c>
      <c r="C223" s="58">
        <v>50</v>
      </c>
      <c r="D223" s="59">
        <v>295</v>
      </c>
      <c r="E223" s="41" t="str">
        <f>IF(COUNTIF('Sa suberīnskābe'!$B$6:$B$83, $D223) &gt; 0,"sub",IF(COUNTIF('Sa hito + sub'!$B$6:$B$82, $D223) &gt; 0,"hito_sub",""))</f>
        <v>sub</v>
      </c>
      <c r="F223" s="41" t="str">
        <f>IF(COUNTIF('ūd sorbcija Sa'!$C$3:$C$22, $D223) &gt; 0, "ūdens sorbc",IF(COUNTIF(higro!$C$19:$C$30, $D223) &gt; 0, "higroskopija",IF(COUNTIF(higro!$C$47:$C$58, $D223) &gt; 0, "higroskopija",IF(COUNTIF(Komp!$D$2:$D$16, $D223) &gt; 0, "komposts",IF(COUNTIF(spiedei!$C$42:$C$106, $D223) &gt; 0, "spiede","")))))</f>
        <v>ūdens sorbc</v>
      </c>
      <c r="L223" s="58">
        <v>158</v>
      </c>
      <c r="O223" s="66">
        <v>219</v>
      </c>
    </row>
    <row r="224" spans="1:16" ht="15.75" customHeight="1">
      <c r="A224" s="26" t="s">
        <v>32</v>
      </c>
      <c r="B224" s="26">
        <v>4</v>
      </c>
      <c r="C224" s="58">
        <v>50</v>
      </c>
      <c r="D224" s="59">
        <v>306</v>
      </c>
      <c r="E224" s="41" t="str">
        <f>IF(COUNTIF('Sa suberīnskābe'!$B$6:$B$83, $D224) &gt; 0,"sub",IF(COUNTIF('Sa hito + sub'!$B$6:$B$82, $D224) &gt; 0,"hito_sub",""))</f>
        <v>hito_sub</v>
      </c>
      <c r="F224" s="61" t="s">
        <v>45</v>
      </c>
    </row>
    <row r="225" spans="1:6" ht="15.75" customHeight="1">
      <c r="A225" s="26" t="s">
        <v>32</v>
      </c>
      <c r="B225" s="26">
        <v>4</v>
      </c>
      <c r="C225" s="58">
        <v>50</v>
      </c>
      <c r="D225" s="59">
        <v>307</v>
      </c>
      <c r="E225" s="41" t="str">
        <f>IF(COUNTIF('Sa suberīnskābe'!$B$6:$B$83, $D225) &gt; 0,"sub",IF(COUNTIF('Sa hito + sub'!$B$6:$B$82, $D225) &gt; 0,"hito_sub",""))</f>
        <v>hito_sub</v>
      </c>
      <c r="F225" s="60" t="s">
        <v>56</v>
      </c>
    </row>
    <row r="226" spans="1:6" ht="15.75" customHeight="1">
      <c r="A226" s="26" t="s">
        <v>32</v>
      </c>
      <c r="B226" s="26">
        <v>4</v>
      </c>
      <c r="C226" s="58">
        <v>50</v>
      </c>
      <c r="D226" s="59">
        <v>308</v>
      </c>
      <c r="E226" s="41" t="str">
        <f>IF(COUNTIF('Sa suberīnskābe'!$B$6:$B$83, $D226) &gt; 0,"sub",IF(COUNTIF('Sa hito + sub'!$B$6:$B$82, $D226) &gt; 0,"hito_sub",""))</f>
        <v>hito_sub</v>
      </c>
      <c r="F226" s="41" t="str">
        <f>IF(COUNTIF('ūd sorbcija Sa'!$C$3:$C$22, $D226) &gt; 0, "ūdens sorbc",IF(COUNTIF(higro!$C$19:$C$30, $D226) &gt; 0, "higroskopija",IF(COUNTIF(higro!$C$47:$C$58, $D226) &gt; 0, "higroskopija",IF(COUNTIF(Komp!$D$2:$D$16, $D226) &gt; 0, "komposts",IF(COUNTIF(spiedei!$C$42:$C$106, $D226) &gt; 0, "spiede","")))))</f>
        <v/>
      </c>
    </row>
    <row r="227" spans="1:6" ht="15.75" customHeight="1">
      <c r="A227" s="26" t="s">
        <v>32</v>
      </c>
      <c r="B227" s="26">
        <v>4</v>
      </c>
      <c r="C227" s="58">
        <v>50</v>
      </c>
      <c r="D227" s="59">
        <v>309</v>
      </c>
      <c r="E227" s="41" t="str">
        <f>IF(COUNTIF('Sa suberīnskābe'!$B$6:$B$83, $D227) &gt; 0,"sub",IF(COUNTIF('Sa hito + sub'!$B$6:$B$82, $D227) &gt; 0,"hito_sub",""))</f>
        <v>hito_sub</v>
      </c>
      <c r="F227" s="61" t="s">
        <v>45</v>
      </c>
    </row>
    <row r="228" spans="1:6" ht="15.75" customHeight="1">
      <c r="A228" s="26" t="s">
        <v>32</v>
      </c>
      <c r="B228" s="26">
        <v>4</v>
      </c>
      <c r="C228" s="58">
        <v>50</v>
      </c>
      <c r="D228" s="59">
        <v>310</v>
      </c>
      <c r="E228" s="41" t="str">
        <f>IF(COUNTIF('Sa suberīnskābe'!$B$6:$B$83, $D228) &gt; 0,"sub",IF(COUNTIF('Sa hito + sub'!$B$6:$B$82, $D228) &gt; 0,"hito_sub",""))</f>
        <v>hito_sub</v>
      </c>
      <c r="F228" s="60" t="s">
        <v>56</v>
      </c>
    </row>
    <row r="229" spans="1:6" ht="15.75" customHeight="1">
      <c r="A229" s="26" t="s">
        <v>32</v>
      </c>
      <c r="B229" s="26">
        <v>4</v>
      </c>
      <c r="C229" s="58">
        <v>53</v>
      </c>
      <c r="D229" s="59">
        <v>296</v>
      </c>
      <c r="E229" s="41" t="str">
        <f>IF(COUNTIF('Sa suberīnskābe'!$B$6:$B$83, $D229) &gt; 0,"sub",IF(COUNTIF('Sa hito + sub'!$B$6:$B$82, $D229) &gt; 0,"hito_sub",""))</f>
        <v/>
      </c>
      <c r="F229" s="41" t="str">
        <f>IF(COUNTIF('ūd sorbcija Sa'!$C$3:$C$22, $D229) &gt; 0, "ūdens sorbc",IF(COUNTIF(higro!$C$19:$C$30, $D229) &gt; 0, "higroskopija",IF(COUNTIF(higro!$C$47:$C$58, $D229) &gt; 0, "higroskopija",IF(COUNTIF(Komp!$D$2:$D$16, $D229) &gt; 0, "komposts",IF(COUNTIF(spiedei!$C$42:$C$106, $D229) &gt; 0, "spiede","")))))</f>
        <v/>
      </c>
    </row>
    <row r="230" spans="1:6" ht="15.75" customHeight="1">
      <c r="A230" s="26" t="s">
        <v>32</v>
      </c>
      <c r="B230" s="26">
        <v>4</v>
      </c>
      <c r="C230" s="58">
        <v>53</v>
      </c>
      <c r="D230" s="59">
        <v>297</v>
      </c>
      <c r="E230" s="41" t="str">
        <f>IF(COUNTIF('Sa suberīnskābe'!$B$6:$B$83, $D230) &gt; 0,"sub",IF(COUNTIF('Sa hito + sub'!$B$6:$B$82, $D230) &gt; 0,"hito_sub",""))</f>
        <v/>
      </c>
      <c r="F230" s="41" t="str">
        <f>IF(COUNTIF('ūd sorbcija Sa'!$C$3:$C$22, $D230) &gt; 0, "ūdens sorbc",IF(COUNTIF(higro!$C$19:$C$30, $D230) &gt; 0, "higroskopija",IF(COUNTIF(higro!$C$47:$C$58, $D230) &gt; 0, "higroskopija",IF(COUNTIF(Komp!$D$2:$D$16, $D230) &gt; 0, "komposts",IF(COUNTIF(spiedei!$C$42:$C$106, $D230) &gt; 0, "spiede","")))))</f>
        <v/>
      </c>
    </row>
    <row r="231" spans="1:6" ht="15.75" customHeight="1">
      <c r="A231" s="26" t="s">
        <v>32</v>
      </c>
      <c r="B231" s="26">
        <v>4</v>
      </c>
      <c r="C231" s="58">
        <v>53</v>
      </c>
      <c r="D231" s="59">
        <v>298</v>
      </c>
      <c r="E231" s="41" t="str">
        <f>IF(COUNTIF('Sa suberīnskābe'!$B$6:$B$83, $D231) &gt; 0,"sub",IF(COUNTIF('Sa hito + sub'!$B$6:$B$82, $D231) &gt; 0,"hito_sub",""))</f>
        <v/>
      </c>
      <c r="F231" s="41" t="str">
        <f>IF(COUNTIF('ūd sorbcija Sa'!$C$3:$C$22, $D231) &gt; 0, "ūdens sorbc",IF(COUNTIF(higro!$C$19:$C$30, $D231) &gt; 0, "higroskopija",IF(COUNTIF(higro!$C$47:$C$58, $D231) &gt; 0, "higroskopija",IF(COUNTIF(Komp!$D$2:$D$16, $D231) &gt; 0, "komposts",IF(COUNTIF(spiedei!$C$42:$C$106, $D231) &gt; 0, "spiede","")))))</f>
        <v/>
      </c>
    </row>
    <row r="232" spans="1:6" ht="15.75" customHeight="1">
      <c r="A232" s="26" t="s">
        <v>32</v>
      </c>
      <c r="B232" s="26">
        <v>4</v>
      </c>
      <c r="C232" s="58">
        <v>53</v>
      </c>
      <c r="D232" s="59">
        <v>299</v>
      </c>
      <c r="E232" s="41" t="str">
        <f>IF(COUNTIF('Sa suberīnskābe'!$B$6:$B$83, $D232) &gt; 0,"sub",IF(COUNTIF('Sa hito + sub'!$B$6:$B$82, $D232) &gt; 0,"hito_sub",""))</f>
        <v/>
      </c>
      <c r="F232" s="41" t="str">
        <f>IF(COUNTIF('ūd sorbcija Sa'!$C$3:$C$22, $D232) &gt; 0, "ūdens sorbc",IF(COUNTIF(higro!$C$19:$C$30, $D232) &gt; 0, "higroskopija",IF(COUNTIF(higro!$C$47:$C$58, $D232) &gt; 0, "higroskopija",IF(COUNTIF(Komp!$D$2:$D$16, $D232) &gt; 0, "komposts",IF(COUNTIF(spiedei!$C$42:$C$106, $D232) &gt; 0, "spiede","")))))</f>
        <v/>
      </c>
    </row>
    <row r="233" spans="1:6" ht="15.75" customHeight="1">
      <c r="A233" s="26" t="s">
        <v>32</v>
      </c>
      <c r="B233" s="26">
        <v>4</v>
      </c>
      <c r="C233" s="58">
        <v>53</v>
      </c>
      <c r="D233" s="59">
        <v>300</v>
      </c>
      <c r="E233" s="41" t="str">
        <f>IF(COUNTIF('Sa suberīnskābe'!$B$6:$B$83, $D233) &gt; 0,"sub",IF(COUNTIF('Sa hito + sub'!$B$6:$B$82, $D233) &gt; 0,"hito_sub",""))</f>
        <v/>
      </c>
      <c r="F233" s="41" t="str">
        <f>IF(COUNTIF('ūd sorbcija Sa'!$C$3:$C$22, $D233) &gt; 0, "ūdens sorbc",IF(COUNTIF(higro!$C$19:$C$30, $D233) &gt; 0, "higroskopija",IF(COUNTIF(higro!$C$47:$C$58, $D233) &gt; 0, "higroskopija",IF(COUNTIF(Komp!$D$2:$D$16, $D233) &gt; 0, "komposts",IF(COUNTIF(spiedei!$C$42:$C$106, $D233) &gt; 0, "spiede","")))))</f>
        <v/>
      </c>
    </row>
    <row r="234" spans="1:6" ht="15.75" customHeight="1">
      <c r="A234" s="26" t="s">
        <v>32</v>
      </c>
      <c r="B234" s="26">
        <v>4</v>
      </c>
      <c r="C234" s="58">
        <v>54</v>
      </c>
      <c r="D234" s="59">
        <v>301</v>
      </c>
      <c r="E234" s="41" t="str">
        <f>IF(COUNTIF('Sa suberīnskābe'!$B$6:$B$83, $D234) &gt; 0,"sub",IF(COUNTIF('Sa hito + sub'!$B$6:$B$82, $D234) &gt; 0,"hito_sub",""))</f>
        <v/>
      </c>
      <c r="F234" s="41" t="str">
        <f>IF(COUNTIF('ūd sorbcija Sa'!$C$3:$C$22, $D234) &gt; 0, "ūdens sorbc",IF(COUNTIF(higro!$C$19:$C$30, $D234) &gt; 0, "higroskopija",IF(COUNTIF(higro!$C$47:$C$58, $D234) &gt; 0, "higroskopija",IF(COUNTIF(Komp!$D$2:$D$16, $D234) &gt; 0, "komposts",IF(COUNTIF(spiedei!$C$42:$C$106, $D234) &gt; 0, "spiede","")))))</f>
        <v/>
      </c>
    </row>
    <row r="235" spans="1:6" ht="15.75" customHeight="1">
      <c r="A235" s="26" t="s">
        <v>32</v>
      </c>
      <c r="B235" s="26">
        <v>4</v>
      </c>
      <c r="C235" s="58">
        <v>54</v>
      </c>
      <c r="D235" s="59">
        <v>302</v>
      </c>
      <c r="E235" s="41" t="str">
        <f>IF(COUNTIF('Sa suberīnskābe'!$B$6:$B$83, $D235) &gt; 0,"sub",IF(COUNTIF('Sa hito + sub'!$B$6:$B$82, $D235) &gt; 0,"hito_sub",""))</f>
        <v/>
      </c>
      <c r="F235" s="41" t="str">
        <f>IF(COUNTIF('ūd sorbcija Sa'!$C$3:$C$22, $D235) &gt; 0, "ūdens sorbc",IF(COUNTIF(higro!$C$19:$C$30, $D235) &gt; 0, "higroskopija",IF(COUNTIF(higro!$C$47:$C$58, $D235) &gt; 0, "higroskopija",IF(COUNTIF(Komp!$D$2:$D$16, $D235) &gt; 0, "komposts",IF(COUNTIF(spiedei!$C$42:$C$106, $D235) &gt; 0, "spiede","")))))</f>
        <v/>
      </c>
    </row>
    <row r="236" spans="1:6" ht="15.75" customHeight="1">
      <c r="A236" s="26" t="s">
        <v>32</v>
      </c>
      <c r="B236" s="26">
        <v>4</v>
      </c>
      <c r="C236" s="58">
        <v>54</v>
      </c>
      <c r="D236" s="59">
        <v>303</v>
      </c>
      <c r="E236" s="41" t="str">
        <f>IF(COUNTIF('Sa suberīnskābe'!$B$6:$B$83, $D236) &gt; 0,"sub",IF(COUNTIF('Sa hito + sub'!$B$6:$B$82, $D236) &gt; 0,"hito_sub",""))</f>
        <v/>
      </c>
      <c r="F236" s="41" t="str">
        <f>IF(COUNTIF('ūd sorbcija Sa'!$C$3:$C$22, $D236) &gt; 0, "ūdens sorbc",IF(COUNTIF(higro!$C$19:$C$30, $D236) &gt; 0, "higroskopija",IF(COUNTIF(higro!$C$47:$C$58, $D236) &gt; 0, "higroskopija",IF(COUNTIF(Komp!$D$2:$D$16, $D236) &gt; 0, "komposts",IF(COUNTIF(spiedei!$C$42:$C$106, $D236) &gt; 0, "spiede","")))))</f>
        <v/>
      </c>
    </row>
    <row r="237" spans="1:6" ht="15.75" customHeight="1">
      <c r="A237" s="26" t="s">
        <v>32</v>
      </c>
      <c r="B237" s="26">
        <v>4</v>
      </c>
      <c r="C237" s="58">
        <v>54</v>
      </c>
      <c r="D237" s="59">
        <v>304</v>
      </c>
      <c r="E237" s="41" t="str">
        <f>IF(COUNTIF('Sa suberīnskābe'!$B$6:$B$83, $D237) &gt; 0,"sub",IF(COUNTIF('Sa hito + sub'!$B$6:$B$82, $D237) &gt; 0,"hito_sub",""))</f>
        <v/>
      </c>
      <c r="F237" s="41" t="str">
        <f>IF(COUNTIF('ūd sorbcija Sa'!$C$3:$C$22, $D237) &gt; 0, "ūdens sorbc",IF(COUNTIF(higro!$C$19:$C$30, $D237) &gt; 0, "higroskopija",IF(COUNTIF(higro!$C$47:$C$58, $D237) &gt; 0, "higroskopija",IF(COUNTIF(Komp!$D$2:$D$16, $D237) &gt; 0, "komposts",IF(COUNTIF(spiedei!$C$42:$C$106, $D237) &gt; 0, "spiede","")))))</f>
        <v/>
      </c>
    </row>
    <row r="238" spans="1:6" ht="15.75" customHeight="1">
      <c r="A238" s="26" t="s">
        <v>32</v>
      </c>
      <c r="B238" s="28">
        <v>4</v>
      </c>
      <c r="C238" s="63">
        <v>54</v>
      </c>
      <c r="D238" s="64">
        <v>305</v>
      </c>
      <c r="E238" s="41" t="str">
        <f>IF(COUNTIF('Sa suberīnskābe'!$B$6:$B$83, $D238) &gt; 0,"sub",IF(COUNTIF('Sa hito + sub'!$B$6:$B$82, $D238) &gt; 0,"hito_sub",""))</f>
        <v/>
      </c>
      <c r="F238" s="41" t="str">
        <f>IF(COUNTIF('ūd sorbcija Sa'!$C$3:$C$22, $D238) &gt; 0, "ūdens sorbc",IF(COUNTIF(higro!$C$19:$C$30, $D238) &gt; 0, "higroskopija",IF(COUNTIF(higro!$C$47:$C$58, $D238) &gt; 0, "higroskopija",IF(COUNTIF(Komp!$D$2:$D$16, $D238) &gt; 0, "komposts",IF(COUNTIF(spiedei!$C$42:$C$106, $D238) &gt; 0, "spiede","")))))</f>
        <v/>
      </c>
    </row>
    <row r="239" spans="1:6" ht="15.75" customHeight="1">
      <c r="A239" s="26" t="s">
        <v>32</v>
      </c>
      <c r="B239" s="23">
        <v>1</v>
      </c>
      <c r="C239" s="56">
        <v>55</v>
      </c>
      <c r="D239" s="57">
        <v>281</v>
      </c>
      <c r="E239" s="41" t="str">
        <f>IF(COUNTIF('Sa suberīnskābe'!$B$6:$B$83, $D239) &gt; 0,"sub",IF(COUNTIF('Sa hito + sub'!$B$6:$B$82, $D239) &gt; 0,"hito_sub",""))</f>
        <v>sub</v>
      </c>
      <c r="F239" s="41" t="str">
        <f>IF(COUNTIF('ūd sorbcija Sa'!$C$3:$C$22, $D239) &gt; 0, "ūdens sorbc",IF(COUNTIF(higro!$C$19:$C$30, $D239) &gt; 0, "higroskopija",IF(COUNTIF(higro!$C$47:$C$58, $D239) &gt; 0, "higroskopija",IF(COUNTIF(Komp!$D$2:$D$16, $D239) &gt; 0, "komposts",IF(COUNTIF(spiedei!$C$42:$C$106, $D239) &gt; 0, "spiede","")))))</f>
        <v>komposts</v>
      </c>
    </row>
    <row r="240" spans="1:6" ht="15.75" customHeight="1">
      <c r="A240" s="26" t="s">
        <v>32</v>
      </c>
      <c r="B240" s="26">
        <v>1</v>
      </c>
      <c r="C240" s="58">
        <v>55</v>
      </c>
      <c r="D240" s="59">
        <v>282</v>
      </c>
      <c r="E240" s="41" t="str">
        <f>IF(COUNTIF('Sa suberīnskābe'!$B$6:$B$83, $D240) &gt; 0,"sub",IF(COUNTIF('Sa hito + sub'!$B$6:$B$82, $D240) &gt; 0,"hito_sub",""))</f>
        <v>sub</v>
      </c>
      <c r="F240" s="62" t="s">
        <v>48</v>
      </c>
    </row>
    <row r="241" spans="1:6" ht="15.75" customHeight="1">
      <c r="A241" s="26" t="s">
        <v>32</v>
      </c>
      <c r="B241" s="26">
        <v>1</v>
      </c>
      <c r="C241" s="58">
        <v>55</v>
      </c>
      <c r="D241" s="59">
        <v>283</v>
      </c>
      <c r="E241" s="41" t="str">
        <f>IF(COUNTIF('Sa suberīnskābe'!$B$6:$B$83, $D241) &gt; 0,"sub",IF(COUNTIF('Sa hito + sub'!$B$6:$B$82, $D241) &gt; 0,"hito_sub",""))</f>
        <v>sub</v>
      </c>
      <c r="F241" s="41" t="str">
        <f>IF(COUNTIF('ūd sorbcija Sa'!$C$3:$C$22, $D241) &gt; 0, "ūdens sorbc",IF(COUNTIF(higro!$C$19:$C$30, $D241) &gt; 0, "higroskopija",IF(COUNTIF(higro!$C$47:$C$58, $D241) &gt; 0, "higroskopija",IF(COUNTIF(Komp!$D$2:$D$16, $D241) &gt; 0, "komposts",IF(COUNTIF(spiedei!$C$42:$C$106, $D241) &gt; 0, "spiede","")))))</f>
        <v>komposts</v>
      </c>
    </row>
    <row r="242" spans="1:6" ht="15.75" customHeight="1">
      <c r="A242" s="26" t="s">
        <v>32</v>
      </c>
      <c r="B242" s="26">
        <v>1</v>
      </c>
      <c r="C242" s="58">
        <v>55</v>
      </c>
      <c r="D242" s="59">
        <v>284</v>
      </c>
      <c r="E242" s="41" t="str">
        <f>IF(COUNTIF('Sa suberīnskābe'!$B$6:$B$83, $D242) &gt; 0,"sub",IF(COUNTIF('Sa hito + sub'!$B$6:$B$82, $D242) &gt; 0,"hito_sub",""))</f>
        <v>sub</v>
      </c>
      <c r="F242" s="41" t="str">
        <f>IF(COUNTIF('ūd sorbcija Sa'!$C$3:$C$22, $D242) &gt; 0, "ūdens sorbc",IF(COUNTIF(higro!$C$19:$C$30, $D242) &gt; 0, "higroskopija",IF(COUNTIF(higro!$C$47:$C$58, $D242) &gt; 0, "higroskopija",IF(COUNTIF(Komp!$D$2:$D$16, $D242) &gt; 0, "komposts",IF(COUNTIF(spiedei!$C$42:$C$106, $D242) &gt; 0, "spiede","")))))</f>
        <v>komposts</v>
      </c>
    </row>
    <row r="243" spans="1:6" ht="15.75" customHeight="1">
      <c r="A243" s="26" t="s">
        <v>32</v>
      </c>
      <c r="B243" s="26">
        <v>1</v>
      </c>
      <c r="C243" s="58">
        <v>55</v>
      </c>
      <c r="D243" s="59">
        <v>285</v>
      </c>
      <c r="E243" s="41" t="str">
        <f>IF(COUNTIF('Sa suberīnskābe'!$B$6:$B$83, $D243) &gt; 0,"sub",IF(COUNTIF('Sa hito + sub'!$B$6:$B$82, $D243) &gt; 0,"hito_sub",""))</f>
        <v>sub</v>
      </c>
      <c r="F243" s="41" t="str">
        <f>IF(COUNTIF('ūd sorbcija Sa'!$C$3:$C$22, $D243) &gt; 0, "ūdens sorbc",IF(COUNTIF(higro!$C$19:$C$30, $D243) &gt; 0, "higroskopija",IF(COUNTIF(higro!$C$47:$C$58, $D243) &gt; 0, "higroskopija",IF(COUNTIF(Komp!$D$2:$D$16, $D243) &gt; 0, "komposts",IF(COUNTIF(spiedei!$C$42:$C$106, $D243) &gt; 0, "spiede","")))))</f>
        <v>higroskopija</v>
      </c>
    </row>
    <row r="244" spans="1:6" ht="15.75" customHeight="1">
      <c r="A244" s="26" t="s">
        <v>32</v>
      </c>
      <c r="B244" s="26">
        <v>1</v>
      </c>
      <c r="C244" s="58">
        <v>59</v>
      </c>
      <c r="D244" s="59">
        <v>286</v>
      </c>
      <c r="E244" s="41" t="str">
        <f>IF(COUNTIF('Sa suberīnskābe'!$B$6:$B$83, $D244) &gt; 0,"sub",IF(COUNTIF('Sa hito + sub'!$B$6:$B$82, $D244) &gt; 0,"hito_sub",""))</f>
        <v>hito_sub</v>
      </c>
      <c r="F244" s="60" t="s">
        <v>56</v>
      </c>
    </row>
    <row r="245" spans="1:6" ht="15.75" customHeight="1">
      <c r="A245" s="26" t="s">
        <v>32</v>
      </c>
      <c r="B245" s="26">
        <v>1</v>
      </c>
      <c r="C245" s="58">
        <v>59</v>
      </c>
      <c r="D245" s="59">
        <v>287</v>
      </c>
      <c r="E245" s="41" t="str">
        <f>IF(COUNTIF('Sa suberīnskābe'!$B$6:$B$83, $D245) &gt; 0,"sub",IF(COUNTIF('Sa hito + sub'!$B$6:$B$82, $D245) &gt; 0,"hito_sub",""))</f>
        <v>hito_sub</v>
      </c>
      <c r="F245" s="41" t="str">
        <f>IF(COUNTIF('ūd sorbcija Sa'!$C$3:$C$22, $D245) &gt; 0, "ūdens sorbc",IF(COUNTIF(higro!$C$19:$C$30, $D245) &gt; 0, "higroskopija",IF(COUNTIF(higro!$C$47:$C$58, $D245) &gt; 0, "higroskopija",IF(COUNTIF(Komp!$D$2:$D$16, $D245) &gt; 0, "komposts",IF(COUNTIF(spiedei!$C$42:$C$106, $D245) &gt; 0, "spiede","")))))</f>
        <v>higroskopija</v>
      </c>
    </row>
    <row r="246" spans="1:6" ht="15.75" customHeight="1">
      <c r="A246" s="26" t="s">
        <v>32</v>
      </c>
      <c r="B246" s="26">
        <v>1</v>
      </c>
      <c r="C246" s="58">
        <v>59</v>
      </c>
      <c r="D246" s="59">
        <v>288</v>
      </c>
      <c r="E246" s="41" t="str">
        <f>IF(COUNTIF('Sa suberīnskābe'!$B$6:$B$83, $D246) &gt; 0,"sub",IF(COUNTIF('Sa hito + sub'!$B$6:$B$82, $D246) &gt; 0,"hito_sub",""))</f>
        <v>hito_sub</v>
      </c>
      <c r="F246" s="62" t="s">
        <v>48</v>
      </c>
    </row>
    <row r="247" spans="1:6" ht="15.75" customHeight="1">
      <c r="A247" s="26" t="s">
        <v>32</v>
      </c>
      <c r="B247" s="26">
        <v>1</v>
      </c>
      <c r="C247" s="58">
        <v>59</v>
      </c>
      <c r="D247" s="59">
        <v>289</v>
      </c>
      <c r="E247" s="41" t="str">
        <f>IF(COUNTIF('Sa suberīnskābe'!$B$6:$B$83, $D247) &gt; 0,"sub",IF(COUNTIF('Sa hito + sub'!$B$6:$B$82, $D247) &gt; 0,"hito_sub",""))</f>
        <v>hito_sub</v>
      </c>
      <c r="F247" s="41" t="str">
        <f>IF(COUNTIF('ūd sorbcija Sa'!$C$3:$C$22, $D247) &gt; 0, "ūdens sorbc",IF(COUNTIF(higro!$C$19:$C$30, $D247) &gt; 0, "higroskopija",IF(COUNTIF(higro!$C$47:$C$58, $D247) &gt; 0, "higroskopija",IF(COUNTIF(Komp!$D$2:$D$16, $D247) &gt; 0, "komposts",IF(COUNTIF(spiedei!$C$42:$C$106, $D247) &gt; 0, "spiede","")))))</f>
        <v/>
      </c>
    </row>
    <row r="248" spans="1:6" ht="15.75" customHeight="1">
      <c r="A248" s="26" t="s">
        <v>32</v>
      </c>
      <c r="B248" s="28">
        <v>1</v>
      </c>
      <c r="C248" s="63">
        <v>59</v>
      </c>
      <c r="D248" s="64">
        <v>290</v>
      </c>
      <c r="E248" s="41" t="str">
        <f>IF(COUNTIF('Sa suberīnskābe'!$B$6:$B$83, $D248) &gt; 0,"sub",IF(COUNTIF('Sa hito + sub'!$B$6:$B$82, $D248) &gt; 0,"hito_sub",""))</f>
        <v>hito_sub</v>
      </c>
      <c r="F248" s="61" t="s">
        <v>45</v>
      </c>
    </row>
    <row r="249" spans="1:6" ht="15.75" customHeight="1">
      <c r="A249" s="26" t="s">
        <v>32</v>
      </c>
      <c r="B249" s="23">
        <v>3</v>
      </c>
      <c r="C249" s="56">
        <v>66</v>
      </c>
      <c r="D249" s="57">
        <v>321</v>
      </c>
      <c r="E249" s="41" t="str">
        <f>IF(COUNTIF('Sa suberīnskābe'!$B$6:$B$83, $D249) &gt; 0,"sub",IF(COUNTIF('Sa hito + sub'!$B$6:$B$82, $D249) &gt; 0,"hito_sub",""))</f>
        <v>sub</v>
      </c>
      <c r="F249" s="41" t="str">
        <f>IF(COUNTIF('ūd sorbcija Sa'!$C$3:$C$22, $D249) &gt; 0, "ūdens sorbc",IF(COUNTIF(higro!$C$19:$C$30, $D249) &gt; 0, "higroskopija",IF(COUNTIF(higro!$C$47:$C$58, $D249) &gt; 0, "higroskopija",IF(COUNTIF(Komp!$D$2:$D$16, $D249) &gt; 0, "komposts",IF(COUNTIF(spiedei!$C$42:$C$106, $D249) &gt; 0, "spiede","")))))</f>
        <v/>
      </c>
    </row>
    <row r="250" spans="1:6" ht="15.75" customHeight="1">
      <c r="A250" s="26" t="s">
        <v>32</v>
      </c>
      <c r="B250" s="26">
        <v>3</v>
      </c>
      <c r="C250" s="58">
        <v>66</v>
      </c>
      <c r="D250" s="59">
        <v>322</v>
      </c>
      <c r="E250" s="41" t="str">
        <f>IF(COUNTIF('Sa suberīnskābe'!$B$6:$B$83, $D250) &gt; 0,"sub",IF(COUNTIF('Sa hito + sub'!$B$6:$B$82, $D250) &gt; 0,"hito_sub",""))</f>
        <v>sub</v>
      </c>
      <c r="F250" s="41" t="str">
        <f>IF(COUNTIF('ūd sorbcija Sa'!$C$3:$C$22, $D250) &gt; 0, "ūdens sorbc",IF(COUNTIF(higro!$C$19:$C$30, $D250) &gt; 0, "higroskopija",IF(COUNTIF(higro!$C$47:$C$58, $D250) &gt; 0, "higroskopija",IF(COUNTIF(Komp!$D$2:$D$16, $D250) &gt; 0, "komposts",IF(COUNTIF(spiedei!$C$42:$C$106, $D250) &gt; 0, "spiede","")))))</f>
        <v>higroskopija</v>
      </c>
    </row>
    <row r="251" spans="1:6" ht="15.75" customHeight="1">
      <c r="A251" s="26" t="s">
        <v>32</v>
      </c>
      <c r="B251" s="26">
        <v>3</v>
      </c>
      <c r="C251" s="58">
        <v>66</v>
      </c>
      <c r="D251" s="59">
        <v>323</v>
      </c>
      <c r="E251" s="41" t="str">
        <f>IF(COUNTIF('Sa suberīnskābe'!$B$6:$B$83, $D251) &gt; 0,"sub",IF(COUNTIF('Sa hito + sub'!$B$6:$B$82, $D251) &gt; 0,"hito_sub",""))</f>
        <v>sub</v>
      </c>
      <c r="F251" s="41" t="str">
        <f>IF(COUNTIF('ūd sorbcija Sa'!$C$3:$C$22, $D251) &gt; 0, "ūdens sorbc",IF(COUNTIF(higro!$C$19:$C$30, $D251) &gt; 0, "higroskopija",IF(COUNTIF(higro!$C$47:$C$58, $D251) &gt; 0, "higroskopija",IF(COUNTIF(Komp!$D$2:$D$16, $D251) &gt; 0, "komposts",IF(COUNTIF(spiedei!$C$42:$C$106, $D251) &gt; 0, "spiede","")))))</f>
        <v>higroskopija</v>
      </c>
    </row>
    <row r="252" spans="1:6" ht="15.75" customHeight="1">
      <c r="A252" s="26" t="s">
        <v>32</v>
      </c>
      <c r="B252" s="26">
        <v>3</v>
      </c>
      <c r="C252" s="58">
        <v>66</v>
      </c>
      <c r="D252" s="59">
        <v>324</v>
      </c>
      <c r="E252" s="41" t="str">
        <f>IF(COUNTIF('Sa suberīnskābe'!$B$6:$B$83, $D252) &gt; 0,"sub",IF(COUNTIF('Sa hito + sub'!$B$6:$B$82, $D252) &gt; 0,"hito_sub",""))</f>
        <v>sub</v>
      </c>
      <c r="F252" s="62" t="s">
        <v>48</v>
      </c>
    </row>
    <row r="253" spans="1:6" ht="15.75" customHeight="1">
      <c r="A253" s="26" t="s">
        <v>32</v>
      </c>
      <c r="B253" s="26">
        <v>3</v>
      </c>
      <c r="C253" s="58">
        <v>66</v>
      </c>
      <c r="D253" s="59">
        <v>325</v>
      </c>
      <c r="E253" s="41" t="str">
        <f>IF(COUNTIF('Sa suberīnskābe'!$B$6:$B$83, $D253) &gt; 0,"sub",IF(COUNTIF('Sa hito + sub'!$B$6:$B$82, $D253) &gt; 0,"hito_sub",""))</f>
        <v>sub</v>
      </c>
      <c r="F253" s="41" t="str">
        <f>IF(COUNTIF('ūd sorbcija Sa'!$C$3:$C$22, $D253) &gt; 0, "ūdens sorbc",IF(COUNTIF(higro!$C$19:$C$30, $D253) &gt; 0, "higroskopija",IF(COUNTIF(higro!$C$47:$C$58, $D253) &gt; 0, "higroskopija",IF(COUNTIF(Komp!$D$2:$D$16, $D253) &gt; 0, "komposts",IF(COUNTIF(spiedei!$C$42:$C$106, $D253) &gt; 0, "spiede","")))))</f>
        <v/>
      </c>
    </row>
    <row r="254" spans="1:6" ht="15.75" customHeight="1">
      <c r="A254" s="26" t="s">
        <v>32</v>
      </c>
      <c r="B254" s="26">
        <v>3</v>
      </c>
      <c r="C254" s="58">
        <v>67</v>
      </c>
      <c r="D254" s="59">
        <v>326</v>
      </c>
      <c r="E254" s="41" t="str">
        <f>IF(COUNTIF('Sa suberīnskābe'!$B$6:$B$83, $D254) &gt; 0,"sub",IF(COUNTIF('Sa hito + sub'!$B$6:$B$82, $D254) &gt; 0,"hito_sub",""))</f>
        <v>hito_sub</v>
      </c>
      <c r="F254" s="60" t="s">
        <v>56</v>
      </c>
    </row>
    <row r="255" spans="1:6" ht="15.75" customHeight="1">
      <c r="A255" s="26" t="s">
        <v>32</v>
      </c>
      <c r="B255" s="26">
        <v>3</v>
      </c>
      <c r="C255" s="58">
        <v>67</v>
      </c>
      <c r="D255" s="59">
        <v>327</v>
      </c>
      <c r="E255" s="41" t="str">
        <f>IF(COUNTIF('Sa suberīnskābe'!$B$6:$B$83, $D255) &gt; 0,"sub",IF(COUNTIF('Sa hito + sub'!$B$6:$B$82, $D255) &gt; 0,"hito_sub",""))</f>
        <v>hito_sub</v>
      </c>
      <c r="F255" s="61" t="s">
        <v>45</v>
      </c>
    </row>
    <row r="256" spans="1:6" ht="15.75" customHeight="1">
      <c r="A256" s="26" t="s">
        <v>32</v>
      </c>
      <c r="B256" s="26">
        <v>3</v>
      </c>
      <c r="C256" s="58">
        <v>67</v>
      </c>
      <c r="D256" s="59">
        <v>328</v>
      </c>
      <c r="E256" s="41" t="str">
        <f>IF(COUNTIF('Sa suberīnskābe'!$B$6:$B$83, $D256) &gt; 0,"sub",IF(COUNTIF('Sa hito + sub'!$B$6:$B$82, $D256) &gt; 0,"hito_sub",""))</f>
        <v>hito_sub</v>
      </c>
      <c r="F256" s="41" t="str">
        <f>IF(COUNTIF('ūd sorbcija Sa'!$C$3:$C$22, $D256) &gt; 0, "ūdens sorbc",IF(COUNTIF(higro!$C$19:$C$30, $D256) &gt; 0, "higroskopija",IF(COUNTIF(higro!$C$47:$C$58, $D256) &gt; 0, "higroskopija",IF(COUNTIF(Komp!$D$2:$D$16, $D256) &gt; 0, "komposts",IF(COUNTIF(spiedei!$C$42:$C$106, $D256) &gt; 0, "spiede","")))))</f>
        <v>higroskopija</v>
      </c>
    </row>
    <row r="257" spans="1:6" ht="15.75" customHeight="1">
      <c r="A257" s="26" t="s">
        <v>32</v>
      </c>
      <c r="B257" s="26">
        <v>3</v>
      </c>
      <c r="C257" s="58">
        <v>67</v>
      </c>
      <c r="D257" s="59">
        <v>329</v>
      </c>
      <c r="E257" s="41" t="str">
        <f>IF(COUNTIF('Sa suberīnskābe'!$B$6:$B$83, $D257) &gt; 0,"sub",IF(COUNTIF('Sa hito + sub'!$B$6:$B$82, $D257) &gt; 0,"hito_sub",""))</f>
        <v>hito_sub</v>
      </c>
      <c r="F257" s="41" t="str">
        <f>IF(COUNTIF('ūd sorbcija Sa'!$C$3:$C$22, $D257) &gt; 0, "ūdens sorbc",IF(COUNTIF(higro!$C$19:$C$30, $D257) &gt; 0, "higroskopija",IF(COUNTIF(higro!$C$47:$C$58, $D257) &gt; 0, "higroskopija",IF(COUNTIF(Komp!$D$2:$D$16, $D257) &gt; 0, "komposts",IF(COUNTIF(spiedei!$C$42:$C$106, $D257) &gt; 0, "spiede","")))))</f>
        <v/>
      </c>
    </row>
    <row r="258" spans="1:6" ht="15.75" customHeight="1">
      <c r="A258" s="28" t="s">
        <v>32</v>
      </c>
      <c r="B258" s="28">
        <v>3</v>
      </c>
      <c r="C258" s="63">
        <v>67</v>
      </c>
      <c r="D258" s="64">
        <v>330</v>
      </c>
      <c r="E258" s="41" t="str">
        <f>IF(COUNTIF('Sa suberīnskābe'!$B$6:$B$83, $D258) &gt; 0,"sub",IF(COUNTIF('Sa hito + sub'!$B$6:$B$82, $D258) &gt; 0,"hito_sub",""))</f>
        <v>hito_sub</v>
      </c>
      <c r="F258" s="41" t="str">
        <f>IF(COUNTIF('ūd sorbcija Sa'!$C$3:$C$22, $D258) &gt; 0, "ūdens sorbc",IF(COUNTIF(higro!$C$19:$C$30, $D258) &gt; 0, "higroskopija",IF(COUNTIF(higro!$C$47:$C$58, $D258) &gt; 0, "higroskopija",IF(COUNTIF(Komp!$D$2:$D$16, $D258) &gt; 0, "komposts",IF(COUNTIF(spiedei!$C$42:$C$106, $D258) &gt; 0, "spiede","")))))</f>
        <v/>
      </c>
    </row>
    <row r="259" spans="1:6" ht="15.75" customHeight="1">
      <c r="A259" s="23" t="s">
        <v>33</v>
      </c>
      <c r="B259" s="23">
        <v>3</v>
      </c>
      <c r="C259" s="56">
        <v>8</v>
      </c>
      <c r="D259" s="57">
        <v>201</v>
      </c>
      <c r="E259" s="41" t="str">
        <f>IF(COUNTIF('Sa suberīnskābe'!$B$6:$B$83, $D259) &gt; 0,"sub",IF(COUNTIF('Sa hito + sub'!$B$6:$B$82, $D259) &gt; 0,"hito_sub",""))</f>
        <v>sub</v>
      </c>
      <c r="F259" s="41" t="str">
        <f>IF(COUNTIF('ūd sorbcija Sa'!$C$3:$C$22, $D259) &gt; 0, "ūdens sorbc",IF(COUNTIF(higro!$C$19:$C$30, $D259) &gt; 0, "higroskopija",IF(COUNTIF(higro!$C$47:$C$58, $D259) &gt; 0, "higroskopija",IF(COUNTIF(Komp!$D$2:$D$16, $D259) &gt; 0, "komposts",IF(COUNTIF(spiedei!$C$42:$C$106, $D259) &gt; 0, "spiede","")))))</f>
        <v>spiede</v>
      </c>
    </row>
    <row r="260" spans="1:6" ht="15.75" customHeight="1">
      <c r="A260" s="26" t="s">
        <v>33</v>
      </c>
      <c r="B260" s="26">
        <v>3</v>
      </c>
      <c r="C260" s="58">
        <v>8</v>
      </c>
      <c r="D260" s="59">
        <v>202</v>
      </c>
      <c r="E260" s="41" t="str">
        <f>IF(COUNTIF('Sa suberīnskābe'!$B$6:$B$83, $D260) &gt; 0,"sub",IF(COUNTIF('Sa hito + sub'!$B$6:$B$82, $D260) &gt; 0,"hito_sub",""))</f>
        <v>sub</v>
      </c>
      <c r="F260" s="41" t="str">
        <f>IF(COUNTIF('ūd sorbcija Sa'!$C$3:$C$22, $D260) &gt; 0, "ūdens sorbc",IF(COUNTIF(higro!$C$19:$C$30, $D260) &gt; 0, "higroskopija",IF(COUNTIF(higro!$C$47:$C$58, $D260) &gt; 0, "higroskopija",IF(COUNTIF(Komp!$D$2:$D$16, $D260) &gt; 0, "komposts",IF(COUNTIF(spiedei!$C$42:$C$106, $D260) &gt; 0, "spiede","")))))</f>
        <v>spiede</v>
      </c>
    </row>
    <row r="261" spans="1:6" ht="15.75" customHeight="1">
      <c r="A261" s="26" t="s">
        <v>33</v>
      </c>
      <c r="B261" s="26">
        <v>3</v>
      </c>
      <c r="C261" s="58">
        <v>8</v>
      </c>
      <c r="D261" s="59">
        <v>203</v>
      </c>
      <c r="E261" s="41" t="str">
        <f>IF(COUNTIF('Sa suberīnskābe'!$B$6:$B$83, $D261) &gt; 0,"sub",IF(COUNTIF('Sa hito + sub'!$B$6:$B$82, $D261) &gt; 0,"hito_sub",""))</f>
        <v>sub</v>
      </c>
      <c r="F261" s="41" t="str">
        <f>IF(COUNTIF('ūd sorbcija Sa'!$C$3:$C$22, $D261) &gt; 0, "ūdens sorbc",IF(COUNTIF(higro!$C$19:$C$30, $D261) &gt; 0, "higroskopija",IF(COUNTIF(higro!$C$47:$C$58, $D261) &gt; 0, "higroskopija",IF(COUNTIF(Komp!$D$2:$D$16, $D261) &gt; 0, "komposts",IF(COUNTIF(spiedei!$C$42:$C$106, $D261) &gt; 0, "spiede","")))))</f>
        <v>spiede</v>
      </c>
    </row>
    <row r="262" spans="1:6" ht="15.75" customHeight="1">
      <c r="A262" s="26" t="s">
        <v>33</v>
      </c>
      <c r="B262" s="26">
        <v>3</v>
      </c>
      <c r="C262" s="58">
        <v>8</v>
      </c>
      <c r="D262" s="59">
        <v>204</v>
      </c>
      <c r="E262" s="41" t="str">
        <f>IF(COUNTIF('Sa suberīnskābe'!$B$6:$B$83, $D262) &gt; 0,"sub",IF(COUNTIF('Sa hito + sub'!$B$6:$B$82, $D262) &gt; 0,"hito_sub",""))</f>
        <v>sub</v>
      </c>
      <c r="F262" s="41" t="str">
        <f>IF(COUNTIF('ūd sorbcija Sa'!$C$3:$C$22, $D262) &gt; 0, "ūdens sorbc",IF(COUNTIF(higro!$C$19:$C$30, $D262) &gt; 0, "higroskopija",IF(COUNTIF(higro!$C$47:$C$58, $D262) &gt; 0, "higroskopija",IF(COUNTIF(Komp!$D$2:$D$16, $D262) &gt; 0, "komposts",IF(COUNTIF(spiedei!$C$42:$C$106, $D262) &gt; 0, "spiede","")))))</f>
        <v>spiede</v>
      </c>
    </row>
    <row r="263" spans="1:6" ht="15.75" customHeight="1">
      <c r="A263" s="26" t="s">
        <v>33</v>
      </c>
      <c r="B263" s="26">
        <v>3</v>
      </c>
      <c r="C263" s="58">
        <v>8</v>
      </c>
      <c r="D263" s="59">
        <v>205</v>
      </c>
      <c r="E263" s="41" t="str">
        <f>IF(COUNTIF('Sa suberīnskābe'!$B$6:$B$83, $D263) &gt; 0,"sub",IF(COUNTIF('Sa hito + sub'!$B$6:$B$82, $D263) &gt; 0,"hito_sub",""))</f>
        <v>sub</v>
      </c>
      <c r="F263" s="41" t="str">
        <f>IF(COUNTIF('ūd sorbcija Sa'!$C$3:$C$22, $D263) &gt; 0, "ūdens sorbc",IF(COUNTIF(higro!$C$19:$C$30, $D263) &gt; 0, "higroskopija",IF(COUNTIF(higro!$C$47:$C$58, $D263) &gt; 0, "higroskopija",IF(COUNTIF(Komp!$D$2:$D$16, $D263) &gt; 0, "komposts",IF(COUNTIF(spiedei!$C$42:$C$106, $D263) &gt; 0, "spiede","")))))</f>
        <v>spiede</v>
      </c>
    </row>
    <row r="264" spans="1:6" ht="15.75" customHeight="1">
      <c r="A264" s="26" t="s">
        <v>33</v>
      </c>
      <c r="B264" s="26">
        <v>3</v>
      </c>
      <c r="C264" s="58">
        <v>11</v>
      </c>
      <c r="D264" s="59">
        <v>206</v>
      </c>
      <c r="E264" s="41" t="str">
        <f>IF(COUNTIF('Sa suberīnskābe'!$B$6:$B$83, $D264) &gt; 0,"sub",IF(COUNTIF('Sa hito + sub'!$B$6:$B$82, $D264) &gt; 0,"hito_sub",""))</f>
        <v>hito_sub</v>
      </c>
      <c r="F264" s="60" t="s">
        <v>56</v>
      </c>
    </row>
    <row r="265" spans="1:6" ht="15.75" customHeight="1">
      <c r="A265" s="26" t="s">
        <v>33</v>
      </c>
      <c r="B265" s="26">
        <v>3</v>
      </c>
      <c r="C265" s="58">
        <v>11</v>
      </c>
      <c r="D265" s="59">
        <v>207</v>
      </c>
      <c r="E265" s="41" t="str">
        <f>IF(COUNTIF('Sa suberīnskābe'!$B$6:$B$83, $D265) &gt; 0,"sub",IF(COUNTIF('Sa hito + sub'!$B$6:$B$82, $D265) &gt; 0,"hito_sub",""))</f>
        <v>hito_sub</v>
      </c>
      <c r="F265" s="41" t="str">
        <f>IF(COUNTIF('ūd sorbcija Sa'!$C$3:$C$22, $D265) &gt; 0, "ūdens sorbc",IF(COUNTIF(higro!$C$19:$C$30, $D265) &gt; 0, "higroskopija",IF(COUNTIF(higro!$C$47:$C$58, $D265) &gt; 0, "higroskopija",IF(COUNTIF(Komp!$D$2:$D$16, $D265) &gt; 0, "komposts",IF(COUNTIF(spiedei!$C$42:$C$106, $D265) &gt; 0, "spiede","")))))</f>
        <v>higroskopija</v>
      </c>
    </row>
    <row r="266" spans="1:6" ht="15.75" customHeight="1">
      <c r="A266" s="26" t="s">
        <v>33</v>
      </c>
      <c r="B266" s="26">
        <v>3</v>
      </c>
      <c r="C266" s="58">
        <v>11</v>
      </c>
      <c r="D266" s="59">
        <v>208</v>
      </c>
      <c r="E266" s="41" t="str">
        <f>IF(COUNTIF('Sa suberīnskābe'!$B$6:$B$83, $D266) &gt; 0,"sub",IF(COUNTIF('Sa hito + sub'!$B$6:$B$82, $D266) &gt; 0,"hito_sub",""))</f>
        <v>hito_sub</v>
      </c>
      <c r="F266" s="61" t="s">
        <v>45</v>
      </c>
    </row>
    <row r="267" spans="1:6" ht="15.75" customHeight="1">
      <c r="A267" s="26" t="s">
        <v>33</v>
      </c>
      <c r="B267" s="26">
        <v>3</v>
      </c>
      <c r="C267" s="58">
        <v>11</v>
      </c>
      <c r="D267" s="59">
        <v>209</v>
      </c>
      <c r="E267" s="41" t="str">
        <f>IF(COUNTIF('Sa suberīnskābe'!$B$6:$B$83, $D267) &gt; 0,"sub",IF(COUNTIF('Sa hito + sub'!$B$6:$B$82, $D267) &gt; 0,"hito_sub",""))</f>
        <v>hito_sub</v>
      </c>
      <c r="F267" s="62" t="s">
        <v>48</v>
      </c>
    </row>
    <row r="268" spans="1:6" ht="15.75" customHeight="1">
      <c r="A268" s="26" t="s">
        <v>33</v>
      </c>
      <c r="B268" s="28">
        <v>3</v>
      </c>
      <c r="C268" s="63">
        <v>11</v>
      </c>
      <c r="D268" s="64">
        <v>210</v>
      </c>
      <c r="E268" s="41" t="str">
        <f>IF(COUNTIF('Sa suberīnskābe'!$B$6:$B$83, $D268) &gt; 0,"sub",IF(COUNTIF('Sa hito + sub'!$B$6:$B$82, $D268) &gt; 0,"hito_sub",""))</f>
        <v>hito_sub</v>
      </c>
      <c r="F268" s="41" t="str">
        <f>IF(COUNTIF('ūd sorbcija Sa'!$C$3:$C$22, $D268) &gt; 0, "ūdens sorbc",IF(COUNTIF(higro!$C$19:$C$30, $D268) &gt; 0, "higroskopija",IF(COUNTIF(higro!$C$47:$C$58, $D268) &gt; 0, "higroskopija",IF(COUNTIF(Komp!$D$2:$D$16, $D268) &gt; 0, "komposts",IF(COUNTIF(spiedei!$C$42:$C$106, $D268) &gt; 0, "spiede","")))))</f>
        <v/>
      </c>
    </row>
    <row r="269" spans="1:6" ht="15.75" customHeight="1">
      <c r="A269" s="26" t="s">
        <v>33</v>
      </c>
      <c r="B269" s="23">
        <v>1</v>
      </c>
      <c r="C269" s="56">
        <v>44</v>
      </c>
      <c r="D269" s="57">
        <v>316</v>
      </c>
      <c r="E269" s="41" t="str">
        <f>IF(COUNTIF('Sa suberīnskābe'!$B$6:$B$83, $D269) &gt; 0,"sub",IF(COUNTIF('Sa hito + sub'!$B$6:$B$82, $D269) &gt; 0,"hito_sub",""))</f>
        <v>sub</v>
      </c>
      <c r="F269" s="41" t="str">
        <f>IF(COUNTIF('ūd sorbcija Sa'!$C$3:$C$22, $D269) &gt; 0, "ūdens sorbc",IF(COUNTIF(higro!$C$19:$C$30, $D269) &gt; 0, "higroskopija",IF(COUNTIF(higro!$C$47:$C$58, $D269) &gt; 0, "higroskopija",IF(COUNTIF(Komp!$D$2:$D$16, $D269) &gt; 0, "komposts",IF(COUNTIF(spiedei!$C$42:$C$106, $D269) &gt; 0, "spiede","")))))</f>
        <v>ūdens sorbc</v>
      </c>
    </row>
    <row r="270" spans="1:6" ht="15.75" customHeight="1">
      <c r="A270" s="26" t="s">
        <v>33</v>
      </c>
      <c r="B270" s="26">
        <v>1</v>
      </c>
      <c r="C270" s="58">
        <v>44</v>
      </c>
      <c r="D270" s="59">
        <v>317</v>
      </c>
      <c r="E270" s="41" t="str">
        <f>IF(COUNTIF('Sa suberīnskābe'!$B$6:$B$83, $D270) &gt; 0,"sub",IF(COUNTIF('Sa hito + sub'!$B$6:$B$82, $D270) &gt; 0,"hito_sub",""))</f>
        <v>sub</v>
      </c>
      <c r="F270" s="41" t="str">
        <f>IF(COUNTIF('ūd sorbcija Sa'!$C$3:$C$22, $D270) &gt; 0, "ūdens sorbc",IF(COUNTIF(higro!$C$19:$C$30, $D270) &gt; 0, "higroskopija",IF(COUNTIF(higro!$C$47:$C$58, $D270) &gt; 0, "higroskopija",IF(COUNTIF(Komp!$D$2:$D$16, $D270) &gt; 0, "komposts",IF(COUNTIF(spiedei!$C$42:$C$106, $D270) &gt; 0, "spiede","")))))</f>
        <v>ūdens sorbc</v>
      </c>
    </row>
    <row r="271" spans="1:6" ht="15.75" customHeight="1">
      <c r="A271" s="26" t="s">
        <v>33</v>
      </c>
      <c r="B271" s="26">
        <v>1</v>
      </c>
      <c r="C271" s="58">
        <v>44</v>
      </c>
      <c r="D271" s="59">
        <v>318</v>
      </c>
      <c r="E271" s="41" t="str">
        <f>IF(COUNTIF('Sa suberīnskābe'!$B$6:$B$83, $D271) &gt; 0,"sub",IF(COUNTIF('Sa hito + sub'!$B$6:$B$82, $D271) &gt; 0,"hito_sub",""))</f>
        <v>sub</v>
      </c>
      <c r="F271" s="41" t="str">
        <f>IF(COUNTIF('ūd sorbcija Sa'!$C$3:$C$22, $D271) &gt; 0, "ūdens sorbc",IF(COUNTIF(higro!$C$19:$C$30, $D271) &gt; 0, "higroskopija",IF(COUNTIF(higro!$C$47:$C$58, $D271) &gt; 0, "higroskopija",IF(COUNTIF(Komp!$D$2:$D$16, $D271) &gt; 0, "komposts",IF(COUNTIF(spiedei!$C$42:$C$106, $D271) &gt; 0, "spiede","")))))</f>
        <v>ūdens sorbc</v>
      </c>
    </row>
    <row r="272" spans="1:6" ht="15.75" customHeight="1">
      <c r="A272" s="26" t="s">
        <v>33</v>
      </c>
      <c r="B272" s="26">
        <v>1</v>
      </c>
      <c r="C272" s="58">
        <v>44</v>
      </c>
      <c r="D272" s="59">
        <v>319</v>
      </c>
      <c r="E272" s="41" t="str">
        <f>IF(COUNTIF('Sa suberīnskābe'!$B$6:$B$83, $D272) &gt; 0,"sub",IF(COUNTIF('Sa hito + sub'!$B$6:$B$82, $D272) &gt; 0,"hito_sub",""))</f>
        <v>sub</v>
      </c>
      <c r="F272" s="41" t="str">
        <f>IF(COUNTIF('ūd sorbcija Sa'!$C$3:$C$22, $D272) &gt; 0, "ūdens sorbc",IF(COUNTIF(higro!$C$19:$C$30, $D272) &gt; 0, "higroskopija",IF(COUNTIF(higro!$C$47:$C$58, $D272) &gt; 0, "higroskopija",IF(COUNTIF(Komp!$D$2:$D$16, $D272) &gt; 0, "komposts",IF(COUNTIF(spiedei!$C$42:$C$106, $D272) &gt; 0, "spiede","")))))</f>
        <v>ūdens sorbc</v>
      </c>
    </row>
    <row r="273" spans="1:7" ht="15.75" customHeight="1">
      <c r="A273" s="26" t="s">
        <v>33</v>
      </c>
      <c r="B273" s="26">
        <v>1</v>
      </c>
      <c r="C273" s="58">
        <v>44</v>
      </c>
      <c r="D273" s="59">
        <v>320</v>
      </c>
      <c r="E273" s="41" t="str">
        <f>IF(COUNTIF('Sa suberīnskābe'!$B$6:$B$83, $D273) &gt; 0,"sub",IF(COUNTIF('Sa hito + sub'!$B$6:$B$82, $D273) &gt; 0,"hito_sub",""))</f>
        <v>sub</v>
      </c>
      <c r="F273" s="41" t="str">
        <f>IF(COUNTIF('ūd sorbcija Sa'!$C$3:$C$22, $D273) &gt; 0, "ūdens sorbc",IF(COUNTIF(higro!$C$19:$C$30, $D273) &gt; 0, "higroskopija",IF(COUNTIF(higro!$C$47:$C$58, $D273) &gt; 0, "higroskopija",IF(COUNTIF(Komp!$D$2:$D$16, $D273) &gt; 0, "komposts",IF(COUNTIF(spiedei!$C$42:$C$106, $D273) &gt; 0, "spiede","")))))</f>
        <v>ūdens sorbc</v>
      </c>
    </row>
    <row r="274" spans="1:7" ht="15.75" customHeight="1">
      <c r="A274" s="26" t="s">
        <v>33</v>
      </c>
      <c r="B274" s="26">
        <v>1</v>
      </c>
      <c r="C274" s="58">
        <v>47</v>
      </c>
      <c r="D274" s="59">
        <v>311</v>
      </c>
      <c r="E274" s="41" t="str">
        <f>IF(COUNTIF('Sa suberīnskābe'!$B$6:$B$83, $D274) &gt; 0,"sub",IF(COUNTIF('Sa hito + sub'!$B$6:$B$82, $D274) &gt; 0,"hito_sub",""))</f>
        <v>hito_sub</v>
      </c>
      <c r="F274" s="61" t="s">
        <v>45</v>
      </c>
    </row>
    <row r="275" spans="1:7" ht="15.75" customHeight="1">
      <c r="A275" s="26" t="s">
        <v>33</v>
      </c>
      <c r="B275" s="26">
        <v>1</v>
      </c>
      <c r="C275" s="58">
        <v>47</v>
      </c>
      <c r="D275" s="59">
        <v>312</v>
      </c>
      <c r="E275" s="41" t="str">
        <f>IF(COUNTIF('Sa suberīnskābe'!$B$6:$B$83, $D275) &gt; 0,"sub",IF(COUNTIF('Sa hito + sub'!$B$6:$B$82, $D275) &gt; 0,"hito_sub",""))</f>
        <v>hito_sub</v>
      </c>
      <c r="F275" s="60" t="s">
        <v>56</v>
      </c>
    </row>
    <row r="276" spans="1:7" ht="15.75" customHeight="1">
      <c r="A276" s="26" t="s">
        <v>33</v>
      </c>
      <c r="B276" s="26">
        <v>1</v>
      </c>
      <c r="C276" s="58">
        <v>47</v>
      </c>
      <c r="D276" s="59">
        <v>313</v>
      </c>
      <c r="E276" s="41" t="str">
        <f>IF(COUNTIF('Sa suberīnskābe'!$B$6:$B$83, $D276) &gt; 0,"sub",IF(COUNTIF('Sa hito + sub'!$B$6:$B$82, $D276) &gt; 0,"hito_sub",""))</f>
        <v>hito_sub</v>
      </c>
      <c r="F276" s="62" t="s">
        <v>48</v>
      </c>
    </row>
    <row r="277" spans="1:7" ht="15.75" customHeight="1">
      <c r="A277" s="26" t="s">
        <v>33</v>
      </c>
      <c r="B277" s="26">
        <v>1</v>
      </c>
      <c r="C277" s="58">
        <v>47</v>
      </c>
      <c r="D277" s="59">
        <v>314</v>
      </c>
      <c r="E277" s="41" t="str">
        <f>IF(COUNTIF('Sa suberīnskābe'!$B$6:$B$83, $D277) &gt; 0,"sub",IF(COUNTIF('Sa hito + sub'!$B$6:$B$82, $D277) &gt; 0,"hito_sub",""))</f>
        <v>hito_sub</v>
      </c>
      <c r="F277" s="41" t="str">
        <f>IF(COUNTIF('ūd sorbcija Sa'!$C$3:$C$22, $D277) &gt; 0, "ūdens sorbc",IF(COUNTIF(higro!$C$19:$C$30, $D277) &gt; 0, "higroskopija",IF(COUNTIF(higro!$C$47:$C$58, $D277) &gt; 0, "higroskopija",IF(COUNTIF(Komp!$D$2:$D$16, $D277) &gt; 0, "komposts",IF(COUNTIF(spiedei!$C$42:$C$106, $D277) &gt; 0, "spiede","")))))</f>
        <v>higroskopija</v>
      </c>
    </row>
    <row r="278" spans="1:7" ht="15.75" customHeight="1">
      <c r="A278" s="26" t="s">
        <v>33</v>
      </c>
      <c r="B278" s="28">
        <v>1</v>
      </c>
      <c r="C278" s="63">
        <v>47</v>
      </c>
      <c r="D278" s="64">
        <v>315</v>
      </c>
      <c r="E278" s="41" t="str">
        <f>IF(COUNTIF('Sa suberīnskābe'!$B$6:$B$83, $D278) &gt; 0,"sub",IF(COUNTIF('Sa hito + sub'!$B$6:$B$82, $D278) &gt; 0,"hito_sub",""))</f>
        <v>hito_sub</v>
      </c>
      <c r="F278" s="60" t="s">
        <v>56</v>
      </c>
    </row>
    <row r="279" spans="1:7" ht="15.75" customHeight="1">
      <c r="A279" s="26" t="s">
        <v>33</v>
      </c>
      <c r="B279" s="23">
        <v>2</v>
      </c>
      <c r="C279" s="56">
        <v>61</v>
      </c>
      <c r="D279" s="57">
        <v>271</v>
      </c>
      <c r="E279" s="41" t="str">
        <f>IF(COUNTIF('Sa suberīnskābe'!$B$6:$B$83, $D279) &gt; 0,"sub",IF(COUNTIF('Sa hito + sub'!$B$6:$B$82, $D279) &gt; 0,"hito_sub",""))</f>
        <v>sub</v>
      </c>
      <c r="F279" s="41" t="str">
        <f>IF(COUNTIF('ūd sorbcija Sa'!$C$3:$C$22, $D279) &gt; 0, "ūdens sorbc",IF(COUNTIF(higro!$C$19:$C$30, $D279) &gt; 0, "higroskopija",IF(COUNTIF(higro!$C$47:$C$58, $D279) &gt; 0, "higroskopija",IF(COUNTIF(Komp!$D$2:$D$16, $D279) &gt; 0, "komposts",IF(COUNTIF(spiedei!$C$42:$C$106, $D279) &gt; 0, "spiede","")))))</f>
        <v>komposts</v>
      </c>
    </row>
    <row r="280" spans="1:7" ht="15.75" customHeight="1">
      <c r="A280" s="26" t="s">
        <v>33</v>
      </c>
      <c r="B280" s="26">
        <v>2</v>
      </c>
      <c r="C280" s="58">
        <v>61</v>
      </c>
      <c r="D280" s="59">
        <v>272</v>
      </c>
      <c r="E280" s="41" t="str">
        <f>IF(COUNTIF('Sa suberīnskābe'!$B$6:$B$83, $D280) &gt; 0,"sub",IF(COUNTIF('Sa hito + sub'!$B$6:$B$82, $D280) &gt; 0,"hito_sub",""))</f>
        <v>sub</v>
      </c>
      <c r="F280" s="41" t="str">
        <f>IF(COUNTIF('ūd sorbcija Sa'!$C$3:$C$22, $D280) &gt; 0, "ūdens sorbc",IF(COUNTIF(higro!$C$19:$C$30, $D280) &gt; 0, "higroskopija",IF(COUNTIF(higro!$C$47:$C$58, $D280) &gt; 0, "higroskopija",IF(COUNTIF(Komp!$D$2:$D$16, $D280) &gt; 0, "komposts",IF(COUNTIF(spiedei!$C$42:$C$106, $D280) &gt; 0, "spiede","")))))</f>
        <v>komposts</v>
      </c>
    </row>
    <row r="281" spans="1:7" ht="15.75" customHeight="1">
      <c r="A281" s="26" t="s">
        <v>33</v>
      </c>
      <c r="B281" s="26">
        <v>2</v>
      </c>
      <c r="C281" s="58">
        <v>61</v>
      </c>
      <c r="D281" s="59">
        <v>273</v>
      </c>
      <c r="E281" s="41" t="str">
        <f>IF(COUNTIF('Sa suberīnskābe'!$B$6:$B$83, $D281) &gt; 0,"sub",IF(COUNTIF('Sa hito + sub'!$B$6:$B$82, $D281) &gt; 0,"hito_sub",""))</f>
        <v>sub</v>
      </c>
      <c r="F281" s="41" t="str">
        <f>IF(COUNTIF('ūd sorbcija Sa'!$C$3:$C$22, $D281) &gt; 0, "ūdens sorbc",IF(COUNTIF(higro!$C$19:$C$30, $D281) &gt; 0, "higroskopija",IF(COUNTIF(higro!$C$47:$C$58, $D281) &gt; 0, "higroskopija",IF(COUNTIF(Komp!$D$2:$D$16, $D281) &gt; 0, "komposts",IF(COUNTIF(spiedei!$C$42:$C$106, $D281) &gt; 0, "spiede","")))))</f>
        <v>komposts</v>
      </c>
    </row>
    <row r="282" spans="1:7" ht="15.75" customHeight="1">
      <c r="A282" s="26" t="s">
        <v>33</v>
      </c>
      <c r="B282" s="26">
        <v>2</v>
      </c>
      <c r="C282" s="58">
        <v>61</v>
      </c>
      <c r="D282" s="59">
        <v>274</v>
      </c>
      <c r="E282" s="41" t="str">
        <f>IF(COUNTIF('Sa suberīnskābe'!$B$6:$B$83, $D282) &gt; 0,"sub",IF(COUNTIF('Sa hito + sub'!$B$6:$B$82, $D282) &gt; 0,"hito_sub",""))</f>
        <v>sub</v>
      </c>
      <c r="F282" s="62" t="s">
        <v>48</v>
      </c>
      <c r="G282" s="58" t="s">
        <v>59</v>
      </c>
    </row>
    <row r="283" spans="1:7" ht="15.75" customHeight="1">
      <c r="A283" s="26" t="s">
        <v>33</v>
      </c>
      <c r="B283" s="26">
        <v>2</v>
      </c>
      <c r="C283" s="58">
        <v>61</v>
      </c>
      <c r="D283" s="59">
        <v>275</v>
      </c>
      <c r="E283" s="41" t="str">
        <f>IF(COUNTIF('Sa suberīnskābe'!$B$6:$B$83, $D283) &gt; 0,"sub",IF(COUNTIF('Sa hito + sub'!$B$6:$B$82, $D283) &gt; 0,"hito_sub",""))</f>
        <v>sub</v>
      </c>
      <c r="F283" s="41" t="str">
        <f>IF(COUNTIF('ūd sorbcija Sa'!$C$3:$C$22, $D283) &gt; 0, "ūdens sorbc",IF(COUNTIF(higro!$C$19:$C$30, $D283) &gt; 0, "higroskopija",IF(COUNTIF(higro!$C$47:$C$58, $D283) &gt; 0, "higroskopija",IF(COUNTIF(Komp!$D$2:$D$16, $D283) &gt; 0, "komposts",IF(COUNTIF(spiedei!$C$42:$C$106, $D283) &gt; 0, "spiede","")))))</f>
        <v>higroskopija</v>
      </c>
    </row>
    <row r="284" spans="1:7" ht="15.75" customHeight="1">
      <c r="A284" s="26" t="s">
        <v>33</v>
      </c>
      <c r="B284" s="26">
        <v>2</v>
      </c>
      <c r="C284" s="58">
        <v>64</v>
      </c>
      <c r="D284" s="59">
        <v>276</v>
      </c>
      <c r="E284" s="41" t="str">
        <f>IF(COUNTIF('Sa suberīnskābe'!$B$6:$B$83, $D284) &gt; 0,"sub",IF(COUNTIF('Sa hito + sub'!$B$6:$B$82, $D284) &gt; 0,"hito_sub",""))</f>
        <v>hito_sub</v>
      </c>
      <c r="F284" s="60" t="s">
        <v>56</v>
      </c>
    </row>
    <row r="285" spans="1:7" ht="15.75" customHeight="1">
      <c r="A285" s="26" t="s">
        <v>33</v>
      </c>
      <c r="B285" s="26">
        <v>2</v>
      </c>
      <c r="C285" s="58">
        <v>64</v>
      </c>
      <c r="D285" s="59">
        <v>277</v>
      </c>
      <c r="E285" s="41" t="str">
        <f>IF(COUNTIF('Sa suberīnskābe'!$B$6:$B$83, $D285) &gt; 0,"sub",IF(COUNTIF('Sa hito + sub'!$B$6:$B$82, $D285) &gt; 0,"hito_sub",""))</f>
        <v>hito_sub</v>
      </c>
      <c r="F285" s="61" t="s">
        <v>45</v>
      </c>
    </row>
    <row r="286" spans="1:7" ht="15.75" customHeight="1">
      <c r="A286" s="26" t="s">
        <v>33</v>
      </c>
      <c r="B286" s="26">
        <v>2</v>
      </c>
      <c r="C286" s="58">
        <v>64</v>
      </c>
      <c r="D286" s="59">
        <v>278</v>
      </c>
      <c r="E286" s="41" t="str">
        <f>IF(COUNTIF('Sa suberīnskābe'!$B$6:$B$83, $D286) &gt; 0,"sub",IF(COUNTIF('Sa hito + sub'!$B$6:$B$82, $D286) &gt; 0,"hito_sub",""))</f>
        <v>hito_sub</v>
      </c>
      <c r="F286" s="41" t="str">
        <f>IF(COUNTIF('ūd sorbcija Sa'!$C$3:$C$22, $D286) &gt; 0, "ūdens sorbc",IF(COUNTIF(higro!$C$19:$C$30, $D286) &gt; 0, "higroskopija",IF(COUNTIF(higro!$C$47:$C$58, $D286) &gt; 0, "higroskopija",IF(COUNTIF(Komp!$D$2:$D$16, $D286) &gt; 0, "komposts",IF(COUNTIF(spiedei!$C$42:$C$106, $D286) &gt; 0, "spiede","")))))</f>
        <v/>
      </c>
    </row>
    <row r="287" spans="1:7" ht="15.75" customHeight="1">
      <c r="A287" s="26" t="s">
        <v>33</v>
      </c>
      <c r="B287" s="26">
        <v>2</v>
      </c>
      <c r="C287" s="58">
        <v>64</v>
      </c>
      <c r="D287" s="59">
        <v>279</v>
      </c>
      <c r="E287" s="41" t="str">
        <f>IF(COUNTIF('Sa suberīnskābe'!$B$6:$B$83, $D287) &gt; 0,"sub",IF(COUNTIF('Sa hito + sub'!$B$6:$B$82, $D287) &gt; 0,"hito_sub",""))</f>
        <v>hito_sub</v>
      </c>
      <c r="F287" s="61" t="s">
        <v>45</v>
      </c>
    </row>
    <row r="288" spans="1:7" ht="15.75" customHeight="1">
      <c r="A288" s="26" t="s">
        <v>33</v>
      </c>
      <c r="B288" s="26">
        <v>2</v>
      </c>
      <c r="C288" s="58">
        <v>64</v>
      </c>
      <c r="D288" s="59">
        <v>280</v>
      </c>
      <c r="E288" s="41" t="str">
        <f>IF(COUNTIF('Sa suberīnskābe'!$B$6:$B$83, $D288) &gt; 0,"sub",IF(COUNTIF('Sa hito + sub'!$B$6:$B$82, $D288) &gt; 0,"hito_sub",""))</f>
        <v>hito_sub</v>
      </c>
      <c r="F288" s="41" t="str">
        <f>IF(COUNTIF('ūd sorbcija Sa'!$C$3:$C$22, $D288) &gt; 0, "ūdens sorbc",IF(COUNTIF(higro!$C$19:$C$30, $D288) &gt; 0, "higroskopija",IF(COUNTIF(higro!$C$47:$C$58, $D288) &gt; 0, "higroskopija",IF(COUNTIF(Komp!$D$2:$D$16, $D288) &gt; 0, "komposts",IF(COUNTIF(spiedei!$C$42:$C$106, $D288) &gt; 0, "spiede","")))))</f>
        <v>higroskopija</v>
      </c>
    </row>
    <row r="289" spans="1:6" ht="15.75" customHeight="1">
      <c r="A289" s="26" t="s">
        <v>33</v>
      </c>
      <c r="B289" s="26">
        <v>2</v>
      </c>
      <c r="C289" s="58" t="s">
        <v>34</v>
      </c>
      <c r="D289" s="59">
        <v>266</v>
      </c>
      <c r="E289" s="41" t="str">
        <f>IF(COUNTIF('Sa suberīnskābe'!$B$6:$B$83, $D289) &gt; 0,"sub",IF(COUNTIF('Sa hito + sub'!$B$6:$B$82, $D289) &gt; 0,"hito_sub",""))</f>
        <v>sub</v>
      </c>
      <c r="F289" s="41" t="str">
        <f>IF(COUNTIF('ūd sorbcija Sa'!$C$3:$C$22, $D289) &gt; 0, "ūdens sorbc",IF(COUNTIF(higro!$C$19:$C$30, $D289) &gt; 0, "higroskopija",IF(COUNTIF(higro!$C$47:$C$58, $D289) &gt; 0, "higroskopija",IF(COUNTIF(Komp!$D$2:$D$16, $D289) &gt; 0, "komposts",IF(COUNTIF(spiedei!$C$42:$C$106, $D289) &gt; 0, "spiede","")))))</f>
        <v>higroskopija</v>
      </c>
    </row>
    <row r="290" spans="1:6" ht="15.75" customHeight="1">
      <c r="A290" s="26" t="s">
        <v>33</v>
      </c>
      <c r="B290" s="26">
        <v>2</v>
      </c>
      <c r="C290" s="58" t="s">
        <v>34</v>
      </c>
      <c r="D290" s="59">
        <v>267</v>
      </c>
      <c r="E290" s="41" t="str">
        <f>IF(COUNTIF('Sa suberīnskābe'!$B$6:$B$83, $D290) &gt; 0,"sub",IF(COUNTIF('Sa hito + sub'!$B$6:$B$82, $D290) &gt; 0,"hito_sub",""))</f>
        <v>sub</v>
      </c>
      <c r="F290" s="41" t="str">
        <f>IF(COUNTIF('ūd sorbcija Sa'!$C$3:$C$22, $D290) &gt; 0, "ūdens sorbc",IF(COUNTIF(higro!$C$19:$C$30, $D290) &gt; 0, "higroskopija",IF(COUNTIF(higro!$C$47:$C$58, $D290) &gt; 0, "higroskopija",IF(COUNTIF(Komp!$D$2:$D$16, $D290) &gt; 0, "komposts",IF(COUNTIF(spiedei!$C$42:$C$106, $D290) &gt; 0, "spiede","")))))</f>
        <v>higroskopija</v>
      </c>
    </row>
    <row r="291" spans="1:6" ht="15.75" customHeight="1">
      <c r="A291" s="26" t="s">
        <v>33</v>
      </c>
      <c r="B291" s="26">
        <v>2</v>
      </c>
      <c r="C291" s="58" t="s">
        <v>34</v>
      </c>
      <c r="D291" s="59">
        <v>268</v>
      </c>
      <c r="E291" s="41" t="str">
        <f>IF(COUNTIF('Sa suberīnskābe'!$B$6:$B$83, $D291) &gt; 0,"sub",IF(COUNTIF('Sa hito + sub'!$B$6:$B$82, $D291) &gt; 0,"hito_sub",""))</f>
        <v>sub</v>
      </c>
      <c r="F291" s="62" t="s">
        <v>48</v>
      </c>
    </row>
    <row r="292" spans="1:6" ht="15.75" customHeight="1">
      <c r="A292" s="26" t="s">
        <v>33</v>
      </c>
      <c r="B292" s="26">
        <v>2</v>
      </c>
      <c r="C292" s="58" t="s">
        <v>34</v>
      </c>
      <c r="D292" s="59">
        <v>269</v>
      </c>
      <c r="E292" s="41" t="str">
        <f>IF(COUNTIF('Sa suberīnskābe'!$B$6:$B$83, $D292) &gt; 0,"sub",IF(COUNTIF('Sa hito + sub'!$B$6:$B$82, $D292) &gt; 0,"hito_sub",""))</f>
        <v>hito_sub</v>
      </c>
      <c r="F292" s="60" t="s">
        <v>56</v>
      </c>
    </row>
    <row r="293" spans="1:6" ht="15.75" customHeight="1">
      <c r="A293" s="28" t="s">
        <v>33</v>
      </c>
      <c r="B293" s="28">
        <v>2</v>
      </c>
      <c r="C293" s="63" t="s">
        <v>34</v>
      </c>
      <c r="D293" s="64">
        <v>270</v>
      </c>
      <c r="E293" s="41" t="str">
        <f>IF(COUNTIF('Sa suberīnskābe'!$B$6:$B$83, $D293) &gt; 0,"sub",IF(COUNTIF('Sa hito + sub'!$B$6:$B$82, $D293) &gt; 0,"hito_sub",""))</f>
        <v>hito_sub</v>
      </c>
      <c r="F293" s="61" t="s">
        <v>45</v>
      </c>
    </row>
    <row r="294" spans="1:6" ht="15.75" customHeight="1">
      <c r="A294" s="23" t="s">
        <v>35</v>
      </c>
      <c r="B294" s="23">
        <v>2</v>
      </c>
      <c r="C294" s="56">
        <v>19</v>
      </c>
      <c r="D294" s="57">
        <v>166</v>
      </c>
      <c r="E294" s="41" t="str">
        <f>IF(COUNTIF('Sa suberīnskābe'!$B$6:$B$83, $D294) &gt; 0,"sub",IF(COUNTIF('Sa hito + sub'!$B$6:$B$82, $D294) &gt; 0,"hito_sub",""))</f>
        <v>sub</v>
      </c>
      <c r="F294" s="41" t="str">
        <f>IF(COUNTIF('ūd sorbcija Sa'!$C$3:$C$22, $D294) &gt; 0, "ūdens sorbc",IF(COUNTIF(higro!$C$19:$C$30, $D294) &gt; 0, "higroskopija",IF(COUNTIF(higro!$C$47:$C$58, $D294) &gt; 0, "higroskopija",IF(COUNTIF(Komp!$D$2:$D$16, $D294) &gt; 0, "komposts",IF(COUNTIF(spiedei!$C$42:$C$106, $D294) &gt; 0, "spiede","")))))</f>
        <v>spiede</v>
      </c>
    </row>
    <row r="295" spans="1:6" ht="15.75" customHeight="1">
      <c r="A295" s="26" t="s">
        <v>35</v>
      </c>
      <c r="B295" s="26">
        <v>2</v>
      </c>
      <c r="C295" s="58">
        <v>19</v>
      </c>
      <c r="D295" s="59">
        <v>167</v>
      </c>
      <c r="E295" s="41" t="str">
        <f>IF(COUNTIF('Sa suberīnskābe'!$B$6:$B$83, $D295) &gt; 0,"sub",IF(COUNTIF('Sa hito + sub'!$B$6:$B$82, $D295) &gt; 0,"hito_sub",""))</f>
        <v>sub</v>
      </c>
      <c r="F295" s="41" t="str">
        <f>IF(COUNTIF('ūd sorbcija Sa'!$C$3:$C$22, $D295) &gt; 0, "ūdens sorbc",IF(COUNTIF(higro!$C$19:$C$30, $D295) &gt; 0, "higroskopija",IF(COUNTIF(higro!$C$47:$C$58, $D295) &gt; 0, "higroskopija",IF(COUNTIF(Komp!$D$2:$D$16, $D295) &gt; 0, "komposts",IF(COUNTIF(spiedei!$C$42:$C$106, $D295) &gt; 0, "spiede","")))))</f>
        <v>spiede</v>
      </c>
    </row>
    <row r="296" spans="1:6" ht="15.75" customHeight="1">
      <c r="A296" s="26" t="s">
        <v>35</v>
      </c>
      <c r="B296" s="26">
        <v>2</v>
      </c>
      <c r="C296" s="58">
        <v>19</v>
      </c>
      <c r="D296" s="59">
        <v>168</v>
      </c>
      <c r="E296" s="41" t="str">
        <f>IF(COUNTIF('Sa suberīnskābe'!$B$6:$B$83, $D296) &gt; 0,"sub",IF(COUNTIF('Sa hito + sub'!$B$6:$B$82, $D296) &gt; 0,"hito_sub",""))</f>
        <v>sub</v>
      </c>
      <c r="F296" s="41" t="str">
        <f>IF(COUNTIF('ūd sorbcija Sa'!$C$3:$C$22, $D296) &gt; 0, "ūdens sorbc",IF(COUNTIF(higro!$C$19:$C$30, $D296) &gt; 0, "higroskopija",IF(COUNTIF(higro!$C$47:$C$58, $D296) &gt; 0, "higroskopija",IF(COUNTIF(Komp!$D$2:$D$16, $D296) &gt; 0, "komposts",IF(COUNTIF(spiedei!$C$42:$C$106, $D296) &gt; 0, "spiede","")))))</f>
        <v>spiede</v>
      </c>
    </row>
    <row r="297" spans="1:6" ht="15.75" customHeight="1">
      <c r="A297" s="26" t="s">
        <v>35</v>
      </c>
      <c r="B297" s="26">
        <v>2</v>
      </c>
      <c r="C297" s="58">
        <v>19</v>
      </c>
      <c r="D297" s="59">
        <v>169</v>
      </c>
      <c r="E297" s="41" t="str">
        <f>IF(COUNTIF('Sa suberīnskābe'!$B$6:$B$83, $D297) &gt; 0,"sub",IF(COUNTIF('Sa hito + sub'!$B$6:$B$82, $D297) &gt; 0,"hito_sub",""))</f>
        <v>sub</v>
      </c>
      <c r="F297" s="41" t="str">
        <f>IF(COUNTIF('ūd sorbcija Sa'!$C$3:$C$22, $D297) &gt; 0, "ūdens sorbc",IF(COUNTIF(higro!$C$19:$C$30, $D297) &gt; 0, "higroskopija",IF(COUNTIF(higro!$C$47:$C$58, $D297) &gt; 0, "higroskopija",IF(COUNTIF(Komp!$D$2:$D$16, $D297) &gt; 0, "komposts",IF(COUNTIF(spiedei!$C$42:$C$106, $D297) &gt; 0, "spiede","")))))</f>
        <v>spiede</v>
      </c>
    </row>
    <row r="298" spans="1:6" ht="15.75" customHeight="1">
      <c r="A298" s="26" t="s">
        <v>35</v>
      </c>
      <c r="B298" s="26">
        <v>2</v>
      </c>
      <c r="C298" s="58">
        <v>19</v>
      </c>
      <c r="D298" s="59">
        <v>170</v>
      </c>
      <c r="E298" s="41" t="str">
        <f>IF(COUNTIF('Sa suberīnskābe'!$B$6:$B$83, $D298) &gt; 0,"sub",IF(COUNTIF('Sa hito + sub'!$B$6:$B$82, $D298) &gt; 0,"hito_sub",""))</f>
        <v>sub</v>
      </c>
      <c r="F298" s="41" t="str">
        <f>IF(COUNTIF('ūd sorbcija Sa'!$C$3:$C$22, $D298) &gt; 0, "ūdens sorbc",IF(COUNTIF(higro!$C$19:$C$30, $D298) &gt; 0, "higroskopija",IF(COUNTIF(higro!$C$47:$C$58, $D298) &gt; 0, "higroskopija",IF(COUNTIF(Komp!$D$2:$D$16, $D298) &gt; 0, "komposts",IF(COUNTIF(spiedei!$C$42:$C$106, $D298) &gt; 0, "spiede","")))))</f>
        <v>spiede</v>
      </c>
    </row>
    <row r="299" spans="1:6" ht="15.75" customHeight="1">
      <c r="A299" s="26" t="s">
        <v>35</v>
      </c>
      <c r="B299" s="26">
        <v>2</v>
      </c>
      <c r="C299" s="58">
        <v>20</v>
      </c>
      <c r="D299" s="59">
        <v>171</v>
      </c>
      <c r="E299" s="41" t="str">
        <f>IF(COUNTIF('Sa suberīnskābe'!$B$6:$B$83, $D299) &gt; 0,"sub",IF(COUNTIF('Sa hito + sub'!$B$6:$B$82, $D299) &gt; 0,"hito_sub",""))</f>
        <v>hito_sub</v>
      </c>
      <c r="F299" s="60" t="s">
        <v>56</v>
      </c>
    </row>
    <row r="300" spans="1:6" ht="15.75" customHeight="1">
      <c r="A300" s="26" t="s">
        <v>35</v>
      </c>
      <c r="B300" s="26">
        <v>2</v>
      </c>
      <c r="C300" s="58">
        <v>20</v>
      </c>
      <c r="D300" s="59">
        <v>172</v>
      </c>
      <c r="E300" s="41" t="str">
        <f>IF(COUNTIF('Sa suberīnskābe'!$B$6:$B$83, $D300) &gt; 0,"sub",IF(COUNTIF('Sa hito + sub'!$B$6:$B$82, $D300) &gt; 0,"hito_sub",""))</f>
        <v>hito_sub</v>
      </c>
      <c r="F300" s="41" t="str">
        <f>IF(COUNTIF('ūd sorbcija Sa'!$C$3:$C$22, $D300) &gt; 0, "ūdens sorbc",IF(COUNTIF(higro!$C$19:$C$30, $D300) &gt; 0, "higroskopija",IF(COUNTIF(higro!$C$47:$C$58, $D300) &gt; 0, "higroskopija",IF(COUNTIF(Komp!$D$2:$D$16, $D300) &gt; 0, "komposts",IF(COUNTIF(spiedei!$C$42:$C$106, $D300) &gt; 0, "spiede","")))))</f>
        <v>higroskopija</v>
      </c>
    </row>
    <row r="301" spans="1:6" ht="15.75" customHeight="1">
      <c r="A301" s="26" t="s">
        <v>35</v>
      </c>
      <c r="B301" s="26">
        <v>2</v>
      </c>
      <c r="C301" s="58">
        <v>20</v>
      </c>
      <c r="D301" s="59">
        <v>173</v>
      </c>
      <c r="E301" s="41" t="str">
        <f>IF(COUNTIF('Sa suberīnskābe'!$B$6:$B$83, $D301) &gt; 0,"sub",IF(COUNTIF('Sa hito + sub'!$B$6:$B$82, $D301) &gt; 0,"hito_sub",""))</f>
        <v>hito_sub</v>
      </c>
      <c r="F301" s="61" t="s">
        <v>45</v>
      </c>
    </row>
    <row r="302" spans="1:6" ht="15.75" customHeight="1">
      <c r="A302" s="26" t="s">
        <v>35</v>
      </c>
      <c r="B302" s="26">
        <v>2</v>
      </c>
      <c r="C302" s="58">
        <v>20</v>
      </c>
      <c r="D302" s="59">
        <v>174</v>
      </c>
      <c r="E302" s="41" t="str">
        <f>IF(COUNTIF('Sa suberīnskābe'!$B$6:$B$83, $D302) &gt; 0,"sub",IF(COUNTIF('Sa hito + sub'!$B$6:$B$82, $D302) &gt; 0,"hito_sub",""))</f>
        <v>hito_sub</v>
      </c>
      <c r="F302" s="62" t="s">
        <v>48</v>
      </c>
    </row>
    <row r="303" spans="1:6" ht="15.75" customHeight="1">
      <c r="A303" s="26" t="s">
        <v>35</v>
      </c>
      <c r="B303" s="26">
        <v>2</v>
      </c>
      <c r="C303" s="58">
        <v>20</v>
      </c>
      <c r="D303" s="59">
        <v>175</v>
      </c>
      <c r="E303" s="41" t="str">
        <f>IF(COUNTIF('Sa suberīnskābe'!$B$6:$B$83, $D303) &gt; 0,"sub",IF(COUNTIF('Sa hito + sub'!$B$6:$B$82, $D303) &gt; 0,"hito_sub",""))</f>
        <v>hito_sub</v>
      </c>
      <c r="F303" s="41" t="str">
        <f>IF(COUNTIF('ūd sorbcija Sa'!$C$3:$C$22, $D303) &gt; 0, "ūdens sorbc",IF(COUNTIF(higro!$C$19:$C$30, $D303) &gt; 0, "higroskopija",IF(COUNTIF(higro!$C$47:$C$58, $D303) &gt; 0, "higroskopija",IF(COUNTIF(Komp!$D$2:$D$16, $D303) &gt; 0, "komposts",IF(COUNTIF(spiedei!$C$42:$C$106, $D303) &gt; 0, "spiede","")))))</f>
        <v/>
      </c>
    </row>
    <row r="304" spans="1:6" ht="15.75" customHeight="1">
      <c r="A304" s="26" t="s">
        <v>35</v>
      </c>
      <c r="B304" s="26">
        <v>2</v>
      </c>
      <c r="C304" s="58">
        <v>21</v>
      </c>
      <c r="D304" s="59">
        <v>176</v>
      </c>
      <c r="E304" s="41" t="str">
        <f>IF(COUNTIF('Sa suberīnskābe'!$B$6:$B$83, $D304) &gt; 0,"sub",IF(COUNTIF('Sa hito + sub'!$B$6:$B$82, $D304) &gt; 0,"hito_sub",""))</f>
        <v/>
      </c>
      <c r="F304" s="41" t="str">
        <f>IF(COUNTIF('ūd sorbcija Sa'!$C$3:$C$22, $D304) &gt; 0, "ūdens sorbc",IF(COUNTIF(higro!$C$19:$C$30, $D304) &gt; 0, "higroskopija",IF(COUNTIF(higro!$C$47:$C$58, $D304) &gt; 0, "higroskopija",IF(COUNTIF(Komp!$D$2:$D$16, $D304) &gt; 0, "komposts",IF(COUNTIF(spiedei!$C$42:$C$106, $D304) &gt; 0, "spiede","")))))</f>
        <v/>
      </c>
    </row>
    <row r="305" spans="1:6" ht="15.75" customHeight="1">
      <c r="A305" s="26" t="s">
        <v>35</v>
      </c>
      <c r="B305" s="26">
        <v>2</v>
      </c>
      <c r="C305" s="58">
        <v>21</v>
      </c>
      <c r="D305" s="59">
        <v>177</v>
      </c>
      <c r="E305" s="41" t="str">
        <f>IF(COUNTIF('Sa suberīnskābe'!$B$6:$B$83, $D305) &gt; 0,"sub",IF(COUNTIF('Sa hito + sub'!$B$6:$B$82, $D305) &gt; 0,"hito_sub",""))</f>
        <v/>
      </c>
      <c r="F305" s="41" t="str">
        <f>IF(COUNTIF('ūd sorbcija Sa'!$C$3:$C$22, $D305) &gt; 0, "ūdens sorbc",IF(COUNTIF(higro!$C$19:$C$30, $D305) &gt; 0, "higroskopija",IF(COUNTIF(higro!$C$47:$C$58, $D305) &gt; 0, "higroskopija",IF(COUNTIF(Komp!$D$2:$D$16, $D305) &gt; 0, "komposts",IF(COUNTIF(spiedei!$C$42:$C$106, $D305) &gt; 0, "spiede","")))))</f>
        <v/>
      </c>
    </row>
    <row r="306" spans="1:6" ht="15.75" customHeight="1">
      <c r="A306" s="26" t="s">
        <v>35</v>
      </c>
      <c r="B306" s="26">
        <v>2</v>
      </c>
      <c r="C306" s="58">
        <v>21</v>
      </c>
      <c r="D306" s="59">
        <v>178</v>
      </c>
      <c r="E306" s="41" t="str">
        <f>IF(COUNTIF('Sa suberīnskābe'!$B$6:$B$83, $D306) &gt; 0,"sub",IF(COUNTIF('Sa hito + sub'!$B$6:$B$82, $D306) &gt; 0,"hito_sub",""))</f>
        <v/>
      </c>
      <c r="F306" s="41" t="str">
        <f>IF(COUNTIF('ūd sorbcija Sa'!$C$3:$C$22, $D306) &gt; 0, "ūdens sorbc",IF(COUNTIF(higro!$C$19:$C$30, $D306) &gt; 0, "higroskopija",IF(COUNTIF(higro!$C$47:$C$58, $D306) &gt; 0, "higroskopija",IF(COUNTIF(Komp!$D$2:$D$16, $D306) &gt; 0, "komposts",IF(COUNTIF(spiedei!$C$42:$C$106, $D306) &gt; 0, "spiede","")))))</f>
        <v/>
      </c>
    </row>
    <row r="307" spans="1:6" ht="15.75" customHeight="1">
      <c r="A307" s="26" t="s">
        <v>35</v>
      </c>
      <c r="B307" s="26">
        <v>2</v>
      </c>
      <c r="C307" s="58">
        <v>21</v>
      </c>
      <c r="D307" s="59">
        <v>179</v>
      </c>
      <c r="E307" s="41" t="str">
        <f>IF(COUNTIF('Sa suberīnskābe'!$B$6:$B$83, $D307) &gt; 0,"sub",IF(COUNTIF('Sa hito + sub'!$B$6:$B$82, $D307) &gt; 0,"hito_sub",""))</f>
        <v/>
      </c>
      <c r="F307" s="41" t="str">
        <f>IF(COUNTIF('ūd sorbcija Sa'!$C$3:$C$22, $D307) &gt; 0, "ūdens sorbc",IF(COUNTIF(higro!$C$19:$C$30, $D307) &gt; 0, "higroskopija",IF(COUNTIF(higro!$C$47:$C$58, $D307) &gt; 0, "higroskopija",IF(COUNTIF(Komp!$D$2:$D$16, $D307) &gt; 0, "komposts",IF(COUNTIF(spiedei!$C$42:$C$106, $D307) &gt; 0, "spiede","")))))</f>
        <v/>
      </c>
    </row>
    <row r="308" spans="1:6" ht="15.75" customHeight="1">
      <c r="A308" s="26" t="s">
        <v>35</v>
      </c>
      <c r="B308" s="26">
        <v>2</v>
      </c>
      <c r="C308" s="58">
        <v>21</v>
      </c>
      <c r="D308" s="59">
        <v>180</v>
      </c>
      <c r="E308" s="41" t="str">
        <f>IF(COUNTIF('Sa suberīnskābe'!$B$6:$B$83, $D308) &gt; 0,"sub",IF(COUNTIF('Sa hito + sub'!$B$6:$B$82, $D308) &gt; 0,"hito_sub",""))</f>
        <v/>
      </c>
      <c r="F308" s="41" t="str">
        <f>IF(COUNTIF('ūd sorbcija Sa'!$C$3:$C$22, $D308) &gt; 0, "ūdens sorbc",IF(COUNTIF(higro!$C$19:$C$30, $D308) &gt; 0, "higroskopija",IF(COUNTIF(higro!$C$47:$C$58, $D308) &gt; 0, "higroskopija",IF(COUNTIF(Komp!$D$2:$D$16, $D308) &gt; 0, "komposts",IF(COUNTIF(spiedei!$C$42:$C$106, $D308) &gt; 0, "spiede","")))))</f>
        <v/>
      </c>
    </row>
    <row r="309" spans="1:6" ht="15.75" customHeight="1">
      <c r="A309" s="26" t="s">
        <v>35</v>
      </c>
      <c r="B309" s="26">
        <v>2</v>
      </c>
      <c r="C309" s="58">
        <v>22</v>
      </c>
      <c r="D309" s="59">
        <v>181</v>
      </c>
      <c r="E309" s="41" t="str">
        <f>IF(COUNTIF('Sa suberīnskābe'!$B$6:$B$83, $D309) &gt; 0,"sub",IF(COUNTIF('Sa hito + sub'!$B$6:$B$82, $D309) &gt; 0,"hito_sub",""))</f>
        <v/>
      </c>
      <c r="F309" s="41" t="str">
        <f>IF(COUNTIF('ūd sorbcija Sa'!$C$3:$C$22, $D309) &gt; 0, "ūdens sorbc",IF(COUNTIF(higro!$C$19:$C$30, $D309) &gt; 0, "higroskopija",IF(COUNTIF(higro!$C$47:$C$58, $D309) &gt; 0, "higroskopija",IF(COUNTIF(Komp!$D$2:$D$16, $D309) &gt; 0, "komposts",IF(COUNTIF(spiedei!$C$42:$C$106, $D309) &gt; 0, "spiede","")))))</f>
        <v/>
      </c>
    </row>
    <row r="310" spans="1:6" ht="15.75" customHeight="1">
      <c r="A310" s="26" t="s">
        <v>35</v>
      </c>
      <c r="B310" s="26">
        <v>2</v>
      </c>
      <c r="C310" s="58">
        <v>22</v>
      </c>
      <c r="D310" s="59">
        <v>182</v>
      </c>
      <c r="E310" s="41" t="str">
        <f>IF(COUNTIF('Sa suberīnskābe'!$B$6:$B$83, $D310) &gt; 0,"sub",IF(COUNTIF('Sa hito + sub'!$B$6:$B$82, $D310) &gt; 0,"hito_sub",""))</f>
        <v/>
      </c>
      <c r="F310" s="41" t="str">
        <f>IF(COUNTIF('ūd sorbcija Sa'!$C$3:$C$22, $D310) &gt; 0, "ūdens sorbc",IF(COUNTIF(higro!$C$19:$C$30, $D310) &gt; 0, "higroskopija",IF(COUNTIF(higro!$C$47:$C$58, $D310) &gt; 0, "higroskopija",IF(COUNTIF(Komp!$D$2:$D$16, $D310) &gt; 0, "komposts",IF(COUNTIF(spiedei!$C$42:$C$106, $D310) &gt; 0, "spiede","")))))</f>
        <v/>
      </c>
    </row>
    <row r="311" spans="1:6" ht="15.75" customHeight="1">
      <c r="A311" s="26" t="s">
        <v>35</v>
      </c>
      <c r="B311" s="26">
        <v>2</v>
      </c>
      <c r="C311" s="58">
        <v>22</v>
      </c>
      <c r="D311" s="59">
        <v>183</v>
      </c>
      <c r="E311" s="41" t="str">
        <f>IF(COUNTIF('Sa suberīnskābe'!$B$6:$B$83, $D311) &gt; 0,"sub",IF(COUNTIF('Sa hito + sub'!$B$6:$B$82, $D311) &gt; 0,"hito_sub",""))</f>
        <v/>
      </c>
      <c r="F311" s="41" t="str">
        <f>IF(COUNTIF('ūd sorbcija Sa'!$C$3:$C$22, $D311) &gt; 0, "ūdens sorbc",IF(COUNTIF(higro!$C$19:$C$30, $D311) &gt; 0, "higroskopija",IF(COUNTIF(higro!$C$47:$C$58, $D311) &gt; 0, "higroskopija",IF(COUNTIF(Komp!$D$2:$D$16, $D311) &gt; 0, "komposts",IF(COUNTIF(spiedei!$C$42:$C$106, $D311) &gt; 0, "spiede","")))))</f>
        <v/>
      </c>
    </row>
    <row r="312" spans="1:6" ht="15.75" customHeight="1">
      <c r="A312" s="26" t="s">
        <v>35</v>
      </c>
      <c r="B312" s="26">
        <v>2</v>
      </c>
      <c r="C312" s="58">
        <v>22</v>
      </c>
      <c r="D312" s="59">
        <v>184</v>
      </c>
      <c r="E312" s="41" t="str">
        <f>IF(COUNTIF('Sa suberīnskābe'!$B$6:$B$83, $D312) &gt; 0,"sub",IF(COUNTIF('Sa hito + sub'!$B$6:$B$82, $D312) &gt; 0,"hito_sub",""))</f>
        <v/>
      </c>
      <c r="F312" s="41" t="str">
        <f>IF(COUNTIF('ūd sorbcija Sa'!$C$3:$C$22, $D312) &gt; 0, "ūdens sorbc",IF(COUNTIF(higro!$C$19:$C$30, $D312) &gt; 0, "higroskopija",IF(COUNTIF(higro!$C$47:$C$58, $D312) &gt; 0, "higroskopija",IF(COUNTIF(Komp!$D$2:$D$16, $D312) &gt; 0, "komposts",IF(COUNTIF(spiedei!$C$42:$C$106, $D312) &gt; 0, "spiede","")))))</f>
        <v/>
      </c>
    </row>
    <row r="313" spans="1:6" ht="15.75" customHeight="1">
      <c r="A313" s="26" t="s">
        <v>35</v>
      </c>
      <c r="B313" s="28">
        <v>2</v>
      </c>
      <c r="C313" s="63">
        <v>22</v>
      </c>
      <c r="D313" s="64">
        <v>185</v>
      </c>
      <c r="E313" s="41" t="str">
        <f>IF(COUNTIF('Sa suberīnskābe'!$B$6:$B$83, $D313) &gt; 0,"sub",IF(COUNTIF('Sa hito + sub'!$B$6:$B$82, $D313) &gt; 0,"hito_sub",""))</f>
        <v/>
      </c>
      <c r="F313" s="41" t="str">
        <f>IF(COUNTIF('ūd sorbcija Sa'!$C$3:$C$22, $D313) &gt; 0, "ūdens sorbc",IF(COUNTIF(higro!$C$19:$C$30, $D313) &gt; 0, "higroskopija",IF(COUNTIF(higro!$C$47:$C$58, $D313) &gt; 0, "higroskopija",IF(COUNTIF(Komp!$D$2:$D$16, $D313) &gt; 0, "komposts",IF(COUNTIF(spiedei!$C$42:$C$106, $D313) &gt; 0, "spiede","")))))</f>
        <v/>
      </c>
    </row>
    <row r="314" spans="1:6" ht="15.75" customHeight="1">
      <c r="A314" s="26" t="s">
        <v>35</v>
      </c>
      <c r="B314" s="23">
        <v>3</v>
      </c>
      <c r="C314" s="56">
        <v>33</v>
      </c>
      <c r="D314" s="57">
        <v>241</v>
      </c>
      <c r="E314" s="41" t="str">
        <f>IF(COUNTIF('Sa suberīnskābe'!$B$6:$B$83, $D314) &gt; 0,"sub",IF(COUNTIF('Sa hito + sub'!$B$6:$B$82, $D314) &gt; 0,"hito_sub",""))</f>
        <v>sub</v>
      </c>
      <c r="F314" s="41" t="str">
        <f>IF(COUNTIF('ūd sorbcija Sa'!$C$3:$C$22, $D314) &gt; 0, "ūdens sorbc",IF(COUNTIF(higro!$C$19:$C$30, $D314) &gt; 0, "higroskopija",IF(COUNTIF(higro!$C$47:$C$58, $D314) &gt; 0, "higroskopija",IF(COUNTIF(Komp!$D$2:$D$16, $D314) &gt; 0, "komposts",IF(COUNTIF(spiedei!$C$42:$C$106, $D314) &gt; 0, "spiede","")))))</f>
        <v>ūdens sorbc</v>
      </c>
    </row>
    <row r="315" spans="1:6" ht="15.75" customHeight="1">
      <c r="A315" s="26" t="s">
        <v>35</v>
      </c>
      <c r="B315" s="26">
        <v>3</v>
      </c>
      <c r="C315" s="58">
        <v>33</v>
      </c>
      <c r="D315" s="59">
        <v>242</v>
      </c>
      <c r="E315" s="41" t="str">
        <f>IF(COUNTIF('Sa suberīnskābe'!$B$6:$B$83, $D315) &gt; 0,"sub",IF(COUNTIF('Sa hito + sub'!$B$6:$B$82, $D315) &gt; 0,"hito_sub",""))</f>
        <v>sub</v>
      </c>
      <c r="F315" s="41" t="str">
        <f>IF(COUNTIF('ūd sorbcija Sa'!$C$3:$C$22, $D315) &gt; 0, "ūdens sorbc",IF(COUNTIF(higro!$C$19:$C$30, $D315) &gt; 0, "higroskopija",IF(COUNTIF(higro!$C$47:$C$58, $D315) &gt; 0, "higroskopija",IF(COUNTIF(Komp!$D$2:$D$16, $D315) &gt; 0, "komposts",IF(COUNTIF(spiedei!$C$42:$C$106, $D315) &gt; 0, "spiede","")))))</f>
        <v>ūdens sorbc</v>
      </c>
    </row>
    <row r="316" spans="1:6" ht="15.75" customHeight="1">
      <c r="A316" s="26" t="s">
        <v>35</v>
      </c>
      <c r="B316" s="26">
        <v>3</v>
      </c>
      <c r="C316" s="58">
        <v>33</v>
      </c>
      <c r="D316" s="59">
        <v>243</v>
      </c>
      <c r="E316" s="41" t="str">
        <f>IF(COUNTIF('Sa suberīnskābe'!$B$6:$B$83, $D316) &gt; 0,"sub",IF(COUNTIF('Sa hito + sub'!$B$6:$B$82, $D316) &gt; 0,"hito_sub",""))</f>
        <v>sub</v>
      </c>
      <c r="F316" s="41" t="str">
        <f>IF(COUNTIF('ūd sorbcija Sa'!$C$3:$C$22, $D316) &gt; 0, "ūdens sorbc",IF(COUNTIF(higro!$C$19:$C$30, $D316) &gt; 0, "higroskopija",IF(COUNTIF(higro!$C$47:$C$58, $D316) &gt; 0, "higroskopija",IF(COUNTIF(Komp!$D$2:$D$16, $D316) &gt; 0, "komposts",IF(COUNTIF(spiedei!$C$42:$C$106, $D316) &gt; 0, "spiede","")))))</f>
        <v>ūdens sorbc</v>
      </c>
    </row>
    <row r="317" spans="1:6" ht="15.75" customHeight="1">
      <c r="A317" s="26" t="s">
        <v>35</v>
      </c>
      <c r="B317" s="26">
        <v>3</v>
      </c>
      <c r="C317" s="58">
        <v>33</v>
      </c>
      <c r="D317" s="59">
        <v>244</v>
      </c>
      <c r="E317" s="41" t="str">
        <f>IF(COUNTIF('Sa suberīnskābe'!$B$6:$B$83, $D317) &gt; 0,"sub",IF(COUNTIF('Sa hito + sub'!$B$6:$B$82, $D317) &gt; 0,"hito_sub",""))</f>
        <v>sub</v>
      </c>
      <c r="F317" s="41" t="str">
        <f>IF(COUNTIF('ūd sorbcija Sa'!$C$3:$C$22, $D317) &gt; 0, "ūdens sorbc",IF(COUNTIF(higro!$C$19:$C$30, $D317) &gt; 0, "higroskopija",IF(COUNTIF(higro!$C$47:$C$58, $D317) &gt; 0, "higroskopija",IF(COUNTIF(Komp!$D$2:$D$16, $D317) &gt; 0, "komposts",IF(COUNTIF(spiedei!$C$42:$C$106, $D317) &gt; 0, "spiede","")))))</f>
        <v>ūdens sorbc</v>
      </c>
    </row>
    <row r="318" spans="1:6" ht="15.75" customHeight="1">
      <c r="A318" s="26" t="s">
        <v>35</v>
      </c>
      <c r="B318" s="26">
        <v>3</v>
      </c>
      <c r="C318" s="58">
        <v>33</v>
      </c>
      <c r="D318" s="59">
        <v>245</v>
      </c>
      <c r="E318" s="41" t="str">
        <f>IF(COUNTIF('Sa suberīnskābe'!$B$6:$B$83, $D318) &gt; 0,"sub",IF(COUNTIF('Sa hito + sub'!$B$6:$B$82, $D318) &gt; 0,"hito_sub",""))</f>
        <v>sub</v>
      </c>
      <c r="F318" s="41" t="str">
        <f>IF(COUNTIF('ūd sorbcija Sa'!$C$3:$C$22, $D318) &gt; 0, "ūdens sorbc",IF(COUNTIF(higro!$C$19:$C$30, $D318) &gt; 0, "higroskopija",IF(COUNTIF(higro!$C$47:$C$58, $D318) &gt; 0, "higroskopija",IF(COUNTIF(Komp!$D$2:$D$16, $D318) &gt; 0, "komposts",IF(COUNTIF(spiedei!$C$42:$C$106, $D318) &gt; 0, "spiede","")))))</f>
        <v>ūdens sorbc</v>
      </c>
    </row>
    <row r="319" spans="1:6" ht="15.75" customHeight="1">
      <c r="A319" s="26" t="s">
        <v>35</v>
      </c>
      <c r="B319" s="26">
        <v>3</v>
      </c>
      <c r="C319" s="58">
        <v>34</v>
      </c>
      <c r="D319" s="59">
        <v>226</v>
      </c>
      <c r="E319" s="41" t="str">
        <f>IF(COUNTIF('Sa suberīnskābe'!$B$6:$B$83, $D319) &gt; 0,"sub",IF(COUNTIF('Sa hito + sub'!$B$6:$B$82, $D319) &gt; 0,"hito_sub",""))</f>
        <v>hito_sub</v>
      </c>
      <c r="F319" s="61" t="s">
        <v>45</v>
      </c>
    </row>
    <row r="320" spans="1:6" ht="15.75" customHeight="1">
      <c r="A320" s="26" t="s">
        <v>35</v>
      </c>
      <c r="B320" s="26">
        <v>3</v>
      </c>
      <c r="C320" s="58">
        <v>34</v>
      </c>
      <c r="D320" s="59">
        <v>227</v>
      </c>
      <c r="E320" s="41" t="str">
        <f>IF(COUNTIF('Sa suberīnskābe'!$B$6:$B$83, $D320) &gt; 0,"sub",IF(COUNTIF('Sa hito + sub'!$B$6:$B$82, $D320) &gt; 0,"hito_sub",""))</f>
        <v>hito_sub</v>
      </c>
      <c r="F320" s="60" t="s">
        <v>56</v>
      </c>
    </row>
    <row r="321" spans="1:7" ht="15.75" customHeight="1">
      <c r="A321" s="26" t="s">
        <v>35</v>
      </c>
      <c r="B321" s="26">
        <v>3</v>
      </c>
      <c r="C321" s="58">
        <v>34</v>
      </c>
      <c r="D321" s="59">
        <v>228</v>
      </c>
      <c r="E321" s="41" t="str">
        <f>IF(COUNTIF('Sa suberīnskābe'!$B$6:$B$83, $D321) &gt; 0,"sub",IF(COUNTIF('Sa hito + sub'!$B$6:$B$82, $D321) &gt; 0,"hito_sub",""))</f>
        <v>hito_sub</v>
      </c>
      <c r="F321" s="62" t="s">
        <v>48</v>
      </c>
    </row>
    <row r="322" spans="1:7" ht="15.75" customHeight="1">
      <c r="A322" s="26" t="s">
        <v>35</v>
      </c>
      <c r="B322" s="26">
        <v>3</v>
      </c>
      <c r="C322" s="58">
        <v>34</v>
      </c>
      <c r="D322" s="59">
        <v>229</v>
      </c>
      <c r="E322" s="41" t="str">
        <f>IF(COUNTIF('Sa suberīnskābe'!$B$6:$B$83, $D322) &gt; 0,"sub",IF(COUNTIF('Sa hito + sub'!$B$6:$B$82, $D322) &gt; 0,"hito_sub",""))</f>
        <v>hito_sub</v>
      </c>
      <c r="F322" s="41" t="str">
        <f>IF(COUNTIF('ūd sorbcija Sa'!$C$3:$C$22, $D322) &gt; 0, "ūdens sorbc",IF(COUNTIF(higro!$C$19:$C$30, $D322) &gt; 0, "higroskopija",IF(COUNTIF(higro!$C$47:$C$58, $D322) &gt; 0, "higroskopija",IF(COUNTIF(Komp!$D$2:$D$16, $D322) &gt; 0, "komposts",IF(COUNTIF(spiedei!$C$42:$C$106, $D322) &gt; 0, "spiede","")))))</f>
        <v>higroskopija</v>
      </c>
    </row>
    <row r="323" spans="1:7" ht="15.75" customHeight="1">
      <c r="A323" s="26" t="s">
        <v>35</v>
      </c>
      <c r="B323" s="26">
        <v>3</v>
      </c>
      <c r="C323" s="58">
        <v>34</v>
      </c>
      <c r="D323" s="59">
        <v>230</v>
      </c>
      <c r="E323" s="41" t="str">
        <f>IF(COUNTIF('Sa suberīnskābe'!$B$6:$B$83, $D323) &gt; 0,"sub",IF(COUNTIF('Sa hito + sub'!$B$6:$B$82, $D323) &gt; 0,"hito_sub",""))</f>
        <v>hito_sub</v>
      </c>
      <c r="F323" s="61" t="s">
        <v>45</v>
      </c>
    </row>
    <row r="324" spans="1:7" ht="15.75" customHeight="1">
      <c r="A324" s="26" t="s">
        <v>35</v>
      </c>
      <c r="B324" s="26">
        <v>3</v>
      </c>
      <c r="C324" s="58">
        <v>37</v>
      </c>
      <c r="D324" s="59">
        <v>231</v>
      </c>
      <c r="E324" s="41" t="str">
        <f>IF(COUNTIF('Sa suberīnskābe'!$B$6:$B$83, $D324) &gt; 0,"sub",IF(COUNTIF('Sa hito + sub'!$B$6:$B$82, $D324) &gt; 0,"hito_sub",""))</f>
        <v/>
      </c>
      <c r="F324" s="41" t="str">
        <f>IF(COUNTIF('ūd sorbcija Sa'!$C$3:$C$22, $D324) &gt; 0, "ūdens sorbc",IF(COUNTIF(higro!$C$19:$C$30, $D324) &gt; 0, "higroskopija",IF(COUNTIF(higro!$C$47:$C$58, $D324) &gt; 0, "higroskopija",IF(COUNTIF(Komp!$D$2:$D$16, $D324) &gt; 0, "komposts",IF(COUNTIF(spiedei!$C$42:$C$106, $D324) &gt; 0, "spiede","")))))</f>
        <v/>
      </c>
    </row>
    <row r="325" spans="1:7" ht="15.75" customHeight="1">
      <c r="A325" s="26" t="s">
        <v>35</v>
      </c>
      <c r="B325" s="26">
        <v>3</v>
      </c>
      <c r="C325" s="58">
        <v>37</v>
      </c>
      <c r="D325" s="59">
        <v>232</v>
      </c>
      <c r="E325" s="41" t="str">
        <f>IF(COUNTIF('Sa suberīnskābe'!$B$6:$B$83, $D325) &gt; 0,"sub",IF(COUNTIF('Sa hito + sub'!$B$6:$B$82, $D325) &gt; 0,"hito_sub",""))</f>
        <v/>
      </c>
      <c r="F325" s="41" t="str">
        <f>IF(COUNTIF('ūd sorbcija Sa'!$C$3:$C$22, $D325) &gt; 0, "ūdens sorbc",IF(COUNTIF(higro!$C$19:$C$30, $D325) &gt; 0, "higroskopija",IF(COUNTIF(higro!$C$47:$C$58, $D325) &gt; 0, "higroskopija",IF(COUNTIF(Komp!$D$2:$D$16, $D325) &gt; 0, "komposts",IF(COUNTIF(spiedei!$C$42:$C$106, $D325) &gt; 0, "spiede","")))))</f>
        <v/>
      </c>
    </row>
    <row r="326" spans="1:7" ht="15.75" customHeight="1">
      <c r="A326" s="26" t="s">
        <v>35</v>
      </c>
      <c r="B326" s="26">
        <v>3</v>
      </c>
      <c r="C326" s="58">
        <v>37</v>
      </c>
      <c r="D326" s="59">
        <v>233</v>
      </c>
      <c r="E326" s="41" t="str">
        <f>IF(COUNTIF('Sa suberīnskābe'!$B$6:$B$83, $D326) &gt; 0,"sub",IF(COUNTIF('Sa hito + sub'!$B$6:$B$82, $D326) &gt; 0,"hito_sub",""))</f>
        <v/>
      </c>
      <c r="F326" s="41" t="str">
        <f>IF(COUNTIF('ūd sorbcija Sa'!$C$3:$C$22, $D326) &gt; 0, "ūdens sorbc",IF(COUNTIF(higro!$C$19:$C$30, $D326) &gt; 0, "higroskopija",IF(COUNTIF(higro!$C$47:$C$58, $D326) &gt; 0, "higroskopija",IF(COUNTIF(Komp!$D$2:$D$16, $D326) &gt; 0, "komposts",IF(COUNTIF(spiedei!$C$42:$C$106, $D326) &gt; 0, "spiede","")))))</f>
        <v/>
      </c>
    </row>
    <row r="327" spans="1:7" ht="15.75" customHeight="1">
      <c r="A327" s="26" t="s">
        <v>35</v>
      </c>
      <c r="B327" s="26">
        <v>3</v>
      </c>
      <c r="C327" s="58">
        <v>37</v>
      </c>
      <c r="D327" s="59">
        <v>234</v>
      </c>
      <c r="E327" s="41" t="str">
        <f>IF(COUNTIF('Sa suberīnskābe'!$B$6:$B$83, $D327) &gt; 0,"sub",IF(COUNTIF('Sa hito + sub'!$B$6:$B$82, $D327) &gt; 0,"hito_sub",""))</f>
        <v/>
      </c>
      <c r="F327" s="41" t="str">
        <f>IF(COUNTIF('ūd sorbcija Sa'!$C$3:$C$22, $D327) &gt; 0, "ūdens sorbc",IF(COUNTIF(higro!$C$19:$C$30, $D327) &gt; 0, "higroskopija",IF(COUNTIF(higro!$C$47:$C$58, $D327) &gt; 0, "higroskopija",IF(COUNTIF(Komp!$D$2:$D$16, $D327) &gt; 0, "komposts",IF(COUNTIF(spiedei!$C$42:$C$106, $D327) &gt; 0, "spiede","")))))</f>
        <v/>
      </c>
    </row>
    <row r="328" spans="1:7" ht="15.75" customHeight="1">
      <c r="A328" s="26" t="s">
        <v>35</v>
      </c>
      <c r="B328" s="26">
        <v>3</v>
      </c>
      <c r="C328" s="58">
        <v>37</v>
      </c>
      <c r="D328" s="59">
        <v>235</v>
      </c>
      <c r="E328" s="41" t="str">
        <f>IF(COUNTIF('Sa suberīnskābe'!$B$6:$B$83, $D328) &gt; 0,"sub",IF(COUNTIF('Sa hito + sub'!$B$6:$B$82, $D328) &gt; 0,"hito_sub",""))</f>
        <v/>
      </c>
      <c r="F328" s="41" t="str">
        <f>IF(COUNTIF('ūd sorbcija Sa'!$C$3:$C$22, $D328) &gt; 0, "ūdens sorbc",IF(COUNTIF(higro!$C$19:$C$30, $D328) &gt; 0, "higroskopija",IF(COUNTIF(higro!$C$47:$C$58, $D328) &gt; 0, "higroskopija",IF(COUNTIF(Komp!$D$2:$D$16, $D328) &gt; 0, "komposts",IF(COUNTIF(spiedei!$C$42:$C$106, $D328) &gt; 0, "spiede","")))))</f>
        <v/>
      </c>
    </row>
    <row r="329" spans="1:7" ht="15.75" customHeight="1">
      <c r="A329" s="26" t="s">
        <v>35</v>
      </c>
      <c r="B329" s="26">
        <v>3</v>
      </c>
      <c r="C329" s="58">
        <v>38</v>
      </c>
      <c r="D329" s="59">
        <v>236</v>
      </c>
      <c r="E329" s="41" t="str">
        <f>IF(COUNTIF('Sa suberīnskābe'!$B$6:$B$83, $D329) &gt; 0,"sub",IF(COUNTIF('Sa hito + sub'!$B$6:$B$82, $D329) &gt; 0,"hito_sub",""))</f>
        <v/>
      </c>
      <c r="F329" s="41" t="str">
        <f>IF(COUNTIF('ūd sorbcija Sa'!$C$3:$C$22, $D329) &gt; 0, "ūdens sorbc",IF(COUNTIF(higro!$C$19:$C$30, $D329) &gt; 0, "higroskopija",IF(COUNTIF(higro!$C$47:$C$58, $D329) &gt; 0, "higroskopija",IF(COUNTIF(Komp!$D$2:$D$16, $D329) &gt; 0, "komposts",IF(COUNTIF(spiedei!$C$42:$C$106, $D329) &gt; 0, "spiede","")))))</f>
        <v/>
      </c>
    </row>
    <row r="330" spans="1:7" ht="15.75" customHeight="1">
      <c r="A330" s="26" t="s">
        <v>35</v>
      </c>
      <c r="B330" s="26">
        <v>3</v>
      </c>
      <c r="C330" s="58">
        <v>38</v>
      </c>
      <c r="D330" s="59">
        <v>237</v>
      </c>
      <c r="E330" s="41" t="str">
        <f>IF(COUNTIF('Sa suberīnskābe'!$B$6:$B$83, $D330) &gt; 0,"sub",IF(COUNTIF('Sa hito + sub'!$B$6:$B$82, $D330) &gt; 0,"hito_sub",""))</f>
        <v/>
      </c>
      <c r="F330" s="41" t="str">
        <f>IF(COUNTIF('ūd sorbcija Sa'!$C$3:$C$22, $D330) &gt; 0, "ūdens sorbc",IF(COUNTIF(higro!$C$19:$C$30, $D330) &gt; 0, "higroskopija",IF(COUNTIF(higro!$C$47:$C$58, $D330) &gt; 0, "higroskopija",IF(COUNTIF(Komp!$D$2:$D$16, $D330) &gt; 0, "komposts",IF(COUNTIF(spiedei!$C$42:$C$106, $D330) &gt; 0, "spiede","")))))</f>
        <v/>
      </c>
    </row>
    <row r="331" spans="1:7" ht="15.75" customHeight="1">
      <c r="A331" s="26" t="s">
        <v>35</v>
      </c>
      <c r="B331" s="26">
        <v>3</v>
      </c>
      <c r="C331" s="58">
        <v>38</v>
      </c>
      <c r="D331" s="59">
        <v>238</v>
      </c>
      <c r="E331" s="41" t="str">
        <f>IF(COUNTIF('Sa suberīnskābe'!$B$6:$B$83, $D331) &gt; 0,"sub",IF(COUNTIF('Sa hito + sub'!$B$6:$B$82, $D331) &gt; 0,"hito_sub",""))</f>
        <v/>
      </c>
      <c r="F331" s="41" t="str">
        <f>IF(COUNTIF('ūd sorbcija Sa'!$C$3:$C$22, $D331) &gt; 0, "ūdens sorbc",IF(COUNTIF(higro!$C$19:$C$30, $D331) &gt; 0, "higroskopija",IF(COUNTIF(higro!$C$47:$C$58, $D331) &gt; 0, "higroskopija",IF(COUNTIF(Komp!$D$2:$D$16, $D331) &gt; 0, "komposts",IF(COUNTIF(spiedei!$C$42:$C$106, $D331) &gt; 0, "spiede","")))))</f>
        <v/>
      </c>
    </row>
    <row r="332" spans="1:7" ht="15.75" customHeight="1">
      <c r="A332" s="26" t="s">
        <v>35</v>
      </c>
      <c r="B332" s="26">
        <v>3</v>
      </c>
      <c r="C332" s="58">
        <v>38</v>
      </c>
      <c r="D332" s="59">
        <v>239</v>
      </c>
      <c r="E332" s="41" t="str">
        <f>IF(COUNTIF('Sa suberīnskābe'!$B$6:$B$83, $D332) &gt; 0,"sub",IF(COUNTIF('Sa hito + sub'!$B$6:$B$82, $D332) &gt; 0,"hito_sub",""))</f>
        <v/>
      </c>
      <c r="F332" s="41" t="str">
        <f>IF(COUNTIF('ūd sorbcija Sa'!$C$3:$C$22, $D332) &gt; 0, "ūdens sorbc",IF(COUNTIF(higro!$C$19:$C$30, $D332) &gt; 0, "higroskopija",IF(COUNTIF(higro!$C$47:$C$58, $D332) &gt; 0, "higroskopija",IF(COUNTIF(Komp!$D$2:$D$16, $D332) &gt; 0, "komposts",IF(COUNTIF(spiedei!$C$42:$C$106, $D332) &gt; 0, "spiede","")))))</f>
        <v/>
      </c>
    </row>
    <row r="333" spans="1:7" ht="15.75" customHeight="1">
      <c r="A333" s="26" t="s">
        <v>35</v>
      </c>
      <c r="B333" s="28">
        <v>3</v>
      </c>
      <c r="C333" s="63">
        <v>38</v>
      </c>
      <c r="D333" s="64">
        <v>240</v>
      </c>
      <c r="E333" s="41" t="str">
        <f>IF(COUNTIF('Sa suberīnskābe'!$B$6:$B$83, $D333) &gt; 0,"sub",IF(COUNTIF('Sa hito + sub'!$B$6:$B$82, $D333) &gt; 0,"hito_sub",""))</f>
        <v/>
      </c>
      <c r="F333" s="41" t="str">
        <f>IF(COUNTIF('ūd sorbcija Sa'!$C$3:$C$22, $D333) &gt; 0, "ūdens sorbc",IF(COUNTIF(higro!$C$19:$C$30, $D333) &gt; 0, "higroskopija",IF(COUNTIF(higro!$C$47:$C$58, $D333) &gt; 0, "higroskopija",IF(COUNTIF(Komp!$D$2:$D$16, $D333) &gt; 0, "komposts",IF(COUNTIF(spiedei!$C$42:$C$106, $D333) &gt; 0, "spiede","")))))</f>
        <v/>
      </c>
    </row>
    <row r="334" spans="1:7" ht="15.75" customHeight="1">
      <c r="A334" s="26" t="s">
        <v>35</v>
      </c>
      <c r="B334" s="23">
        <v>1</v>
      </c>
      <c r="C334" s="56">
        <v>70</v>
      </c>
      <c r="D334" s="57">
        <v>341</v>
      </c>
      <c r="E334" s="41" t="str">
        <f>IF(COUNTIF('Sa suberīnskābe'!$B$6:$B$83, $D334) &gt; 0,"sub",IF(COUNTIF('Sa hito + sub'!$B$6:$B$82, $D334) &gt; 0,"hito_sub",""))</f>
        <v>sub</v>
      </c>
      <c r="F334" s="41" t="str">
        <f>IF(COUNTIF('ūd sorbcija Sa'!$C$3:$C$22, $D334) &gt; 0, "ūdens sorbc",IF(COUNTIF(higro!$C$19:$C$30, $D334) &gt; 0, "higroskopija",IF(COUNTIF(higro!$C$47:$C$58, $D334) &gt; 0, "higroskopija",IF(COUNTIF(Komp!$D$2:$D$16, $D334) &gt; 0, "komposts",IF(COUNTIF(spiedei!$C$42:$C$106, $D334) &gt; 0, "spiede","")))))</f>
        <v>komposts</v>
      </c>
    </row>
    <row r="335" spans="1:7" ht="15.75" customHeight="1">
      <c r="A335" s="26" t="s">
        <v>35</v>
      </c>
      <c r="B335" s="26">
        <v>1</v>
      </c>
      <c r="C335" s="58">
        <v>70</v>
      </c>
      <c r="D335" s="59">
        <v>342</v>
      </c>
      <c r="E335" s="41" t="str">
        <f>IF(COUNTIF('Sa suberīnskābe'!$B$6:$B$83, $D335) &gt; 0,"sub",IF(COUNTIF('Sa hito + sub'!$B$6:$B$82, $D335) &gt; 0,"hito_sub",""))</f>
        <v>sub</v>
      </c>
      <c r="F335" s="62" t="s">
        <v>48</v>
      </c>
      <c r="G335" s="58" t="s">
        <v>59</v>
      </c>
    </row>
    <row r="336" spans="1:7" ht="15.75" customHeight="1">
      <c r="A336" s="26" t="s">
        <v>35</v>
      </c>
      <c r="B336" s="26">
        <v>1</v>
      </c>
      <c r="C336" s="58">
        <v>70</v>
      </c>
      <c r="D336" s="59">
        <v>343</v>
      </c>
      <c r="E336" s="41" t="str">
        <f>IF(COUNTIF('Sa suberīnskābe'!$B$6:$B$83, $D336) &gt; 0,"sub",IF(COUNTIF('Sa hito + sub'!$B$6:$B$82, $D336) &gt; 0,"hito_sub",""))</f>
        <v>sub</v>
      </c>
      <c r="F336" s="41" t="str">
        <f>IF(COUNTIF('ūd sorbcija Sa'!$C$3:$C$22, $D336) &gt; 0, "ūdens sorbc",IF(COUNTIF(higro!$C$19:$C$30, $D336) &gt; 0, "higroskopija",IF(COUNTIF(higro!$C$47:$C$58, $D336) &gt; 0, "higroskopija",IF(COUNTIF(Komp!$D$2:$D$16, $D336) &gt; 0, "komposts",IF(COUNTIF(spiedei!$C$42:$C$106, $D336) &gt; 0, "spiede","")))))</f>
        <v>komposts</v>
      </c>
    </row>
    <row r="337" spans="1:7" ht="15.75" customHeight="1">
      <c r="A337" s="26" t="s">
        <v>35</v>
      </c>
      <c r="B337" s="26">
        <v>1</v>
      </c>
      <c r="C337" s="58">
        <v>70</v>
      </c>
      <c r="D337" s="59">
        <v>344</v>
      </c>
      <c r="E337" s="41" t="str">
        <f>IF(COUNTIF('Sa suberīnskābe'!$B$6:$B$83, $D337) &gt; 0,"sub",IF(COUNTIF('Sa hito + sub'!$B$6:$B$82, $D337) &gt; 0,"hito_sub",""))</f>
        <v>sub</v>
      </c>
      <c r="F337" s="41" t="str">
        <f>IF(COUNTIF('ūd sorbcija Sa'!$C$3:$C$22, $D337) &gt; 0, "ūdens sorbc",IF(COUNTIF(higro!$C$19:$C$30, $D337) &gt; 0, "higroskopija",IF(COUNTIF(higro!$C$47:$C$58, $D337) &gt; 0, "higroskopija",IF(COUNTIF(Komp!$D$2:$D$16, $D337) &gt; 0, "komposts",IF(COUNTIF(spiedei!$C$42:$C$106, $D337) &gt; 0, "spiede","")))))</f>
        <v>higroskopija</v>
      </c>
    </row>
    <row r="338" spans="1:7" ht="15.75" customHeight="1">
      <c r="A338" s="26" t="s">
        <v>35</v>
      </c>
      <c r="B338" s="26">
        <v>1</v>
      </c>
      <c r="C338" s="58">
        <v>70</v>
      </c>
      <c r="D338" s="59">
        <v>345</v>
      </c>
      <c r="E338" s="41" t="str">
        <f>IF(COUNTIF('Sa suberīnskābe'!$B$6:$B$83, $D338) &gt; 0,"sub",IF(COUNTIF('Sa hito + sub'!$B$6:$B$82, $D338) &gt; 0,"hito_sub",""))</f>
        <v>sub</v>
      </c>
      <c r="F338" s="41" t="str">
        <f>IF(COUNTIF('ūd sorbcija Sa'!$C$3:$C$22, $D338) &gt; 0, "ūdens sorbc",IF(COUNTIF(higro!$C$19:$C$30, $D338) &gt; 0, "higroskopija",IF(COUNTIF(higro!$C$47:$C$58, $D338) &gt; 0, "higroskopija",IF(COUNTIF(Komp!$D$2:$D$16, $D338) &gt; 0, "komposts",IF(COUNTIF(spiedei!$C$42:$C$106, $D338) &gt; 0, "spiede","")))))</f>
        <v/>
      </c>
      <c r="G338" s="58" t="s">
        <v>60</v>
      </c>
    </row>
    <row r="339" spans="1:7" ht="15.75" customHeight="1">
      <c r="A339" s="26" t="s">
        <v>35</v>
      </c>
      <c r="B339" s="26">
        <v>1</v>
      </c>
      <c r="C339" s="58">
        <v>73</v>
      </c>
      <c r="D339" s="59">
        <v>346</v>
      </c>
      <c r="E339" s="41" t="str">
        <f>IF(COUNTIF('Sa suberīnskābe'!$B$6:$B$83, $D339) &gt; 0,"sub",IF(COUNTIF('Sa hito + sub'!$B$6:$B$82, $D339) &gt; 0,"hito_sub",""))</f>
        <v>hito_sub</v>
      </c>
      <c r="F339" s="60" t="s">
        <v>56</v>
      </c>
    </row>
    <row r="340" spans="1:7" ht="15.75" customHeight="1">
      <c r="A340" s="26" t="s">
        <v>35</v>
      </c>
      <c r="B340" s="26">
        <v>1</v>
      </c>
      <c r="C340" s="58">
        <v>73</v>
      </c>
      <c r="D340" s="59">
        <v>347</v>
      </c>
      <c r="E340" s="41" t="str">
        <f>IF(COUNTIF('Sa suberīnskābe'!$B$6:$B$83, $D340) &gt; 0,"sub",IF(COUNTIF('Sa hito + sub'!$B$6:$B$82, $D340) &gt; 0,"hito_sub",""))</f>
        <v>hito_sub</v>
      </c>
      <c r="F340" s="61" t="s">
        <v>45</v>
      </c>
    </row>
    <row r="341" spans="1:7" ht="15.75" customHeight="1">
      <c r="A341" s="26" t="s">
        <v>35</v>
      </c>
      <c r="B341" s="26">
        <v>1</v>
      </c>
      <c r="C341" s="58">
        <v>73</v>
      </c>
      <c r="D341" s="59">
        <v>348</v>
      </c>
      <c r="E341" s="41" t="str">
        <f>IF(COUNTIF('Sa suberīnskābe'!$B$6:$B$83, $D341) &gt; 0,"sub",IF(COUNTIF('Sa hito + sub'!$B$6:$B$82, $D341) &gt; 0,"hito_sub",""))</f>
        <v>hito_sub</v>
      </c>
      <c r="F341" s="41" t="str">
        <f>IF(COUNTIF('ūd sorbcija Sa'!$C$3:$C$22, $D341) &gt; 0, "ūdens sorbc",IF(COUNTIF(higro!$C$19:$C$30, $D341) &gt; 0, "higroskopija",IF(COUNTIF(higro!$C$47:$C$58, $D341) &gt; 0, "higroskopija",IF(COUNTIF(Komp!$D$2:$D$16, $D341) &gt; 0, "komposts",IF(COUNTIF(spiedei!$C$42:$C$106, $D341) &gt; 0, "spiede","")))))</f>
        <v/>
      </c>
    </row>
    <row r="342" spans="1:7" ht="15.75" customHeight="1">
      <c r="A342" s="26" t="s">
        <v>35</v>
      </c>
      <c r="B342" s="26">
        <v>1</v>
      </c>
      <c r="C342" s="58">
        <v>73</v>
      </c>
      <c r="D342" s="59">
        <v>349</v>
      </c>
      <c r="E342" s="41" t="str">
        <f>IF(COUNTIF('Sa suberīnskābe'!$B$6:$B$83, $D342) &gt; 0,"sub",IF(COUNTIF('Sa hito + sub'!$B$6:$B$82, $D342) &gt; 0,"hito_sub",""))</f>
        <v>hito_sub</v>
      </c>
      <c r="F342" s="41" t="str">
        <f>IF(COUNTIF('ūd sorbcija Sa'!$C$3:$C$22, $D342) &gt; 0, "ūdens sorbc",IF(COUNTIF(higro!$C$19:$C$30, $D342) &gt; 0, "higroskopija",IF(COUNTIF(higro!$C$47:$C$58, $D342) &gt; 0, "higroskopija",IF(COUNTIF(Komp!$D$2:$D$16, $D342) &gt; 0, "komposts",IF(COUNTIF(spiedei!$C$42:$C$106, $D342) &gt; 0, "spiede","")))))</f>
        <v>higroskopija</v>
      </c>
    </row>
    <row r="343" spans="1:7" ht="15.75" customHeight="1">
      <c r="A343" s="26" t="s">
        <v>35</v>
      </c>
      <c r="B343" s="26">
        <v>1</v>
      </c>
      <c r="C343" s="58">
        <v>73</v>
      </c>
      <c r="D343" s="59">
        <v>350</v>
      </c>
      <c r="E343" s="41" t="str">
        <f>IF(COUNTIF('Sa suberīnskābe'!$B$6:$B$83, $D343) &gt; 0,"sub",IF(COUNTIF('Sa hito + sub'!$B$6:$B$82, $D343) &gt; 0,"hito_sub",""))</f>
        <v>hito_sub</v>
      </c>
      <c r="F343" s="41" t="str">
        <f>IF(COUNTIF('ūd sorbcija Sa'!$C$3:$C$22, $D343) &gt; 0, "ūdens sorbc",IF(COUNTIF(higro!$C$19:$C$30, $D343) &gt; 0, "higroskopija",IF(COUNTIF(higro!$C$47:$C$58, $D343) &gt; 0, "higroskopija",IF(COUNTIF(Komp!$D$2:$D$16, $D343) &gt; 0, "komposts",IF(COUNTIF(spiedei!$C$42:$C$106, $D343) &gt; 0, "spiede","")))))</f>
        <v/>
      </c>
    </row>
    <row r="344" spans="1:7" ht="15.75" customHeight="1">
      <c r="A344" s="26" t="s">
        <v>35</v>
      </c>
      <c r="B344" s="26">
        <v>1</v>
      </c>
      <c r="C344" s="58">
        <v>74</v>
      </c>
      <c r="D344" s="59">
        <v>331</v>
      </c>
      <c r="E344" s="41" t="str">
        <f>IF(COUNTIF('Sa suberīnskābe'!$B$6:$B$83, $D344) &gt; 0,"sub",IF(COUNTIF('Sa hito + sub'!$B$6:$B$82, $D344) &gt; 0,"hito_sub",""))</f>
        <v/>
      </c>
      <c r="F344" s="41" t="str">
        <f>IF(COUNTIF('ūd sorbcija Sa'!$C$3:$C$22, $D344) &gt; 0, "ūdens sorbc",IF(COUNTIF(higro!$C$19:$C$30, $D344) &gt; 0, "higroskopija",IF(COUNTIF(higro!$C$47:$C$58, $D344) &gt; 0, "higroskopija",IF(COUNTIF(Komp!$D$2:$D$16, $D344) &gt; 0, "komposts",IF(COUNTIF(spiedei!$C$42:$C$106, $D344) &gt; 0, "spiede","")))))</f>
        <v/>
      </c>
    </row>
    <row r="345" spans="1:7" ht="15.75" customHeight="1">
      <c r="A345" s="26" t="s">
        <v>35</v>
      </c>
      <c r="B345" s="26">
        <v>1</v>
      </c>
      <c r="C345" s="58">
        <v>74</v>
      </c>
      <c r="D345" s="59">
        <v>332</v>
      </c>
      <c r="E345" s="41" t="str">
        <f>IF(COUNTIF('Sa suberīnskābe'!$B$6:$B$83, $D345) &gt; 0,"sub",IF(COUNTIF('Sa hito + sub'!$B$6:$B$82, $D345) &gt; 0,"hito_sub",""))</f>
        <v/>
      </c>
      <c r="F345" s="41" t="str">
        <f>IF(COUNTIF('ūd sorbcija Sa'!$C$3:$C$22, $D345) &gt; 0, "ūdens sorbc",IF(COUNTIF(higro!$C$19:$C$30, $D345) &gt; 0, "higroskopija",IF(COUNTIF(higro!$C$47:$C$58, $D345) &gt; 0, "higroskopija",IF(COUNTIF(Komp!$D$2:$D$16, $D345) &gt; 0, "komposts",IF(COUNTIF(spiedei!$C$42:$C$106, $D345) &gt; 0, "spiede","")))))</f>
        <v/>
      </c>
    </row>
    <row r="346" spans="1:7" ht="15.75" customHeight="1">
      <c r="A346" s="26" t="s">
        <v>35</v>
      </c>
      <c r="B346" s="26">
        <v>1</v>
      </c>
      <c r="C346" s="58">
        <v>74</v>
      </c>
      <c r="D346" s="59">
        <v>333</v>
      </c>
      <c r="E346" s="41" t="str">
        <f>IF(COUNTIF('Sa suberīnskābe'!$B$6:$B$83, $D346) &gt; 0,"sub",IF(COUNTIF('Sa hito + sub'!$B$6:$B$82, $D346) &gt; 0,"hito_sub",""))</f>
        <v/>
      </c>
      <c r="F346" s="41" t="str">
        <f>IF(COUNTIF('ūd sorbcija Sa'!$C$3:$C$22, $D346) &gt; 0, "ūdens sorbc",IF(COUNTIF(higro!$C$19:$C$30, $D346) &gt; 0, "higroskopija",IF(COUNTIF(higro!$C$47:$C$58, $D346) &gt; 0, "higroskopija",IF(COUNTIF(Komp!$D$2:$D$16, $D346) &gt; 0, "komposts",IF(COUNTIF(spiedei!$C$42:$C$106, $D346) &gt; 0, "spiede","")))))</f>
        <v/>
      </c>
    </row>
    <row r="347" spans="1:7" ht="15.75" customHeight="1">
      <c r="A347" s="26" t="s">
        <v>35</v>
      </c>
      <c r="B347" s="26">
        <v>1</v>
      </c>
      <c r="C347" s="58">
        <v>74</v>
      </c>
      <c r="D347" s="59">
        <v>334</v>
      </c>
      <c r="E347" s="41" t="str">
        <f>IF(COUNTIF('Sa suberīnskābe'!$B$6:$B$83, $D347) &gt; 0,"sub",IF(COUNTIF('Sa hito + sub'!$B$6:$B$82, $D347) &gt; 0,"hito_sub",""))</f>
        <v/>
      </c>
      <c r="F347" s="41" t="str">
        <f>IF(COUNTIF('ūd sorbcija Sa'!$C$3:$C$22, $D347) &gt; 0, "ūdens sorbc",IF(COUNTIF(higro!$C$19:$C$30, $D347) &gt; 0, "higroskopija",IF(COUNTIF(higro!$C$47:$C$58, $D347) &gt; 0, "higroskopija",IF(COUNTIF(Komp!$D$2:$D$16, $D347) &gt; 0, "komposts",IF(COUNTIF(spiedei!$C$42:$C$106, $D347) &gt; 0, "spiede","")))))</f>
        <v/>
      </c>
    </row>
    <row r="348" spans="1:7" ht="15.75" customHeight="1">
      <c r="A348" s="26" t="s">
        <v>35</v>
      </c>
      <c r="B348" s="26">
        <v>1</v>
      </c>
      <c r="C348" s="58">
        <v>74</v>
      </c>
      <c r="D348" s="59">
        <v>335</v>
      </c>
      <c r="E348" s="41" t="str">
        <f>IF(COUNTIF('Sa suberīnskābe'!$B$6:$B$83, $D348) &gt; 0,"sub",IF(COUNTIF('Sa hito + sub'!$B$6:$B$82, $D348) &gt; 0,"hito_sub",""))</f>
        <v/>
      </c>
      <c r="F348" s="41" t="str">
        <f>IF(COUNTIF('ūd sorbcija Sa'!$C$3:$C$22, $D348) &gt; 0, "ūdens sorbc",IF(COUNTIF(higro!$C$19:$C$30, $D348) &gt; 0, "higroskopija",IF(COUNTIF(higro!$C$47:$C$58, $D348) &gt; 0, "higroskopija",IF(COUNTIF(Komp!$D$2:$D$16, $D348) &gt; 0, "komposts",IF(COUNTIF(spiedei!$C$42:$C$106, $D348) &gt; 0, "spiede","")))))</f>
        <v/>
      </c>
    </row>
    <row r="349" spans="1:7" ht="15.75" customHeight="1">
      <c r="A349" s="26" t="s">
        <v>35</v>
      </c>
      <c r="B349" s="26">
        <v>1</v>
      </c>
      <c r="C349" s="58">
        <v>75</v>
      </c>
      <c r="D349" s="59">
        <v>336</v>
      </c>
      <c r="E349" s="41" t="str">
        <f>IF(COUNTIF('Sa suberīnskābe'!$B$6:$B$83, $D349) &gt; 0,"sub",IF(COUNTIF('Sa hito + sub'!$B$6:$B$82, $D349) &gt; 0,"hito_sub",""))</f>
        <v/>
      </c>
      <c r="F349" s="41" t="str">
        <f>IF(COUNTIF('ūd sorbcija Sa'!$C$3:$C$22, $D349) &gt; 0, "ūdens sorbc",IF(COUNTIF(higro!$C$19:$C$30, $D349) &gt; 0, "higroskopija",IF(COUNTIF(higro!$C$47:$C$58, $D349) &gt; 0, "higroskopija",IF(COUNTIF(Komp!$D$2:$D$16, $D349) &gt; 0, "komposts",IF(COUNTIF(spiedei!$C$42:$C$106, $D349) &gt; 0, "spiede","")))))</f>
        <v/>
      </c>
    </row>
    <row r="350" spans="1:7" ht="15.75" customHeight="1">
      <c r="A350" s="26" t="s">
        <v>35</v>
      </c>
      <c r="B350" s="26">
        <v>1</v>
      </c>
      <c r="C350" s="58">
        <v>75</v>
      </c>
      <c r="D350" s="59">
        <v>337</v>
      </c>
      <c r="E350" s="41" t="str">
        <f>IF(COUNTIF('Sa suberīnskābe'!$B$6:$B$83, $D350) &gt; 0,"sub",IF(COUNTIF('Sa hito + sub'!$B$6:$B$82, $D350) &gt; 0,"hito_sub",""))</f>
        <v/>
      </c>
      <c r="F350" s="41" t="str">
        <f>IF(COUNTIF('ūd sorbcija Sa'!$C$3:$C$22, $D350) &gt; 0, "ūdens sorbc",IF(COUNTIF(higro!$C$19:$C$30, $D350) &gt; 0, "higroskopija",IF(COUNTIF(higro!$C$47:$C$58, $D350) &gt; 0, "higroskopija",IF(COUNTIF(Komp!$D$2:$D$16, $D350) &gt; 0, "komposts",IF(COUNTIF(spiedei!$C$42:$C$106, $D350) &gt; 0, "spiede","")))))</f>
        <v/>
      </c>
    </row>
    <row r="351" spans="1:7" ht="15.75" customHeight="1">
      <c r="A351" s="26" t="s">
        <v>35</v>
      </c>
      <c r="B351" s="26">
        <v>1</v>
      </c>
      <c r="C351" s="58">
        <v>75</v>
      </c>
      <c r="D351" s="59">
        <v>338</v>
      </c>
      <c r="E351" s="41" t="str">
        <f>IF(COUNTIF('Sa suberīnskābe'!$B$6:$B$83, $D351) &gt; 0,"sub",IF(COUNTIF('Sa hito + sub'!$B$6:$B$82, $D351) &gt; 0,"hito_sub",""))</f>
        <v/>
      </c>
      <c r="F351" s="41" t="str">
        <f>IF(COUNTIF('ūd sorbcija Sa'!$C$3:$C$22, $D351) &gt; 0, "ūdens sorbc",IF(COUNTIF(higro!$C$19:$C$30, $D351) &gt; 0, "higroskopija",IF(COUNTIF(higro!$C$47:$C$58, $D351) &gt; 0, "higroskopija",IF(COUNTIF(Komp!$D$2:$D$16, $D351) &gt; 0, "komposts",IF(COUNTIF(spiedei!$C$42:$C$106, $D351) &gt; 0, "spiede","")))))</f>
        <v/>
      </c>
    </row>
    <row r="352" spans="1:7" ht="15.75" customHeight="1">
      <c r="A352" s="26" t="s">
        <v>35</v>
      </c>
      <c r="B352" s="26">
        <v>1</v>
      </c>
      <c r="C352" s="58">
        <v>75</v>
      </c>
      <c r="D352" s="59">
        <v>339</v>
      </c>
      <c r="E352" s="41" t="str">
        <f>IF(COUNTIF('Sa suberīnskābe'!$B$6:$B$83, $D352) &gt; 0,"sub",IF(COUNTIF('Sa hito + sub'!$B$6:$B$82, $D352) &gt; 0,"hito_sub",""))</f>
        <v/>
      </c>
      <c r="F352" s="41" t="str">
        <f>IF(COUNTIF('ūd sorbcija Sa'!$C$3:$C$22, $D352) &gt; 0, "ūdens sorbc",IF(COUNTIF(higro!$C$19:$C$30, $D352) &gt; 0, "higroskopija",IF(COUNTIF(higro!$C$47:$C$58, $D352) &gt; 0, "higroskopija",IF(COUNTIF(Komp!$D$2:$D$16, $D352) &gt; 0, "komposts",IF(COUNTIF(spiedei!$C$42:$C$106, $D352) &gt; 0, "spiede","")))))</f>
        <v/>
      </c>
    </row>
    <row r="353" spans="1:6" ht="15.75" customHeight="1">
      <c r="A353" s="26" t="s">
        <v>35</v>
      </c>
      <c r="B353" s="28">
        <v>1</v>
      </c>
      <c r="C353" s="63">
        <v>75</v>
      </c>
      <c r="D353" s="64">
        <v>340</v>
      </c>
      <c r="E353" s="41" t="str">
        <f>IF(COUNTIF('Sa suberīnskābe'!$B$6:$B$83, $D353) &gt; 0,"sub",IF(COUNTIF('Sa hito + sub'!$B$6:$B$82, $D353) &gt; 0,"hito_sub",""))</f>
        <v/>
      </c>
      <c r="F353" s="41" t="str">
        <f>IF(COUNTIF('ūd sorbcija Sa'!$C$3:$C$22, $D353) &gt; 0, "ūdens sorbc",IF(COUNTIF(higro!$C$19:$C$30, $D353) &gt; 0, "higroskopija",IF(COUNTIF(higro!$C$47:$C$58, $D353) &gt; 0, "higroskopija",IF(COUNTIF(Komp!$D$2:$D$16, $D353) &gt; 0, "komposts",IF(COUNTIF(spiedei!$C$42:$C$106, $D353) &gt; 0, "spiede","")))))</f>
        <v/>
      </c>
    </row>
    <row r="354" spans="1:6" ht="15.75" customHeight="1">
      <c r="A354" s="26" t="s">
        <v>35</v>
      </c>
      <c r="B354" s="23">
        <v>6</v>
      </c>
      <c r="C354" s="56">
        <v>118</v>
      </c>
      <c r="D354" s="57">
        <v>56</v>
      </c>
      <c r="E354" s="41" t="str">
        <f>IF(COUNTIF('Sa suberīnskābe'!$B$6:$B$83, $D354) &gt; 0,"sub",IF(COUNTIF('Sa hito + sub'!$B$6:$B$82, $D354) &gt; 0,"hito_sub",""))</f>
        <v>sub</v>
      </c>
      <c r="F354" s="62" t="s">
        <v>48</v>
      </c>
    </row>
    <row r="355" spans="1:6" ht="15.75" customHeight="1">
      <c r="A355" s="26" t="s">
        <v>35</v>
      </c>
      <c r="B355" s="26">
        <v>6</v>
      </c>
      <c r="C355" s="58">
        <v>118</v>
      </c>
      <c r="D355" s="59">
        <v>57</v>
      </c>
      <c r="E355" s="41" t="str">
        <f>IF(COUNTIF('Sa suberīnskābe'!$B$6:$B$83, $D355) &gt; 0,"sub",IF(COUNTIF('Sa hito + sub'!$B$6:$B$82, $D355) &gt; 0,"hito_sub",""))</f>
        <v>sub</v>
      </c>
      <c r="F355" s="41" t="str">
        <f>IF(COUNTIF('ūd sorbcija Sa'!$C$3:$C$22, $D355) &gt; 0, "ūdens sorbc",IF(COUNTIF(higro!$C$19:$C$30, $D355) &gt; 0, "higroskopija",IF(COUNTIF(higro!$C$47:$C$58, $D355) &gt; 0, "higroskopija",IF(COUNTIF(Komp!$D$2:$D$16, $D355) &gt; 0, "komposts",IF(COUNTIF(spiedei!$C$42:$C$106, $D355) &gt; 0, "spiede","")))))</f>
        <v/>
      </c>
    </row>
    <row r="356" spans="1:6" ht="15.75" customHeight="1">
      <c r="A356" s="26" t="s">
        <v>35</v>
      </c>
      <c r="B356" s="26">
        <v>6</v>
      </c>
      <c r="C356" s="58">
        <v>118</v>
      </c>
      <c r="D356" s="59">
        <v>58</v>
      </c>
      <c r="E356" s="41" t="str">
        <f>IF(COUNTIF('Sa suberīnskābe'!$B$6:$B$83, $D356) &gt; 0,"sub",IF(COUNTIF('Sa hito + sub'!$B$6:$B$82, $D356) &gt; 0,"hito_sub",""))</f>
        <v>sub</v>
      </c>
      <c r="F356" s="41" t="str">
        <f>IF(COUNTIF('ūd sorbcija Sa'!$C$3:$C$22, $D356) &gt; 0, "ūdens sorbc",IF(COUNTIF(higro!$C$19:$C$30, $D356) &gt; 0, "higroskopija",IF(COUNTIF(higro!$C$47:$C$58, $D356) &gt; 0, "higroskopija",IF(COUNTIF(Komp!$D$2:$D$16, $D356) &gt; 0, "komposts",IF(COUNTIF(spiedei!$C$42:$C$106, $D356) &gt; 0, "spiede","")))))</f>
        <v>higroskopija</v>
      </c>
    </row>
    <row r="357" spans="1:6" ht="15.75" customHeight="1">
      <c r="A357" s="26" t="s">
        <v>35</v>
      </c>
      <c r="B357" s="26">
        <v>6</v>
      </c>
      <c r="C357" s="58">
        <v>118</v>
      </c>
      <c r="D357" s="59">
        <v>59</v>
      </c>
      <c r="E357" s="41" t="str">
        <f>IF(COUNTIF('Sa suberīnskābe'!$B$6:$B$83, $D357) &gt; 0,"sub",IF(COUNTIF('Sa hito + sub'!$B$6:$B$82, $D357) &gt; 0,"hito_sub",""))</f>
        <v>sub</v>
      </c>
      <c r="F357" s="41" t="str">
        <f>IF(COUNTIF('ūd sorbcija Sa'!$C$3:$C$22, $D357) &gt; 0, "ūdens sorbc",IF(COUNTIF(higro!$C$19:$C$30, $D357) &gt; 0, "higroskopija",IF(COUNTIF(higro!$C$47:$C$58, $D357) &gt; 0, "higroskopija",IF(COUNTIF(Komp!$D$2:$D$16, $D357) &gt; 0, "komposts",IF(COUNTIF(spiedei!$C$42:$C$106, $D357) &gt; 0, "spiede","")))))</f>
        <v/>
      </c>
    </row>
    <row r="358" spans="1:6" ht="15.75" customHeight="1">
      <c r="A358" s="26" t="s">
        <v>35</v>
      </c>
      <c r="B358" s="26">
        <v>6</v>
      </c>
      <c r="C358" s="58">
        <v>118</v>
      </c>
      <c r="D358" s="59">
        <v>60</v>
      </c>
      <c r="E358" s="41" t="str">
        <f>IF(COUNTIF('Sa suberīnskābe'!$B$6:$B$83, $D358) &gt; 0,"sub",IF(COUNTIF('Sa hito + sub'!$B$6:$B$82, $D358) &gt; 0,"hito_sub",""))</f>
        <v>sub</v>
      </c>
      <c r="F358" s="41" t="str">
        <f>IF(COUNTIF('ūd sorbcija Sa'!$C$3:$C$22, $D358) &gt; 0, "ūdens sorbc",IF(COUNTIF(higro!$C$19:$C$30, $D358) &gt; 0, "higroskopija",IF(COUNTIF(higro!$C$47:$C$58, $D358) &gt; 0, "higroskopija",IF(COUNTIF(Komp!$D$2:$D$16, $D358) &gt; 0, "komposts",IF(COUNTIF(spiedei!$C$42:$C$106, $D358) &gt; 0, "spiede","")))))</f>
        <v>higroskopija</v>
      </c>
    </row>
    <row r="359" spans="1:6" ht="15.75" customHeight="1">
      <c r="A359" s="26" t="s">
        <v>35</v>
      </c>
      <c r="B359" s="26">
        <v>6</v>
      </c>
      <c r="C359" s="58">
        <v>119</v>
      </c>
      <c r="D359" s="59">
        <v>51</v>
      </c>
      <c r="E359" s="41" t="str">
        <f>IF(COUNTIF('Sa suberīnskābe'!$B$6:$B$83, $D359) &gt; 0,"sub",IF(COUNTIF('Sa hito + sub'!$B$6:$B$82, $D359) &gt; 0,"hito_sub",""))</f>
        <v>hito_sub</v>
      </c>
      <c r="F359" s="60" t="s">
        <v>56</v>
      </c>
    </row>
    <row r="360" spans="1:6" ht="15.75" customHeight="1">
      <c r="A360" s="26" t="s">
        <v>35</v>
      </c>
      <c r="B360" s="26">
        <v>6</v>
      </c>
      <c r="C360" s="58">
        <v>119</v>
      </c>
      <c r="D360" s="59">
        <v>52</v>
      </c>
      <c r="E360" s="41" t="str">
        <f>IF(COUNTIF('Sa suberīnskābe'!$B$6:$B$83, $D360) &gt; 0,"sub",IF(COUNTIF('Sa hito + sub'!$B$6:$B$82, $D360) &gt; 0,"hito_sub",""))</f>
        <v>hito_sub</v>
      </c>
      <c r="F360" s="61" t="s">
        <v>45</v>
      </c>
    </row>
    <row r="361" spans="1:6" ht="15.75" customHeight="1">
      <c r="A361" s="26" t="s">
        <v>35</v>
      </c>
      <c r="B361" s="26">
        <v>6</v>
      </c>
      <c r="C361" s="58">
        <v>119</v>
      </c>
      <c r="D361" s="59">
        <v>53</v>
      </c>
      <c r="E361" s="41" t="str">
        <f>IF(COUNTIF('Sa suberīnskābe'!$B$6:$B$83, $D361) &gt; 0,"sub",IF(COUNTIF('Sa hito + sub'!$B$6:$B$82, $D361) &gt; 0,"hito_sub",""))</f>
        <v>hito_sub</v>
      </c>
      <c r="F361" s="41" t="str">
        <f>IF(COUNTIF('ūd sorbcija Sa'!$C$3:$C$22, $D361) &gt; 0, "ūdens sorbc",IF(COUNTIF(higro!$C$19:$C$30, $D361) &gt; 0, "higroskopija",IF(COUNTIF(higro!$C$47:$C$58, $D361) &gt; 0, "higroskopija",IF(COUNTIF(Komp!$D$2:$D$16, $D361) &gt; 0, "komposts",IF(COUNTIF(spiedei!$C$42:$C$106, $D361) &gt; 0, "spiede","")))))</f>
        <v/>
      </c>
    </row>
    <row r="362" spans="1:6" ht="15.75" customHeight="1">
      <c r="A362" s="26" t="s">
        <v>35</v>
      </c>
      <c r="B362" s="26">
        <v>6</v>
      </c>
      <c r="C362" s="58">
        <v>119</v>
      </c>
      <c r="D362" s="59">
        <v>54</v>
      </c>
      <c r="E362" s="41" t="str">
        <f>IF(COUNTIF('Sa suberīnskābe'!$B$6:$B$83, $D362) &gt; 0,"sub",IF(COUNTIF('Sa hito + sub'!$B$6:$B$82, $D362) &gt; 0,"hito_sub",""))</f>
        <v>hito_sub</v>
      </c>
      <c r="F362" s="41" t="str">
        <f>IF(COUNTIF('ūd sorbcija Sa'!$C$3:$C$22, $D362) &gt; 0, "ūdens sorbc",IF(COUNTIF(higro!$C$19:$C$30, $D362) &gt; 0, "higroskopija",IF(COUNTIF(higro!$C$47:$C$58, $D362) &gt; 0, "higroskopija",IF(COUNTIF(Komp!$D$2:$D$16, $D362) &gt; 0, "komposts",IF(COUNTIF(spiedei!$C$42:$C$106, $D362) &gt; 0, "spiede","")))))</f>
        <v/>
      </c>
    </row>
    <row r="363" spans="1:6" ht="15.75" customHeight="1">
      <c r="A363" s="26" t="s">
        <v>35</v>
      </c>
      <c r="B363" s="26">
        <v>6</v>
      </c>
      <c r="C363" s="58">
        <v>119</v>
      </c>
      <c r="D363" s="59">
        <v>55</v>
      </c>
      <c r="E363" s="41" t="str">
        <f>IF(COUNTIF('Sa suberīnskābe'!$B$6:$B$83, $D363) &gt; 0,"sub",IF(COUNTIF('Sa hito + sub'!$B$6:$B$82, $D363) &gt; 0,"hito_sub",""))</f>
        <v>hito_sub</v>
      </c>
      <c r="F363" s="60" t="s">
        <v>56</v>
      </c>
    </row>
    <row r="364" spans="1:6" ht="15.75" customHeight="1">
      <c r="A364" s="26" t="s">
        <v>35</v>
      </c>
      <c r="B364" s="26">
        <v>6</v>
      </c>
      <c r="C364" s="58">
        <v>120</v>
      </c>
      <c r="D364" s="59">
        <v>151</v>
      </c>
      <c r="E364" s="41" t="str">
        <f>IF(COUNTIF('Sa suberīnskābe'!$B$6:$B$83, $D364) &gt; 0,"sub",IF(COUNTIF('Sa hito + sub'!$B$6:$B$82, $D364) &gt; 0,"hito_sub",""))</f>
        <v/>
      </c>
      <c r="F364" s="41" t="str">
        <f>IF(COUNTIF('ūd sorbcija Sa'!$C$3:$C$22, $D364) &gt; 0, "ūdens sorbc",IF(COUNTIF(higro!$C$19:$C$30, $D364) &gt; 0, "higroskopija",IF(COUNTIF(higro!$C$47:$C$58, $D364) &gt; 0, "higroskopija",IF(COUNTIF(Komp!$D$2:$D$16, $D364) &gt; 0, "komposts",IF(COUNTIF(spiedei!$C$42:$C$106, $D364) &gt; 0, "spiede","")))))</f>
        <v/>
      </c>
    </row>
    <row r="365" spans="1:6" ht="15.75" customHeight="1">
      <c r="A365" s="26" t="s">
        <v>35</v>
      </c>
      <c r="B365" s="26">
        <v>6</v>
      </c>
      <c r="C365" s="58">
        <v>120</v>
      </c>
      <c r="D365" s="59">
        <v>152</v>
      </c>
      <c r="E365" s="41" t="str">
        <f>IF(COUNTIF('Sa suberīnskābe'!$B$6:$B$83, $D365) &gt; 0,"sub",IF(COUNTIF('Sa hito + sub'!$B$6:$B$82, $D365) &gt; 0,"hito_sub",""))</f>
        <v/>
      </c>
      <c r="F365" s="41" t="str">
        <f>IF(COUNTIF('ūd sorbcija Sa'!$C$3:$C$22, $D365) &gt; 0, "ūdens sorbc",IF(COUNTIF(higro!$C$19:$C$30, $D365) &gt; 0, "higroskopija",IF(COUNTIF(higro!$C$47:$C$58, $D365) &gt; 0, "higroskopija",IF(COUNTIF(Komp!$D$2:$D$16, $D365) &gt; 0, "komposts",IF(COUNTIF(spiedei!$C$42:$C$106, $D365) &gt; 0, "spiede","")))))</f>
        <v/>
      </c>
    </row>
    <row r="366" spans="1:6" ht="15.75" customHeight="1">
      <c r="A366" s="26" t="s">
        <v>35</v>
      </c>
      <c r="B366" s="26">
        <v>6</v>
      </c>
      <c r="C366" s="58">
        <v>120</v>
      </c>
      <c r="D366" s="59">
        <v>153</v>
      </c>
      <c r="E366" s="41" t="str">
        <f>IF(COUNTIF('Sa suberīnskābe'!$B$6:$B$83, $D366) &gt; 0,"sub",IF(COUNTIF('Sa hito + sub'!$B$6:$B$82, $D366) &gt; 0,"hito_sub",""))</f>
        <v/>
      </c>
      <c r="F366" s="41" t="str">
        <f>IF(COUNTIF('ūd sorbcija Sa'!$C$3:$C$22, $D366) &gt; 0, "ūdens sorbc",IF(COUNTIF(higro!$C$19:$C$30, $D366) &gt; 0, "higroskopija",IF(COUNTIF(higro!$C$47:$C$58, $D366) &gt; 0, "higroskopija",IF(COUNTIF(Komp!$D$2:$D$16, $D366) &gt; 0, "komposts",IF(COUNTIF(spiedei!$C$42:$C$106, $D366) &gt; 0, "spiede","")))))</f>
        <v/>
      </c>
    </row>
    <row r="367" spans="1:6" ht="15.75" customHeight="1">
      <c r="A367" s="26" t="s">
        <v>35</v>
      </c>
      <c r="B367" s="26">
        <v>6</v>
      </c>
      <c r="C367" s="58">
        <v>120</v>
      </c>
      <c r="D367" s="59">
        <v>154</v>
      </c>
      <c r="E367" s="41" t="str">
        <f>IF(COUNTIF('Sa suberīnskābe'!$B$6:$B$83, $D367) &gt; 0,"sub",IF(COUNTIF('Sa hito + sub'!$B$6:$B$82, $D367) &gt; 0,"hito_sub",""))</f>
        <v/>
      </c>
      <c r="F367" s="41" t="str">
        <f>IF(COUNTIF('ūd sorbcija Sa'!$C$3:$C$22, $D367) &gt; 0, "ūdens sorbc",IF(COUNTIF(higro!$C$19:$C$30, $D367) &gt; 0, "higroskopija",IF(COUNTIF(higro!$C$47:$C$58, $D367) &gt; 0, "higroskopija",IF(COUNTIF(Komp!$D$2:$D$16, $D367) &gt; 0, "komposts",IF(COUNTIF(spiedei!$C$42:$C$106, $D367) &gt; 0, "spiede","")))))</f>
        <v/>
      </c>
    </row>
    <row r="368" spans="1:6" ht="15.75" customHeight="1">
      <c r="A368" s="26" t="s">
        <v>35</v>
      </c>
      <c r="B368" s="28">
        <v>6</v>
      </c>
      <c r="C368" s="63">
        <v>120</v>
      </c>
      <c r="D368" s="64">
        <v>155</v>
      </c>
      <c r="E368" s="41" t="str">
        <f>IF(COUNTIF('Sa suberīnskābe'!$B$6:$B$83, $D368) &gt; 0,"sub",IF(COUNTIF('Sa hito + sub'!$B$6:$B$82, $D368) &gt; 0,"hito_sub",""))</f>
        <v/>
      </c>
      <c r="F368" s="41" t="str">
        <f>IF(COUNTIF('ūd sorbcija Sa'!$C$3:$C$22, $D368) &gt; 0, "ūdens sorbc",IF(COUNTIF(higro!$C$19:$C$30, $D368) &gt; 0, "higroskopija",IF(COUNTIF(higro!$C$47:$C$58, $D368) &gt; 0, "higroskopija",IF(COUNTIF(Komp!$D$2:$D$16, $D368) &gt; 0, "komposts",IF(COUNTIF(spiedei!$C$42:$C$106, $D368) &gt; 0, "spiede","")))))</f>
        <v/>
      </c>
    </row>
    <row r="369" spans="1:6" ht="15.75" customHeight="1">
      <c r="A369" s="26" t="s">
        <v>35</v>
      </c>
      <c r="B369" s="23">
        <v>5</v>
      </c>
      <c r="C369" s="56">
        <v>125</v>
      </c>
      <c r="D369" s="57">
        <v>146</v>
      </c>
      <c r="E369" s="41" t="str">
        <f>IF(COUNTIF('Sa suberīnskābe'!$B$6:$B$83, $D369) &gt; 0,"sub",IF(COUNTIF('Sa hito + sub'!$B$6:$B$82, $D369) &gt; 0,"hito_sub",""))</f>
        <v/>
      </c>
      <c r="F369" s="41" t="str">
        <f>IF(COUNTIF('ūd sorbcija Sa'!$C$3:$C$22, $D369) &gt; 0, "ūdens sorbc",IF(COUNTIF(higro!$C$19:$C$30, $D369) &gt; 0, "higroskopija",IF(COUNTIF(higro!$C$47:$C$58, $D369) &gt; 0, "higroskopija",IF(COUNTIF(Komp!$D$2:$D$16, $D369) &gt; 0, "komposts",IF(COUNTIF(spiedei!$C$42:$C$106, $D369) &gt; 0, "spiede","")))))</f>
        <v/>
      </c>
    </row>
    <row r="370" spans="1:6" ht="15.75" customHeight="1">
      <c r="A370" s="26" t="s">
        <v>35</v>
      </c>
      <c r="B370" s="26">
        <v>5</v>
      </c>
      <c r="C370" s="58">
        <v>125</v>
      </c>
      <c r="D370" s="59">
        <v>147</v>
      </c>
      <c r="E370" s="41" t="str">
        <f>IF(COUNTIF('Sa suberīnskābe'!$B$6:$B$83, $D370) &gt; 0,"sub",IF(COUNTIF('Sa hito + sub'!$B$6:$B$82, $D370) &gt; 0,"hito_sub",""))</f>
        <v/>
      </c>
      <c r="F370" s="41" t="str">
        <f>IF(COUNTIF('ūd sorbcija Sa'!$C$3:$C$22, $D370) &gt; 0, "ūdens sorbc",IF(COUNTIF(higro!$C$19:$C$30, $D370) &gt; 0, "higroskopija",IF(COUNTIF(higro!$C$47:$C$58, $D370) &gt; 0, "higroskopija",IF(COUNTIF(Komp!$D$2:$D$16, $D370) &gt; 0, "komposts",IF(COUNTIF(spiedei!$C$42:$C$106, $D370) &gt; 0, "spiede","")))))</f>
        <v/>
      </c>
    </row>
    <row r="371" spans="1:6" ht="15.75" customHeight="1">
      <c r="A371" s="26" t="s">
        <v>35</v>
      </c>
      <c r="B371" s="26">
        <v>5</v>
      </c>
      <c r="C371" s="58">
        <v>125</v>
      </c>
      <c r="D371" s="59">
        <v>148</v>
      </c>
      <c r="E371" s="41" t="str">
        <f>IF(COUNTIF('Sa suberīnskābe'!$B$6:$B$83, $D371) &gt; 0,"sub",IF(COUNTIF('Sa hito + sub'!$B$6:$B$82, $D371) &gt; 0,"hito_sub",""))</f>
        <v/>
      </c>
      <c r="F371" s="41" t="str">
        <f>IF(COUNTIF('ūd sorbcija Sa'!$C$3:$C$22, $D371) &gt; 0, "ūdens sorbc",IF(COUNTIF(higro!$C$19:$C$30, $D371) &gt; 0, "higroskopija",IF(COUNTIF(higro!$C$47:$C$58, $D371) &gt; 0, "higroskopija",IF(COUNTIF(Komp!$D$2:$D$16, $D371) &gt; 0, "komposts",IF(COUNTIF(spiedei!$C$42:$C$106, $D371) &gt; 0, "spiede","")))))</f>
        <v/>
      </c>
    </row>
    <row r="372" spans="1:6" ht="15.75" customHeight="1">
      <c r="A372" s="26" t="s">
        <v>35</v>
      </c>
      <c r="B372" s="26">
        <v>5</v>
      </c>
      <c r="C372" s="58">
        <v>125</v>
      </c>
      <c r="D372" s="59">
        <v>149</v>
      </c>
      <c r="E372" s="41" t="str">
        <f>IF(COUNTIF('Sa suberīnskābe'!$B$6:$B$83, $D372) &gt; 0,"sub",IF(COUNTIF('Sa hito + sub'!$B$6:$B$82, $D372) &gt; 0,"hito_sub",""))</f>
        <v/>
      </c>
      <c r="F372" s="41" t="str">
        <f>IF(COUNTIF('ūd sorbcija Sa'!$C$3:$C$22, $D372) &gt; 0, "ūdens sorbc",IF(COUNTIF(higro!$C$19:$C$30, $D372) &gt; 0, "higroskopija",IF(COUNTIF(higro!$C$47:$C$58, $D372) &gt; 0, "higroskopija",IF(COUNTIF(Komp!$D$2:$D$16, $D372) &gt; 0, "komposts",IF(COUNTIF(spiedei!$C$42:$C$106, $D372) &gt; 0, "spiede","")))))</f>
        <v/>
      </c>
    </row>
    <row r="373" spans="1:6" ht="15.75" customHeight="1">
      <c r="A373" s="26" t="s">
        <v>35</v>
      </c>
      <c r="B373" s="26">
        <v>5</v>
      </c>
      <c r="C373" s="58">
        <v>125</v>
      </c>
      <c r="D373" s="59">
        <v>150</v>
      </c>
      <c r="E373" s="41" t="str">
        <f>IF(COUNTIF('Sa suberīnskābe'!$B$6:$B$83, $D373) &gt; 0,"sub",IF(COUNTIF('Sa hito + sub'!$B$6:$B$82, $D373) &gt; 0,"hito_sub",""))</f>
        <v/>
      </c>
      <c r="F373" s="41" t="str">
        <f>IF(COUNTIF('ūd sorbcija Sa'!$C$3:$C$22, $D373) &gt; 0, "ūdens sorbc",IF(COUNTIF(higro!$C$19:$C$30, $D373) &gt; 0, "higroskopija",IF(COUNTIF(higro!$C$47:$C$58, $D373) &gt; 0, "higroskopija",IF(COUNTIF(Komp!$D$2:$D$16, $D373) &gt; 0, "komposts",IF(COUNTIF(spiedei!$C$42:$C$106, $D373) &gt; 0, "spiede","")))))</f>
        <v/>
      </c>
    </row>
    <row r="374" spans="1:6" ht="15.75" customHeight="1">
      <c r="A374" s="26" t="s">
        <v>35</v>
      </c>
      <c r="B374" s="26">
        <v>5</v>
      </c>
      <c r="C374" s="58">
        <v>126</v>
      </c>
      <c r="D374" s="59">
        <v>141</v>
      </c>
      <c r="E374" s="41" t="str">
        <f>IF(COUNTIF('Sa suberīnskābe'!$B$6:$B$83, $D374) &gt; 0,"sub",IF(COUNTIF('Sa hito + sub'!$B$6:$B$82, $D374) &gt; 0,"hito_sub",""))</f>
        <v/>
      </c>
      <c r="F374" s="41" t="str">
        <f>IF(COUNTIF('ūd sorbcija Sa'!$C$3:$C$22, $D374) &gt; 0, "ūdens sorbc",IF(COUNTIF(higro!$C$19:$C$30, $D374) &gt; 0, "higroskopija",IF(COUNTIF(higro!$C$47:$C$58, $D374) &gt; 0, "higroskopija",IF(COUNTIF(Komp!$D$2:$D$16, $D374) &gt; 0, "komposts",IF(COUNTIF(spiedei!$C$42:$C$106, $D374) &gt; 0, "spiede","")))))</f>
        <v/>
      </c>
    </row>
    <row r="375" spans="1:6" ht="15.75" customHeight="1">
      <c r="A375" s="26" t="s">
        <v>35</v>
      </c>
      <c r="B375" s="26">
        <v>5</v>
      </c>
      <c r="C375" s="58">
        <v>126</v>
      </c>
      <c r="D375" s="59">
        <v>142</v>
      </c>
      <c r="E375" s="41" t="str">
        <f>IF(COUNTIF('Sa suberīnskābe'!$B$6:$B$83, $D375) &gt; 0,"sub",IF(COUNTIF('Sa hito + sub'!$B$6:$B$82, $D375) &gt; 0,"hito_sub",""))</f>
        <v/>
      </c>
      <c r="F375" s="41" t="str">
        <f>IF(COUNTIF('ūd sorbcija Sa'!$C$3:$C$22, $D375) &gt; 0, "ūdens sorbc",IF(COUNTIF(higro!$C$19:$C$30, $D375) &gt; 0, "higroskopija",IF(COUNTIF(higro!$C$47:$C$58, $D375) &gt; 0, "higroskopija",IF(COUNTIF(Komp!$D$2:$D$16, $D375) &gt; 0, "komposts",IF(COUNTIF(spiedei!$C$42:$C$106, $D375) &gt; 0, "spiede","")))))</f>
        <v/>
      </c>
    </row>
    <row r="376" spans="1:6" ht="15.75" customHeight="1">
      <c r="A376" s="26" t="s">
        <v>35</v>
      </c>
      <c r="B376" s="26">
        <v>5</v>
      </c>
      <c r="C376" s="58">
        <v>126</v>
      </c>
      <c r="D376" s="59">
        <v>143</v>
      </c>
      <c r="E376" s="41" t="str">
        <f>IF(COUNTIF('Sa suberīnskābe'!$B$6:$B$83, $D376) &gt; 0,"sub",IF(COUNTIF('Sa hito + sub'!$B$6:$B$82, $D376) &gt; 0,"hito_sub",""))</f>
        <v/>
      </c>
      <c r="F376" s="41" t="str">
        <f>IF(COUNTIF('ūd sorbcija Sa'!$C$3:$C$22, $D376) &gt; 0, "ūdens sorbc",IF(COUNTIF(higro!$C$19:$C$30, $D376) &gt; 0, "higroskopija",IF(COUNTIF(higro!$C$47:$C$58, $D376) &gt; 0, "higroskopija",IF(COUNTIF(Komp!$D$2:$D$16, $D376) &gt; 0, "komposts",IF(COUNTIF(spiedei!$C$42:$C$106, $D376) &gt; 0, "spiede","")))))</f>
        <v/>
      </c>
    </row>
    <row r="377" spans="1:6" ht="15.75" customHeight="1">
      <c r="A377" s="26" t="s">
        <v>35</v>
      </c>
      <c r="B377" s="26">
        <v>5</v>
      </c>
      <c r="C377" s="58">
        <v>126</v>
      </c>
      <c r="D377" s="59">
        <v>144</v>
      </c>
      <c r="E377" s="41" t="str">
        <f>IF(COUNTIF('Sa suberīnskābe'!$B$6:$B$83, $D377) &gt; 0,"sub",IF(COUNTIF('Sa hito + sub'!$B$6:$B$82, $D377) &gt; 0,"hito_sub",""))</f>
        <v/>
      </c>
      <c r="F377" s="41" t="str">
        <f>IF(COUNTIF('ūd sorbcija Sa'!$C$3:$C$22, $D377) &gt; 0, "ūdens sorbc",IF(COUNTIF(higro!$C$19:$C$30, $D377) &gt; 0, "higroskopija",IF(COUNTIF(higro!$C$47:$C$58, $D377) &gt; 0, "higroskopija",IF(COUNTIF(Komp!$D$2:$D$16, $D377) &gt; 0, "komposts",IF(COUNTIF(spiedei!$C$42:$C$106, $D377) &gt; 0, "spiede","")))))</f>
        <v/>
      </c>
    </row>
    <row r="378" spans="1:6" ht="15.75" customHeight="1">
      <c r="A378" s="26" t="s">
        <v>35</v>
      </c>
      <c r="B378" s="26">
        <v>5</v>
      </c>
      <c r="C378" s="58">
        <v>126</v>
      </c>
      <c r="D378" s="59">
        <v>145</v>
      </c>
      <c r="E378" s="41" t="str">
        <f>IF(COUNTIF('Sa suberīnskābe'!$B$6:$B$83, $D378) &gt; 0,"sub",IF(COUNTIF('Sa hito + sub'!$B$6:$B$82, $D378) &gt; 0,"hito_sub",""))</f>
        <v/>
      </c>
      <c r="F378" s="41" t="str">
        <f>IF(COUNTIF('ūd sorbcija Sa'!$C$3:$C$22, $D378) &gt; 0, "ūdens sorbc",IF(COUNTIF(higro!$C$19:$C$30, $D378) &gt; 0, "higroskopija",IF(COUNTIF(higro!$C$47:$C$58, $D378) &gt; 0, "higroskopija",IF(COUNTIF(Komp!$D$2:$D$16, $D378) &gt; 0, "komposts",IF(COUNTIF(spiedei!$C$42:$C$106, $D378) &gt; 0, "spiede","")))))</f>
        <v/>
      </c>
    </row>
    <row r="379" spans="1:6" ht="15.75" customHeight="1">
      <c r="A379" s="26" t="s">
        <v>35</v>
      </c>
      <c r="B379" s="26">
        <v>5</v>
      </c>
      <c r="C379" s="58">
        <v>127</v>
      </c>
      <c r="D379" s="59">
        <v>136</v>
      </c>
      <c r="E379" s="41" t="str">
        <f>IF(COUNTIF('Sa suberīnskābe'!$B$6:$B$83, $D379) &gt; 0,"sub",IF(COUNTIF('Sa hito + sub'!$B$6:$B$82, $D379) &gt; 0,"hito_sub",""))</f>
        <v/>
      </c>
      <c r="F379" s="41" t="str">
        <f>IF(COUNTIF('ūd sorbcija Sa'!$C$3:$C$22, $D379) &gt; 0, "ūdens sorbc",IF(COUNTIF(higro!$C$19:$C$30, $D379) &gt; 0, "higroskopija",IF(COUNTIF(higro!$C$47:$C$58, $D379) &gt; 0, "higroskopija",IF(COUNTIF(Komp!$D$2:$D$16, $D379) &gt; 0, "komposts",IF(COUNTIF(spiedei!$C$42:$C$106, $D379) &gt; 0, "spiede","")))))</f>
        <v/>
      </c>
    </row>
    <row r="380" spans="1:6" ht="15.75" customHeight="1">
      <c r="A380" s="26" t="s">
        <v>35</v>
      </c>
      <c r="B380" s="26">
        <v>5</v>
      </c>
      <c r="C380" s="58">
        <v>127</v>
      </c>
      <c r="D380" s="59">
        <v>137</v>
      </c>
      <c r="E380" s="41" t="str">
        <f>IF(COUNTIF('Sa suberīnskābe'!$B$6:$B$83, $D380) &gt; 0,"sub",IF(COUNTIF('Sa hito + sub'!$B$6:$B$82, $D380) &gt; 0,"hito_sub",""))</f>
        <v/>
      </c>
      <c r="F380" s="41" t="str">
        <f>IF(COUNTIF('ūd sorbcija Sa'!$C$3:$C$22, $D380) &gt; 0, "ūdens sorbc",IF(COUNTIF(higro!$C$19:$C$30, $D380) &gt; 0, "higroskopija",IF(COUNTIF(higro!$C$47:$C$58, $D380) &gt; 0, "higroskopija",IF(COUNTIF(Komp!$D$2:$D$16, $D380) &gt; 0, "komposts",IF(COUNTIF(spiedei!$C$42:$C$106, $D380) &gt; 0, "spiede","")))))</f>
        <v/>
      </c>
    </row>
    <row r="381" spans="1:6" ht="15.75" customHeight="1">
      <c r="A381" s="26" t="s">
        <v>35</v>
      </c>
      <c r="B381" s="26">
        <v>5</v>
      </c>
      <c r="C381" s="58">
        <v>127</v>
      </c>
      <c r="D381" s="59">
        <v>138</v>
      </c>
      <c r="E381" s="41" t="str">
        <f>IF(COUNTIF('Sa suberīnskābe'!$B$6:$B$83, $D381) &gt; 0,"sub",IF(COUNTIF('Sa hito + sub'!$B$6:$B$82, $D381) &gt; 0,"hito_sub",""))</f>
        <v/>
      </c>
      <c r="F381" s="41" t="str">
        <f>IF(COUNTIF('ūd sorbcija Sa'!$C$3:$C$22, $D381) &gt; 0, "ūdens sorbc",IF(COUNTIF(higro!$C$19:$C$30, $D381) &gt; 0, "higroskopija",IF(COUNTIF(higro!$C$47:$C$58, $D381) &gt; 0, "higroskopija",IF(COUNTIF(Komp!$D$2:$D$16, $D381) &gt; 0, "komposts",IF(COUNTIF(spiedei!$C$42:$C$106, $D381) &gt; 0, "spiede","")))))</f>
        <v/>
      </c>
    </row>
    <row r="382" spans="1:6" ht="15.75" customHeight="1">
      <c r="A382" s="26" t="s">
        <v>35</v>
      </c>
      <c r="B382" s="26">
        <v>5</v>
      </c>
      <c r="C382" s="58">
        <v>127</v>
      </c>
      <c r="D382" s="59">
        <v>139</v>
      </c>
      <c r="E382" s="41" t="str">
        <f>IF(COUNTIF('Sa suberīnskābe'!$B$6:$B$83, $D382) &gt; 0,"sub",IF(COUNTIF('Sa hito + sub'!$B$6:$B$82, $D382) &gt; 0,"hito_sub",""))</f>
        <v/>
      </c>
      <c r="F382" s="41" t="str">
        <f>IF(COUNTIF('ūd sorbcija Sa'!$C$3:$C$22, $D382) &gt; 0, "ūdens sorbc",IF(COUNTIF(higro!$C$19:$C$30, $D382) &gt; 0, "higroskopija",IF(COUNTIF(higro!$C$47:$C$58, $D382) &gt; 0, "higroskopija",IF(COUNTIF(Komp!$D$2:$D$16, $D382) &gt; 0, "komposts",IF(COUNTIF(spiedei!$C$42:$C$106, $D382) &gt; 0, "spiede","")))))</f>
        <v/>
      </c>
    </row>
    <row r="383" spans="1:6" ht="15.75" customHeight="1">
      <c r="A383" s="26" t="s">
        <v>35</v>
      </c>
      <c r="B383" s="28">
        <v>5</v>
      </c>
      <c r="C383" s="63">
        <v>127</v>
      </c>
      <c r="D383" s="64">
        <v>140</v>
      </c>
      <c r="E383" s="41" t="str">
        <f>IF(COUNTIF('Sa suberīnskābe'!$B$6:$B$83, $D383) &gt; 0,"sub",IF(COUNTIF('Sa hito + sub'!$B$6:$B$82, $D383) &gt; 0,"hito_sub",""))</f>
        <v/>
      </c>
      <c r="F383" s="41" t="str">
        <f>IF(COUNTIF('ūd sorbcija Sa'!$C$3:$C$22, $D383) &gt; 0, "ūdens sorbc",IF(COUNTIF(higro!$C$19:$C$30, $D383) &gt; 0, "higroskopija",IF(COUNTIF(higro!$C$47:$C$58, $D383) &gt; 0, "higroskopija",IF(COUNTIF(Komp!$D$2:$D$16, $D383) &gt; 0, "komposts",IF(COUNTIF(spiedei!$C$42:$C$106, $D383) &gt; 0, "spiede","")))))</f>
        <v/>
      </c>
    </row>
    <row r="384" spans="1:6" ht="15.75" customHeight="1">
      <c r="A384" s="26" t="s">
        <v>35</v>
      </c>
      <c r="B384" s="23">
        <v>4</v>
      </c>
      <c r="C384" s="56">
        <v>129</v>
      </c>
      <c r="D384" s="57">
        <v>131</v>
      </c>
      <c r="E384" s="41" t="str">
        <f>IF(COUNTIF('Sa suberīnskābe'!$B$6:$B$83, $D384) &gt; 0,"sub",IF(COUNTIF('Sa hito + sub'!$B$6:$B$82, $D384) &gt; 0,"hito_sub",""))</f>
        <v/>
      </c>
      <c r="F384" s="41" t="str">
        <f>IF(COUNTIF('ūd sorbcija Sa'!$C$3:$C$22, $D384) &gt; 0, "ūdens sorbc",IF(COUNTIF(higro!$C$19:$C$30, $D384) &gt; 0, "higroskopija",IF(COUNTIF(higro!$C$47:$C$58, $D384) &gt; 0, "higroskopija",IF(COUNTIF(Komp!$D$2:$D$16, $D384) &gt; 0, "komposts",IF(COUNTIF(spiedei!$C$42:$C$106, $D384) &gt; 0, "spiede","")))))</f>
        <v/>
      </c>
    </row>
    <row r="385" spans="1:6" ht="15.75" customHeight="1">
      <c r="A385" s="26" t="s">
        <v>35</v>
      </c>
      <c r="B385" s="26">
        <v>4</v>
      </c>
      <c r="C385" s="58">
        <v>129</v>
      </c>
      <c r="D385" s="59">
        <v>132</v>
      </c>
      <c r="E385" s="41" t="str">
        <f>IF(COUNTIF('Sa suberīnskābe'!$B$6:$B$83, $D385) &gt; 0,"sub",IF(COUNTIF('Sa hito + sub'!$B$6:$B$82, $D385) &gt; 0,"hito_sub",""))</f>
        <v/>
      </c>
      <c r="F385" s="41" t="str">
        <f>IF(COUNTIF('ūd sorbcija Sa'!$C$3:$C$22, $D385) &gt; 0, "ūdens sorbc",IF(COUNTIF(higro!$C$19:$C$30, $D385) &gt; 0, "higroskopija",IF(COUNTIF(higro!$C$47:$C$58, $D385) &gt; 0, "higroskopija",IF(COUNTIF(Komp!$D$2:$D$16, $D385) &gt; 0, "komposts",IF(COUNTIF(spiedei!$C$42:$C$106, $D385) &gt; 0, "spiede","")))))</f>
        <v/>
      </c>
    </row>
    <row r="386" spans="1:6" ht="15.75" customHeight="1">
      <c r="A386" s="26" t="s">
        <v>35</v>
      </c>
      <c r="B386" s="26">
        <v>4</v>
      </c>
      <c r="C386" s="58">
        <v>129</v>
      </c>
      <c r="D386" s="59">
        <v>133</v>
      </c>
      <c r="E386" s="41" t="str">
        <f>IF(COUNTIF('Sa suberīnskābe'!$B$6:$B$83, $D386) &gt; 0,"sub",IF(COUNTIF('Sa hito + sub'!$B$6:$B$82, $D386) &gt; 0,"hito_sub",""))</f>
        <v/>
      </c>
      <c r="F386" s="41" t="str">
        <f>IF(COUNTIF('ūd sorbcija Sa'!$C$3:$C$22, $D386) &gt; 0, "ūdens sorbc",IF(COUNTIF(higro!$C$19:$C$30, $D386) &gt; 0, "higroskopija",IF(COUNTIF(higro!$C$47:$C$58, $D386) &gt; 0, "higroskopija",IF(COUNTIF(Komp!$D$2:$D$16, $D386) &gt; 0, "komposts",IF(COUNTIF(spiedei!$C$42:$C$106, $D386) &gt; 0, "spiede","")))))</f>
        <v/>
      </c>
    </row>
    <row r="387" spans="1:6" ht="15.75" customHeight="1">
      <c r="A387" s="26" t="s">
        <v>35</v>
      </c>
      <c r="B387" s="26">
        <v>4</v>
      </c>
      <c r="C387" s="58">
        <v>129</v>
      </c>
      <c r="D387" s="59">
        <v>134</v>
      </c>
      <c r="E387" s="41" t="str">
        <f>IF(COUNTIF('Sa suberīnskābe'!$B$6:$B$83, $D387) &gt; 0,"sub",IF(COUNTIF('Sa hito + sub'!$B$6:$B$82, $D387) &gt; 0,"hito_sub",""))</f>
        <v/>
      </c>
      <c r="F387" s="41" t="str">
        <f>IF(COUNTIF('ūd sorbcija Sa'!$C$3:$C$22, $D387) &gt; 0, "ūdens sorbc",IF(COUNTIF(higro!$C$19:$C$30, $D387) &gt; 0, "higroskopija",IF(COUNTIF(higro!$C$47:$C$58, $D387) &gt; 0, "higroskopija",IF(COUNTIF(Komp!$D$2:$D$16, $D387) &gt; 0, "komposts",IF(COUNTIF(spiedei!$C$42:$C$106, $D387) &gt; 0, "spiede","")))))</f>
        <v/>
      </c>
    </row>
    <row r="388" spans="1:6" ht="15.75" customHeight="1">
      <c r="A388" s="26" t="s">
        <v>35</v>
      </c>
      <c r="B388" s="26">
        <v>4</v>
      </c>
      <c r="C388" s="58">
        <v>129</v>
      </c>
      <c r="D388" s="59">
        <v>135</v>
      </c>
      <c r="E388" s="41" t="str">
        <f>IF(COUNTIF('Sa suberīnskābe'!$B$6:$B$83, $D388) &gt; 0,"sub",IF(COUNTIF('Sa hito + sub'!$B$6:$B$82, $D388) &gt; 0,"hito_sub",""))</f>
        <v/>
      </c>
      <c r="F388" s="41" t="str">
        <f>IF(COUNTIF('ūd sorbcija Sa'!$C$3:$C$22, $D388) &gt; 0, "ūdens sorbc",IF(COUNTIF(higro!$C$19:$C$30, $D388) &gt; 0, "higroskopija",IF(COUNTIF(higro!$C$47:$C$58, $D388) &gt; 0, "higroskopija",IF(COUNTIF(Komp!$D$2:$D$16, $D388) &gt; 0, "komposts",IF(COUNTIF(spiedei!$C$42:$C$106, $D388) &gt; 0, "spiede","")))))</f>
        <v/>
      </c>
    </row>
    <row r="389" spans="1:6" ht="15.75" customHeight="1">
      <c r="A389" s="26" t="s">
        <v>35</v>
      </c>
      <c r="B389" s="26">
        <v>4</v>
      </c>
      <c r="C389" s="58">
        <v>130</v>
      </c>
      <c r="D389" s="59">
        <v>126</v>
      </c>
      <c r="E389" s="41" t="str">
        <f>IF(COUNTIF('Sa suberīnskābe'!$B$6:$B$83, $D389) &gt; 0,"sub",IF(COUNTIF('Sa hito + sub'!$B$6:$B$82, $D389) &gt; 0,"hito_sub",""))</f>
        <v/>
      </c>
      <c r="F389" s="41" t="str">
        <f>IF(COUNTIF('ūd sorbcija Sa'!$C$3:$C$22, $D389) &gt; 0, "ūdens sorbc",IF(COUNTIF(higro!$C$19:$C$30, $D389) &gt; 0, "higroskopija",IF(COUNTIF(higro!$C$47:$C$58, $D389) &gt; 0, "higroskopija",IF(COUNTIF(Komp!$D$2:$D$16, $D389) &gt; 0, "komposts",IF(COUNTIF(spiedei!$C$42:$C$106, $D389) &gt; 0, "spiede","")))))</f>
        <v/>
      </c>
    </row>
    <row r="390" spans="1:6" ht="15.75" customHeight="1">
      <c r="A390" s="26" t="s">
        <v>35</v>
      </c>
      <c r="B390" s="26">
        <v>4</v>
      </c>
      <c r="C390" s="58">
        <v>130</v>
      </c>
      <c r="D390" s="59">
        <v>127</v>
      </c>
      <c r="E390" s="41" t="str">
        <f>IF(COUNTIF('Sa suberīnskābe'!$B$6:$B$83, $D390) &gt; 0,"sub",IF(COUNTIF('Sa hito + sub'!$B$6:$B$82, $D390) &gt; 0,"hito_sub",""))</f>
        <v/>
      </c>
      <c r="F390" s="41" t="str">
        <f>IF(COUNTIF('ūd sorbcija Sa'!$C$3:$C$22, $D390) &gt; 0, "ūdens sorbc",IF(COUNTIF(higro!$C$19:$C$30, $D390) &gt; 0, "higroskopija",IF(COUNTIF(higro!$C$47:$C$58, $D390) &gt; 0, "higroskopija",IF(COUNTIF(Komp!$D$2:$D$16, $D390) &gt; 0, "komposts",IF(COUNTIF(spiedei!$C$42:$C$106, $D390) &gt; 0, "spiede","")))))</f>
        <v/>
      </c>
    </row>
    <row r="391" spans="1:6" ht="15.75" customHeight="1">
      <c r="A391" s="26" t="s">
        <v>35</v>
      </c>
      <c r="B391" s="26">
        <v>4</v>
      </c>
      <c r="C391" s="58">
        <v>130</v>
      </c>
      <c r="D391" s="59">
        <v>128</v>
      </c>
      <c r="E391" s="41" t="str">
        <f>IF(COUNTIF('Sa suberīnskābe'!$B$6:$B$83, $D391) &gt; 0,"sub",IF(COUNTIF('Sa hito + sub'!$B$6:$B$82, $D391) &gt; 0,"hito_sub",""))</f>
        <v/>
      </c>
      <c r="F391" s="41" t="str">
        <f>IF(COUNTIF('ūd sorbcija Sa'!$C$3:$C$22, $D391) &gt; 0, "ūdens sorbc",IF(COUNTIF(higro!$C$19:$C$30, $D391) &gt; 0, "higroskopija",IF(COUNTIF(higro!$C$47:$C$58, $D391) &gt; 0, "higroskopija",IF(COUNTIF(Komp!$D$2:$D$16, $D391) &gt; 0, "komposts",IF(COUNTIF(spiedei!$C$42:$C$106, $D391) &gt; 0, "spiede","")))))</f>
        <v/>
      </c>
    </row>
    <row r="392" spans="1:6" ht="15.75" customHeight="1">
      <c r="A392" s="26" t="s">
        <v>35</v>
      </c>
      <c r="B392" s="26">
        <v>4</v>
      </c>
      <c r="C392" s="58">
        <v>130</v>
      </c>
      <c r="D392" s="59">
        <v>129</v>
      </c>
      <c r="E392" s="41" t="str">
        <f>IF(COUNTIF('Sa suberīnskābe'!$B$6:$B$83, $D392) &gt; 0,"sub",IF(COUNTIF('Sa hito + sub'!$B$6:$B$82, $D392) &gt; 0,"hito_sub",""))</f>
        <v/>
      </c>
      <c r="F392" s="41" t="str">
        <f>IF(COUNTIF('ūd sorbcija Sa'!$C$3:$C$22, $D392) &gt; 0, "ūdens sorbc",IF(COUNTIF(higro!$C$19:$C$30, $D392) &gt; 0, "higroskopija",IF(COUNTIF(higro!$C$47:$C$58, $D392) &gt; 0, "higroskopija",IF(COUNTIF(Komp!$D$2:$D$16, $D392) &gt; 0, "komposts",IF(COUNTIF(spiedei!$C$42:$C$106, $D392) &gt; 0, "spiede","")))))</f>
        <v/>
      </c>
    </row>
    <row r="393" spans="1:6" ht="15.75" customHeight="1">
      <c r="A393" s="26" t="s">
        <v>35</v>
      </c>
      <c r="B393" s="26">
        <v>4</v>
      </c>
      <c r="C393" s="58">
        <v>130</v>
      </c>
      <c r="D393" s="59">
        <v>130</v>
      </c>
      <c r="E393" s="41" t="str">
        <f>IF(COUNTIF('Sa suberīnskābe'!$B$6:$B$83, $D393) &gt; 0,"sub",IF(COUNTIF('Sa hito + sub'!$B$6:$B$82, $D393) &gt; 0,"hito_sub",""))</f>
        <v/>
      </c>
      <c r="F393" s="41" t="str">
        <f>IF(COUNTIF('ūd sorbcija Sa'!$C$3:$C$22, $D393) &gt; 0, "ūdens sorbc",IF(COUNTIF(higro!$C$19:$C$30, $D393) &gt; 0, "higroskopija",IF(COUNTIF(higro!$C$47:$C$58, $D393) &gt; 0, "higroskopija",IF(COUNTIF(Komp!$D$2:$D$16, $D393) &gt; 0, "komposts",IF(COUNTIF(spiedei!$C$42:$C$106, $D393) &gt; 0, "spiede","")))))</f>
        <v/>
      </c>
    </row>
    <row r="394" spans="1:6" ht="15.75" customHeight="1">
      <c r="A394" s="26" t="s">
        <v>35</v>
      </c>
      <c r="B394" s="26">
        <v>4</v>
      </c>
      <c r="C394" s="58">
        <v>131</v>
      </c>
      <c r="D394" s="59">
        <v>121</v>
      </c>
      <c r="E394" s="41" t="str">
        <f>IF(COUNTIF('Sa suberīnskābe'!$B$6:$B$83, $D394) &gt; 0,"sub",IF(COUNTIF('Sa hito + sub'!$B$6:$B$82, $D394) &gt; 0,"hito_sub",""))</f>
        <v/>
      </c>
      <c r="F394" s="41" t="str">
        <f>IF(COUNTIF('ūd sorbcija Sa'!$C$3:$C$22, $D394) &gt; 0, "ūdens sorbc",IF(COUNTIF(higro!$C$19:$C$30, $D394) &gt; 0, "higroskopija",IF(COUNTIF(higro!$C$47:$C$58, $D394) &gt; 0, "higroskopija",IF(COUNTIF(Komp!$D$2:$D$16, $D394) &gt; 0, "komposts",IF(COUNTIF(spiedei!$C$42:$C$106, $D394) &gt; 0, "spiede","")))))</f>
        <v/>
      </c>
    </row>
    <row r="395" spans="1:6" ht="15.75" customHeight="1">
      <c r="A395" s="26" t="s">
        <v>35</v>
      </c>
      <c r="B395" s="26">
        <v>4</v>
      </c>
      <c r="C395" s="58">
        <v>131</v>
      </c>
      <c r="D395" s="59">
        <v>122</v>
      </c>
      <c r="E395" s="41" t="str">
        <f>IF(COUNTIF('Sa suberīnskābe'!$B$6:$B$83, $D395) &gt; 0,"sub",IF(COUNTIF('Sa hito + sub'!$B$6:$B$82, $D395) &gt; 0,"hito_sub",""))</f>
        <v/>
      </c>
      <c r="F395" s="41" t="str">
        <f>IF(COUNTIF('ūd sorbcija Sa'!$C$3:$C$22, $D395) &gt; 0, "ūdens sorbc",IF(COUNTIF(higro!$C$19:$C$30, $D395) &gt; 0, "higroskopija",IF(COUNTIF(higro!$C$47:$C$58, $D395) &gt; 0, "higroskopija",IF(COUNTIF(Komp!$D$2:$D$16, $D395) &gt; 0, "komposts",IF(COUNTIF(spiedei!$C$42:$C$106, $D395) &gt; 0, "spiede","")))))</f>
        <v/>
      </c>
    </row>
    <row r="396" spans="1:6" ht="15.75" customHeight="1">
      <c r="A396" s="26" t="s">
        <v>35</v>
      </c>
      <c r="B396" s="26">
        <v>4</v>
      </c>
      <c r="C396" s="58">
        <v>131</v>
      </c>
      <c r="D396" s="59">
        <v>123</v>
      </c>
      <c r="E396" s="41" t="str">
        <f>IF(COUNTIF('Sa suberīnskābe'!$B$6:$B$83, $D396) &gt; 0,"sub",IF(COUNTIF('Sa hito + sub'!$B$6:$B$82, $D396) &gt; 0,"hito_sub",""))</f>
        <v/>
      </c>
      <c r="F396" s="41" t="str">
        <f>IF(COUNTIF('ūd sorbcija Sa'!$C$3:$C$22, $D396) &gt; 0, "ūdens sorbc",IF(COUNTIF(higro!$C$19:$C$30, $D396) &gt; 0, "higroskopija",IF(COUNTIF(higro!$C$47:$C$58, $D396) &gt; 0, "higroskopija",IF(COUNTIF(Komp!$D$2:$D$16, $D396) &gt; 0, "komposts",IF(COUNTIF(spiedei!$C$42:$C$106, $D396) &gt; 0, "spiede","")))))</f>
        <v/>
      </c>
    </row>
    <row r="397" spans="1:6" ht="15.75" customHeight="1">
      <c r="A397" s="26" t="s">
        <v>35</v>
      </c>
      <c r="B397" s="26">
        <v>4</v>
      </c>
      <c r="C397" s="58">
        <v>131</v>
      </c>
      <c r="D397" s="59">
        <v>124</v>
      </c>
      <c r="E397" s="41" t="str">
        <f>IF(COUNTIF('Sa suberīnskābe'!$B$6:$B$83, $D397) &gt; 0,"sub",IF(COUNTIF('Sa hito + sub'!$B$6:$B$82, $D397) &gt; 0,"hito_sub",""))</f>
        <v/>
      </c>
      <c r="F397" s="41" t="str">
        <f>IF(COUNTIF('ūd sorbcija Sa'!$C$3:$C$22, $D397) &gt; 0, "ūdens sorbc",IF(COUNTIF(higro!$C$19:$C$30, $D397) &gt; 0, "higroskopija",IF(COUNTIF(higro!$C$47:$C$58, $D397) &gt; 0, "higroskopija",IF(COUNTIF(Komp!$D$2:$D$16, $D397) &gt; 0, "komposts",IF(COUNTIF(spiedei!$C$42:$C$106, $D397) &gt; 0, "spiede","")))))</f>
        <v/>
      </c>
    </row>
    <row r="398" spans="1:6" ht="15.75" customHeight="1">
      <c r="A398" s="26" t="s">
        <v>35</v>
      </c>
      <c r="B398" s="26">
        <v>4</v>
      </c>
      <c r="C398" s="58">
        <v>131</v>
      </c>
      <c r="D398" s="59">
        <v>125</v>
      </c>
      <c r="E398" s="41" t="str">
        <f>IF(COUNTIF('Sa suberīnskābe'!$B$6:$B$83, $D398) &gt; 0,"sub",IF(COUNTIF('Sa hito + sub'!$B$6:$B$82, $D398) &gt; 0,"hito_sub",""))</f>
        <v/>
      </c>
      <c r="F398" s="41" t="str">
        <f>IF(COUNTIF('ūd sorbcija Sa'!$C$3:$C$22, $D398) &gt; 0, "ūdens sorbc",IF(COUNTIF(higro!$C$19:$C$30, $D398) &gt; 0, "higroskopija",IF(COUNTIF(higro!$C$47:$C$58, $D398) &gt; 0, "higroskopija",IF(COUNTIF(Komp!$D$2:$D$16, $D398) &gt; 0, "komposts",IF(COUNTIF(spiedei!$C$42:$C$106, $D398) &gt; 0, "spiede","")))))</f>
        <v/>
      </c>
    </row>
    <row r="399" spans="1:6" ht="15.75" customHeight="1">
      <c r="A399" s="26" t="s">
        <v>35</v>
      </c>
      <c r="B399" s="26">
        <v>4</v>
      </c>
      <c r="C399" s="58">
        <v>132</v>
      </c>
      <c r="D399" s="59">
        <v>116</v>
      </c>
      <c r="E399" s="41" t="str">
        <f>IF(COUNTIF('Sa suberīnskābe'!$B$6:$B$83, $D399) &gt; 0,"sub",IF(COUNTIF('Sa hito + sub'!$B$6:$B$82, $D399) &gt; 0,"hito_sub",""))</f>
        <v/>
      </c>
      <c r="F399" s="41" t="str">
        <f>IF(COUNTIF('ūd sorbcija Sa'!$C$3:$C$22, $D399) &gt; 0, "ūdens sorbc",IF(COUNTIF(higro!$C$19:$C$30, $D399) &gt; 0, "higroskopija",IF(COUNTIF(higro!$C$47:$C$58, $D399) &gt; 0, "higroskopija",IF(COUNTIF(Komp!$D$2:$D$16, $D399) &gt; 0, "komposts",IF(COUNTIF(spiedei!$C$42:$C$106, $D399) &gt; 0, "spiede","")))))</f>
        <v/>
      </c>
    </row>
    <row r="400" spans="1:6" ht="15.75" customHeight="1">
      <c r="A400" s="26" t="s">
        <v>35</v>
      </c>
      <c r="B400" s="26">
        <v>4</v>
      </c>
      <c r="C400" s="58">
        <v>132</v>
      </c>
      <c r="D400" s="59">
        <v>117</v>
      </c>
      <c r="E400" s="41" t="str">
        <f>IF(COUNTIF('Sa suberīnskābe'!$B$6:$B$83, $D400) &gt; 0,"sub",IF(COUNTIF('Sa hito + sub'!$B$6:$B$82, $D400) &gt; 0,"hito_sub",""))</f>
        <v/>
      </c>
      <c r="F400" s="41" t="str">
        <f>IF(COUNTIF('ūd sorbcija Sa'!$C$3:$C$22, $D400) &gt; 0, "ūdens sorbc",IF(COUNTIF(higro!$C$19:$C$30, $D400) &gt; 0, "higroskopija",IF(COUNTIF(higro!$C$47:$C$58, $D400) &gt; 0, "higroskopija",IF(COUNTIF(Komp!$D$2:$D$16, $D400) &gt; 0, "komposts",IF(COUNTIF(spiedei!$C$42:$C$106, $D400) &gt; 0, "spiede","")))))</f>
        <v/>
      </c>
    </row>
    <row r="401" spans="1:6" ht="15.75" customHeight="1">
      <c r="A401" s="26" t="s">
        <v>35</v>
      </c>
      <c r="B401" s="26">
        <v>4</v>
      </c>
      <c r="C401" s="58">
        <v>132</v>
      </c>
      <c r="D401" s="59">
        <v>118</v>
      </c>
      <c r="E401" s="41" t="str">
        <f>IF(COUNTIF('Sa suberīnskābe'!$B$6:$B$83, $D401) &gt; 0,"sub",IF(COUNTIF('Sa hito + sub'!$B$6:$B$82, $D401) &gt; 0,"hito_sub",""))</f>
        <v/>
      </c>
      <c r="F401" s="41" t="str">
        <f>IF(COUNTIF('ūd sorbcija Sa'!$C$3:$C$22, $D401) &gt; 0, "ūdens sorbc",IF(COUNTIF(higro!$C$19:$C$30, $D401) &gt; 0, "higroskopija",IF(COUNTIF(higro!$C$47:$C$58, $D401) &gt; 0, "higroskopija",IF(COUNTIF(Komp!$D$2:$D$16, $D401) &gt; 0, "komposts",IF(COUNTIF(spiedei!$C$42:$C$106, $D401) &gt; 0, "spiede","")))))</f>
        <v/>
      </c>
    </row>
    <row r="402" spans="1:6" ht="15.75" customHeight="1">
      <c r="A402" s="26" t="s">
        <v>35</v>
      </c>
      <c r="B402" s="26">
        <v>4</v>
      </c>
      <c r="C402" s="58">
        <v>132</v>
      </c>
      <c r="D402" s="59">
        <v>119</v>
      </c>
      <c r="E402" s="41" t="str">
        <f>IF(COUNTIF('Sa suberīnskābe'!$B$6:$B$83, $D402) &gt; 0,"sub",IF(COUNTIF('Sa hito + sub'!$B$6:$B$82, $D402) &gt; 0,"hito_sub",""))</f>
        <v/>
      </c>
      <c r="F402" s="41" t="str">
        <f>IF(COUNTIF('ūd sorbcija Sa'!$C$3:$C$22, $D402) &gt; 0, "ūdens sorbc",IF(COUNTIF(higro!$C$19:$C$30, $D402) &gt; 0, "higroskopija",IF(COUNTIF(higro!$C$47:$C$58, $D402) &gt; 0, "higroskopija",IF(COUNTIF(Komp!$D$2:$D$16, $D402) &gt; 0, "komposts",IF(COUNTIF(spiedei!$C$42:$C$106, $D402) &gt; 0, "spiede","")))))</f>
        <v/>
      </c>
    </row>
    <row r="403" spans="1:6" ht="15.75" customHeight="1">
      <c r="A403" s="26" t="s">
        <v>35</v>
      </c>
      <c r="B403" s="26">
        <v>4</v>
      </c>
      <c r="C403" s="58">
        <v>132</v>
      </c>
      <c r="D403" s="59">
        <v>120</v>
      </c>
      <c r="E403" s="41" t="str">
        <f>IF(COUNTIF('Sa suberīnskābe'!$B$6:$B$83, $D403) &gt; 0,"sub",IF(COUNTIF('Sa hito + sub'!$B$6:$B$82, $D403) &gt; 0,"hito_sub",""))</f>
        <v/>
      </c>
      <c r="F403" s="41" t="str">
        <f>IF(COUNTIF('ūd sorbcija Sa'!$C$3:$C$22, $D403) &gt; 0, "ūdens sorbc",IF(COUNTIF(higro!$C$19:$C$30, $D403) &gt; 0, "higroskopija",IF(COUNTIF(higro!$C$47:$C$58, $D403) &gt; 0, "higroskopija",IF(COUNTIF(Komp!$D$2:$D$16, $D403) &gt; 0, "komposts",IF(COUNTIF(spiedei!$C$42:$C$106, $D403) &gt; 0, "spiede","")))))</f>
        <v/>
      </c>
    </row>
    <row r="404" spans="1:6" ht="15.75" customHeight="1">
      <c r="A404" s="26" t="s">
        <v>35</v>
      </c>
      <c r="B404" s="26">
        <v>4</v>
      </c>
      <c r="C404" s="58">
        <v>133</v>
      </c>
      <c r="D404" s="59">
        <v>111</v>
      </c>
      <c r="E404" s="41" t="str">
        <f>IF(COUNTIF('Sa suberīnskābe'!$B$6:$B$83, $D404) &gt; 0,"sub",IF(COUNTIF('Sa hito + sub'!$B$6:$B$82, $D404) &gt; 0,"hito_sub",""))</f>
        <v/>
      </c>
      <c r="F404" s="41" t="str">
        <f>IF(COUNTIF('ūd sorbcija Sa'!$C$3:$C$22, $D404) &gt; 0, "ūdens sorbc",IF(COUNTIF(higro!$C$19:$C$30, $D404) &gt; 0, "higroskopija",IF(COUNTIF(higro!$C$47:$C$58, $D404) &gt; 0, "higroskopija",IF(COUNTIF(Komp!$D$2:$D$16, $D404) &gt; 0, "komposts",IF(COUNTIF(spiedei!$C$42:$C$106, $D404) &gt; 0, "spiede","")))))</f>
        <v/>
      </c>
    </row>
    <row r="405" spans="1:6" ht="15.75" customHeight="1">
      <c r="A405" s="26" t="s">
        <v>35</v>
      </c>
      <c r="B405" s="26">
        <v>4</v>
      </c>
      <c r="C405" s="58">
        <v>133</v>
      </c>
      <c r="D405" s="59">
        <v>112</v>
      </c>
      <c r="E405" s="41" t="str">
        <f>IF(COUNTIF('Sa suberīnskābe'!$B$6:$B$83, $D405) &gt; 0,"sub",IF(COUNTIF('Sa hito + sub'!$B$6:$B$82, $D405) &gt; 0,"hito_sub",""))</f>
        <v/>
      </c>
      <c r="F405" s="41" t="str">
        <f>IF(COUNTIF('ūd sorbcija Sa'!$C$3:$C$22, $D405) &gt; 0, "ūdens sorbc",IF(COUNTIF(higro!$C$19:$C$30, $D405) &gt; 0, "higroskopija",IF(COUNTIF(higro!$C$47:$C$58, $D405) &gt; 0, "higroskopija",IF(COUNTIF(Komp!$D$2:$D$16, $D405) &gt; 0, "komposts",IF(COUNTIF(spiedei!$C$42:$C$106, $D405) &gt; 0, "spiede","")))))</f>
        <v/>
      </c>
    </row>
    <row r="406" spans="1:6" ht="15.75" customHeight="1">
      <c r="A406" s="26" t="s">
        <v>35</v>
      </c>
      <c r="B406" s="26">
        <v>4</v>
      </c>
      <c r="C406" s="58">
        <v>133</v>
      </c>
      <c r="D406" s="59">
        <v>113</v>
      </c>
      <c r="E406" s="41" t="str">
        <f>IF(COUNTIF('Sa suberīnskābe'!$B$6:$B$83, $D406) &gt; 0,"sub",IF(COUNTIF('Sa hito + sub'!$B$6:$B$82, $D406) &gt; 0,"hito_sub",""))</f>
        <v/>
      </c>
      <c r="F406" s="41" t="str">
        <f>IF(COUNTIF('ūd sorbcija Sa'!$C$3:$C$22, $D406) &gt; 0, "ūdens sorbc",IF(COUNTIF(higro!$C$19:$C$30, $D406) &gt; 0, "higroskopija",IF(COUNTIF(higro!$C$47:$C$58, $D406) &gt; 0, "higroskopija",IF(COUNTIF(Komp!$D$2:$D$16, $D406) &gt; 0, "komposts",IF(COUNTIF(spiedei!$C$42:$C$106, $D406) &gt; 0, "spiede","")))))</f>
        <v/>
      </c>
    </row>
    <row r="407" spans="1:6" ht="15.75" customHeight="1">
      <c r="A407" s="26" t="s">
        <v>35</v>
      </c>
      <c r="B407" s="26">
        <v>4</v>
      </c>
      <c r="C407" s="58">
        <v>133</v>
      </c>
      <c r="D407" s="59">
        <v>114</v>
      </c>
      <c r="E407" s="41" t="str">
        <f>IF(COUNTIF('Sa suberīnskābe'!$B$6:$B$83, $D407) &gt; 0,"sub",IF(COUNTIF('Sa hito + sub'!$B$6:$B$82, $D407) &gt; 0,"hito_sub",""))</f>
        <v/>
      </c>
      <c r="F407" s="41" t="str">
        <f>IF(COUNTIF('ūd sorbcija Sa'!$C$3:$C$22, $D407) &gt; 0, "ūdens sorbc",IF(COUNTIF(higro!$C$19:$C$30, $D407) &gt; 0, "higroskopija",IF(COUNTIF(higro!$C$47:$C$58, $D407) &gt; 0, "higroskopija",IF(COUNTIF(Komp!$D$2:$D$16, $D407) &gt; 0, "komposts",IF(COUNTIF(spiedei!$C$42:$C$106, $D407) &gt; 0, "spiede","")))))</f>
        <v/>
      </c>
    </row>
    <row r="408" spans="1:6" ht="15.75" customHeight="1">
      <c r="A408" s="28" t="s">
        <v>35</v>
      </c>
      <c r="B408" s="28">
        <v>4</v>
      </c>
      <c r="C408" s="63">
        <v>133</v>
      </c>
      <c r="D408" s="64">
        <v>115</v>
      </c>
      <c r="E408" s="41" t="str">
        <f>IF(COUNTIF('Sa suberīnskābe'!$B$6:$B$83, $D408) &gt; 0,"sub",IF(COUNTIF('Sa hito + sub'!$B$6:$B$82, $D408) &gt; 0,"hito_sub",""))</f>
        <v/>
      </c>
      <c r="F408" s="41" t="str">
        <f>IF(COUNTIF('ūd sorbcija Sa'!$C$3:$C$22, $D408) &gt; 0, "ūdens sorbc",IF(COUNTIF(higro!$C$19:$C$30, $D408) &gt; 0, "higroskopija",IF(COUNTIF(higro!$C$47:$C$58, $D408) &gt; 0, "higroskopija",IF(COUNTIF(Komp!$D$2:$D$16, $D408) &gt; 0, "komposts",IF(COUNTIF(spiedei!$C$42:$C$106, $D408) &gt; 0, "spiede","")))))</f>
        <v/>
      </c>
    </row>
    <row r="409" spans="1:6" ht="15.75" customHeight="1">
      <c r="A409" s="23" t="s">
        <v>36</v>
      </c>
      <c r="B409" s="23">
        <v>1</v>
      </c>
      <c r="C409" s="56">
        <v>12</v>
      </c>
      <c r="D409" s="57">
        <v>186</v>
      </c>
      <c r="E409" s="41" t="str">
        <f>IF(COUNTIF('Sa suberīnskābe'!$B$6:$B$83, $D409) &gt; 0,"sub",IF(COUNTIF('Sa hito + sub'!$B$6:$B$82, $D409) &gt; 0,"hito_sub",""))</f>
        <v>sub</v>
      </c>
      <c r="F409" s="41" t="str">
        <f>IF(COUNTIF('ūd sorbcija Sa'!$C$3:$C$22, $D409) &gt; 0, "ūdens sorbc",IF(COUNTIF(higro!$C$19:$C$30, $D409) &gt; 0, "higroskopija",IF(COUNTIF(higro!$C$47:$C$58, $D409) &gt; 0, "higroskopija",IF(COUNTIF(Komp!$D$2:$D$16, $D409) &gt; 0, "komposts",IF(COUNTIF(spiedei!$C$42:$C$106, $D409) &gt; 0, "spiede","")))))</f>
        <v>spiede</v>
      </c>
    </row>
    <row r="410" spans="1:6" ht="15.75" customHeight="1">
      <c r="A410" s="26" t="s">
        <v>36</v>
      </c>
      <c r="B410" s="26">
        <v>1</v>
      </c>
      <c r="C410" s="58">
        <v>12</v>
      </c>
      <c r="D410" s="59">
        <v>187</v>
      </c>
      <c r="E410" s="41" t="str">
        <f>IF(COUNTIF('Sa suberīnskābe'!$B$6:$B$83, $D410) &gt; 0,"sub",IF(COUNTIF('Sa hito + sub'!$B$6:$B$82, $D410) &gt; 0,"hito_sub",""))</f>
        <v>sub</v>
      </c>
      <c r="F410" s="41" t="str">
        <f>IF(COUNTIF('ūd sorbcija Sa'!$C$3:$C$22, $D410) &gt; 0, "ūdens sorbc",IF(COUNTIF(higro!$C$19:$C$30, $D410) &gt; 0, "higroskopija",IF(COUNTIF(higro!$C$47:$C$58, $D410) &gt; 0, "higroskopija",IF(COUNTIF(Komp!$D$2:$D$16, $D410) &gt; 0, "komposts",IF(COUNTIF(spiedei!$C$42:$C$106, $D410) &gt; 0, "spiede","")))))</f>
        <v>spiede</v>
      </c>
    </row>
    <row r="411" spans="1:6" ht="15.75" customHeight="1">
      <c r="A411" s="26" t="s">
        <v>36</v>
      </c>
      <c r="B411" s="26">
        <v>1</v>
      </c>
      <c r="C411" s="58">
        <v>12</v>
      </c>
      <c r="D411" s="59">
        <v>188</v>
      </c>
      <c r="E411" s="41" t="str">
        <f>IF(COUNTIF('Sa suberīnskābe'!$B$6:$B$83, $D411) &gt; 0,"sub",IF(COUNTIF('Sa hito + sub'!$B$6:$B$82, $D411) &gt; 0,"hito_sub",""))</f>
        <v>sub</v>
      </c>
      <c r="F411" s="41" t="str">
        <f>IF(COUNTIF('ūd sorbcija Sa'!$C$3:$C$22, $D411) &gt; 0, "ūdens sorbc",IF(COUNTIF(higro!$C$19:$C$30, $D411) &gt; 0, "higroskopija",IF(COUNTIF(higro!$C$47:$C$58, $D411) &gt; 0, "higroskopija",IF(COUNTIF(Komp!$D$2:$D$16, $D411) &gt; 0, "komposts",IF(COUNTIF(spiedei!$C$42:$C$106, $D411) &gt; 0, "spiede","")))))</f>
        <v>spiede</v>
      </c>
    </row>
    <row r="412" spans="1:6" ht="15.75" customHeight="1">
      <c r="A412" s="26" t="s">
        <v>36</v>
      </c>
      <c r="B412" s="26">
        <v>1</v>
      </c>
      <c r="C412" s="58">
        <v>12</v>
      </c>
      <c r="D412" s="59">
        <v>189</v>
      </c>
      <c r="E412" s="41" t="str">
        <f>IF(COUNTIF('Sa suberīnskābe'!$B$6:$B$83, $D412) &gt; 0,"sub",IF(COUNTIF('Sa hito + sub'!$B$6:$B$82, $D412) &gt; 0,"hito_sub",""))</f>
        <v>sub</v>
      </c>
      <c r="F412" s="41" t="str">
        <f>IF(COUNTIF('ūd sorbcija Sa'!$C$3:$C$22, $D412) &gt; 0, "ūdens sorbc",IF(COUNTIF(higro!$C$19:$C$30, $D412) &gt; 0, "higroskopija",IF(COUNTIF(higro!$C$47:$C$58, $D412) &gt; 0, "higroskopija",IF(COUNTIF(Komp!$D$2:$D$16, $D412) &gt; 0, "komposts",IF(COUNTIF(spiedei!$C$42:$C$106, $D412) &gt; 0, "spiede","")))))</f>
        <v>spiede</v>
      </c>
    </row>
    <row r="413" spans="1:6" ht="15.75" customHeight="1">
      <c r="A413" s="26" t="s">
        <v>36</v>
      </c>
      <c r="B413" s="26">
        <v>1</v>
      </c>
      <c r="C413" s="58">
        <v>12</v>
      </c>
      <c r="D413" s="59">
        <v>190</v>
      </c>
      <c r="E413" s="41" t="str">
        <f>IF(COUNTIF('Sa suberīnskābe'!$B$6:$B$83, $D413) &gt; 0,"sub",IF(COUNTIF('Sa hito + sub'!$B$6:$B$82, $D413) &gt; 0,"hito_sub",""))</f>
        <v>sub</v>
      </c>
      <c r="F413" s="41" t="str">
        <f>IF(COUNTIF('ūd sorbcija Sa'!$C$3:$C$22, $D413) &gt; 0, "ūdens sorbc",IF(COUNTIF(higro!$C$19:$C$30, $D413) &gt; 0, "higroskopija",IF(COUNTIF(higro!$C$47:$C$58, $D413) &gt; 0, "higroskopija",IF(COUNTIF(Komp!$D$2:$D$16, $D413) &gt; 0, "komposts",IF(COUNTIF(spiedei!$C$42:$C$106, $D413) &gt; 0, "spiede","")))))</f>
        <v>spiede</v>
      </c>
    </row>
    <row r="414" spans="1:6" ht="15.75" customHeight="1">
      <c r="A414" s="26" t="s">
        <v>36</v>
      </c>
      <c r="B414" s="26">
        <v>1</v>
      </c>
      <c r="C414" s="58">
        <v>13</v>
      </c>
      <c r="D414" s="59">
        <v>191</v>
      </c>
      <c r="E414" s="41" t="str">
        <f>IF(COUNTIF('Sa suberīnskābe'!$B$6:$B$83, $D414) &gt; 0,"sub",IF(COUNTIF('Sa hito + sub'!$B$6:$B$82, $D414) &gt; 0,"hito_sub",""))</f>
        <v>hito_sub</v>
      </c>
      <c r="F414" s="60" t="s">
        <v>56</v>
      </c>
    </row>
    <row r="415" spans="1:6" ht="15.75" customHeight="1">
      <c r="A415" s="26" t="s">
        <v>36</v>
      </c>
      <c r="B415" s="26">
        <v>1</v>
      </c>
      <c r="C415" s="58">
        <v>13</v>
      </c>
      <c r="D415" s="59">
        <v>192</v>
      </c>
      <c r="E415" s="41" t="str">
        <f>IF(COUNTIF('Sa suberīnskābe'!$B$6:$B$83, $D415) &gt; 0,"sub",IF(COUNTIF('Sa hito + sub'!$B$6:$B$82, $D415) &gt; 0,"hito_sub",""))</f>
        <v>hito_sub</v>
      </c>
      <c r="F415" s="61" t="s">
        <v>45</v>
      </c>
    </row>
    <row r="416" spans="1:6" ht="15.75" customHeight="1">
      <c r="A416" s="26" t="s">
        <v>36</v>
      </c>
      <c r="B416" s="26">
        <v>1</v>
      </c>
      <c r="C416" s="58">
        <v>13</v>
      </c>
      <c r="D416" s="59">
        <v>193</v>
      </c>
      <c r="E416" s="41" t="str">
        <f>IF(COUNTIF('Sa suberīnskābe'!$B$6:$B$83, $D416) &gt; 0,"sub",IF(COUNTIF('Sa hito + sub'!$B$6:$B$82, $D416) &gt; 0,"hito_sub",""))</f>
        <v>hito_sub</v>
      </c>
      <c r="F416" s="41" t="str">
        <f>IF(COUNTIF('ūd sorbcija Sa'!$C$3:$C$22, $D416) &gt; 0, "ūdens sorbc",IF(COUNTIF(higro!$C$19:$C$30, $D416) &gt; 0, "higroskopija",IF(COUNTIF(higro!$C$47:$C$58, $D416) &gt; 0, "higroskopija",IF(COUNTIF(Komp!$D$2:$D$16, $D416) &gt; 0, "komposts",IF(COUNTIF(spiedei!$C$42:$C$106, $D416) &gt; 0, "spiede","")))))</f>
        <v>higroskopija</v>
      </c>
    </row>
    <row r="417" spans="1:6" ht="15.75" customHeight="1">
      <c r="A417" s="26" t="s">
        <v>36</v>
      </c>
      <c r="B417" s="26">
        <v>1</v>
      </c>
      <c r="C417" s="58">
        <v>13</v>
      </c>
      <c r="D417" s="59">
        <v>194</v>
      </c>
      <c r="E417" s="41" t="str">
        <f>IF(COUNTIF('Sa suberīnskābe'!$B$6:$B$83, $D417) &gt; 0,"sub",IF(COUNTIF('Sa hito + sub'!$B$6:$B$82, $D417) &gt; 0,"hito_sub",""))</f>
        <v>hito_sub</v>
      </c>
      <c r="F417" s="62" t="s">
        <v>48</v>
      </c>
    </row>
    <row r="418" spans="1:6" ht="15.75" customHeight="1">
      <c r="A418" s="26" t="s">
        <v>36</v>
      </c>
      <c r="B418" s="26">
        <v>1</v>
      </c>
      <c r="C418" s="58">
        <v>13</v>
      </c>
      <c r="D418" s="59">
        <v>195</v>
      </c>
      <c r="E418" s="41" t="str">
        <f>IF(COUNTIF('Sa suberīnskābe'!$B$6:$B$83, $D418) &gt; 0,"sub",IF(COUNTIF('Sa hito + sub'!$B$6:$B$82, $D418) &gt; 0,"hito_sub",""))</f>
        <v>hito_sub</v>
      </c>
      <c r="F418" s="61" t="s">
        <v>45</v>
      </c>
    </row>
    <row r="419" spans="1:6" ht="15.75" customHeight="1">
      <c r="A419" s="26" t="s">
        <v>36</v>
      </c>
      <c r="B419" s="26">
        <v>1</v>
      </c>
      <c r="C419" s="58">
        <v>14</v>
      </c>
      <c r="D419" s="59">
        <v>196</v>
      </c>
      <c r="E419" s="41" t="str">
        <f>IF(COUNTIF('Sa suberīnskābe'!$B$6:$B$83, $D419) &gt; 0,"sub",IF(COUNTIF('Sa hito + sub'!$B$6:$B$82, $D419) &gt; 0,"hito_sub",""))</f>
        <v/>
      </c>
      <c r="F419" s="41" t="str">
        <f>IF(COUNTIF('ūd sorbcija Sa'!$C$3:$C$22, $D419) &gt; 0, "ūdens sorbc",IF(COUNTIF(higro!$C$19:$C$30, $D419) &gt; 0, "higroskopija",IF(COUNTIF(higro!$C$47:$C$58, $D419) &gt; 0, "higroskopija",IF(COUNTIF(Komp!$D$2:$D$16, $D419) &gt; 0, "komposts",IF(COUNTIF(spiedei!$C$42:$C$106, $D419) &gt; 0, "spiede","")))))</f>
        <v/>
      </c>
    </row>
    <row r="420" spans="1:6" ht="15.75" customHeight="1">
      <c r="A420" s="26" t="s">
        <v>36</v>
      </c>
      <c r="B420" s="26">
        <v>1</v>
      </c>
      <c r="C420" s="58">
        <v>14</v>
      </c>
      <c r="D420" s="59">
        <v>197</v>
      </c>
      <c r="E420" s="41" t="str">
        <f>IF(COUNTIF('Sa suberīnskābe'!$B$6:$B$83, $D420) &gt; 0,"sub",IF(COUNTIF('Sa hito + sub'!$B$6:$B$82, $D420) &gt; 0,"hito_sub",""))</f>
        <v/>
      </c>
      <c r="F420" s="41" t="str">
        <f>IF(COUNTIF('ūd sorbcija Sa'!$C$3:$C$22, $D420) &gt; 0, "ūdens sorbc",IF(COUNTIF(higro!$C$19:$C$30, $D420) &gt; 0, "higroskopija",IF(COUNTIF(higro!$C$47:$C$58, $D420) &gt; 0, "higroskopija",IF(COUNTIF(Komp!$D$2:$D$16, $D420) &gt; 0, "komposts",IF(COUNTIF(spiedei!$C$42:$C$106, $D420) &gt; 0, "spiede","")))))</f>
        <v/>
      </c>
    </row>
    <row r="421" spans="1:6" ht="15.75" customHeight="1">
      <c r="A421" s="26" t="s">
        <v>36</v>
      </c>
      <c r="B421" s="26">
        <v>1</v>
      </c>
      <c r="C421" s="58">
        <v>14</v>
      </c>
      <c r="D421" s="59">
        <v>198</v>
      </c>
      <c r="E421" s="41" t="str">
        <f>IF(COUNTIF('Sa suberīnskābe'!$B$6:$B$83, $D421) &gt; 0,"sub",IF(COUNTIF('Sa hito + sub'!$B$6:$B$82, $D421) &gt; 0,"hito_sub",""))</f>
        <v/>
      </c>
      <c r="F421" s="41" t="str">
        <f>IF(COUNTIF('ūd sorbcija Sa'!$C$3:$C$22, $D421) &gt; 0, "ūdens sorbc",IF(COUNTIF(higro!$C$19:$C$30, $D421) &gt; 0, "higroskopija",IF(COUNTIF(higro!$C$47:$C$58, $D421) &gt; 0, "higroskopija",IF(COUNTIF(Komp!$D$2:$D$16, $D421) &gt; 0, "komposts",IF(COUNTIF(spiedei!$C$42:$C$106, $D421) &gt; 0, "spiede","")))))</f>
        <v/>
      </c>
    </row>
    <row r="422" spans="1:6" ht="15.75" customHeight="1">
      <c r="A422" s="26" t="s">
        <v>36</v>
      </c>
      <c r="B422" s="26">
        <v>1</v>
      </c>
      <c r="C422" s="58">
        <v>14</v>
      </c>
      <c r="D422" s="59">
        <v>199</v>
      </c>
      <c r="E422" s="41" t="str">
        <f>IF(COUNTIF('Sa suberīnskābe'!$B$6:$B$83, $D422) &gt; 0,"sub",IF(COUNTIF('Sa hito + sub'!$B$6:$B$82, $D422) &gt; 0,"hito_sub",""))</f>
        <v/>
      </c>
      <c r="F422" s="41" t="str">
        <f>IF(COUNTIF('ūd sorbcija Sa'!$C$3:$C$22, $D422) &gt; 0, "ūdens sorbc",IF(COUNTIF(higro!$C$19:$C$30, $D422) &gt; 0, "higroskopija",IF(COUNTIF(higro!$C$47:$C$58, $D422) &gt; 0, "higroskopija",IF(COUNTIF(Komp!$D$2:$D$16, $D422) &gt; 0, "komposts",IF(COUNTIF(spiedei!$C$42:$C$106, $D422) &gt; 0, "spiede","")))))</f>
        <v>komposts</v>
      </c>
    </row>
    <row r="423" spans="1:6" ht="15.75" customHeight="1">
      <c r="A423" s="26" t="s">
        <v>36</v>
      </c>
      <c r="B423" s="28">
        <v>1</v>
      </c>
      <c r="C423" s="63">
        <v>14</v>
      </c>
      <c r="D423" s="64">
        <v>200</v>
      </c>
      <c r="E423" s="41" t="str">
        <f>IF(COUNTIF('Sa suberīnskābe'!$B$6:$B$83, $D423) &gt; 0,"sub",IF(COUNTIF('Sa hito + sub'!$B$6:$B$82, $D423) &gt; 0,"hito_sub",""))</f>
        <v/>
      </c>
      <c r="F423" s="41" t="str">
        <f>IF(COUNTIF('ūd sorbcija Sa'!$C$3:$C$22, $D423) &gt; 0, "ūdens sorbc",IF(COUNTIF(higro!$C$19:$C$30, $D423) &gt; 0, "higroskopija",IF(COUNTIF(higro!$C$47:$C$58, $D423) &gt; 0, "higroskopija",IF(COUNTIF(Komp!$D$2:$D$16, $D423) &gt; 0, "komposts",IF(COUNTIF(spiedei!$C$42:$C$106, $D423) &gt; 0, "spiede","")))))</f>
        <v>komposts</v>
      </c>
    </row>
    <row r="424" spans="1:6" ht="15.75" customHeight="1">
      <c r="A424" s="26" t="s">
        <v>36</v>
      </c>
      <c r="B424" s="23">
        <v>4</v>
      </c>
      <c r="C424" s="56">
        <v>25</v>
      </c>
      <c r="D424" s="57">
        <v>261</v>
      </c>
      <c r="E424" s="41" t="str">
        <f>IF(COUNTIF('Sa suberīnskābe'!$B$6:$B$83, $D424) &gt; 0,"sub",IF(COUNTIF('Sa hito + sub'!$B$6:$B$82, $D424) &gt; 0,"hito_sub",""))</f>
        <v>sub</v>
      </c>
      <c r="F424" s="41" t="str">
        <f>IF(COUNTIF('ūd sorbcija Sa'!$C$3:$C$22, $D424) &gt; 0, "ūdens sorbc",IF(COUNTIF(higro!$C$19:$C$30, $D424) &gt; 0, "higroskopija",IF(COUNTIF(higro!$C$47:$C$58, $D424) &gt; 0, "higroskopija",IF(COUNTIF(Komp!$D$2:$D$16, $D424) &gt; 0, "komposts",IF(COUNTIF(spiedei!$C$42:$C$106, $D424) &gt; 0, "spiede","")))))</f>
        <v>ūdens sorbc</v>
      </c>
    </row>
    <row r="425" spans="1:6" ht="15.75" customHeight="1">
      <c r="A425" s="26" t="s">
        <v>36</v>
      </c>
      <c r="B425" s="26">
        <v>4</v>
      </c>
      <c r="C425" s="58">
        <v>25</v>
      </c>
      <c r="D425" s="59">
        <v>262</v>
      </c>
      <c r="E425" s="41" t="str">
        <f>IF(COUNTIF('Sa suberīnskābe'!$B$6:$B$83, $D425) &gt; 0,"sub",IF(COUNTIF('Sa hito + sub'!$B$6:$B$82, $D425) &gt; 0,"hito_sub",""))</f>
        <v>sub</v>
      </c>
      <c r="F425" s="41" t="str">
        <f>IF(COUNTIF('ūd sorbcija Sa'!$C$3:$C$22, $D425) &gt; 0, "ūdens sorbc",IF(COUNTIF(higro!$C$19:$C$30, $D425) &gt; 0, "higroskopija",IF(COUNTIF(higro!$C$47:$C$58, $D425) &gt; 0, "higroskopija",IF(COUNTIF(Komp!$D$2:$D$16, $D425) &gt; 0, "komposts",IF(COUNTIF(spiedei!$C$42:$C$106, $D425) &gt; 0, "spiede","")))))</f>
        <v>ūdens sorbc</v>
      </c>
    </row>
    <row r="426" spans="1:6" ht="15.75" customHeight="1">
      <c r="A426" s="26" t="s">
        <v>36</v>
      </c>
      <c r="B426" s="26">
        <v>4</v>
      </c>
      <c r="C426" s="58">
        <v>25</v>
      </c>
      <c r="D426" s="59">
        <v>263</v>
      </c>
      <c r="E426" s="41" t="str">
        <f>IF(COUNTIF('Sa suberīnskābe'!$B$6:$B$83, $D426) &gt; 0,"sub",IF(COUNTIF('Sa hito + sub'!$B$6:$B$82, $D426) &gt; 0,"hito_sub",""))</f>
        <v>sub</v>
      </c>
      <c r="F426" s="41" t="str">
        <f>IF(COUNTIF('ūd sorbcija Sa'!$C$3:$C$22, $D426) &gt; 0, "ūdens sorbc",IF(COUNTIF(higro!$C$19:$C$30, $D426) &gt; 0, "higroskopija",IF(COUNTIF(higro!$C$47:$C$58, $D426) &gt; 0, "higroskopija",IF(COUNTIF(Komp!$D$2:$D$16, $D426) &gt; 0, "komposts",IF(COUNTIF(spiedei!$C$42:$C$106, $D426) &gt; 0, "spiede","")))))</f>
        <v>ūdens sorbc</v>
      </c>
    </row>
    <row r="427" spans="1:6" ht="15.75" customHeight="1">
      <c r="A427" s="26" t="s">
        <v>36</v>
      </c>
      <c r="B427" s="26">
        <v>4</v>
      </c>
      <c r="C427" s="58">
        <v>25</v>
      </c>
      <c r="D427" s="59">
        <v>264</v>
      </c>
      <c r="E427" s="41" t="str">
        <f>IF(COUNTIF('Sa suberīnskābe'!$B$6:$B$83, $D427) &gt; 0,"sub",IF(COUNTIF('Sa hito + sub'!$B$6:$B$82, $D427) &gt; 0,"hito_sub",""))</f>
        <v>sub</v>
      </c>
      <c r="F427" s="41" t="str">
        <f>IF(COUNTIF('ūd sorbcija Sa'!$C$3:$C$22, $D427) &gt; 0, "ūdens sorbc",IF(COUNTIF(higro!$C$19:$C$30, $D427) &gt; 0, "higroskopija",IF(COUNTIF(higro!$C$47:$C$58, $D427) &gt; 0, "higroskopija",IF(COUNTIF(Komp!$D$2:$D$16, $D427) &gt; 0, "komposts",IF(COUNTIF(spiedei!$C$42:$C$106, $D427) &gt; 0, "spiede","")))))</f>
        <v>ūdens sorbc</v>
      </c>
    </row>
    <row r="428" spans="1:6" ht="15.75" customHeight="1">
      <c r="A428" s="26" t="s">
        <v>36</v>
      </c>
      <c r="B428" s="26">
        <v>4</v>
      </c>
      <c r="C428" s="58">
        <v>25</v>
      </c>
      <c r="D428" s="59">
        <v>265</v>
      </c>
      <c r="E428" s="41" t="str">
        <f>IF(COUNTIF('Sa suberīnskābe'!$B$6:$B$83, $D428) &gt; 0,"sub",IF(COUNTIF('Sa hito + sub'!$B$6:$B$82, $D428) &gt; 0,"hito_sub",""))</f>
        <v>sub</v>
      </c>
      <c r="F428" s="41" t="str">
        <f>IF(COUNTIF('ūd sorbcija Sa'!$C$3:$C$22, $D428) &gt; 0, "ūdens sorbc",IF(COUNTIF(higro!$C$19:$C$30, $D428) &gt; 0, "higroskopija",IF(COUNTIF(higro!$C$47:$C$58, $D428) &gt; 0, "higroskopija",IF(COUNTIF(Komp!$D$2:$D$16, $D428) &gt; 0, "komposts",IF(COUNTIF(spiedei!$C$42:$C$106, $D428) &gt; 0, "spiede","")))))</f>
        <v>ūdens sorbc</v>
      </c>
    </row>
    <row r="429" spans="1:6" ht="15.75" customHeight="1">
      <c r="A429" s="26" t="s">
        <v>36</v>
      </c>
      <c r="B429" s="26">
        <v>4</v>
      </c>
      <c r="C429" s="58">
        <v>26</v>
      </c>
      <c r="D429" s="59">
        <v>156</v>
      </c>
      <c r="E429" s="41" t="str">
        <f>IF(COUNTIF('Sa suberīnskābe'!$B$6:$B$83, $D429) &gt; 0,"sub",IF(COUNTIF('Sa hito + sub'!$B$6:$B$82, $D429) &gt; 0,"hito_sub",""))</f>
        <v>hito_sub</v>
      </c>
      <c r="F429" s="61" t="s">
        <v>45</v>
      </c>
    </row>
    <row r="430" spans="1:6" ht="15.75" customHeight="1">
      <c r="A430" s="26" t="s">
        <v>36</v>
      </c>
      <c r="B430" s="26">
        <v>4</v>
      </c>
      <c r="C430" s="58">
        <v>26</v>
      </c>
      <c r="D430" s="59">
        <v>157</v>
      </c>
      <c r="E430" s="41" t="str">
        <f>IF(COUNTIF('Sa suberīnskābe'!$B$6:$B$83, $D430) &gt; 0,"sub",IF(COUNTIF('Sa hito + sub'!$B$6:$B$82, $D430) &gt; 0,"hito_sub",""))</f>
        <v>hito_sub</v>
      </c>
      <c r="F430" s="60" t="s">
        <v>56</v>
      </c>
    </row>
    <row r="431" spans="1:6" ht="15.75" customHeight="1">
      <c r="A431" s="26" t="s">
        <v>36</v>
      </c>
      <c r="B431" s="26">
        <v>4</v>
      </c>
      <c r="C431" s="58">
        <v>26</v>
      </c>
      <c r="D431" s="59">
        <v>158</v>
      </c>
      <c r="E431" s="41" t="str">
        <f>IF(COUNTIF('Sa suberīnskābe'!$B$6:$B$83, $D431) &gt; 0,"sub",IF(COUNTIF('Sa hito + sub'!$B$6:$B$82, $D431) &gt; 0,"hito_sub",""))</f>
        <v>hito_sub</v>
      </c>
      <c r="F431" s="62" t="s">
        <v>48</v>
      </c>
    </row>
    <row r="432" spans="1:6" ht="15.75" customHeight="1">
      <c r="A432" s="26" t="s">
        <v>36</v>
      </c>
      <c r="B432" s="26">
        <v>4</v>
      </c>
      <c r="C432" s="58">
        <v>26</v>
      </c>
      <c r="D432" s="59">
        <v>159</v>
      </c>
      <c r="E432" s="41" t="str">
        <f>IF(COUNTIF('Sa suberīnskābe'!$B$6:$B$83, $D432) &gt; 0,"sub",IF(COUNTIF('Sa hito + sub'!$B$6:$B$82, $D432) &gt; 0,"hito_sub",""))</f>
        <v>hito_sub</v>
      </c>
      <c r="F432" s="41" t="str">
        <f>IF(COUNTIF('ūd sorbcija Sa'!$C$3:$C$22, $D432) &gt; 0, "ūdens sorbc",IF(COUNTIF(higro!$C$19:$C$30, $D432) &gt; 0, "higroskopija",IF(COUNTIF(higro!$C$47:$C$58, $D432) &gt; 0, "higroskopija",IF(COUNTIF(Komp!$D$2:$D$16, $D432) &gt; 0, "komposts",IF(COUNTIF(spiedei!$C$42:$C$106, $D432) &gt; 0, "spiede","")))))</f>
        <v/>
      </c>
    </row>
    <row r="433" spans="1:6" ht="15.75" customHeight="1">
      <c r="A433" s="26" t="s">
        <v>36</v>
      </c>
      <c r="B433" s="26">
        <v>4</v>
      </c>
      <c r="C433" s="58">
        <v>26</v>
      </c>
      <c r="D433" s="59">
        <v>160</v>
      </c>
      <c r="E433" s="41" t="str">
        <f>IF(COUNTIF('Sa suberīnskābe'!$B$6:$B$83, $D433) &gt; 0,"sub",IF(COUNTIF('Sa hito + sub'!$B$6:$B$82, $D433) &gt; 0,"hito_sub",""))</f>
        <v>hito_sub</v>
      </c>
      <c r="F433" s="41" t="str">
        <f>IF(COUNTIF('ūd sorbcija Sa'!$C$3:$C$22, $D433) &gt; 0, "ūdens sorbc",IF(COUNTIF(higro!$C$19:$C$30, $D433) &gt; 0, "higroskopija",IF(COUNTIF(higro!$C$47:$C$58, $D433) &gt; 0, "higroskopija",IF(COUNTIF(Komp!$D$2:$D$16, $D433) &gt; 0, "komposts",IF(COUNTIF(spiedei!$C$42:$C$106, $D433) &gt; 0, "spiede","")))))</f>
        <v/>
      </c>
    </row>
    <row r="434" spans="1:6" ht="15.75" customHeight="1">
      <c r="A434" s="26" t="s">
        <v>36</v>
      </c>
      <c r="B434" s="26">
        <v>4</v>
      </c>
      <c r="C434" s="58">
        <v>27</v>
      </c>
      <c r="D434" s="59">
        <v>161</v>
      </c>
      <c r="E434" s="41" t="str">
        <f>IF(COUNTIF('Sa suberīnskābe'!$B$6:$B$83, $D434) &gt; 0,"sub",IF(COUNTIF('Sa hito + sub'!$B$6:$B$82, $D434) &gt; 0,"hito_sub",""))</f>
        <v/>
      </c>
      <c r="F434" s="41" t="str">
        <f>IF(COUNTIF('ūd sorbcija Sa'!$C$3:$C$22, $D434) &gt; 0, "ūdens sorbc",IF(COUNTIF(higro!$C$19:$C$30, $D434) &gt; 0, "higroskopija",IF(COUNTIF(higro!$C$47:$C$58, $D434) &gt; 0, "higroskopija",IF(COUNTIF(Komp!$D$2:$D$16, $D434) &gt; 0, "komposts",IF(COUNTIF(spiedei!$C$42:$C$106, $D434) &gt; 0, "spiede","")))))</f>
        <v>higroskopija</v>
      </c>
    </row>
    <row r="435" spans="1:6" ht="15.75" customHeight="1">
      <c r="A435" s="26" t="s">
        <v>36</v>
      </c>
      <c r="B435" s="26">
        <v>4</v>
      </c>
      <c r="C435" s="58">
        <v>27</v>
      </c>
      <c r="D435" s="59">
        <v>162</v>
      </c>
      <c r="E435" s="41" t="str">
        <f>IF(COUNTIF('Sa suberīnskābe'!$B$6:$B$83, $D435) &gt; 0,"sub",IF(COUNTIF('Sa hito + sub'!$B$6:$B$82, $D435) &gt; 0,"hito_sub",""))</f>
        <v/>
      </c>
      <c r="F435" s="41" t="str">
        <f>IF(COUNTIF('ūd sorbcija Sa'!$C$3:$C$22, $D435) &gt; 0, "ūdens sorbc",IF(COUNTIF(higro!$C$19:$C$30, $D435) &gt; 0, "higroskopija",IF(COUNTIF(higro!$C$47:$C$58, $D435) &gt; 0, "higroskopija",IF(COUNTIF(Komp!$D$2:$D$16, $D435) &gt; 0, "komposts",IF(COUNTIF(spiedei!$C$42:$C$106, $D435) &gt; 0, "spiede","")))))</f>
        <v/>
      </c>
    </row>
    <row r="436" spans="1:6" ht="15.75" customHeight="1">
      <c r="A436" s="26" t="s">
        <v>36</v>
      </c>
      <c r="B436" s="26">
        <v>4</v>
      </c>
      <c r="C436" s="58">
        <v>27</v>
      </c>
      <c r="D436" s="59">
        <v>163</v>
      </c>
      <c r="E436" s="41" t="str">
        <f>IF(COUNTIF('Sa suberīnskābe'!$B$6:$B$83, $D436) &gt; 0,"sub",IF(COUNTIF('Sa hito + sub'!$B$6:$B$82, $D436) &gt; 0,"hito_sub",""))</f>
        <v/>
      </c>
      <c r="F436" s="41" t="str">
        <f>IF(COUNTIF('ūd sorbcija Sa'!$C$3:$C$22, $D436) &gt; 0, "ūdens sorbc",IF(COUNTIF(higro!$C$19:$C$30, $D436) &gt; 0, "higroskopija",IF(COUNTIF(higro!$C$47:$C$58, $D436) &gt; 0, "higroskopija",IF(COUNTIF(Komp!$D$2:$D$16, $D436) &gt; 0, "komposts",IF(COUNTIF(spiedei!$C$42:$C$106, $D436) &gt; 0, "spiede","")))))</f>
        <v/>
      </c>
    </row>
    <row r="437" spans="1:6" ht="15.75" customHeight="1">
      <c r="A437" s="26" t="s">
        <v>36</v>
      </c>
      <c r="B437" s="26">
        <v>4</v>
      </c>
      <c r="C437" s="58">
        <v>27</v>
      </c>
      <c r="D437" s="59">
        <v>164</v>
      </c>
      <c r="E437" s="41" t="str">
        <f>IF(COUNTIF('Sa suberīnskābe'!$B$6:$B$83, $D437) &gt; 0,"sub",IF(COUNTIF('Sa hito + sub'!$B$6:$B$82, $D437) &gt; 0,"hito_sub",""))</f>
        <v/>
      </c>
      <c r="F437" s="41" t="str">
        <f>IF(COUNTIF('ūd sorbcija Sa'!$C$3:$C$22, $D437) &gt; 0, "ūdens sorbc",IF(COUNTIF(higro!$C$19:$C$30, $D437) &gt; 0, "higroskopija",IF(COUNTIF(higro!$C$47:$C$58, $D437) &gt; 0, "higroskopija",IF(COUNTIF(Komp!$D$2:$D$16, $D437) &gt; 0, "komposts",IF(COUNTIF(spiedei!$C$42:$C$106, $D437) &gt; 0, "spiede","")))))</f>
        <v/>
      </c>
    </row>
    <row r="438" spans="1:6" ht="15.75" customHeight="1">
      <c r="A438" s="26" t="s">
        <v>36</v>
      </c>
      <c r="B438" s="28">
        <v>4</v>
      </c>
      <c r="C438" s="63">
        <v>27</v>
      </c>
      <c r="D438" s="64">
        <v>165</v>
      </c>
      <c r="E438" s="41" t="str">
        <f>IF(COUNTIF('Sa suberīnskābe'!$B$6:$B$83, $D438) &gt; 0,"sub",IF(COUNTIF('Sa hito + sub'!$B$6:$B$82, $D438) &gt; 0,"hito_sub",""))</f>
        <v/>
      </c>
      <c r="F438" s="41" t="str">
        <f>IF(COUNTIF('ūd sorbcija Sa'!$C$3:$C$22, $D438) &gt; 0, "ūdens sorbc",IF(COUNTIF(higro!$C$19:$C$30, $D438) &gt; 0, "higroskopija",IF(COUNTIF(higro!$C$47:$C$58, $D438) &gt; 0, "higroskopija",IF(COUNTIF(Komp!$D$2:$D$16, $D438) &gt; 0, "komposts",IF(COUNTIF(spiedei!$C$42:$C$106, $D438) &gt; 0, "spiede","")))))</f>
        <v/>
      </c>
    </row>
    <row r="439" spans="1:6" ht="15.75" customHeight="1">
      <c r="A439" s="26" t="s">
        <v>36</v>
      </c>
      <c r="B439" s="23">
        <v>2</v>
      </c>
      <c r="C439" s="56">
        <v>28</v>
      </c>
      <c r="D439" s="57">
        <v>246</v>
      </c>
      <c r="E439" s="41" t="str">
        <f>IF(COUNTIF('Sa suberīnskābe'!$B$6:$B$83, $D439) &gt; 0,"sub",IF(COUNTIF('Sa hito + sub'!$B$6:$B$82, $D439) &gt; 0,"hito_sub",""))</f>
        <v>sub</v>
      </c>
      <c r="F439" s="41" t="str">
        <f>IF(COUNTIF('ūd sorbcija Sa'!$C$3:$C$22, $D439) &gt; 0, "ūdens sorbc",IF(COUNTIF(higro!$C$19:$C$30, $D439) &gt; 0, "higroskopija",IF(COUNTIF(higro!$C$47:$C$58, $D439) &gt; 0, "higroskopija",IF(COUNTIF(Komp!$D$2:$D$16, $D439) &gt; 0, "komposts",IF(COUNTIF(spiedei!$C$42:$C$106, $D439) &gt; 0, "spiede","")))))</f>
        <v>komposts</v>
      </c>
    </row>
    <row r="440" spans="1:6" ht="15.75" customHeight="1">
      <c r="A440" s="26" t="s">
        <v>36</v>
      </c>
      <c r="B440" s="26">
        <v>2</v>
      </c>
      <c r="C440" s="58">
        <v>28</v>
      </c>
      <c r="D440" s="59">
        <v>247</v>
      </c>
      <c r="E440" s="41" t="str">
        <f>IF(COUNTIF('Sa suberīnskābe'!$B$6:$B$83, $D440) &gt; 0,"sub",IF(COUNTIF('Sa hito + sub'!$B$6:$B$82, $D440) &gt; 0,"hito_sub",""))</f>
        <v>sub</v>
      </c>
      <c r="F440" s="41" t="str">
        <f>IF(COUNTIF('ūd sorbcija Sa'!$C$3:$C$22, $D440) &gt; 0, "ūdens sorbc",IF(COUNTIF(higro!$C$19:$C$30, $D440) &gt; 0, "higroskopija",IF(COUNTIF(higro!$C$47:$C$58, $D440) &gt; 0, "higroskopija",IF(COUNTIF(Komp!$D$2:$D$16, $D440) &gt; 0, "komposts",IF(COUNTIF(spiedei!$C$42:$C$106, $D440) &gt; 0, "spiede","")))))</f>
        <v>komposts</v>
      </c>
    </row>
    <row r="441" spans="1:6" ht="15.75" customHeight="1">
      <c r="A441" s="26" t="s">
        <v>36</v>
      </c>
      <c r="B441" s="26">
        <v>2</v>
      </c>
      <c r="C441" s="58">
        <v>28</v>
      </c>
      <c r="D441" s="59">
        <v>248</v>
      </c>
      <c r="E441" s="41" t="str">
        <f>IF(COUNTIF('Sa suberīnskābe'!$B$6:$B$83, $D441) &gt; 0,"sub",IF(COUNTIF('Sa hito + sub'!$B$6:$B$82, $D441) &gt; 0,"hito_sub",""))</f>
        <v>sub</v>
      </c>
      <c r="F441" s="41" t="str">
        <f>IF(COUNTIF('ūd sorbcija Sa'!$C$3:$C$22, $D441) &gt; 0, "ūdens sorbc",IF(COUNTIF(higro!$C$19:$C$30, $D441) &gt; 0, "higroskopija",IF(COUNTIF(higro!$C$47:$C$58, $D441) &gt; 0, "higroskopija",IF(COUNTIF(Komp!$D$2:$D$16, $D441) &gt; 0, "komposts",IF(COUNTIF(spiedei!$C$42:$C$106, $D441) &gt; 0, "spiede","")))))</f>
        <v>komposts</v>
      </c>
    </row>
    <row r="442" spans="1:6" ht="15.75" customHeight="1">
      <c r="A442" s="26" t="s">
        <v>36</v>
      </c>
      <c r="B442" s="26">
        <v>2</v>
      </c>
      <c r="C442" s="58">
        <v>28</v>
      </c>
      <c r="D442" s="59">
        <v>249</v>
      </c>
      <c r="E442" s="41" t="str">
        <f>IF(COUNTIF('Sa suberīnskābe'!$B$6:$B$83, $D442) &gt; 0,"sub",IF(COUNTIF('Sa hito + sub'!$B$6:$B$82, $D442) &gt; 0,"hito_sub",""))</f>
        <v>sub</v>
      </c>
      <c r="F442" s="62" t="s">
        <v>48</v>
      </c>
    </row>
    <row r="443" spans="1:6" ht="15.75" customHeight="1">
      <c r="A443" s="26" t="s">
        <v>36</v>
      </c>
      <c r="B443" s="26">
        <v>2</v>
      </c>
      <c r="C443" s="58">
        <v>28</v>
      </c>
      <c r="D443" s="59">
        <v>250</v>
      </c>
      <c r="E443" s="41" t="str">
        <f>IF(COUNTIF('Sa suberīnskābe'!$B$6:$B$83, $D443) &gt; 0,"sub",IF(COUNTIF('Sa hito + sub'!$B$6:$B$82, $D443) &gt; 0,"hito_sub",""))</f>
        <v>sub</v>
      </c>
      <c r="F443" s="41" t="str">
        <f>IF(COUNTIF('ūd sorbcija Sa'!$C$3:$C$22, $D443) &gt; 0, "ūdens sorbc",IF(COUNTIF(higro!$C$19:$C$30, $D443) &gt; 0, "higroskopija",IF(COUNTIF(higro!$C$47:$C$58, $D443) &gt; 0, "higroskopija",IF(COUNTIF(Komp!$D$2:$D$16, $D443) &gt; 0, "komposts",IF(COUNTIF(spiedei!$C$42:$C$106, $D443) &gt; 0, "spiede","")))))</f>
        <v>higroskopija</v>
      </c>
    </row>
    <row r="444" spans="1:6" ht="15.75" customHeight="1">
      <c r="A444" s="26" t="s">
        <v>36</v>
      </c>
      <c r="B444" s="26">
        <v>2</v>
      </c>
      <c r="C444" s="58">
        <v>31</v>
      </c>
      <c r="D444" s="59">
        <v>251</v>
      </c>
      <c r="E444" s="41" t="str">
        <f>IF(COUNTIF('Sa suberīnskābe'!$B$6:$B$83, $D444) &gt; 0,"sub",IF(COUNTIF('Sa hito + sub'!$B$6:$B$82, $D444) &gt; 0,"hito_sub",""))</f>
        <v>hito_sub</v>
      </c>
      <c r="F444" s="60" t="s">
        <v>56</v>
      </c>
    </row>
    <row r="445" spans="1:6" ht="15.75" customHeight="1">
      <c r="A445" s="26" t="s">
        <v>36</v>
      </c>
      <c r="B445" s="26">
        <v>2</v>
      </c>
      <c r="C445" s="58">
        <v>31</v>
      </c>
      <c r="D445" s="59">
        <v>252</v>
      </c>
      <c r="E445" s="41" t="str">
        <f>IF(COUNTIF('Sa suberīnskābe'!$B$6:$B$83, $D445) &gt; 0,"sub",IF(COUNTIF('Sa hito + sub'!$B$6:$B$82, $D445) &gt; 0,"hito_sub",""))</f>
        <v>hito_sub</v>
      </c>
      <c r="F445" s="61" t="s">
        <v>45</v>
      </c>
    </row>
    <row r="446" spans="1:6" ht="15.75" customHeight="1">
      <c r="A446" s="26" t="s">
        <v>36</v>
      </c>
      <c r="B446" s="26">
        <v>2</v>
      </c>
      <c r="C446" s="58">
        <v>31</v>
      </c>
      <c r="D446" s="59">
        <v>253</v>
      </c>
      <c r="E446" s="41" t="str">
        <f>IF(COUNTIF('Sa suberīnskābe'!$B$6:$B$83, $D446) &gt; 0,"sub",IF(COUNTIF('Sa hito + sub'!$B$6:$B$82, $D446) &gt; 0,"hito_sub",""))</f>
        <v>hito_sub</v>
      </c>
      <c r="F446" s="41" t="str">
        <f>IF(COUNTIF('ūd sorbcija Sa'!$C$3:$C$22, $D446) &gt; 0, "ūdens sorbc",IF(COUNTIF(higro!$C$19:$C$30, $D446) &gt; 0, "higroskopija",IF(COUNTIF(higro!$C$47:$C$58, $D446) &gt; 0, "higroskopija",IF(COUNTIF(Komp!$D$2:$D$16, $D446) &gt; 0, "komposts",IF(COUNTIF(spiedei!$C$42:$C$106, $D446) &gt; 0, "spiede","")))))</f>
        <v/>
      </c>
    </row>
    <row r="447" spans="1:6" ht="15.75" customHeight="1">
      <c r="A447" s="26" t="s">
        <v>36</v>
      </c>
      <c r="B447" s="26">
        <v>2</v>
      </c>
      <c r="C447" s="58">
        <v>31</v>
      </c>
      <c r="D447" s="59">
        <v>254</v>
      </c>
      <c r="E447" s="41" t="str">
        <f>IF(COUNTIF('Sa suberīnskābe'!$B$6:$B$83, $D447) &gt; 0,"sub",IF(COUNTIF('Sa hito + sub'!$B$6:$B$82, $D447) &gt; 0,"hito_sub",""))</f>
        <v>hito_sub</v>
      </c>
      <c r="F447" s="41" t="str">
        <f>IF(COUNTIF('ūd sorbcija Sa'!$C$3:$C$22, $D447) &gt; 0, "ūdens sorbc",IF(COUNTIF(higro!$C$19:$C$30, $D447) &gt; 0, "higroskopija",IF(COUNTIF(higro!$C$47:$C$58, $D447) &gt; 0, "higroskopija",IF(COUNTIF(Komp!$D$2:$D$16, $D447) &gt; 0, "komposts",IF(COUNTIF(spiedei!$C$42:$C$106, $D447) &gt; 0, "spiede","")))))</f>
        <v/>
      </c>
    </row>
    <row r="448" spans="1:6" ht="15.75" customHeight="1">
      <c r="A448" s="26" t="s">
        <v>36</v>
      </c>
      <c r="B448" s="26">
        <v>2</v>
      </c>
      <c r="C448" s="58">
        <v>31</v>
      </c>
      <c r="D448" s="59">
        <v>255</v>
      </c>
      <c r="E448" s="41" t="str">
        <f>IF(COUNTIF('Sa suberīnskābe'!$B$6:$B$83, $D448) &gt; 0,"sub",IF(COUNTIF('Sa hito + sub'!$B$6:$B$82, $D448) &gt; 0,"hito_sub",""))</f>
        <v>hito_sub</v>
      </c>
      <c r="F448" s="60" t="s">
        <v>56</v>
      </c>
    </row>
    <row r="449" spans="1:7" ht="15.75" customHeight="1">
      <c r="A449" s="26" t="s">
        <v>36</v>
      </c>
      <c r="B449" s="26">
        <v>2</v>
      </c>
      <c r="C449" s="58">
        <v>32</v>
      </c>
      <c r="D449" s="59">
        <v>256</v>
      </c>
      <c r="E449" s="41" t="str">
        <f>IF(COUNTIF('Sa suberīnskābe'!$B$6:$B$83, $D449) &gt; 0,"sub",IF(COUNTIF('Sa hito + sub'!$B$6:$B$82, $D449) &gt; 0,"hito_sub",""))</f>
        <v/>
      </c>
      <c r="F449" s="41" t="str">
        <f>IF(COUNTIF('ūd sorbcija Sa'!$C$3:$C$22, $D449) &gt; 0, "ūdens sorbc",IF(COUNTIF(higro!$C$19:$C$30, $D449) &gt; 0, "higroskopija",IF(COUNTIF(higro!$C$47:$C$58, $D449) &gt; 0, "higroskopija",IF(COUNTIF(Komp!$D$2:$D$16, $D449) &gt; 0, "komposts",IF(COUNTIF(spiedei!$C$42:$C$106, $D449) &gt; 0, "spiede","")))))</f>
        <v/>
      </c>
    </row>
    <row r="450" spans="1:7" ht="15.75" customHeight="1">
      <c r="A450" s="26" t="s">
        <v>36</v>
      </c>
      <c r="B450" s="26">
        <v>2</v>
      </c>
      <c r="C450" s="58">
        <v>32</v>
      </c>
      <c r="D450" s="59">
        <v>257</v>
      </c>
      <c r="E450" s="41" t="str">
        <f>IF(COUNTIF('Sa suberīnskābe'!$B$6:$B$83, $D450) &gt; 0,"sub",IF(COUNTIF('Sa hito + sub'!$B$6:$B$82, $D450) &gt; 0,"hito_sub",""))</f>
        <v/>
      </c>
      <c r="F450" s="41" t="str">
        <f>IF(COUNTIF('ūd sorbcija Sa'!$C$3:$C$22, $D450) &gt; 0, "ūdens sorbc",IF(COUNTIF(higro!$C$19:$C$30, $D450) &gt; 0, "higroskopija",IF(COUNTIF(higro!$C$47:$C$58, $D450) &gt; 0, "higroskopija",IF(COUNTIF(Komp!$D$2:$D$16, $D450) &gt; 0, "komposts",IF(COUNTIF(spiedei!$C$42:$C$106, $D450) &gt; 0, "spiede","")))))</f>
        <v/>
      </c>
    </row>
    <row r="451" spans="1:7" ht="15.75" customHeight="1">
      <c r="A451" s="26" t="s">
        <v>36</v>
      </c>
      <c r="B451" s="26">
        <v>2</v>
      </c>
      <c r="C451" s="58">
        <v>32</v>
      </c>
      <c r="D451" s="59">
        <v>258</v>
      </c>
      <c r="E451" s="41" t="str">
        <f>IF(COUNTIF('Sa suberīnskābe'!$B$6:$B$83, $D451) &gt; 0,"sub",IF(COUNTIF('Sa hito + sub'!$B$6:$B$82, $D451) &gt; 0,"hito_sub",""))</f>
        <v/>
      </c>
      <c r="F451" s="41" t="str">
        <f>IF(COUNTIF('ūd sorbcija Sa'!$C$3:$C$22, $D451) &gt; 0, "ūdens sorbc",IF(COUNTIF(higro!$C$19:$C$30, $D451) &gt; 0, "higroskopija",IF(COUNTIF(higro!$C$47:$C$58, $D451) &gt; 0, "higroskopija",IF(COUNTIF(Komp!$D$2:$D$16, $D451) &gt; 0, "komposts",IF(COUNTIF(spiedei!$C$42:$C$106, $D451) &gt; 0, "spiede","")))))</f>
        <v/>
      </c>
    </row>
    <row r="452" spans="1:7" ht="15.75" customHeight="1">
      <c r="A452" s="26" t="s">
        <v>36</v>
      </c>
      <c r="B452" s="26">
        <v>2</v>
      </c>
      <c r="C452" s="58">
        <v>32</v>
      </c>
      <c r="D452" s="59">
        <v>259</v>
      </c>
      <c r="E452" s="41" t="str">
        <f>IF(COUNTIF('Sa suberīnskābe'!$B$6:$B$83, $D452) &gt; 0,"sub",IF(COUNTIF('Sa hito + sub'!$B$6:$B$82, $D452) &gt; 0,"hito_sub",""))</f>
        <v/>
      </c>
      <c r="F452" s="41" t="str">
        <f>IF(COUNTIF('ūd sorbcija Sa'!$C$3:$C$22, $D452) &gt; 0, "ūdens sorbc",IF(COUNTIF(higro!$C$19:$C$30, $D452) &gt; 0, "higroskopija",IF(COUNTIF(higro!$C$47:$C$58, $D452) &gt; 0, "higroskopija",IF(COUNTIF(Komp!$D$2:$D$16, $D452) &gt; 0, "komposts",IF(COUNTIF(spiedei!$C$42:$C$106, $D452) &gt; 0, "spiede","")))))</f>
        <v/>
      </c>
    </row>
    <row r="453" spans="1:7" ht="15.75" customHeight="1">
      <c r="A453" s="26" t="s">
        <v>36</v>
      </c>
      <c r="B453" s="28">
        <v>2</v>
      </c>
      <c r="C453" s="63">
        <v>32</v>
      </c>
      <c r="D453" s="64">
        <v>260</v>
      </c>
      <c r="E453" s="41" t="str">
        <f>IF(COUNTIF('Sa suberīnskābe'!$B$6:$B$83, $D453) &gt; 0,"sub",IF(COUNTIF('Sa hito + sub'!$B$6:$B$82, $D453) &gt; 0,"hito_sub",""))</f>
        <v/>
      </c>
      <c r="F453" s="41" t="str">
        <f>IF(COUNTIF('ūd sorbcija Sa'!$C$3:$C$22, $D453) &gt; 0, "ūdens sorbc",IF(COUNTIF(higro!$C$19:$C$30, $D453) &gt; 0, "higroskopija",IF(COUNTIF(higro!$C$47:$C$58, $D453) &gt; 0, "higroskopija",IF(COUNTIF(Komp!$D$2:$D$16, $D453) &gt; 0, "komposts",IF(COUNTIF(spiedei!$C$42:$C$106, $D453) &gt; 0, "spiede","")))))</f>
        <v/>
      </c>
    </row>
    <row r="454" spans="1:7" ht="15.75" customHeight="1">
      <c r="A454" s="26" t="s">
        <v>36</v>
      </c>
      <c r="B454" s="23">
        <v>3</v>
      </c>
      <c r="C454" s="56">
        <v>39</v>
      </c>
      <c r="D454" s="57">
        <v>221</v>
      </c>
      <c r="E454" s="41" t="str">
        <f>IF(COUNTIF('Sa suberīnskābe'!$B$6:$B$83, $D454) &gt; 0,"sub",IF(COUNTIF('Sa hito + sub'!$B$6:$B$82, $D454) &gt; 0,"hito_sub",""))</f>
        <v>sub</v>
      </c>
      <c r="F454" s="41" t="str">
        <f>IF(COUNTIF('ūd sorbcija Sa'!$C$3:$C$22, $D454) &gt; 0, "ūdens sorbc",IF(COUNTIF(higro!$C$19:$C$30, $D454) &gt; 0, "higroskopija",IF(COUNTIF(higro!$C$47:$C$58, $D454) &gt; 0, "higroskopija",IF(COUNTIF(Komp!$D$2:$D$16, $D454) &gt; 0, "komposts",IF(COUNTIF(spiedei!$C$42:$C$106, $D454) &gt; 0, "spiede","")))))</f>
        <v/>
      </c>
    </row>
    <row r="455" spans="1:7" ht="15.75" customHeight="1">
      <c r="A455" s="26" t="s">
        <v>36</v>
      </c>
      <c r="B455" s="26">
        <v>3</v>
      </c>
      <c r="C455" s="58">
        <v>39</v>
      </c>
      <c r="D455" s="59">
        <v>222</v>
      </c>
      <c r="E455" s="41" t="str">
        <f>IF(COUNTIF('Sa suberīnskābe'!$B$6:$B$83, $D455) &gt; 0,"sub",IF(COUNTIF('Sa hito + sub'!$B$6:$B$82, $D455) &gt; 0,"hito_sub",""))</f>
        <v/>
      </c>
      <c r="F455" s="41" t="str">
        <f>IF(COUNTIF('ūd sorbcija Sa'!$C$3:$C$22, $D455) &gt; 0, "ūdens sorbc",IF(COUNTIF(higro!$C$19:$C$30, $D455) &gt; 0, "higroskopija",IF(COUNTIF(higro!$C$47:$C$58, $D455) &gt; 0, "higroskopija",IF(COUNTIF(Komp!$D$2:$D$16, $D455) &gt; 0, "komposts",IF(COUNTIF(spiedei!$C$42:$C$106, $D455) &gt; 0, "spiede","")))))</f>
        <v/>
      </c>
    </row>
    <row r="456" spans="1:7" ht="15.75" customHeight="1">
      <c r="A456" s="26" t="s">
        <v>36</v>
      </c>
      <c r="B456" s="26">
        <v>3</v>
      </c>
      <c r="C456" s="58">
        <v>39</v>
      </c>
      <c r="D456" s="59">
        <v>223</v>
      </c>
      <c r="E456" s="41" t="str">
        <f>IF(COUNTIF('Sa suberīnskābe'!$B$6:$B$83, $D456) &gt; 0,"sub",IF(COUNTIF('Sa hito + sub'!$B$6:$B$82, $D456) &gt; 0,"hito_sub",""))</f>
        <v/>
      </c>
      <c r="F456" s="41" t="str">
        <f>IF(COUNTIF('ūd sorbcija Sa'!$C$3:$C$22, $D456) &gt; 0, "ūdens sorbc",IF(COUNTIF(higro!$C$19:$C$30, $D456) &gt; 0, "higroskopija",IF(COUNTIF(higro!$C$47:$C$58, $D456) &gt; 0, "higroskopija",IF(COUNTIF(Komp!$D$2:$D$16, $D456) &gt; 0, "komposts",IF(COUNTIF(spiedei!$C$42:$C$106, $D456) &gt; 0, "spiede","")))))</f>
        <v/>
      </c>
    </row>
    <row r="457" spans="1:7" ht="15.75" customHeight="1">
      <c r="A457" s="26" t="s">
        <v>36</v>
      </c>
      <c r="B457" s="26">
        <v>3</v>
      </c>
      <c r="C457" s="58">
        <v>39</v>
      </c>
      <c r="D457" s="59">
        <v>224</v>
      </c>
      <c r="E457" s="41" t="str">
        <f>IF(COUNTIF('Sa suberīnskābe'!$B$6:$B$83, $D457) &gt; 0,"sub",IF(COUNTIF('Sa hito + sub'!$B$6:$B$82, $D457) &gt; 0,"hito_sub",""))</f>
        <v/>
      </c>
      <c r="F457" s="41" t="str">
        <f>IF(COUNTIF('ūd sorbcija Sa'!$C$3:$C$22, $D457) &gt; 0, "ūdens sorbc",IF(COUNTIF(higro!$C$19:$C$30, $D457) &gt; 0, "higroskopija",IF(COUNTIF(higro!$C$47:$C$58, $D457) &gt; 0, "higroskopija",IF(COUNTIF(Komp!$D$2:$D$16, $D457) &gt; 0, "komposts",IF(COUNTIF(spiedei!$C$42:$C$106, $D457) &gt; 0, "spiede","")))))</f>
        <v/>
      </c>
    </row>
    <row r="458" spans="1:7" ht="15.75" customHeight="1">
      <c r="A458" s="26" t="s">
        <v>36</v>
      </c>
      <c r="B458" s="26">
        <v>3</v>
      </c>
      <c r="C458" s="58">
        <v>39</v>
      </c>
      <c r="D458" s="59">
        <v>225</v>
      </c>
      <c r="E458" s="41" t="str">
        <f>IF(COUNTIF('Sa suberīnskābe'!$B$6:$B$83, $D458) &gt; 0,"sub",IF(COUNTIF('Sa hito + sub'!$B$6:$B$82, $D458) &gt; 0,"hito_sub",""))</f>
        <v/>
      </c>
      <c r="F458" s="41" t="str">
        <f>IF(COUNTIF('ūd sorbcija Sa'!$C$3:$C$22, $D458) &gt; 0, "ūdens sorbc",IF(COUNTIF(higro!$C$19:$C$30, $D458) &gt; 0, "higroskopija",IF(COUNTIF(higro!$C$47:$C$58, $D458) &gt; 0, "higroskopija",IF(COUNTIF(Komp!$D$2:$D$16, $D458) &gt; 0, "komposts",IF(COUNTIF(spiedei!$C$42:$C$106, $D458) &gt; 0, "spiede","")))))</f>
        <v/>
      </c>
    </row>
    <row r="459" spans="1:7" ht="15.75" customHeight="1">
      <c r="A459" s="26" t="s">
        <v>36</v>
      </c>
      <c r="B459" s="26">
        <v>3</v>
      </c>
      <c r="C459" s="58">
        <v>40</v>
      </c>
      <c r="D459" s="59">
        <v>216</v>
      </c>
      <c r="E459" s="41" t="str">
        <f>IF(COUNTIF('Sa suberīnskābe'!$B$6:$B$83, $D459) &gt; 0,"sub",IF(COUNTIF('Sa hito + sub'!$B$6:$B$82, $D459) &gt; 0,"hito_sub",""))</f>
        <v>hito_sub</v>
      </c>
      <c r="F459" s="60" t="s">
        <v>56</v>
      </c>
    </row>
    <row r="460" spans="1:7" ht="15.75" customHeight="1">
      <c r="A460" s="26" t="s">
        <v>36</v>
      </c>
      <c r="B460" s="26">
        <v>3</v>
      </c>
      <c r="C460" s="58">
        <v>40</v>
      </c>
      <c r="D460" s="59">
        <v>217</v>
      </c>
      <c r="E460" s="41" t="str">
        <f>IF(COUNTIF('Sa suberīnskābe'!$B$6:$B$83, $D460) &gt; 0,"sub",IF(COUNTIF('Sa hito + sub'!$B$6:$B$82, $D460) &gt; 0,"hito_sub",""))</f>
        <v>hito_sub</v>
      </c>
      <c r="F460" s="61" t="s">
        <v>45</v>
      </c>
    </row>
    <row r="461" spans="1:7" ht="15.75" customHeight="1">
      <c r="A461" s="26" t="s">
        <v>36</v>
      </c>
      <c r="B461" s="26">
        <v>3</v>
      </c>
      <c r="C461" s="58">
        <v>40</v>
      </c>
      <c r="D461" s="59">
        <v>218</v>
      </c>
      <c r="E461" s="41" t="str">
        <f>IF(COUNTIF('Sa suberīnskābe'!$B$6:$B$83, $D461) &gt; 0,"sub",IF(COUNTIF('Sa hito + sub'!$B$6:$B$82, $D461) &gt; 0,"hito_sub",""))</f>
        <v>hito_sub</v>
      </c>
      <c r="F461" s="41" t="str">
        <f>IF(COUNTIF('ūd sorbcija Sa'!$C$3:$C$22, $D461) &gt; 0, "ūdens sorbc",IF(COUNTIF(higro!$C$19:$C$30, $D461) &gt; 0, "higroskopija",IF(COUNTIF(higro!$C$47:$C$58, $D461) &gt; 0, "higroskopija",IF(COUNTIF(Komp!$D$2:$D$16, $D461) &gt; 0, "komposts",IF(COUNTIF(spiedei!$C$42:$C$106, $D461) &gt; 0, "spiede","")))))</f>
        <v>higroskopija</v>
      </c>
    </row>
    <row r="462" spans="1:7" ht="15.75" customHeight="1">
      <c r="A462" s="26" t="s">
        <v>36</v>
      </c>
      <c r="B462" s="26">
        <v>3</v>
      </c>
      <c r="C462" s="58">
        <v>40</v>
      </c>
      <c r="D462" s="59">
        <v>219</v>
      </c>
      <c r="E462" s="41" t="str">
        <f>IF(COUNTIF('Sa suberīnskābe'!$B$6:$B$83, $D462) &gt; 0,"sub",IF(COUNTIF('Sa hito + sub'!$B$6:$B$82, $D462) &gt; 0,"hito_sub",""))</f>
        <v>hito_sub</v>
      </c>
      <c r="F462" s="41" t="str">
        <f>IF(COUNTIF('ūd sorbcija Sa'!$C$3:$C$22, $D462) &gt; 0, "ūdens sorbc",IF(COUNTIF(higro!$C$19:$C$30, $D462) &gt; 0, "higroskopija",IF(COUNTIF(higro!$C$47:$C$58, $D462) &gt; 0, "higroskopija",IF(COUNTIF(Komp!$D$2:$D$16, $D462) &gt; 0, "komposts",IF(COUNTIF(spiedei!$C$42:$C$106, $D462) &gt; 0, "spiede","")))))</f>
        <v/>
      </c>
      <c r="G462" s="58" t="s">
        <v>60</v>
      </c>
    </row>
    <row r="463" spans="1:7" ht="15.75" customHeight="1">
      <c r="A463" s="26" t="s">
        <v>36</v>
      </c>
      <c r="B463" s="26">
        <v>3</v>
      </c>
      <c r="C463" s="58">
        <v>40</v>
      </c>
      <c r="D463" s="59">
        <v>220</v>
      </c>
      <c r="E463" s="41" t="str">
        <f>IF(COUNTIF('Sa suberīnskābe'!$B$6:$B$83, $D463) &gt; 0,"sub",IF(COUNTIF('Sa hito + sub'!$B$6:$B$82, $D463) &gt; 0,"hito_sub",""))</f>
        <v>hito_sub</v>
      </c>
      <c r="F463" s="61" t="s">
        <v>45</v>
      </c>
    </row>
    <row r="464" spans="1:7" ht="15.75" customHeight="1">
      <c r="A464" s="26" t="s">
        <v>36</v>
      </c>
      <c r="B464" s="26">
        <v>3</v>
      </c>
      <c r="C464" s="58">
        <v>43</v>
      </c>
      <c r="D464" s="59">
        <v>211</v>
      </c>
      <c r="E464" s="41" t="str">
        <f>IF(COUNTIF('Sa suberīnskābe'!$B$6:$B$83, $D464) &gt; 0,"sub",IF(COUNTIF('Sa hito + sub'!$B$6:$B$82, $D464) &gt; 0,"hito_sub",""))</f>
        <v>sub</v>
      </c>
      <c r="F464" s="41" t="str">
        <f>IF(COUNTIF('ūd sorbcija Sa'!$C$3:$C$22, $D464) &gt; 0, "ūdens sorbc",IF(COUNTIF(higro!$C$19:$C$30, $D464) &gt; 0, "higroskopija",IF(COUNTIF(higro!$C$47:$C$58, $D464) &gt; 0, "higroskopija",IF(COUNTIF(Komp!$D$2:$D$16, $D464) &gt; 0, "komposts",IF(COUNTIF(spiedei!$C$42:$C$106, $D464) &gt; 0, "spiede","")))))</f>
        <v>higroskopija</v>
      </c>
    </row>
    <row r="465" spans="1:6" ht="15.75" customHeight="1">
      <c r="A465" s="26" t="s">
        <v>36</v>
      </c>
      <c r="B465" s="26">
        <v>3</v>
      </c>
      <c r="C465" s="58">
        <v>43</v>
      </c>
      <c r="D465" s="59">
        <v>212</v>
      </c>
      <c r="E465" s="41" t="str">
        <f>IF(COUNTIF('Sa suberīnskābe'!$B$6:$B$83, $D465) &gt; 0,"sub",IF(COUNTIF('Sa hito + sub'!$B$6:$B$82, $D465) &gt; 0,"hito_sub",""))</f>
        <v>sub</v>
      </c>
      <c r="F465" s="41" t="str">
        <f>IF(COUNTIF('ūd sorbcija Sa'!$C$3:$C$22, $D465) &gt; 0, "ūdens sorbc",IF(COUNTIF(higro!$C$19:$C$30, $D465) &gt; 0, "higroskopija",IF(COUNTIF(higro!$C$47:$C$58, $D465) &gt; 0, "higroskopija",IF(COUNTIF(Komp!$D$2:$D$16, $D465) &gt; 0, "komposts",IF(COUNTIF(spiedei!$C$42:$C$106, $D465) &gt; 0, "spiede","")))))</f>
        <v>higroskopija</v>
      </c>
    </row>
    <row r="466" spans="1:6" ht="15.75" customHeight="1">
      <c r="A466" s="26" t="s">
        <v>36</v>
      </c>
      <c r="B466" s="26">
        <v>3</v>
      </c>
      <c r="C466" s="58">
        <v>43</v>
      </c>
      <c r="D466" s="59">
        <v>213</v>
      </c>
      <c r="E466" s="41" t="str">
        <f>IF(COUNTIF('Sa suberīnskābe'!$B$6:$B$83, $D466) &gt; 0,"sub",IF(COUNTIF('Sa hito + sub'!$B$6:$B$82, $D466) &gt; 0,"hito_sub",""))</f>
        <v>sub</v>
      </c>
      <c r="F466" s="62" t="s">
        <v>48</v>
      </c>
    </row>
    <row r="467" spans="1:6" ht="15.75" customHeight="1">
      <c r="A467" s="26" t="s">
        <v>36</v>
      </c>
      <c r="B467" s="26">
        <v>3</v>
      </c>
      <c r="C467" s="58">
        <v>43</v>
      </c>
      <c r="D467" s="59">
        <v>214</v>
      </c>
      <c r="E467" s="41" t="str">
        <f>IF(COUNTIF('Sa suberīnskābe'!$B$6:$B$83, $D467) &gt; 0,"sub",IF(COUNTIF('Sa hito + sub'!$B$6:$B$82, $D467) &gt; 0,"hito_sub",""))</f>
        <v>sub</v>
      </c>
      <c r="F467" s="41" t="str">
        <f>IF(COUNTIF('ūd sorbcija Sa'!$C$3:$C$22, $D467) &gt; 0, "ūdens sorbc",IF(COUNTIF(higro!$C$19:$C$30, $D467) &gt; 0, "higroskopija",IF(COUNTIF(higro!$C$47:$C$58, $D467) &gt; 0, "higroskopija",IF(COUNTIF(Komp!$D$2:$D$16, $D467) &gt; 0, "komposts",IF(COUNTIF(spiedei!$C$42:$C$106, $D467) &gt; 0, "spiede","")))))</f>
        <v/>
      </c>
    </row>
    <row r="468" spans="1:6" ht="15.75" customHeight="1">
      <c r="A468" s="26" t="s">
        <v>36</v>
      </c>
      <c r="B468" s="28">
        <v>3</v>
      </c>
      <c r="C468" s="63">
        <v>43</v>
      </c>
      <c r="D468" s="64">
        <v>215</v>
      </c>
      <c r="E468" s="41" t="str">
        <f>IF(COUNTIF('Sa suberīnskābe'!$B$6:$B$83, $D468) &gt; 0,"sub",IF(COUNTIF('Sa hito + sub'!$B$6:$B$82, $D468) &gt; 0,"hito_sub",""))</f>
        <v/>
      </c>
      <c r="F468" s="41" t="str">
        <f>IF(COUNTIF('ūd sorbcija Sa'!$C$3:$C$22, $D468) &gt; 0, "ūdens sorbc",IF(COUNTIF(higro!$C$19:$C$30, $D468) &gt; 0, "higroskopija",IF(COUNTIF(higro!$C$47:$C$58, $D468) &gt; 0, "higroskopija",IF(COUNTIF(Komp!$D$2:$D$16, $D468) &gt; 0, "komposts",IF(COUNTIF(spiedei!$C$42:$C$106, $D468) &gt; 0, "spiede","")))))</f>
        <v/>
      </c>
    </row>
    <row r="469" spans="1:6" ht="15.75" customHeight="1">
      <c r="A469" s="26" t="s">
        <v>36</v>
      </c>
      <c r="B469" s="23">
        <v>8</v>
      </c>
      <c r="C469" s="56">
        <v>99</v>
      </c>
      <c r="D469" s="57">
        <v>46</v>
      </c>
      <c r="E469" s="41" t="str">
        <f>IF(COUNTIF('Sa suberīnskābe'!$B$6:$B$83, $D469) &gt; 0,"sub",IF(COUNTIF('Sa hito + sub'!$B$6:$B$82, $D469) &gt; 0,"hito_sub",""))</f>
        <v/>
      </c>
      <c r="F469" s="41" t="str">
        <f>IF(COUNTIF('ūd sorbcija Sa'!$C$3:$C$22, $D469) &gt; 0, "ūdens sorbc",IF(COUNTIF(higro!$C$19:$C$30, $D469) &gt; 0, "higroskopija",IF(COUNTIF(higro!$C$47:$C$58, $D469) &gt; 0, "higroskopija",IF(COUNTIF(Komp!$D$2:$D$16, $D469) &gt; 0, "komposts",IF(COUNTIF(spiedei!$C$42:$C$106, $D469) &gt; 0, "spiede","")))))</f>
        <v/>
      </c>
    </row>
    <row r="470" spans="1:6" ht="15.75" customHeight="1">
      <c r="A470" s="26" t="s">
        <v>36</v>
      </c>
      <c r="B470" s="26">
        <v>8</v>
      </c>
      <c r="C470" s="58">
        <v>99</v>
      </c>
      <c r="D470" s="59">
        <v>47</v>
      </c>
      <c r="E470" s="41" t="str">
        <f>IF(COUNTIF('Sa suberīnskābe'!$B$6:$B$83, $D470) &gt; 0,"sub",IF(COUNTIF('Sa hito + sub'!$B$6:$B$82, $D470) &gt; 0,"hito_sub",""))</f>
        <v/>
      </c>
      <c r="F470" s="41" t="str">
        <f>IF(COUNTIF('ūd sorbcija Sa'!$C$3:$C$22, $D470) &gt; 0, "ūdens sorbc",IF(COUNTIF(higro!$C$19:$C$30, $D470) &gt; 0, "higroskopija",IF(COUNTIF(higro!$C$47:$C$58, $D470) &gt; 0, "higroskopija",IF(COUNTIF(Komp!$D$2:$D$16, $D470) &gt; 0, "komposts",IF(COUNTIF(spiedei!$C$42:$C$106, $D470) &gt; 0, "spiede","")))))</f>
        <v/>
      </c>
    </row>
    <row r="471" spans="1:6" ht="15.75" customHeight="1">
      <c r="A471" s="26" t="s">
        <v>36</v>
      </c>
      <c r="B471" s="26">
        <v>8</v>
      </c>
      <c r="C471" s="58">
        <v>99</v>
      </c>
      <c r="D471" s="59">
        <v>48</v>
      </c>
      <c r="E471" s="41" t="str">
        <f>IF(COUNTIF('Sa suberīnskābe'!$B$6:$B$83, $D471) &gt; 0,"sub",IF(COUNTIF('Sa hito + sub'!$B$6:$B$82, $D471) &gt; 0,"hito_sub",""))</f>
        <v/>
      </c>
      <c r="F471" s="41" t="str">
        <f>IF(COUNTIF('ūd sorbcija Sa'!$C$3:$C$22, $D471) &gt; 0, "ūdens sorbc",IF(COUNTIF(higro!$C$19:$C$30, $D471) &gt; 0, "higroskopija",IF(COUNTIF(higro!$C$47:$C$58, $D471) &gt; 0, "higroskopija",IF(COUNTIF(Komp!$D$2:$D$16, $D471) &gt; 0, "komposts",IF(COUNTIF(spiedei!$C$42:$C$106, $D471) &gt; 0, "spiede","")))))</f>
        <v/>
      </c>
    </row>
    <row r="472" spans="1:6" ht="15.75" customHeight="1">
      <c r="A472" s="26" t="s">
        <v>36</v>
      </c>
      <c r="B472" s="26">
        <v>8</v>
      </c>
      <c r="C472" s="58">
        <v>99</v>
      </c>
      <c r="D472" s="59">
        <v>49</v>
      </c>
      <c r="E472" s="41" t="str">
        <f>IF(COUNTIF('Sa suberīnskābe'!$B$6:$B$83, $D472) &gt; 0,"sub",IF(COUNTIF('Sa hito + sub'!$B$6:$B$82, $D472) &gt; 0,"hito_sub",""))</f>
        <v/>
      </c>
      <c r="F472" s="41" t="str">
        <f>IF(COUNTIF('ūd sorbcija Sa'!$C$3:$C$22, $D472) &gt; 0, "ūdens sorbc",IF(COUNTIF(higro!$C$19:$C$30, $D472) &gt; 0, "higroskopija",IF(COUNTIF(higro!$C$47:$C$58, $D472) &gt; 0, "higroskopija",IF(COUNTIF(Komp!$D$2:$D$16, $D472) &gt; 0, "komposts",IF(COUNTIF(spiedei!$C$42:$C$106, $D472) &gt; 0, "spiede","")))))</f>
        <v/>
      </c>
    </row>
    <row r="473" spans="1:6" ht="15.75" customHeight="1">
      <c r="A473" s="26" t="s">
        <v>36</v>
      </c>
      <c r="B473" s="26">
        <v>8</v>
      </c>
      <c r="C473" s="58">
        <v>99</v>
      </c>
      <c r="D473" s="59">
        <v>50</v>
      </c>
      <c r="E473" s="41" t="str">
        <f>IF(COUNTIF('Sa suberīnskābe'!$B$6:$B$83, $D473) &gt; 0,"sub",IF(COUNTIF('Sa hito + sub'!$B$6:$B$82, $D473) &gt; 0,"hito_sub",""))</f>
        <v/>
      </c>
      <c r="F473" s="41" t="str">
        <f>IF(COUNTIF('ūd sorbcija Sa'!$C$3:$C$22, $D473) &gt; 0, "ūdens sorbc",IF(COUNTIF(higro!$C$19:$C$30, $D473) &gt; 0, "higroskopija",IF(COUNTIF(higro!$C$47:$C$58, $D473) &gt; 0, "higroskopija",IF(COUNTIF(Komp!$D$2:$D$16, $D473) &gt; 0, "komposts",IF(COUNTIF(spiedei!$C$42:$C$106, $D473) &gt; 0, "spiede","")))))</f>
        <v/>
      </c>
    </row>
    <row r="474" spans="1:6" ht="15.75" customHeight="1">
      <c r="A474" s="26" t="s">
        <v>36</v>
      </c>
      <c r="B474" s="26">
        <v>8</v>
      </c>
      <c r="C474" s="58">
        <v>100</v>
      </c>
      <c r="D474" s="59">
        <v>41</v>
      </c>
      <c r="E474" s="41" t="str">
        <f>IF(COUNTIF('Sa suberīnskābe'!$B$6:$B$83, $D474) &gt; 0,"sub",IF(COUNTIF('Sa hito + sub'!$B$6:$B$82, $D474) &gt; 0,"hito_sub",""))</f>
        <v/>
      </c>
      <c r="F474" s="41" t="str">
        <f>IF(COUNTIF('ūd sorbcija Sa'!$C$3:$C$22, $D474) &gt; 0, "ūdens sorbc",IF(COUNTIF(higro!$C$19:$C$30, $D474) &gt; 0, "higroskopija",IF(COUNTIF(higro!$C$47:$C$58, $D474) &gt; 0, "higroskopija",IF(COUNTIF(Komp!$D$2:$D$16, $D474) &gt; 0, "komposts",IF(COUNTIF(spiedei!$C$42:$C$106, $D474) &gt; 0, "spiede","")))))</f>
        <v/>
      </c>
    </row>
    <row r="475" spans="1:6" ht="15.75" customHeight="1">
      <c r="A475" s="26" t="s">
        <v>36</v>
      </c>
      <c r="B475" s="26">
        <v>8</v>
      </c>
      <c r="C475" s="58">
        <v>100</v>
      </c>
      <c r="D475" s="59">
        <v>42</v>
      </c>
      <c r="E475" s="41" t="str">
        <f>IF(COUNTIF('Sa suberīnskābe'!$B$6:$B$83, $D475) &gt; 0,"sub",IF(COUNTIF('Sa hito + sub'!$B$6:$B$82, $D475) &gt; 0,"hito_sub",""))</f>
        <v/>
      </c>
      <c r="F475" s="41" t="str">
        <f>IF(COUNTIF('ūd sorbcija Sa'!$C$3:$C$22, $D475) &gt; 0, "ūdens sorbc",IF(COUNTIF(higro!$C$19:$C$30, $D475) &gt; 0, "higroskopija",IF(COUNTIF(higro!$C$47:$C$58, $D475) &gt; 0, "higroskopija",IF(COUNTIF(Komp!$D$2:$D$16, $D475) &gt; 0, "komposts",IF(COUNTIF(spiedei!$C$42:$C$106, $D475) &gt; 0, "spiede","")))))</f>
        <v/>
      </c>
    </row>
    <row r="476" spans="1:6" ht="15.75" customHeight="1">
      <c r="A476" s="26" t="s">
        <v>36</v>
      </c>
      <c r="B476" s="26">
        <v>8</v>
      </c>
      <c r="C476" s="58">
        <v>100</v>
      </c>
      <c r="D476" s="59">
        <v>43</v>
      </c>
      <c r="E476" s="41" t="str">
        <f>IF(COUNTIF('Sa suberīnskābe'!$B$6:$B$83, $D476) &gt; 0,"sub",IF(COUNTIF('Sa hito + sub'!$B$6:$B$82, $D476) &gt; 0,"hito_sub",""))</f>
        <v/>
      </c>
      <c r="F476" s="41" t="str">
        <f>IF(COUNTIF('ūd sorbcija Sa'!$C$3:$C$22, $D476) &gt; 0, "ūdens sorbc",IF(COUNTIF(higro!$C$19:$C$30, $D476) &gt; 0, "higroskopija",IF(COUNTIF(higro!$C$47:$C$58, $D476) &gt; 0, "higroskopija",IF(COUNTIF(Komp!$D$2:$D$16, $D476) &gt; 0, "komposts",IF(COUNTIF(spiedei!$C$42:$C$106, $D476) &gt; 0, "spiede","")))))</f>
        <v/>
      </c>
    </row>
    <row r="477" spans="1:6" ht="15.75" customHeight="1">
      <c r="A477" s="26" t="s">
        <v>36</v>
      </c>
      <c r="B477" s="26">
        <v>8</v>
      </c>
      <c r="C477" s="58">
        <v>100</v>
      </c>
      <c r="D477" s="59">
        <v>44</v>
      </c>
      <c r="E477" s="41" t="str">
        <f>IF(COUNTIF('Sa suberīnskābe'!$B$6:$B$83, $D477) &gt; 0,"sub",IF(COUNTIF('Sa hito + sub'!$B$6:$B$82, $D477) &gt; 0,"hito_sub",""))</f>
        <v/>
      </c>
      <c r="F477" s="41" t="str">
        <f>IF(COUNTIF('ūd sorbcija Sa'!$C$3:$C$22, $D477) &gt; 0, "ūdens sorbc",IF(COUNTIF(higro!$C$19:$C$30, $D477) &gt; 0, "higroskopija",IF(COUNTIF(higro!$C$47:$C$58, $D477) &gt; 0, "higroskopija",IF(COUNTIF(Komp!$D$2:$D$16, $D477) &gt; 0, "komposts",IF(COUNTIF(spiedei!$C$42:$C$106, $D477) &gt; 0, "spiede","")))))</f>
        <v/>
      </c>
    </row>
    <row r="478" spans="1:6" ht="15.75" customHeight="1">
      <c r="A478" s="26" t="s">
        <v>36</v>
      </c>
      <c r="B478" s="26">
        <v>8</v>
      </c>
      <c r="C478" s="58">
        <v>100</v>
      </c>
      <c r="D478" s="59">
        <v>45</v>
      </c>
      <c r="E478" s="41" t="str">
        <f>IF(COUNTIF('Sa suberīnskābe'!$B$6:$B$83, $D478) &gt; 0,"sub",IF(COUNTIF('Sa hito + sub'!$B$6:$B$82, $D478) &gt; 0,"hito_sub",""))</f>
        <v/>
      </c>
      <c r="F478" s="41" t="str">
        <f>IF(COUNTIF('ūd sorbcija Sa'!$C$3:$C$22, $D478) &gt; 0, "ūdens sorbc",IF(COUNTIF(higro!$C$19:$C$30, $D478) &gt; 0, "higroskopija",IF(COUNTIF(higro!$C$47:$C$58, $D478) &gt; 0, "higroskopija",IF(COUNTIF(Komp!$D$2:$D$16, $D478) &gt; 0, "komposts",IF(COUNTIF(spiedei!$C$42:$C$106, $D478) &gt; 0, "spiede","")))))</f>
        <v/>
      </c>
    </row>
    <row r="479" spans="1:6" ht="15.75" customHeight="1">
      <c r="A479" s="26" t="s">
        <v>36</v>
      </c>
      <c r="B479" s="26">
        <v>8</v>
      </c>
      <c r="C479" s="58">
        <v>101</v>
      </c>
      <c r="D479" s="59">
        <v>36</v>
      </c>
      <c r="E479" s="41" t="str">
        <f>IF(COUNTIF('Sa suberīnskābe'!$B$6:$B$83, $D479) &gt; 0,"sub",IF(COUNTIF('Sa hito + sub'!$B$6:$B$82, $D479) &gt; 0,"hito_sub",""))</f>
        <v/>
      </c>
      <c r="F479" s="41" t="str">
        <f>IF(COUNTIF('ūd sorbcija Sa'!$C$3:$C$22, $D479) &gt; 0, "ūdens sorbc",IF(COUNTIF(higro!$C$19:$C$30, $D479) &gt; 0, "higroskopija",IF(COUNTIF(higro!$C$47:$C$58, $D479) &gt; 0, "higroskopija",IF(COUNTIF(Komp!$D$2:$D$16, $D479) &gt; 0, "komposts",IF(COUNTIF(spiedei!$C$42:$C$106, $D479) &gt; 0, "spiede","")))))</f>
        <v/>
      </c>
    </row>
    <row r="480" spans="1:6" ht="15.75" customHeight="1">
      <c r="A480" s="26" t="s">
        <v>36</v>
      </c>
      <c r="B480" s="26">
        <v>8</v>
      </c>
      <c r="C480" s="58">
        <v>101</v>
      </c>
      <c r="D480" s="59">
        <v>37</v>
      </c>
      <c r="E480" s="41" t="str">
        <f>IF(COUNTIF('Sa suberīnskābe'!$B$6:$B$83, $D480) &gt; 0,"sub",IF(COUNTIF('Sa hito + sub'!$B$6:$B$82, $D480) &gt; 0,"hito_sub",""))</f>
        <v/>
      </c>
      <c r="F480" s="41" t="str">
        <f>IF(COUNTIF('ūd sorbcija Sa'!$C$3:$C$22, $D480) &gt; 0, "ūdens sorbc",IF(COUNTIF(higro!$C$19:$C$30, $D480) &gt; 0, "higroskopija",IF(COUNTIF(higro!$C$47:$C$58, $D480) &gt; 0, "higroskopija",IF(COUNTIF(Komp!$D$2:$D$16, $D480) &gt; 0, "komposts",IF(COUNTIF(spiedei!$C$42:$C$106, $D480) &gt; 0, "spiede","")))))</f>
        <v/>
      </c>
    </row>
    <row r="481" spans="1:6" ht="15.75" customHeight="1">
      <c r="A481" s="26" t="s">
        <v>36</v>
      </c>
      <c r="B481" s="26">
        <v>8</v>
      </c>
      <c r="C481" s="58">
        <v>101</v>
      </c>
      <c r="D481" s="59">
        <v>38</v>
      </c>
      <c r="E481" s="41" t="str">
        <f>IF(COUNTIF('Sa suberīnskābe'!$B$6:$B$83, $D481) &gt; 0,"sub",IF(COUNTIF('Sa hito + sub'!$B$6:$B$82, $D481) &gt; 0,"hito_sub",""))</f>
        <v/>
      </c>
      <c r="F481" s="41" t="str">
        <f>IF(COUNTIF('ūd sorbcija Sa'!$C$3:$C$22, $D481) &gt; 0, "ūdens sorbc",IF(COUNTIF(higro!$C$19:$C$30, $D481) &gt; 0, "higroskopija",IF(COUNTIF(higro!$C$47:$C$58, $D481) &gt; 0, "higroskopija",IF(COUNTIF(Komp!$D$2:$D$16, $D481) &gt; 0, "komposts",IF(COUNTIF(spiedei!$C$42:$C$106, $D481) &gt; 0, "spiede","")))))</f>
        <v/>
      </c>
    </row>
    <row r="482" spans="1:6" ht="15.75" customHeight="1">
      <c r="A482" s="26" t="s">
        <v>36</v>
      </c>
      <c r="B482" s="26">
        <v>8</v>
      </c>
      <c r="C482" s="58">
        <v>101</v>
      </c>
      <c r="D482" s="59">
        <v>39</v>
      </c>
      <c r="E482" s="41" t="str">
        <f>IF(COUNTIF('Sa suberīnskābe'!$B$6:$B$83, $D482) &gt; 0,"sub",IF(COUNTIF('Sa hito + sub'!$B$6:$B$82, $D482) &gt; 0,"hito_sub",""))</f>
        <v/>
      </c>
      <c r="F482" s="41" t="str">
        <f>IF(COUNTIF('ūd sorbcija Sa'!$C$3:$C$22, $D482) &gt; 0, "ūdens sorbc",IF(COUNTIF(higro!$C$19:$C$30, $D482) &gt; 0, "higroskopija",IF(COUNTIF(higro!$C$47:$C$58, $D482) &gt; 0, "higroskopija",IF(COUNTIF(Komp!$D$2:$D$16, $D482) &gt; 0, "komposts",IF(COUNTIF(spiedei!$C$42:$C$106, $D482) &gt; 0, "spiede","")))))</f>
        <v/>
      </c>
    </row>
    <row r="483" spans="1:6" ht="15.75" customHeight="1">
      <c r="A483" s="26" t="s">
        <v>36</v>
      </c>
      <c r="B483" s="28">
        <v>8</v>
      </c>
      <c r="C483" s="63">
        <v>101</v>
      </c>
      <c r="D483" s="64">
        <v>40</v>
      </c>
      <c r="E483" s="41" t="str">
        <f>IF(COUNTIF('Sa suberīnskābe'!$B$6:$B$83, $D483) &gt; 0,"sub",IF(COUNTIF('Sa hito + sub'!$B$6:$B$82, $D483) &gt; 0,"hito_sub",""))</f>
        <v/>
      </c>
      <c r="F483" s="41" t="str">
        <f>IF(COUNTIF('ūd sorbcija Sa'!$C$3:$C$22, $D483) &gt; 0, "ūdens sorbc",IF(COUNTIF(higro!$C$19:$C$30, $D483) &gt; 0, "higroskopija",IF(COUNTIF(higro!$C$47:$C$58, $D483) &gt; 0, "higroskopija",IF(COUNTIF(Komp!$D$2:$D$16, $D483) &gt; 0, "komposts",IF(COUNTIF(spiedei!$C$42:$C$106, $D483) &gt; 0, "spiede","")))))</f>
        <v/>
      </c>
    </row>
    <row r="484" spans="1:6" ht="15.75" customHeight="1">
      <c r="A484" s="26" t="s">
        <v>36</v>
      </c>
      <c r="B484" s="23">
        <v>7</v>
      </c>
      <c r="C484" s="56">
        <v>103</v>
      </c>
      <c r="D484" s="57">
        <v>31</v>
      </c>
      <c r="E484" s="41" t="str">
        <f>IF(COUNTIF('Sa suberīnskābe'!$B$6:$B$83, $D484) &gt; 0,"sub",IF(COUNTIF('Sa hito + sub'!$B$6:$B$82, $D484) &gt; 0,"hito_sub",""))</f>
        <v/>
      </c>
      <c r="F484" s="41" t="str">
        <f>IF(COUNTIF('ūd sorbcija Sa'!$C$3:$C$22, $D484) &gt; 0, "ūdens sorbc",IF(COUNTIF(higro!$C$19:$C$30, $D484) &gt; 0, "higroskopija",IF(COUNTIF(higro!$C$47:$C$58, $D484) &gt; 0, "higroskopija",IF(COUNTIF(Komp!$D$2:$D$16, $D484) &gt; 0, "komposts",IF(COUNTIF(spiedei!$C$42:$C$106, $D484) &gt; 0, "spiede","")))))</f>
        <v/>
      </c>
    </row>
    <row r="485" spans="1:6" ht="15.75" customHeight="1">
      <c r="A485" s="26" t="s">
        <v>36</v>
      </c>
      <c r="B485" s="26">
        <v>7</v>
      </c>
      <c r="C485" s="58">
        <v>103</v>
      </c>
      <c r="D485" s="59">
        <v>32</v>
      </c>
      <c r="E485" s="41" t="str">
        <f>IF(COUNTIF('Sa suberīnskābe'!$B$6:$B$83, $D485) &gt; 0,"sub",IF(COUNTIF('Sa hito + sub'!$B$6:$B$82, $D485) &gt; 0,"hito_sub",""))</f>
        <v/>
      </c>
      <c r="F485" s="41" t="str">
        <f>IF(COUNTIF('ūd sorbcija Sa'!$C$3:$C$22, $D485) &gt; 0, "ūdens sorbc",IF(COUNTIF(higro!$C$19:$C$30, $D485) &gt; 0, "higroskopija",IF(COUNTIF(higro!$C$47:$C$58, $D485) &gt; 0, "higroskopija",IF(COUNTIF(Komp!$D$2:$D$16, $D485) &gt; 0, "komposts",IF(COUNTIF(spiedei!$C$42:$C$106, $D485) &gt; 0, "spiede","")))))</f>
        <v/>
      </c>
    </row>
    <row r="486" spans="1:6" ht="15.75" customHeight="1">
      <c r="A486" s="26" t="s">
        <v>36</v>
      </c>
      <c r="B486" s="26">
        <v>7</v>
      </c>
      <c r="C486" s="58">
        <v>103</v>
      </c>
      <c r="D486" s="59">
        <v>33</v>
      </c>
      <c r="E486" s="41" t="str">
        <f>IF(COUNTIF('Sa suberīnskābe'!$B$6:$B$83, $D486) &gt; 0,"sub",IF(COUNTIF('Sa hito + sub'!$B$6:$B$82, $D486) &gt; 0,"hito_sub",""))</f>
        <v/>
      </c>
      <c r="F486" s="41" t="str">
        <f>IF(COUNTIF('ūd sorbcija Sa'!$C$3:$C$22, $D486) &gt; 0, "ūdens sorbc",IF(COUNTIF(higro!$C$19:$C$30, $D486) &gt; 0, "higroskopija",IF(COUNTIF(higro!$C$47:$C$58, $D486) &gt; 0, "higroskopija",IF(COUNTIF(Komp!$D$2:$D$16, $D486) &gt; 0, "komposts",IF(COUNTIF(spiedei!$C$42:$C$106, $D486) &gt; 0, "spiede","")))))</f>
        <v/>
      </c>
    </row>
    <row r="487" spans="1:6" ht="15.75" customHeight="1">
      <c r="A487" s="26" t="s">
        <v>36</v>
      </c>
      <c r="B487" s="26">
        <v>7</v>
      </c>
      <c r="C487" s="58">
        <v>103</v>
      </c>
      <c r="D487" s="59">
        <v>34</v>
      </c>
      <c r="E487" s="41" t="str">
        <f>IF(COUNTIF('Sa suberīnskābe'!$B$6:$B$83, $D487) &gt; 0,"sub",IF(COUNTIF('Sa hito + sub'!$B$6:$B$82, $D487) &gt; 0,"hito_sub",""))</f>
        <v/>
      </c>
      <c r="F487" s="41" t="str">
        <f>IF(COUNTIF('ūd sorbcija Sa'!$C$3:$C$22, $D487) &gt; 0, "ūdens sorbc",IF(COUNTIF(higro!$C$19:$C$30, $D487) &gt; 0, "higroskopija",IF(COUNTIF(higro!$C$47:$C$58, $D487) &gt; 0, "higroskopija",IF(COUNTIF(Komp!$D$2:$D$16, $D487) &gt; 0, "komposts",IF(COUNTIF(spiedei!$C$42:$C$106, $D487) &gt; 0, "spiede","")))))</f>
        <v/>
      </c>
    </row>
    <row r="488" spans="1:6" ht="15.75" customHeight="1">
      <c r="A488" s="26" t="s">
        <v>36</v>
      </c>
      <c r="B488" s="26">
        <v>7</v>
      </c>
      <c r="C488" s="58">
        <v>103</v>
      </c>
      <c r="D488" s="59">
        <v>35</v>
      </c>
      <c r="E488" s="41" t="str">
        <f>IF(COUNTIF('Sa suberīnskābe'!$B$6:$B$83, $D488) &gt; 0,"sub",IF(COUNTIF('Sa hito + sub'!$B$6:$B$82, $D488) &gt; 0,"hito_sub",""))</f>
        <v/>
      </c>
      <c r="F488" s="41" t="str">
        <f>IF(COUNTIF('ūd sorbcija Sa'!$C$3:$C$22, $D488) &gt; 0, "ūdens sorbc",IF(COUNTIF(higro!$C$19:$C$30, $D488) &gt; 0, "higroskopija",IF(COUNTIF(higro!$C$47:$C$58, $D488) &gt; 0, "higroskopija",IF(COUNTIF(Komp!$D$2:$D$16, $D488) &gt; 0, "komposts",IF(COUNTIF(spiedei!$C$42:$C$106, $D488) &gt; 0, "spiede","")))))</f>
        <v/>
      </c>
    </row>
    <row r="489" spans="1:6" ht="15.75" customHeight="1">
      <c r="A489" s="26" t="s">
        <v>36</v>
      </c>
      <c r="B489" s="26">
        <v>7</v>
      </c>
      <c r="C489" s="58">
        <v>104</v>
      </c>
      <c r="D489" s="59">
        <v>26</v>
      </c>
      <c r="E489" s="41" t="str">
        <f>IF(COUNTIF('Sa suberīnskābe'!$B$6:$B$83, $D489) &gt; 0,"sub",IF(COUNTIF('Sa hito + sub'!$B$6:$B$82, $D489) &gt; 0,"hito_sub",""))</f>
        <v/>
      </c>
      <c r="F489" s="41" t="str">
        <f>IF(COUNTIF('ūd sorbcija Sa'!$C$3:$C$22, $D489) &gt; 0, "ūdens sorbc",IF(COUNTIF(higro!$C$19:$C$30, $D489) &gt; 0, "higroskopija",IF(COUNTIF(higro!$C$47:$C$58, $D489) &gt; 0, "higroskopija",IF(COUNTIF(Komp!$D$2:$D$16, $D489) &gt; 0, "komposts",IF(COUNTIF(spiedei!$C$42:$C$106, $D489) &gt; 0, "spiede","")))))</f>
        <v/>
      </c>
    </row>
    <row r="490" spans="1:6" ht="15.75" customHeight="1">
      <c r="A490" s="26" t="s">
        <v>36</v>
      </c>
      <c r="B490" s="26">
        <v>7</v>
      </c>
      <c r="C490" s="58">
        <v>104</v>
      </c>
      <c r="D490" s="59">
        <v>27</v>
      </c>
      <c r="E490" s="41" t="str">
        <f>IF(COUNTIF('Sa suberīnskābe'!$B$6:$B$83, $D490) &gt; 0,"sub",IF(COUNTIF('Sa hito + sub'!$B$6:$B$82, $D490) &gt; 0,"hito_sub",""))</f>
        <v/>
      </c>
      <c r="F490" s="41" t="str">
        <f>IF(COUNTIF('ūd sorbcija Sa'!$C$3:$C$22, $D490) &gt; 0, "ūdens sorbc",IF(COUNTIF(higro!$C$19:$C$30, $D490) &gt; 0, "higroskopija",IF(COUNTIF(higro!$C$47:$C$58, $D490) &gt; 0, "higroskopija",IF(COUNTIF(Komp!$D$2:$D$16, $D490) &gt; 0, "komposts",IF(COUNTIF(spiedei!$C$42:$C$106, $D490) &gt; 0, "spiede","")))))</f>
        <v/>
      </c>
    </row>
    <row r="491" spans="1:6" ht="15.75" customHeight="1">
      <c r="A491" s="26" t="s">
        <v>36</v>
      </c>
      <c r="B491" s="26">
        <v>7</v>
      </c>
      <c r="C491" s="58">
        <v>104</v>
      </c>
      <c r="D491" s="59">
        <v>28</v>
      </c>
      <c r="E491" s="41" t="str">
        <f>IF(COUNTIF('Sa suberīnskābe'!$B$6:$B$83, $D491) &gt; 0,"sub",IF(COUNTIF('Sa hito + sub'!$B$6:$B$82, $D491) &gt; 0,"hito_sub",""))</f>
        <v/>
      </c>
      <c r="F491" s="41" t="str">
        <f>IF(COUNTIF('ūd sorbcija Sa'!$C$3:$C$22, $D491) &gt; 0, "ūdens sorbc",IF(COUNTIF(higro!$C$19:$C$30, $D491) &gt; 0, "higroskopija",IF(COUNTIF(higro!$C$47:$C$58, $D491) &gt; 0, "higroskopija",IF(COUNTIF(Komp!$D$2:$D$16, $D491) &gt; 0, "komposts",IF(COUNTIF(spiedei!$C$42:$C$106, $D491) &gt; 0, "spiede","")))))</f>
        <v/>
      </c>
    </row>
    <row r="492" spans="1:6" ht="15.75" customHeight="1">
      <c r="A492" s="26" t="s">
        <v>36</v>
      </c>
      <c r="B492" s="26">
        <v>7</v>
      </c>
      <c r="C492" s="58">
        <v>104</v>
      </c>
      <c r="D492" s="59">
        <v>29</v>
      </c>
      <c r="E492" s="41" t="str">
        <f>IF(COUNTIF('Sa suberīnskābe'!$B$6:$B$83, $D492) &gt; 0,"sub",IF(COUNTIF('Sa hito + sub'!$B$6:$B$82, $D492) &gt; 0,"hito_sub",""))</f>
        <v/>
      </c>
      <c r="F492" s="41" t="str">
        <f>IF(COUNTIF('ūd sorbcija Sa'!$C$3:$C$22, $D492) &gt; 0, "ūdens sorbc",IF(COUNTIF(higro!$C$19:$C$30, $D492) &gt; 0, "higroskopija",IF(COUNTIF(higro!$C$47:$C$58, $D492) &gt; 0, "higroskopija",IF(COUNTIF(Komp!$D$2:$D$16, $D492) &gt; 0, "komposts",IF(COUNTIF(spiedei!$C$42:$C$106, $D492) &gt; 0, "spiede","")))))</f>
        <v/>
      </c>
    </row>
    <row r="493" spans="1:6" ht="15.75" customHeight="1">
      <c r="A493" s="26" t="s">
        <v>36</v>
      </c>
      <c r="B493" s="26">
        <v>7</v>
      </c>
      <c r="C493" s="58">
        <v>104</v>
      </c>
      <c r="D493" s="59">
        <v>30</v>
      </c>
      <c r="E493" s="41" t="str">
        <f>IF(COUNTIF('Sa suberīnskābe'!$B$6:$B$83, $D493) &gt; 0,"sub",IF(COUNTIF('Sa hito + sub'!$B$6:$B$82, $D493) &gt; 0,"hito_sub",""))</f>
        <v/>
      </c>
      <c r="F493" s="41" t="str">
        <f>IF(COUNTIF('ūd sorbcija Sa'!$C$3:$C$22, $D493) &gt; 0, "ūdens sorbc",IF(COUNTIF(higro!$C$19:$C$30, $D493) &gt; 0, "higroskopija",IF(COUNTIF(higro!$C$47:$C$58, $D493) &gt; 0, "higroskopija",IF(COUNTIF(Komp!$D$2:$D$16, $D493) &gt; 0, "komposts",IF(COUNTIF(spiedei!$C$42:$C$106, $D493) &gt; 0, "spiede","")))))</f>
        <v/>
      </c>
    </row>
    <row r="494" spans="1:6" ht="15.75" customHeight="1">
      <c r="A494" s="26" t="s">
        <v>36</v>
      </c>
      <c r="B494" s="26">
        <v>7</v>
      </c>
      <c r="C494" s="58">
        <v>106</v>
      </c>
      <c r="D494" s="59">
        <v>16</v>
      </c>
      <c r="E494" s="41" t="str">
        <f>IF(COUNTIF('Sa suberīnskābe'!$B$6:$B$83, $D494) &gt; 0,"sub",IF(COUNTIF('Sa hito + sub'!$B$6:$B$82, $D494) &gt; 0,"hito_sub",""))</f>
        <v/>
      </c>
      <c r="F494" s="41" t="str">
        <f>IF(COUNTIF('ūd sorbcija Sa'!$C$3:$C$22, $D494) &gt; 0, "ūdens sorbc",IF(COUNTIF(higro!$C$19:$C$30, $D494) &gt; 0, "higroskopija",IF(COUNTIF(higro!$C$47:$C$58, $D494) &gt; 0, "higroskopija",IF(COUNTIF(Komp!$D$2:$D$16, $D494) &gt; 0, "komposts",IF(COUNTIF(spiedei!$C$42:$C$106, $D494) &gt; 0, "spiede","")))))</f>
        <v/>
      </c>
    </row>
    <row r="495" spans="1:6" ht="15.75" customHeight="1">
      <c r="A495" s="26" t="s">
        <v>36</v>
      </c>
      <c r="B495" s="26">
        <v>7</v>
      </c>
      <c r="C495" s="58">
        <v>106</v>
      </c>
      <c r="D495" s="59">
        <v>17</v>
      </c>
      <c r="E495" s="41" t="str">
        <f>IF(COUNTIF('Sa suberīnskābe'!$B$6:$B$83, $D495) &gt; 0,"sub",IF(COUNTIF('Sa hito + sub'!$B$6:$B$82, $D495) &gt; 0,"hito_sub",""))</f>
        <v/>
      </c>
      <c r="F495" s="41" t="str">
        <f>IF(COUNTIF('ūd sorbcija Sa'!$C$3:$C$22, $D495) &gt; 0, "ūdens sorbc",IF(COUNTIF(higro!$C$19:$C$30, $D495) &gt; 0, "higroskopija",IF(COUNTIF(higro!$C$47:$C$58, $D495) &gt; 0, "higroskopija",IF(COUNTIF(Komp!$D$2:$D$16, $D495) &gt; 0, "komposts",IF(COUNTIF(spiedei!$C$42:$C$106, $D495) &gt; 0, "spiede","")))))</f>
        <v/>
      </c>
    </row>
    <row r="496" spans="1:6" ht="15.75" customHeight="1">
      <c r="A496" s="26" t="s">
        <v>36</v>
      </c>
      <c r="B496" s="26">
        <v>7</v>
      </c>
      <c r="C496" s="58">
        <v>106</v>
      </c>
      <c r="D496" s="59">
        <v>18</v>
      </c>
      <c r="E496" s="41" t="str">
        <f>IF(COUNTIF('Sa suberīnskābe'!$B$6:$B$83, $D496) &gt; 0,"sub",IF(COUNTIF('Sa hito + sub'!$B$6:$B$82, $D496) &gt; 0,"hito_sub",""))</f>
        <v/>
      </c>
      <c r="F496" s="41" t="str">
        <f>IF(COUNTIF('ūd sorbcija Sa'!$C$3:$C$22, $D496) &gt; 0, "ūdens sorbc",IF(COUNTIF(higro!$C$19:$C$30, $D496) &gt; 0, "higroskopija",IF(COUNTIF(higro!$C$47:$C$58, $D496) &gt; 0, "higroskopija",IF(COUNTIF(Komp!$D$2:$D$16, $D496) &gt; 0, "komposts",IF(COUNTIF(spiedei!$C$42:$C$106, $D496) &gt; 0, "spiede","")))))</f>
        <v/>
      </c>
    </row>
    <row r="497" spans="1:6" ht="15.75" customHeight="1">
      <c r="A497" s="26" t="s">
        <v>36</v>
      </c>
      <c r="B497" s="26">
        <v>7</v>
      </c>
      <c r="C497" s="58">
        <v>106</v>
      </c>
      <c r="D497" s="59">
        <v>19</v>
      </c>
      <c r="E497" s="41" t="str">
        <f>IF(COUNTIF('Sa suberīnskābe'!$B$6:$B$83, $D497) &gt; 0,"sub",IF(COUNTIF('Sa hito + sub'!$B$6:$B$82, $D497) &gt; 0,"hito_sub",""))</f>
        <v/>
      </c>
      <c r="F497" s="41" t="str">
        <f>IF(COUNTIF('ūd sorbcija Sa'!$C$3:$C$22, $D497) &gt; 0, "ūdens sorbc",IF(COUNTIF(higro!$C$19:$C$30, $D497) &gt; 0, "higroskopija",IF(COUNTIF(higro!$C$47:$C$58, $D497) &gt; 0, "higroskopija",IF(COUNTIF(Komp!$D$2:$D$16, $D497) &gt; 0, "komposts",IF(COUNTIF(spiedei!$C$42:$C$106, $D497) &gt; 0, "spiede","")))))</f>
        <v/>
      </c>
    </row>
    <row r="498" spans="1:6" ht="15.75" customHeight="1">
      <c r="A498" s="26" t="s">
        <v>36</v>
      </c>
      <c r="B498" s="26">
        <v>7</v>
      </c>
      <c r="C498" s="58">
        <v>106</v>
      </c>
      <c r="D498" s="59">
        <v>20</v>
      </c>
      <c r="E498" s="41" t="str">
        <f>IF(COUNTIF('Sa suberīnskābe'!$B$6:$B$83, $D498) &gt; 0,"sub",IF(COUNTIF('Sa hito + sub'!$B$6:$B$82, $D498) &gt; 0,"hito_sub",""))</f>
        <v/>
      </c>
      <c r="F498" s="41" t="str">
        <f>IF(COUNTIF('ūd sorbcija Sa'!$C$3:$C$22, $D498) &gt; 0, "ūdens sorbc",IF(COUNTIF(higro!$C$19:$C$30, $D498) &gt; 0, "higroskopija",IF(COUNTIF(higro!$C$47:$C$58, $D498) &gt; 0, "higroskopija",IF(COUNTIF(Komp!$D$2:$D$16, $D498) &gt; 0, "komposts",IF(COUNTIF(spiedei!$C$42:$C$106, $D498) &gt; 0, "spiede","")))))</f>
        <v/>
      </c>
    </row>
    <row r="499" spans="1:6" ht="15.75" customHeight="1">
      <c r="A499" s="26" t="s">
        <v>36</v>
      </c>
      <c r="B499" s="26">
        <v>7</v>
      </c>
      <c r="C499" s="58">
        <v>107</v>
      </c>
      <c r="D499" s="59">
        <v>11</v>
      </c>
      <c r="E499" s="41" t="str">
        <f>IF(COUNTIF('Sa suberīnskābe'!$B$6:$B$83, $D499) &gt; 0,"sub",IF(COUNTIF('Sa hito + sub'!$B$6:$B$82, $D499) &gt; 0,"hito_sub",""))</f>
        <v/>
      </c>
      <c r="F499" s="41" t="str">
        <f>IF(COUNTIF('ūd sorbcija Sa'!$C$3:$C$22, $D499) &gt; 0, "ūdens sorbc",IF(COUNTIF(higro!$C$19:$C$30, $D499) &gt; 0, "higroskopija",IF(COUNTIF(higro!$C$47:$C$58, $D499) &gt; 0, "higroskopija",IF(COUNTIF(Komp!$D$2:$D$16, $D499) &gt; 0, "komposts",IF(COUNTIF(spiedei!$C$42:$C$106, $D499) &gt; 0, "spiede","")))))</f>
        <v/>
      </c>
    </row>
    <row r="500" spans="1:6" ht="15.75" customHeight="1">
      <c r="A500" s="26" t="s">
        <v>36</v>
      </c>
      <c r="B500" s="26">
        <v>7</v>
      </c>
      <c r="C500" s="58">
        <v>107</v>
      </c>
      <c r="D500" s="59">
        <v>12</v>
      </c>
      <c r="E500" s="41" t="str">
        <f>IF(COUNTIF('Sa suberīnskābe'!$B$6:$B$83, $D500) &gt; 0,"sub",IF(COUNTIF('Sa hito + sub'!$B$6:$B$82, $D500) &gt; 0,"hito_sub",""))</f>
        <v/>
      </c>
      <c r="F500" s="41" t="str">
        <f>IF(COUNTIF('ūd sorbcija Sa'!$C$3:$C$22, $D500) &gt; 0, "ūdens sorbc",IF(COUNTIF(higro!$C$19:$C$30, $D500) &gt; 0, "higroskopija",IF(COUNTIF(higro!$C$47:$C$58, $D500) &gt; 0, "higroskopija",IF(COUNTIF(Komp!$D$2:$D$16, $D500) &gt; 0, "komposts",IF(COUNTIF(spiedei!$C$42:$C$106, $D500) &gt; 0, "spiede","")))))</f>
        <v/>
      </c>
    </row>
    <row r="501" spans="1:6" ht="15.75" customHeight="1">
      <c r="A501" s="26" t="s">
        <v>36</v>
      </c>
      <c r="B501" s="26">
        <v>7</v>
      </c>
      <c r="C501" s="58">
        <v>107</v>
      </c>
      <c r="D501" s="59">
        <v>13</v>
      </c>
      <c r="E501" s="41" t="str">
        <f>IF(COUNTIF('Sa suberīnskābe'!$B$6:$B$83, $D501) &gt; 0,"sub",IF(COUNTIF('Sa hito + sub'!$B$6:$B$82, $D501) &gt; 0,"hito_sub",""))</f>
        <v/>
      </c>
      <c r="F501" s="41" t="str">
        <f>IF(COUNTIF('ūd sorbcija Sa'!$C$3:$C$22, $D501) &gt; 0, "ūdens sorbc",IF(COUNTIF(higro!$C$19:$C$30, $D501) &gt; 0, "higroskopija",IF(COUNTIF(higro!$C$47:$C$58, $D501) &gt; 0, "higroskopija",IF(COUNTIF(Komp!$D$2:$D$16, $D501) &gt; 0, "komposts",IF(COUNTIF(spiedei!$C$42:$C$106, $D501) &gt; 0, "spiede","")))))</f>
        <v/>
      </c>
    </row>
    <row r="502" spans="1:6" ht="15.75" customHeight="1">
      <c r="A502" s="26" t="s">
        <v>36</v>
      </c>
      <c r="B502" s="26">
        <v>7</v>
      </c>
      <c r="C502" s="58">
        <v>107</v>
      </c>
      <c r="D502" s="59">
        <v>14</v>
      </c>
      <c r="E502" s="41" t="str">
        <f>IF(COUNTIF('Sa suberīnskābe'!$B$6:$B$83, $D502) &gt; 0,"sub",IF(COUNTIF('Sa hito + sub'!$B$6:$B$82, $D502) &gt; 0,"hito_sub",""))</f>
        <v/>
      </c>
      <c r="F502" s="41" t="str">
        <f>IF(COUNTIF('ūd sorbcija Sa'!$C$3:$C$22, $D502) &gt; 0, "ūdens sorbc",IF(COUNTIF(higro!$C$19:$C$30, $D502) &gt; 0, "higroskopija",IF(COUNTIF(higro!$C$47:$C$58, $D502) &gt; 0, "higroskopija",IF(COUNTIF(Komp!$D$2:$D$16, $D502) &gt; 0, "komposts",IF(COUNTIF(spiedei!$C$42:$C$106, $D502) &gt; 0, "spiede","")))))</f>
        <v/>
      </c>
    </row>
    <row r="503" spans="1:6" ht="15.75" customHeight="1">
      <c r="A503" s="26" t="s">
        <v>36</v>
      </c>
      <c r="B503" s="28">
        <v>7</v>
      </c>
      <c r="C503" s="63">
        <v>107</v>
      </c>
      <c r="D503" s="64">
        <v>15</v>
      </c>
      <c r="E503" s="41" t="str">
        <f>IF(COUNTIF('Sa suberīnskābe'!$B$6:$B$83, $D503) &gt; 0,"sub",IF(COUNTIF('Sa hito + sub'!$B$6:$B$82, $D503) &gt; 0,"hito_sub",""))</f>
        <v/>
      </c>
      <c r="F503" s="41" t="str">
        <f>IF(COUNTIF('ūd sorbcija Sa'!$C$3:$C$22, $D503) &gt; 0, "ūdens sorbc",IF(COUNTIF(higro!$C$19:$C$30, $D503) &gt; 0, "higroskopija",IF(COUNTIF(higro!$C$47:$C$58, $D503) &gt; 0, "higroskopija",IF(COUNTIF(Komp!$D$2:$D$16, $D503) &gt; 0, "komposts",IF(COUNTIF(spiedei!$C$42:$C$106, $D503) &gt; 0, "spiede","")))))</f>
        <v/>
      </c>
    </row>
    <row r="504" spans="1:6" ht="15.75" customHeight="1">
      <c r="A504" s="26" t="s">
        <v>36</v>
      </c>
      <c r="B504" s="23">
        <v>6</v>
      </c>
      <c r="C504" s="56">
        <v>108</v>
      </c>
      <c r="D504" s="57">
        <v>6</v>
      </c>
      <c r="E504" s="41" t="str">
        <f>IF(COUNTIF('Sa suberīnskābe'!$B$6:$B$83, $D504) &gt; 0,"sub",IF(COUNTIF('Sa hito + sub'!$B$6:$B$82, $D504) &gt; 0,"hito_sub",""))</f>
        <v/>
      </c>
      <c r="F504" s="41" t="str">
        <f>IF(COUNTIF('ūd sorbcija Sa'!$C$3:$C$22, $D504) &gt; 0, "ūdens sorbc",IF(COUNTIF(higro!$C$19:$C$30, $D504) &gt; 0, "higroskopija",IF(COUNTIF(higro!$C$47:$C$58, $D504) &gt; 0, "higroskopija",IF(COUNTIF(Komp!$D$2:$D$16, $D504) &gt; 0, "komposts",IF(COUNTIF(spiedei!$C$42:$C$106, $D504) &gt; 0, "spiede","")))))</f>
        <v/>
      </c>
    </row>
    <row r="505" spans="1:6" ht="15.75" customHeight="1">
      <c r="A505" s="26" t="s">
        <v>36</v>
      </c>
      <c r="B505" s="26">
        <v>6</v>
      </c>
      <c r="C505" s="58">
        <v>108</v>
      </c>
      <c r="D505" s="59">
        <v>7</v>
      </c>
      <c r="E505" s="41" t="str">
        <f>IF(COUNTIF('Sa suberīnskābe'!$B$6:$B$83, $D505) &gt; 0,"sub",IF(COUNTIF('Sa hito + sub'!$B$6:$B$82, $D505) &gt; 0,"hito_sub",""))</f>
        <v/>
      </c>
      <c r="F505" s="41" t="str">
        <f>IF(COUNTIF('ūd sorbcija Sa'!$C$3:$C$22, $D505) &gt; 0, "ūdens sorbc",IF(COUNTIF(higro!$C$19:$C$30, $D505) &gt; 0, "higroskopija",IF(COUNTIF(higro!$C$47:$C$58, $D505) &gt; 0, "higroskopija",IF(COUNTIF(Komp!$D$2:$D$16, $D505) &gt; 0, "komposts",IF(COUNTIF(spiedei!$C$42:$C$106, $D505) &gt; 0, "spiede","")))))</f>
        <v/>
      </c>
    </row>
    <row r="506" spans="1:6" ht="15.75" customHeight="1">
      <c r="A506" s="26" t="s">
        <v>36</v>
      </c>
      <c r="B506" s="26">
        <v>6</v>
      </c>
      <c r="C506" s="58">
        <v>108</v>
      </c>
      <c r="D506" s="59">
        <v>8</v>
      </c>
      <c r="E506" s="41" t="str">
        <f>IF(COUNTIF('Sa suberīnskābe'!$B$6:$B$83, $D506) &gt; 0,"sub",IF(COUNTIF('Sa hito + sub'!$B$6:$B$82, $D506) &gt; 0,"hito_sub",""))</f>
        <v/>
      </c>
      <c r="F506" s="41" t="str">
        <f>IF(COUNTIF('ūd sorbcija Sa'!$C$3:$C$22, $D506) &gt; 0, "ūdens sorbc",IF(COUNTIF(higro!$C$19:$C$30, $D506) &gt; 0, "higroskopija",IF(COUNTIF(higro!$C$47:$C$58, $D506) &gt; 0, "higroskopija",IF(COUNTIF(Komp!$D$2:$D$16, $D506) &gt; 0, "komposts",IF(COUNTIF(spiedei!$C$42:$C$106, $D506) &gt; 0, "spiede","")))))</f>
        <v/>
      </c>
    </row>
    <row r="507" spans="1:6" ht="15.75" customHeight="1">
      <c r="A507" s="26" t="s">
        <v>36</v>
      </c>
      <c r="B507" s="26">
        <v>6</v>
      </c>
      <c r="C507" s="58">
        <v>108</v>
      </c>
      <c r="D507" s="59">
        <v>9</v>
      </c>
      <c r="E507" s="41" t="str">
        <f>IF(COUNTIF('Sa suberīnskābe'!$B$6:$B$83, $D507) &gt; 0,"sub",IF(COUNTIF('Sa hito + sub'!$B$6:$B$82, $D507) &gt; 0,"hito_sub",""))</f>
        <v/>
      </c>
      <c r="F507" s="41" t="str">
        <f>IF(COUNTIF('ūd sorbcija Sa'!$C$3:$C$22, $D507) &gt; 0, "ūdens sorbc",IF(COUNTIF(higro!$C$19:$C$30, $D507) &gt; 0, "higroskopija",IF(COUNTIF(higro!$C$47:$C$58, $D507) &gt; 0, "higroskopija",IF(COUNTIF(Komp!$D$2:$D$16, $D507) &gt; 0, "komposts",IF(COUNTIF(spiedei!$C$42:$C$106, $D507) &gt; 0, "spiede","")))))</f>
        <v/>
      </c>
    </row>
    <row r="508" spans="1:6" ht="15.75" customHeight="1">
      <c r="A508" s="26" t="s">
        <v>36</v>
      </c>
      <c r="B508" s="26">
        <v>6</v>
      </c>
      <c r="C508" s="58">
        <v>108</v>
      </c>
      <c r="D508" s="59">
        <v>10</v>
      </c>
      <c r="E508" s="41" t="str">
        <f>IF(COUNTIF('Sa suberīnskābe'!$B$6:$B$83, $D508) &gt; 0,"sub",IF(COUNTIF('Sa hito + sub'!$B$6:$B$82, $D508) &gt; 0,"hito_sub",""))</f>
        <v/>
      </c>
      <c r="F508" s="41" t="str">
        <f>IF(COUNTIF('ūd sorbcija Sa'!$C$3:$C$22, $D508) &gt; 0, "ūdens sorbc",IF(COUNTIF(higro!$C$19:$C$30, $D508) &gt; 0, "higroskopija",IF(COUNTIF(higro!$C$47:$C$58, $D508) &gt; 0, "higroskopija",IF(COUNTIF(Komp!$D$2:$D$16, $D508) &gt; 0, "komposts",IF(COUNTIF(spiedei!$C$42:$C$106, $D508) &gt; 0, "spiede","")))))</f>
        <v/>
      </c>
    </row>
    <row r="509" spans="1:6" ht="15.75" customHeight="1">
      <c r="A509" s="26" t="s">
        <v>36</v>
      </c>
      <c r="B509" s="26">
        <v>6</v>
      </c>
      <c r="C509" s="58">
        <v>109</v>
      </c>
      <c r="D509" s="59">
        <v>1</v>
      </c>
      <c r="E509" s="41" t="str">
        <f>IF(COUNTIF('Sa suberīnskābe'!$B$6:$B$83, $D509) &gt; 0,"sub",IF(COUNTIF('Sa hito + sub'!$B$6:$B$82, $D509) &gt; 0,"hito_sub",""))</f>
        <v/>
      </c>
      <c r="F509" s="41" t="str">
        <f>IF(COUNTIF('ūd sorbcija Sa'!$C$3:$C$22, $D509) &gt; 0, "ūdens sorbc",IF(COUNTIF(higro!$C$19:$C$30, $D509) &gt; 0, "higroskopija",IF(COUNTIF(higro!$C$47:$C$58, $D509) &gt; 0, "higroskopija",IF(COUNTIF(Komp!$D$2:$D$16, $D509) &gt; 0, "komposts",IF(COUNTIF(spiedei!$C$42:$C$106, $D509) &gt; 0, "spiede","")))))</f>
        <v/>
      </c>
    </row>
    <row r="510" spans="1:6" ht="15.75" customHeight="1">
      <c r="A510" s="26" t="s">
        <v>36</v>
      </c>
      <c r="B510" s="26">
        <v>6</v>
      </c>
      <c r="C510" s="58">
        <v>109</v>
      </c>
      <c r="D510" s="59">
        <v>2</v>
      </c>
      <c r="E510" s="41" t="str">
        <f>IF(COUNTIF('Sa suberīnskābe'!$B$6:$B$83, $D510) &gt; 0,"sub",IF(COUNTIF('Sa hito + sub'!$B$6:$B$82, $D510) &gt; 0,"hito_sub",""))</f>
        <v/>
      </c>
      <c r="F510" s="41" t="str">
        <f>IF(COUNTIF('ūd sorbcija Sa'!$C$3:$C$22, $D510) &gt; 0, "ūdens sorbc",IF(COUNTIF(higro!$C$19:$C$30, $D510) &gt; 0, "higroskopija",IF(COUNTIF(higro!$C$47:$C$58, $D510) &gt; 0, "higroskopija",IF(COUNTIF(Komp!$D$2:$D$16, $D510) &gt; 0, "komposts",IF(COUNTIF(spiedei!$C$42:$C$106, $D510) &gt; 0, "spiede","")))))</f>
        <v/>
      </c>
    </row>
    <row r="511" spans="1:6" ht="15.75" customHeight="1">
      <c r="A511" s="26" t="s">
        <v>36</v>
      </c>
      <c r="B511" s="26">
        <v>6</v>
      </c>
      <c r="C511" s="58">
        <v>109</v>
      </c>
      <c r="D511" s="59">
        <v>3</v>
      </c>
      <c r="E511" s="41" t="str">
        <f>IF(COUNTIF('Sa suberīnskābe'!$B$6:$B$83, $D511) &gt; 0,"sub",IF(COUNTIF('Sa hito + sub'!$B$6:$B$82, $D511) &gt; 0,"hito_sub",""))</f>
        <v/>
      </c>
      <c r="F511" s="41" t="str">
        <f>IF(COUNTIF('ūd sorbcija Sa'!$C$3:$C$22, $D511) &gt; 0, "ūdens sorbc",IF(COUNTIF(higro!$C$19:$C$30, $D511) &gt; 0, "higroskopija",IF(COUNTIF(higro!$C$47:$C$58, $D511) &gt; 0, "higroskopija",IF(COUNTIF(Komp!$D$2:$D$16, $D511) &gt; 0, "komposts",IF(COUNTIF(spiedei!$C$42:$C$106, $D511) &gt; 0, "spiede","")))))</f>
        <v/>
      </c>
    </row>
    <row r="512" spans="1:6" ht="15.75" customHeight="1">
      <c r="A512" s="26" t="s">
        <v>36</v>
      </c>
      <c r="B512" s="26">
        <v>6</v>
      </c>
      <c r="C512" s="58">
        <v>109</v>
      </c>
      <c r="D512" s="59">
        <v>4</v>
      </c>
      <c r="E512" s="41" t="str">
        <f>IF(COUNTIF('Sa suberīnskābe'!$B$6:$B$83, $D512) &gt; 0,"sub",IF(COUNTIF('Sa hito + sub'!$B$6:$B$82, $D512) &gt; 0,"hito_sub",""))</f>
        <v/>
      </c>
      <c r="F512" s="41" t="str">
        <f>IF(COUNTIF('ūd sorbcija Sa'!$C$3:$C$22, $D512) &gt; 0, "ūdens sorbc",IF(COUNTIF(higro!$C$19:$C$30, $D512) &gt; 0, "higroskopija",IF(COUNTIF(higro!$C$47:$C$58, $D512) &gt; 0, "higroskopija",IF(COUNTIF(Komp!$D$2:$D$16, $D512) &gt; 0, "komposts",IF(COUNTIF(spiedei!$C$42:$C$106, $D512) &gt; 0, "spiede","")))))</f>
        <v/>
      </c>
    </row>
    <row r="513" spans="1:6" ht="15.75" customHeight="1">
      <c r="A513" s="26" t="s">
        <v>36</v>
      </c>
      <c r="B513" s="26">
        <v>6</v>
      </c>
      <c r="C513" s="58">
        <v>109</v>
      </c>
      <c r="D513" s="59">
        <v>5</v>
      </c>
      <c r="E513" s="41" t="str">
        <f>IF(COUNTIF('Sa suberīnskābe'!$B$6:$B$83, $D513) &gt; 0,"sub",IF(COUNTIF('Sa hito + sub'!$B$6:$B$82, $D513) &gt; 0,"hito_sub",""))</f>
        <v/>
      </c>
      <c r="F513" s="41" t="str">
        <f>IF(COUNTIF('ūd sorbcija Sa'!$C$3:$C$22, $D513) &gt; 0, "ūdens sorbc",IF(COUNTIF(higro!$C$19:$C$30, $D513) &gt; 0, "higroskopija",IF(COUNTIF(higro!$C$47:$C$58, $D513) &gt; 0, "higroskopija",IF(COUNTIF(Komp!$D$2:$D$16, $D513) &gt; 0, "komposts",IF(COUNTIF(spiedei!$C$42:$C$106, $D513) &gt; 0, "spiede","")))))</f>
        <v/>
      </c>
    </row>
    <row r="514" spans="1:6" ht="15.75" customHeight="1">
      <c r="A514" s="26" t="s">
        <v>36</v>
      </c>
      <c r="B514" s="26">
        <v>6</v>
      </c>
      <c r="C514" s="58">
        <v>110</v>
      </c>
      <c r="D514" s="59">
        <v>96</v>
      </c>
      <c r="E514" s="41" t="str">
        <f>IF(COUNTIF('Sa suberīnskābe'!$B$6:$B$83, $D514) &gt; 0,"sub",IF(COUNTIF('Sa hito + sub'!$B$6:$B$82, $D514) &gt; 0,"hito_sub",""))</f>
        <v/>
      </c>
      <c r="F514" s="41" t="str">
        <f>IF(COUNTIF('ūd sorbcija Sa'!$C$3:$C$22, $D514) &gt; 0, "ūdens sorbc",IF(COUNTIF(higro!$C$19:$C$30, $D514) &gt; 0, "higroskopija",IF(COUNTIF(higro!$C$47:$C$58, $D514) &gt; 0, "higroskopija",IF(COUNTIF(Komp!$D$2:$D$16, $D514) &gt; 0, "komposts",IF(COUNTIF(spiedei!$C$42:$C$106, $D514) &gt; 0, "spiede","")))))</f>
        <v/>
      </c>
    </row>
    <row r="515" spans="1:6" ht="15.75" customHeight="1">
      <c r="A515" s="26" t="s">
        <v>36</v>
      </c>
      <c r="B515" s="26">
        <v>6</v>
      </c>
      <c r="C515" s="58">
        <v>110</v>
      </c>
      <c r="D515" s="59">
        <v>97</v>
      </c>
      <c r="E515" s="41" t="str">
        <f>IF(COUNTIF('Sa suberīnskābe'!$B$6:$B$83, $D515) &gt; 0,"sub",IF(COUNTIF('Sa hito + sub'!$B$6:$B$82, $D515) &gt; 0,"hito_sub",""))</f>
        <v/>
      </c>
      <c r="F515" s="41" t="str">
        <f>IF(COUNTIF('ūd sorbcija Sa'!$C$3:$C$22, $D515) &gt; 0, "ūdens sorbc",IF(COUNTIF(higro!$C$19:$C$30, $D515) &gt; 0, "higroskopija",IF(COUNTIF(higro!$C$47:$C$58, $D515) &gt; 0, "higroskopija",IF(COUNTIF(Komp!$D$2:$D$16, $D515) &gt; 0, "komposts",IF(COUNTIF(spiedei!$C$42:$C$106, $D515) &gt; 0, "spiede","")))))</f>
        <v/>
      </c>
    </row>
    <row r="516" spans="1:6" ht="15.75" customHeight="1">
      <c r="A516" s="26" t="s">
        <v>36</v>
      </c>
      <c r="B516" s="26">
        <v>6</v>
      </c>
      <c r="C516" s="58">
        <v>110</v>
      </c>
      <c r="D516" s="59">
        <v>98</v>
      </c>
      <c r="E516" s="41" t="str">
        <f>IF(COUNTIF('Sa suberīnskābe'!$B$6:$B$83, $D516) &gt; 0,"sub",IF(COUNTIF('Sa hito + sub'!$B$6:$B$82, $D516) &gt; 0,"hito_sub",""))</f>
        <v/>
      </c>
      <c r="F516" s="41" t="str">
        <f>IF(COUNTIF('ūd sorbcija Sa'!$C$3:$C$22, $D516) &gt; 0, "ūdens sorbc",IF(COUNTIF(higro!$C$19:$C$30, $D516) &gt; 0, "higroskopija",IF(COUNTIF(higro!$C$47:$C$58, $D516) &gt; 0, "higroskopija",IF(COUNTIF(Komp!$D$2:$D$16, $D516) &gt; 0, "komposts",IF(COUNTIF(spiedei!$C$42:$C$106, $D516) &gt; 0, "spiede","")))))</f>
        <v/>
      </c>
    </row>
    <row r="517" spans="1:6" ht="15.75" customHeight="1">
      <c r="A517" s="26" t="s">
        <v>36</v>
      </c>
      <c r="B517" s="26">
        <v>6</v>
      </c>
      <c r="C517" s="58">
        <v>110</v>
      </c>
      <c r="D517" s="59">
        <v>99</v>
      </c>
      <c r="E517" s="41" t="str">
        <f>IF(COUNTIF('Sa suberīnskābe'!$B$6:$B$83, $D517) &gt; 0,"sub",IF(COUNTIF('Sa hito + sub'!$B$6:$B$82, $D517) &gt; 0,"hito_sub",""))</f>
        <v/>
      </c>
      <c r="F517" s="41" t="str">
        <f>IF(COUNTIF('ūd sorbcija Sa'!$C$3:$C$22, $D517) &gt; 0, "ūdens sorbc",IF(COUNTIF(higro!$C$19:$C$30, $D517) &gt; 0, "higroskopija",IF(COUNTIF(higro!$C$47:$C$58, $D517) &gt; 0, "higroskopija",IF(COUNTIF(Komp!$D$2:$D$16, $D517) &gt; 0, "komposts",IF(COUNTIF(spiedei!$C$42:$C$106, $D517) &gt; 0, "spiede","")))))</f>
        <v/>
      </c>
    </row>
    <row r="518" spans="1:6" ht="15.75" customHeight="1">
      <c r="A518" s="26" t="s">
        <v>36</v>
      </c>
      <c r="B518" s="26">
        <v>6</v>
      </c>
      <c r="C518" s="58">
        <v>110</v>
      </c>
      <c r="D518" s="59">
        <v>100</v>
      </c>
      <c r="E518" s="41" t="str">
        <f>IF(COUNTIF('Sa suberīnskābe'!$B$6:$B$83, $D518) &gt; 0,"sub",IF(COUNTIF('Sa hito + sub'!$B$6:$B$82, $D518) &gt; 0,"hito_sub",""))</f>
        <v/>
      </c>
      <c r="F518" s="41" t="str">
        <f>IF(COUNTIF('ūd sorbcija Sa'!$C$3:$C$22, $D518) &gt; 0, "ūdens sorbc",IF(COUNTIF(higro!$C$19:$C$30, $D518) &gt; 0, "higroskopija",IF(COUNTIF(higro!$C$47:$C$58, $D518) &gt; 0, "higroskopija",IF(COUNTIF(Komp!$D$2:$D$16, $D518) &gt; 0, "komposts",IF(COUNTIF(spiedei!$C$42:$C$106, $D518) &gt; 0, "spiede","")))))</f>
        <v/>
      </c>
    </row>
    <row r="519" spans="1:6" ht="15.75" customHeight="1">
      <c r="A519" s="26" t="s">
        <v>36</v>
      </c>
      <c r="B519" s="26">
        <v>6</v>
      </c>
      <c r="C519" s="58">
        <v>111</v>
      </c>
      <c r="D519" s="59">
        <v>91</v>
      </c>
      <c r="E519" s="41" t="str">
        <f>IF(COUNTIF('Sa suberīnskābe'!$B$6:$B$83, $D519) &gt; 0,"sub",IF(COUNTIF('Sa hito + sub'!$B$6:$B$82, $D519) &gt; 0,"hito_sub",""))</f>
        <v/>
      </c>
      <c r="F519" s="41" t="str">
        <f>IF(COUNTIF('ūd sorbcija Sa'!$C$3:$C$22, $D519) &gt; 0, "ūdens sorbc",IF(COUNTIF(higro!$C$19:$C$30, $D519) &gt; 0, "higroskopija",IF(COUNTIF(higro!$C$47:$C$58, $D519) &gt; 0, "higroskopija",IF(COUNTIF(Komp!$D$2:$D$16, $D519) &gt; 0, "komposts",IF(COUNTIF(spiedei!$C$42:$C$106, $D519) &gt; 0, "spiede","")))))</f>
        <v/>
      </c>
    </row>
    <row r="520" spans="1:6" ht="15.75" customHeight="1">
      <c r="A520" s="26" t="s">
        <v>36</v>
      </c>
      <c r="B520" s="26">
        <v>6</v>
      </c>
      <c r="C520" s="58">
        <v>111</v>
      </c>
      <c r="D520" s="59">
        <v>92</v>
      </c>
      <c r="E520" s="41" t="str">
        <f>IF(COUNTIF('Sa suberīnskābe'!$B$6:$B$83, $D520) &gt; 0,"sub",IF(COUNTIF('Sa hito + sub'!$B$6:$B$82, $D520) &gt; 0,"hito_sub",""))</f>
        <v/>
      </c>
      <c r="F520" s="41" t="str">
        <f>IF(COUNTIF('ūd sorbcija Sa'!$C$3:$C$22, $D520) &gt; 0, "ūdens sorbc",IF(COUNTIF(higro!$C$19:$C$30, $D520) &gt; 0, "higroskopija",IF(COUNTIF(higro!$C$47:$C$58, $D520) &gt; 0, "higroskopija",IF(COUNTIF(Komp!$D$2:$D$16, $D520) &gt; 0, "komposts",IF(COUNTIF(spiedei!$C$42:$C$106, $D520) &gt; 0, "spiede","")))))</f>
        <v/>
      </c>
    </row>
    <row r="521" spans="1:6" ht="15.75" customHeight="1">
      <c r="A521" s="26" t="s">
        <v>36</v>
      </c>
      <c r="B521" s="26">
        <v>6</v>
      </c>
      <c r="C521" s="58">
        <v>111</v>
      </c>
      <c r="D521" s="59">
        <v>93</v>
      </c>
      <c r="E521" s="41" t="str">
        <f>IF(COUNTIF('Sa suberīnskābe'!$B$6:$B$83, $D521) &gt; 0,"sub",IF(COUNTIF('Sa hito + sub'!$B$6:$B$82, $D521) &gt; 0,"hito_sub",""))</f>
        <v/>
      </c>
      <c r="F521" s="41" t="str">
        <f>IF(COUNTIF('ūd sorbcija Sa'!$C$3:$C$22, $D521) &gt; 0, "ūdens sorbc",IF(COUNTIF(higro!$C$19:$C$30, $D521) &gt; 0, "higroskopija",IF(COUNTIF(higro!$C$47:$C$58, $D521) &gt; 0, "higroskopija",IF(COUNTIF(Komp!$D$2:$D$16, $D521) &gt; 0, "komposts",IF(COUNTIF(spiedei!$C$42:$C$106, $D521) &gt; 0, "spiede","")))))</f>
        <v/>
      </c>
    </row>
    <row r="522" spans="1:6" ht="15.75" customHeight="1">
      <c r="A522" s="26" t="s">
        <v>36</v>
      </c>
      <c r="B522" s="26">
        <v>6</v>
      </c>
      <c r="C522" s="58">
        <v>111</v>
      </c>
      <c r="D522" s="59">
        <v>94</v>
      </c>
      <c r="E522" s="41" t="str">
        <f>IF(COUNTIF('Sa suberīnskābe'!$B$6:$B$83, $D522) &gt; 0,"sub",IF(COUNTIF('Sa hito + sub'!$B$6:$B$82, $D522) &gt; 0,"hito_sub",""))</f>
        <v/>
      </c>
      <c r="F522" s="41" t="str">
        <f>IF(COUNTIF('ūd sorbcija Sa'!$C$3:$C$22, $D522) &gt; 0, "ūdens sorbc",IF(COUNTIF(higro!$C$19:$C$30, $D522) &gt; 0, "higroskopija",IF(COUNTIF(higro!$C$47:$C$58, $D522) &gt; 0, "higroskopija",IF(COUNTIF(Komp!$D$2:$D$16, $D522) &gt; 0, "komposts",IF(COUNTIF(spiedei!$C$42:$C$106, $D522) &gt; 0, "spiede","")))))</f>
        <v/>
      </c>
    </row>
    <row r="523" spans="1:6" ht="15.75" customHeight="1">
      <c r="A523" s="26" t="s">
        <v>36</v>
      </c>
      <c r="B523" s="26">
        <v>6</v>
      </c>
      <c r="C523" s="58">
        <v>111</v>
      </c>
      <c r="D523" s="59">
        <v>95</v>
      </c>
      <c r="E523" s="41" t="str">
        <f>IF(COUNTIF('Sa suberīnskābe'!$B$6:$B$83, $D523) &gt; 0,"sub",IF(COUNTIF('Sa hito + sub'!$B$6:$B$82, $D523) &gt; 0,"hito_sub",""))</f>
        <v/>
      </c>
      <c r="F523" s="41" t="str">
        <f>IF(COUNTIF('ūd sorbcija Sa'!$C$3:$C$22, $D523) &gt; 0, "ūdens sorbc",IF(COUNTIF(higro!$C$19:$C$30, $D523) &gt; 0, "higroskopija",IF(COUNTIF(higro!$C$47:$C$58, $D523) &gt; 0, "higroskopija",IF(COUNTIF(Komp!$D$2:$D$16, $D523) &gt; 0, "komposts",IF(COUNTIF(spiedei!$C$42:$C$106, $D523) &gt; 0, "spiede","")))))</f>
        <v/>
      </c>
    </row>
    <row r="524" spans="1:6" ht="15.75" customHeight="1">
      <c r="A524" s="26" t="s">
        <v>36</v>
      </c>
      <c r="B524" s="26">
        <v>6</v>
      </c>
      <c r="C524" s="58">
        <v>112</v>
      </c>
      <c r="D524" s="59">
        <v>86</v>
      </c>
      <c r="E524" s="41" t="str">
        <f>IF(COUNTIF('Sa suberīnskābe'!$B$6:$B$83, $D524) &gt; 0,"sub",IF(COUNTIF('Sa hito + sub'!$B$6:$B$82, $D524) &gt; 0,"hito_sub",""))</f>
        <v/>
      </c>
      <c r="F524" s="41" t="str">
        <f>IF(COUNTIF('ūd sorbcija Sa'!$C$3:$C$22, $D524) &gt; 0, "ūdens sorbc",IF(COUNTIF(higro!$C$19:$C$30, $D524) &gt; 0, "higroskopija",IF(COUNTIF(higro!$C$47:$C$58, $D524) &gt; 0, "higroskopija",IF(COUNTIF(Komp!$D$2:$D$16, $D524) &gt; 0, "komposts",IF(COUNTIF(spiedei!$C$42:$C$106, $D524) &gt; 0, "spiede","")))))</f>
        <v/>
      </c>
    </row>
    <row r="525" spans="1:6" ht="15.75" customHeight="1">
      <c r="A525" s="26" t="s">
        <v>36</v>
      </c>
      <c r="B525" s="26">
        <v>6</v>
      </c>
      <c r="C525" s="58">
        <v>112</v>
      </c>
      <c r="D525" s="59">
        <v>87</v>
      </c>
      <c r="E525" s="41" t="str">
        <f>IF(COUNTIF('Sa suberīnskābe'!$B$6:$B$83, $D525) &gt; 0,"sub",IF(COUNTIF('Sa hito + sub'!$B$6:$B$82, $D525) &gt; 0,"hito_sub",""))</f>
        <v/>
      </c>
      <c r="F525" s="41" t="str">
        <f>IF(COUNTIF('ūd sorbcija Sa'!$C$3:$C$22, $D525) &gt; 0, "ūdens sorbc",IF(COUNTIF(higro!$C$19:$C$30, $D525) &gt; 0, "higroskopija",IF(COUNTIF(higro!$C$47:$C$58, $D525) &gt; 0, "higroskopija",IF(COUNTIF(Komp!$D$2:$D$16, $D525) &gt; 0, "komposts",IF(COUNTIF(spiedei!$C$42:$C$106, $D525) &gt; 0, "spiede","")))))</f>
        <v>komposts</v>
      </c>
    </row>
    <row r="526" spans="1:6" ht="15.75" customHeight="1">
      <c r="A526" s="26" t="s">
        <v>36</v>
      </c>
      <c r="B526" s="26">
        <v>6</v>
      </c>
      <c r="C526" s="58">
        <v>112</v>
      </c>
      <c r="D526" s="59">
        <v>88</v>
      </c>
      <c r="E526" s="41" t="str">
        <f>IF(COUNTIF('Sa suberīnskābe'!$B$6:$B$83, $D526) &gt; 0,"sub",IF(COUNTIF('Sa hito + sub'!$B$6:$B$82, $D526) &gt; 0,"hito_sub",""))</f>
        <v/>
      </c>
      <c r="F526" s="41" t="str">
        <f>IF(COUNTIF('ūd sorbcija Sa'!$C$3:$C$22, $D526) &gt; 0, "ūdens sorbc",IF(COUNTIF(higro!$C$19:$C$30, $D526) &gt; 0, "higroskopija",IF(COUNTIF(higro!$C$47:$C$58, $D526) &gt; 0, "higroskopija",IF(COUNTIF(Komp!$D$2:$D$16, $D526) &gt; 0, "komposts",IF(COUNTIF(spiedei!$C$42:$C$106, $D526) &gt; 0, "spiede","")))))</f>
        <v/>
      </c>
    </row>
    <row r="527" spans="1:6" ht="15.75" customHeight="1">
      <c r="A527" s="26" t="s">
        <v>36</v>
      </c>
      <c r="B527" s="26">
        <v>6</v>
      </c>
      <c r="C527" s="58">
        <v>112</v>
      </c>
      <c r="D527" s="59">
        <v>89</v>
      </c>
      <c r="E527" s="41" t="str">
        <f>IF(COUNTIF('Sa suberīnskābe'!$B$6:$B$83, $D527) &gt; 0,"sub",IF(COUNTIF('Sa hito + sub'!$B$6:$B$82, $D527) &gt; 0,"hito_sub",""))</f>
        <v/>
      </c>
      <c r="F527" s="41" t="str">
        <f>IF(COUNTIF('ūd sorbcija Sa'!$C$3:$C$22, $D527) &gt; 0, "ūdens sorbc",IF(COUNTIF(higro!$C$19:$C$30, $D527) &gt; 0, "higroskopija",IF(COUNTIF(higro!$C$47:$C$58, $D527) &gt; 0, "higroskopija",IF(COUNTIF(Komp!$D$2:$D$16, $D527) &gt; 0, "komposts",IF(COUNTIF(spiedei!$C$42:$C$106, $D527) &gt; 0, "spiede","")))))</f>
        <v/>
      </c>
    </row>
    <row r="528" spans="1:6" ht="15.75" customHeight="1">
      <c r="A528" s="26" t="s">
        <v>36</v>
      </c>
      <c r="B528" s="28">
        <v>6</v>
      </c>
      <c r="C528" s="63">
        <v>112</v>
      </c>
      <c r="D528" s="64">
        <v>90</v>
      </c>
      <c r="E528" s="41" t="str">
        <f>IF(COUNTIF('Sa suberīnskābe'!$B$6:$B$83, $D528) &gt; 0,"sub",IF(COUNTIF('Sa hito + sub'!$B$6:$B$82, $D528) &gt; 0,"hito_sub",""))</f>
        <v/>
      </c>
      <c r="F528" s="41" t="str">
        <f>IF(COUNTIF('ūd sorbcija Sa'!$C$3:$C$22, $D528) &gt; 0, "ūdens sorbc",IF(COUNTIF(higro!$C$19:$C$30, $D528) &gt; 0, "higroskopija",IF(COUNTIF(higro!$C$47:$C$58, $D528) &gt; 0, "higroskopija",IF(COUNTIF(Komp!$D$2:$D$16, $D528) &gt; 0, "komposts",IF(COUNTIF(spiedei!$C$42:$C$106, $D528) &gt; 0, "spiede","")))))</f>
        <v/>
      </c>
    </row>
    <row r="529" spans="1:6" ht="15.75" customHeight="1">
      <c r="A529" s="26" t="s">
        <v>36</v>
      </c>
      <c r="B529" s="23">
        <v>5</v>
      </c>
      <c r="C529" s="56">
        <v>113</v>
      </c>
      <c r="D529" s="57">
        <v>81</v>
      </c>
      <c r="E529" s="41" t="str">
        <f>IF(COUNTIF('Sa suberīnskābe'!$B$6:$B$83, $D529) &gt; 0,"sub",IF(COUNTIF('Sa hito + sub'!$B$6:$B$82, $D529) &gt; 0,"hito_sub",""))</f>
        <v/>
      </c>
      <c r="F529" s="41" t="str">
        <f>IF(COUNTIF('ūd sorbcija Sa'!$C$3:$C$22, $D529) &gt; 0, "ūdens sorbc",IF(COUNTIF(higro!$C$19:$C$30, $D529) &gt; 0, "higroskopija",IF(COUNTIF(higro!$C$47:$C$58, $D529) &gt; 0, "higroskopija",IF(COUNTIF(Komp!$D$2:$D$16, $D529) &gt; 0, "komposts",IF(COUNTIF(spiedei!$C$42:$C$106, $D529) &gt; 0, "spiede","")))))</f>
        <v/>
      </c>
    </row>
    <row r="530" spans="1:6" ht="15.75" customHeight="1">
      <c r="A530" s="26" t="s">
        <v>36</v>
      </c>
      <c r="B530" s="26">
        <v>5</v>
      </c>
      <c r="C530" s="58">
        <v>113</v>
      </c>
      <c r="D530" s="59">
        <v>82</v>
      </c>
      <c r="E530" s="41" t="str">
        <f>IF(COUNTIF('Sa suberīnskābe'!$B$6:$B$83, $D530) &gt; 0,"sub",IF(COUNTIF('Sa hito + sub'!$B$6:$B$82, $D530) &gt; 0,"hito_sub",""))</f>
        <v/>
      </c>
      <c r="F530" s="41" t="str">
        <f>IF(COUNTIF('ūd sorbcija Sa'!$C$3:$C$22, $D530) &gt; 0, "ūdens sorbc",IF(COUNTIF(higro!$C$19:$C$30, $D530) &gt; 0, "higroskopija",IF(COUNTIF(higro!$C$47:$C$58, $D530) &gt; 0, "higroskopija",IF(COUNTIF(Komp!$D$2:$D$16, $D530) &gt; 0, "komposts",IF(COUNTIF(spiedei!$C$42:$C$106, $D530) &gt; 0, "spiede","")))))</f>
        <v/>
      </c>
    </row>
    <row r="531" spans="1:6" ht="15.75" customHeight="1">
      <c r="A531" s="26" t="s">
        <v>36</v>
      </c>
      <c r="B531" s="26">
        <v>5</v>
      </c>
      <c r="C531" s="58">
        <v>113</v>
      </c>
      <c r="D531" s="59">
        <v>83</v>
      </c>
      <c r="E531" s="41" t="str">
        <f>IF(COUNTIF('Sa suberīnskābe'!$B$6:$B$83, $D531) &gt; 0,"sub",IF(COUNTIF('Sa hito + sub'!$B$6:$B$82, $D531) &gt; 0,"hito_sub",""))</f>
        <v/>
      </c>
      <c r="F531" s="41" t="str">
        <f>IF(COUNTIF('ūd sorbcija Sa'!$C$3:$C$22, $D531) &gt; 0, "ūdens sorbc",IF(COUNTIF(higro!$C$19:$C$30, $D531) &gt; 0, "higroskopija",IF(COUNTIF(higro!$C$47:$C$58, $D531) &gt; 0, "higroskopija",IF(COUNTIF(Komp!$D$2:$D$16, $D531) &gt; 0, "komposts",IF(COUNTIF(spiedei!$C$42:$C$106, $D531) &gt; 0, "spiede","")))))</f>
        <v/>
      </c>
    </row>
    <row r="532" spans="1:6" ht="15.75" customHeight="1">
      <c r="A532" s="26" t="s">
        <v>36</v>
      </c>
      <c r="B532" s="26">
        <v>5</v>
      </c>
      <c r="C532" s="58">
        <v>113</v>
      </c>
      <c r="D532" s="59">
        <v>84</v>
      </c>
      <c r="E532" s="41" t="str">
        <f>IF(COUNTIF('Sa suberīnskābe'!$B$6:$B$83, $D532) &gt; 0,"sub",IF(COUNTIF('Sa hito + sub'!$B$6:$B$82, $D532) &gt; 0,"hito_sub",""))</f>
        <v/>
      </c>
      <c r="F532" s="41" t="str">
        <f>IF(COUNTIF('ūd sorbcija Sa'!$C$3:$C$22, $D532) &gt; 0, "ūdens sorbc",IF(COUNTIF(higro!$C$19:$C$30, $D532) &gt; 0, "higroskopija",IF(COUNTIF(higro!$C$47:$C$58, $D532) &gt; 0, "higroskopija",IF(COUNTIF(Komp!$D$2:$D$16, $D532) &gt; 0, "komposts",IF(COUNTIF(spiedei!$C$42:$C$106, $D532) &gt; 0, "spiede","")))))</f>
        <v/>
      </c>
    </row>
    <row r="533" spans="1:6" ht="15.75" customHeight="1">
      <c r="A533" s="26" t="s">
        <v>36</v>
      </c>
      <c r="B533" s="26">
        <v>5</v>
      </c>
      <c r="C533" s="58">
        <v>113</v>
      </c>
      <c r="D533" s="59">
        <v>85</v>
      </c>
      <c r="E533" s="41" t="str">
        <f>IF(COUNTIF('Sa suberīnskābe'!$B$6:$B$83, $D533) &gt; 0,"sub",IF(COUNTIF('Sa hito + sub'!$B$6:$B$82, $D533) &gt; 0,"hito_sub",""))</f>
        <v/>
      </c>
      <c r="F533" s="41" t="str">
        <f>IF(COUNTIF('ūd sorbcija Sa'!$C$3:$C$22, $D533) &gt; 0, "ūdens sorbc",IF(COUNTIF(higro!$C$19:$C$30, $D533) &gt; 0, "higroskopija",IF(COUNTIF(higro!$C$47:$C$58, $D533) &gt; 0, "higroskopija",IF(COUNTIF(Komp!$D$2:$D$16, $D533) &gt; 0, "komposts",IF(COUNTIF(spiedei!$C$42:$C$106, $D533) &gt; 0, "spiede","")))))</f>
        <v/>
      </c>
    </row>
    <row r="534" spans="1:6" ht="15.75" customHeight="1">
      <c r="A534" s="26" t="s">
        <v>36</v>
      </c>
      <c r="B534" s="26">
        <v>5</v>
      </c>
      <c r="C534" s="58">
        <v>114</v>
      </c>
      <c r="D534" s="59">
        <v>76</v>
      </c>
      <c r="E534" s="41" t="str">
        <f>IF(COUNTIF('Sa suberīnskābe'!$B$6:$B$83, $D534) &gt; 0,"sub",IF(COUNTIF('Sa hito + sub'!$B$6:$B$82, $D534) &gt; 0,"hito_sub",""))</f>
        <v/>
      </c>
      <c r="F534" s="41" t="str">
        <f>IF(COUNTIF('ūd sorbcija Sa'!$C$3:$C$22, $D534) &gt; 0, "ūdens sorbc",IF(COUNTIF(higro!$C$19:$C$30, $D534) &gt; 0, "higroskopija",IF(COUNTIF(higro!$C$47:$C$58, $D534) &gt; 0, "higroskopija",IF(COUNTIF(Komp!$D$2:$D$16, $D534) &gt; 0, "komposts",IF(COUNTIF(spiedei!$C$42:$C$106, $D534) &gt; 0, "spiede","")))))</f>
        <v/>
      </c>
    </row>
    <row r="535" spans="1:6" ht="15.75" customHeight="1">
      <c r="A535" s="26" t="s">
        <v>36</v>
      </c>
      <c r="B535" s="26">
        <v>5</v>
      </c>
      <c r="C535" s="58">
        <v>114</v>
      </c>
      <c r="D535" s="59">
        <v>77</v>
      </c>
      <c r="E535" s="41" t="str">
        <f>IF(COUNTIF('Sa suberīnskābe'!$B$6:$B$83, $D535) &gt; 0,"sub",IF(COUNTIF('Sa hito + sub'!$B$6:$B$82, $D535) &gt; 0,"hito_sub",""))</f>
        <v/>
      </c>
      <c r="F535" s="41" t="str">
        <f>IF(COUNTIF('ūd sorbcija Sa'!$C$3:$C$22, $D535) &gt; 0, "ūdens sorbc",IF(COUNTIF(higro!$C$19:$C$30, $D535) &gt; 0, "higroskopija",IF(COUNTIF(higro!$C$47:$C$58, $D535) &gt; 0, "higroskopija",IF(COUNTIF(Komp!$D$2:$D$16, $D535) &gt; 0, "komposts",IF(COUNTIF(spiedei!$C$42:$C$106, $D535) &gt; 0, "spiede","")))))</f>
        <v/>
      </c>
    </row>
    <row r="536" spans="1:6" ht="15.75" customHeight="1">
      <c r="A536" s="26" t="s">
        <v>36</v>
      </c>
      <c r="B536" s="26">
        <v>5</v>
      </c>
      <c r="C536" s="58">
        <v>114</v>
      </c>
      <c r="D536" s="59">
        <v>78</v>
      </c>
      <c r="E536" s="41" t="str">
        <f>IF(COUNTIF('Sa suberīnskābe'!$B$6:$B$83, $D536) &gt; 0,"sub",IF(COUNTIF('Sa hito + sub'!$B$6:$B$82, $D536) &gt; 0,"hito_sub",""))</f>
        <v/>
      </c>
      <c r="F536" s="41" t="str">
        <f>IF(COUNTIF('ūd sorbcija Sa'!$C$3:$C$22, $D536) &gt; 0, "ūdens sorbc",IF(COUNTIF(higro!$C$19:$C$30, $D536) &gt; 0, "higroskopija",IF(COUNTIF(higro!$C$47:$C$58, $D536) &gt; 0, "higroskopija",IF(COUNTIF(Komp!$D$2:$D$16, $D536) &gt; 0, "komposts",IF(COUNTIF(spiedei!$C$42:$C$106, $D536) &gt; 0, "spiede","")))))</f>
        <v/>
      </c>
    </row>
    <row r="537" spans="1:6" ht="15.75" customHeight="1">
      <c r="A537" s="26" t="s">
        <v>36</v>
      </c>
      <c r="B537" s="26">
        <v>5</v>
      </c>
      <c r="C537" s="58">
        <v>114</v>
      </c>
      <c r="D537" s="59">
        <v>79</v>
      </c>
      <c r="E537" s="41" t="str">
        <f>IF(COUNTIF('Sa suberīnskābe'!$B$6:$B$83, $D537) &gt; 0,"sub",IF(COUNTIF('Sa hito + sub'!$B$6:$B$82, $D537) &gt; 0,"hito_sub",""))</f>
        <v/>
      </c>
      <c r="F537" s="41" t="str">
        <f>IF(COUNTIF('ūd sorbcija Sa'!$C$3:$C$22, $D537) &gt; 0, "ūdens sorbc",IF(COUNTIF(higro!$C$19:$C$30, $D537) &gt; 0, "higroskopija",IF(COUNTIF(higro!$C$47:$C$58, $D537) &gt; 0, "higroskopija",IF(COUNTIF(Komp!$D$2:$D$16, $D537) &gt; 0, "komposts",IF(COUNTIF(spiedei!$C$42:$C$106, $D537) &gt; 0, "spiede","")))))</f>
        <v/>
      </c>
    </row>
    <row r="538" spans="1:6" ht="15.75" customHeight="1">
      <c r="A538" s="26" t="s">
        <v>36</v>
      </c>
      <c r="B538" s="26">
        <v>5</v>
      </c>
      <c r="C538" s="58">
        <v>114</v>
      </c>
      <c r="D538" s="59">
        <v>80</v>
      </c>
      <c r="E538" s="41" t="str">
        <f>IF(COUNTIF('Sa suberīnskābe'!$B$6:$B$83, $D538) &gt; 0,"sub",IF(COUNTIF('Sa hito + sub'!$B$6:$B$82, $D538) &gt; 0,"hito_sub",""))</f>
        <v/>
      </c>
      <c r="F538" s="41" t="str">
        <f>IF(COUNTIF('ūd sorbcija Sa'!$C$3:$C$22, $D538) &gt; 0, "ūdens sorbc",IF(COUNTIF(higro!$C$19:$C$30, $D538) &gt; 0, "higroskopija",IF(COUNTIF(higro!$C$47:$C$58, $D538) &gt; 0, "higroskopija",IF(COUNTIF(Komp!$D$2:$D$16, $D538) &gt; 0, "komposts",IF(COUNTIF(spiedei!$C$42:$C$106, $D538) &gt; 0, "spiede","")))))</f>
        <v/>
      </c>
    </row>
    <row r="539" spans="1:6" ht="15.75" customHeight="1">
      <c r="A539" s="26" t="s">
        <v>36</v>
      </c>
      <c r="B539" s="26">
        <v>5</v>
      </c>
      <c r="C539" s="58">
        <v>115</v>
      </c>
      <c r="D539" s="59">
        <v>21</v>
      </c>
      <c r="E539" s="41" t="str">
        <f>IF(COUNTIF('Sa suberīnskābe'!$B$6:$B$83, $D539) &gt; 0,"sub",IF(COUNTIF('Sa hito + sub'!$B$6:$B$82, $D539) &gt; 0,"hito_sub",""))</f>
        <v/>
      </c>
      <c r="F539" s="41" t="str">
        <f>IF(COUNTIF('ūd sorbcija Sa'!$C$3:$C$22, $D539) &gt; 0, "ūdens sorbc",IF(COUNTIF(higro!$C$19:$C$30, $D539) &gt; 0, "higroskopija",IF(COUNTIF(higro!$C$47:$C$58, $D539) &gt; 0, "higroskopija",IF(COUNTIF(Komp!$D$2:$D$16, $D539) &gt; 0, "komposts",IF(COUNTIF(spiedei!$C$42:$C$106, $D539) &gt; 0, "spiede","")))))</f>
        <v/>
      </c>
    </row>
    <row r="540" spans="1:6" ht="15.75" customHeight="1">
      <c r="A540" s="26" t="s">
        <v>36</v>
      </c>
      <c r="B540" s="26">
        <v>5</v>
      </c>
      <c r="C540" s="58">
        <v>115</v>
      </c>
      <c r="D540" s="59">
        <v>22</v>
      </c>
      <c r="E540" s="41" t="str">
        <f>IF(COUNTIF('Sa suberīnskābe'!$B$6:$B$83, $D540) &gt; 0,"sub",IF(COUNTIF('Sa hito + sub'!$B$6:$B$82, $D540) &gt; 0,"hito_sub",""))</f>
        <v/>
      </c>
      <c r="F540" s="41" t="str">
        <f>IF(COUNTIF('ūd sorbcija Sa'!$C$3:$C$22, $D540) &gt; 0, "ūdens sorbc",IF(COUNTIF(higro!$C$19:$C$30, $D540) &gt; 0, "higroskopija",IF(COUNTIF(higro!$C$47:$C$58, $D540) &gt; 0, "higroskopija",IF(COUNTIF(Komp!$D$2:$D$16, $D540) &gt; 0, "komposts",IF(COUNTIF(spiedei!$C$42:$C$106, $D540) &gt; 0, "spiede","")))))</f>
        <v/>
      </c>
    </row>
    <row r="541" spans="1:6" ht="15.75" customHeight="1">
      <c r="A541" s="26" t="s">
        <v>36</v>
      </c>
      <c r="B541" s="26">
        <v>5</v>
      </c>
      <c r="C541" s="58">
        <v>115</v>
      </c>
      <c r="D541" s="59">
        <v>23</v>
      </c>
      <c r="E541" s="41" t="str">
        <f>IF(COUNTIF('Sa suberīnskābe'!$B$6:$B$83, $D541) &gt; 0,"sub",IF(COUNTIF('Sa hito + sub'!$B$6:$B$82, $D541) &gt; 0,"hito_sub",""))</f>
        <v/>
      </c>
      <c r="F541" s="41" t="str">
        <f>IF(COUNTIF('ūd sorbcija Sa'!$C$3:$C$22, $D541) &gt; 0, "ūdens sorbc",IF(COUNTIF(higro!$C$19:$C$30, $D541) &gt; 0, "higroskopija",IF(COUNTIF(higro!$C$47:$C$58, $D541) &gt; 0, "higroskopija",IF(COUNTIF(Komp!$D$2:$D$16, $D541) &gt; 0, "komposts",IF(COUNTIF(spiedei!$C$42:$C$106, $D541) &gt; 0, "spiede","")))))</f>
        <v/>
      </c>
    </row>
    <row r="542" spans="1:6" ht="15.75" customHeight="1">
      <c r="A542" s="26" t="s">
        <v>36</v>
      </c>
      <c r="B542" s="26">
        <v>5</v>
      </c>
      <c r="C542" s="58">
        <v>115</v>
      </c>
      <c r="D542" s="59">
        <v>24</v>
      </c>
      <c r="E542" s="41" t="str">
        <f>IF(COUNTIF('Sa suberīnskābe'!$B$6:$B$83, $D542) &gt; 0,"sub",IF(COUNTIF('Sa hito + sub'!$B$6:$B$82, $D542) &gt; 0,"hito_sub",""))</f>
        <v/>
      </c>
      <c r="F542" s="41" t="str">
        <f>IF(COUNTIF('ūd sorbcija Sa'!$C$3:$C$22, $D542) &gt; 0, "ūdens sorbc",IF(COUNTIF(higro!$C$19:$C$30, $D542) &gt; 0, "higroskopija",IF(COUNTIF(higro!$C$47:$C$58, $D542) &gt; 0, "higroskopija",IF(COUNTIF(Komp!$D$2:$D$16, $D542) &gt; 0, "komposts",IF(COUNTIF(spiedei!$C$42:$C$106, $D542) &gt; 0, "spiede","")))))</f>
        <v/>
      </c>
    </row>
    <row r="543" spans="1:6" ht="15.75" customHeight="1">
      <c r="A543" s="26" t="s">
        <v>36</v>
      </c>
      <c r="B543" s="26">
        <v>5</v>
      </c>
      <c r="C543" s="58">
        <v>115</v>
      </c>
      <c r="D543" s="59">
        <v>25</v>
      </c>
      <c r="E543" s="41" t="str">
        <f>IF(COUNTIF('Sa suberīnskābe'!$B$6:$B$83, $D543) &gt; 0,"sub",IF(COUNTIF('Sa hito + sub'!$B$6:$B$82, $D543) &gt; 0,"hito_sub",""))</f>
        <v/>
      </c>
      <c r="F543" s="41" t="str">
        <f>IF(COUNTIF('ūd sorbcija Sa'!$C$3:$C$22, $D543) &gt; 0, "ūdens sorbc",IF(COUNTIF(higro!$C$19:$C$30, $D543) &gt; 0, "higroskopija",IF(COUNTIF(higro!$C$47:$C$58, $D543) &gt; 0, "higroskopija",IF(COUNTIF(Komp!$D$2:$D$16, $D543) &gt; 0, "komposts",IF(COUNTIF(spiedei!$C$42:$C$106, $D543) &gt; 0, "spiede","")))))</f>
        <v/>
      </c>
    </row>
    <row r="544" spans="1:6" ht="15.75" customHeight="1">
      <c r="A544" s="26" t="s">
        <v>36</v>
      </c>
      <c r="B544" s="26">
        <v>5</v>
      </c>
      <c r="C544" s="58">
        <v>115</v>
      </c>
      <c r="D544" s="59">
        <v>71</v>
      </c>
      <c r="E544" s="41" t="str">
        <f>IF(COUNTIF('Sa suberīnskābe'!$B$6:$B$83, $D544) &gt; 0,"sub",IF(COUNTIF('Sa hito + sub'!$B$6:$B$82, $D544) &gt; 0,"hito_sub",""))</f>
        <v/>
      </c>
      <c r="F544" s="41" t="str">
        <f>IF(COUNTIF('ūd sorbcija Sa'!$C$3:$C$22, $D544) &gt; 0, "ūdens sorbc",IF(COUNTIF(higro!$C$19:$C$30, $D544) &gt; 0, "higroskopija",IF(COUNTIF(higro!$C$47:$C$58, $D544) &gt; 0, "higroskopija",IF(COUNTIF(Komp!$D$2:$D$16, $D544) &gt; 0, "komposts",IF(COUNTIF(spiedei!$C$42:$C$106, $D544) &gt; 0, "spiede","")))))</f>
        <v/>
      </c>
    </row>
    <row r="545" spans="1:6" ht="15.75" customHeight="1">
      <c r="A545" s="26" t="s">
        <v>36</v>
      </c>
      <c r="B545" s="26">
        <v>5</v>
      </c>
      <c r="C545" s="58">
        <v>115</v>
      </c>
      <c r="D545" s="59">
        <v>72</v>
      </c>
      <c r="E545" s="41" t="str">
        <f>IF(COUNTIF('Sa suberīnskābe'!$B$6:$B$83, $D545) &gt; 0,"sub",IF(COUNTIF('Sa hito + sub'!$B$6:$B$82, $D545) &gt; 0,"hito_sub",""))</f>
        <v/>
      </c>
      <c r="F545" s="41" t="str">
        <f>IF(COUNTIF('ūd sorbcija Sa'!$C$3:$C$22, $D545) &gt; 0, "ūdens sorbc",IF(COUNTIF(higro!$C$19:$C$30, $D545) &gt; 0, "higroskopija",IF(COUNTIF(higro!$C$47:$C$58, $D545) &gt; 0, "higroskopija",IF(COUNTIF(Komp!$D$2:$D$16, $D545) &gt; 0, "komposts",IF(COUNTIF(spiedei!$C$42:$C$106, $D545) &gt; 0, "spiede","")))))</f>
        <v/>
      </c>
    </row>
    <row r="546" spans="1:6" ht="15.75" customHeight="1">
      <c r="A546" s="26" t="s">
        <v>36</v>
      </c>
      <c r="B546" s="26">
        <v>5</v>
      </c>
      <c r="C546" s="58">
        <v>115</v>
      </c>
      <c r="D546" s="59">
        <v>73</v>
      </c>
      <c r="E546" s="41" t="str">
        <f>IF(COUNTIF('Sa suberīnskābe'!$B$6:$B$83, $D546) &gt; 0,"sub",IF(COUNTIF('Sa hito + sub'!$B$6:$B$82, $D546) &gt; 0,"hito_sub",""))</f>
        <v/>
      </c>
      <c r="F546" s="41" t="str">
        <f>IF(COUNTIF('ūd sorbcija Sa'!$C$3:$C$22, $D546) &gt; 0, "ūdens sorbc",IF(COUNTIF(higro!$C$19:$C$30, $D546) &gt; 0, "higroskopija",IF(COUNTIF(higro!$C$47:$C$58, $D546) &gt; 0, "higroskopija",IF(COUNTIF(Komp!$D$2:$D$16, $D546) &gt; 0, "komposts",IF(COUNTIF(spiedei!$C$42:$C$106, $D546) &gt; 0, "spiede","")))))</f>
        <v/>
      </c>
    </row>
    <row r="547" spans="1:6" ht="15.75" customHeight="1">
      <c r="A547" s="26" t="s">
        <v>36</v>
      </c>
      <c r="B547" s="26">
        <v>5</v>
      </c>
      <c r="C547" s="58">
        <v>115</v>
      </c>
      <c r="D547" s="59">
        <v>74</v>
      </c>
      <c r="E547" s="41" t="str">
        <f>IF(COUNTIF('Sa suberīnskābe'!$B$6:$B$83, $D547) &gt; 0,"sub",IF(COUNTIF('Sa hito + sub'!$B$6:$B$82, $D547) &gt; 0,"hito_sub",""))</f>
        <v/>
      </c>
      <c r="F547" s="41" t="str">
        <f>IF(COUNTIF('ūd sorbcija Sa'!$C$3:$C$22, $D547) &gt; 0, "ūdens sorbc",IF(COUNTIF(higro!$C$19:$C$30, $D547) &gt; 0, "higroskopija",IF(COUNTIF(higro!$C$47:$C$58, $D547) &gt; 0, "higroskopija",IF(COUNTIF(Komp!$D$2:$D$16, $D547) &gt; 0, "komposts",IF(COUNTIF(spiedei!$C$42:$C$106, $D547) &gt; 0, "spiede","")))))</f>
        <v/>
      </c>
    </row>
    <row r="548" spans="1:6" ht="15.75" customHeight="1">
      <c r="A548" s="26" t="s">
        <v>36</v>
      </c>
      <c r="B548" s="26">
        <v>5</v>
      </c>
      <c r="C548" s="58">
        <v>115</v>
      </c>
      <c r="D548" s="59">
        <v>75</v>
      </c>
      <c r="E548" s="41" t="str">
        <f>IF(COUNTIF('Sa suberīnskābe'!$B$6:$B$83, $D548) &gt; 0,"sub",IF(COUNTIF('Sa hito + sub'!$B$6:$B$82, $D548) &gt; 0,"hito_sub",""))</f>
        <v/>
      </c>
      <c r="F548" s="41" t="str">
        <f>IF(COUNTIF('ūd sorbcija Sa'!$C$3:$C$22, $D548) &gt; 0, "ūdens sorbc",IF(COUNTIF(higro!$C$19:$C$30, $D548) &gt; 0, "higroskopija",IF(COUNTIF(higro!$C$47:$C$58, $D548) &gt; 0, "higroskopija",IF(COUNTIF(Komp!$D$2:$D$16, $D548) &gt; 0, "komposts",IF(COUNTIF(spiedei!$C$42:$C$106, $D548) &gt; 0, "spiede","")))))</f>
        <v/>
      </c>
    </row>
    <row r="549" spans="1:6" ht="15.75" customHeight="1">
      <c r="A549" s="26" t="s">
        <v>36</v>
      </c>
      <c r="B549" s="26">
        <v>5</v>
      </c>
      <c r="C549" s="58">
        <v>116</v>
      </c>
      <c r="D549" s="59">
        <v>66</v>
      </c>
      <c r="E549" s="41" t="str">
        <f>IF(COUNTIF('Sa suberīnskābe'!$B$6:$B$83, $D549) &gt; 0,"sub",IF(COUNTIF('Sa hito + sub'!$B$6:$B$82, $D549) &gt; 0,"hito_sub",""))</f>
        <v/>
      </c>
      <c r="F549" s="41" t="str">
        <f>IF(COUNTIF('ūd sorbcija Sa'!$C$3:$C$22, $D549) &gt; 0, "ūdens sorbc",IF(COUNTIF(higro!$C$19:$C$30, $D549) &gt; 0, "higroskopija",IF(COUNTIF(higro!$C$47:$C$58, $D549) &gt; 0, "higroskopija",IF(COUNTIF(Komp!$D$2:$D$16, $D549) &gt; 0, "komposts",IF(COUNTIF(spiedei!$C$42:$C$106, $D549) &gt; 0, "spiede","")))))</f>
        <v/>
      </c>
    </row>
    <row r="550" spans="1:6" ht="15.75" customHeight="1">
      <c r="A550" s="26" t="s">
        <v>36</v>
      </c>
      <c r="B550" s="26">
        <v>5</v>
      </c>
      <c r="C550" s="58">
        <v>116</v>
      </c>
      <c r="D550" s="59">
        <v>67</v>
      </c>
      <c r="E550" s="41" t="str">
        <f>IF(COUNTIF('Sa suberīnskābe'!$B$6:$B$83, $D550) &gt; 0,"sub",IF(COUNTIF('Sa hito + sub'!$B$6:$B$82, $D550) &gt; 0,"hito_sub",""))</f>
        <v/>
      </c>
      <c r="F550" s="41" t="str">
        <f>IF(COUNTIF('ūd sorbcija Sa'!$C$3:$C$22, $D550) &gt; 0, "ūdens sorbc",IF(COUNTIF(higro!$C$19:$C$30, $D550) &gt; 0, "higroskopija",IF(COUNTIF(higro!$C$47:$C$58, $D550) &gt; 0, "higroskopija",IF(COUNTIF(Komp!$D$2:$D$16, $D550) &gt; 0, "komposts",IF(COUNTIF(spiedei!$C$42:$C$106, $D550) &gt; 0, "spiede","")))))</f>
        <v/>
      </c>
    </row>
    <row r="551" spans="1:6" ht="15.75" customHeight="1">
      <c r="A551" s="26" t="s">
        <v>36</v>
      </c>
      <c r="B551" s="26">
        <v>5</v>
      </c>
      <c r="C551" s="58">
        <v>116</v>
      </c>
      <c r="D551" s="59">
        <v>68</v>
      </c>
      <c r="E551" s="41" t="str">
        <f>IF(COUNTIF('Sa suberīnskābe'!$B$6:$B$83, $D551) &gt; 0,"sub",IF(COUNTIF('Sa hito + sub'!$B$6:$B$82, $D551) &gt; 0,"hito_sub",""))</f>
        <v/>
      </c>
      <c r="F551" s="41" t="str">
        <f>IF(COUNTIF('ūd sorbcija Sa'!$C$3:$C$22, $D551) &gt; 0, "ūdens sorbc",IF(COUNTIF(higro!$C$19:$C$30, $D551) &gt; 0, "higroskopija",IF(COUNTIF(higro!$C$47:$C$58, $D551) &gt; 0, "higroskopija",IF(COUNTIF(Komp!$D$2:$D$16, $D551) &gt; 0, "komposts",IF(COUNTIF(spiedei!$C$42:$C$106, $D551) &gt; 0, "spiede","")))))</f>
        <v/>
      </c>
    </row>
    <row r="552" spans="1:6" ht="15.75" customHeight="1">
      <c r="A552" s="26" t="s">
        <v>36</v>
      </c>
      <c r="B552" s="26">
        <v>5</v>
      </c>
      <c r="C552" s="58">
        <v>116</v>
      </c>
      <c r="D552" s="59">
        <v>69</v>
      </c>
      <c r="E552" s="41" t="str">
        <f>IF(COUNTIF('Sa suberīnskābe'!$B$6:$B$83, $D552) &gt; 0,"sub",IF(COUNTIF('Sa hito + sub'!$B$6:$B$82, $D552) &gt; 0,"hito_sub",""))</f>
        <v/>
      </c>
      <c r="F552" s="41" t="str">
        <f>IF(COUNTIF('ūd sorbcija Sa'!$C$3:$C$22, $D552) &gt; 0, "ūdens sorbc",IF(COUNTIF(higro!$C$19:$C$30, $D552) &gt; 0, "higroskopija",IF(COUNTIF(higro!$C$47:$C$58, $D552) &gt; 0, "higroskopija",IF(COUNTIF(Komp!$D$2:$D$16, $D552) &gt; 0, "komposts",IF(COUNTIF(spiedei!$C$42:$C$106, $D552) &gt; 0, "spiede","")))))</f>
        <v/>
      </c>
    </row>
    <row r="553" spans="1:6" ht="15.75" customHeight="1">
      <c r="A553" s="26" t="s">
        <v>36</v>
      </c>
      <c r="B553" s="26">
        <v>5</v>
      </c>
      <c r="C553" s="58">
        <v>116</v>
      </c>
      <c r="D553" s="59">
        <v>70</v>
      </c>
      <c r="E553" s="41" t="str">
        <f>IF(COUNTIF('Sa suberīnskābe'!$B$6:$B$83, $D553) &gt; 0,"sub",IF(COUNTIF('Sa hito + sub'!$B$6:$B$82, $D553) &gt; 0,"hito_sub",""))</f>
        <v/>
      </c>
      <c r="F553" s="41" t="str">
        <f>IF(COUNTIF('ūd sorbcija Sa'!$C$3:$C$22, $D553) &gt; 0, "ūdens sorbc",IF(COUNTIF(higro!$C$19:$C$30, $D553) &gt; 0, "higroskopija",IF(COUNTIF(higro!$C$47:$C$58, $D553) &gt; 0, "higroskopija",IF(COUNTIF(Komp!$D$2:$D$16, $D553) &gt; 0, "komposts",IF(COUNTIF(spiedei!$C$42:$C$106, $D553) &gt; 0, "spiede","")))))</f>
        <v/>
      </c>
    </row>
    <row r="554" spans="1:6" ht="15.75" customHeight="1">
      <c r="A554" s="26" t="s">
        <v>36</v>
      </c>
      <c r="B554" s="26">
        <v>5</v>
      </c>
      <c r="C554" s="58">
        <v>117</v>
      </c>
      <c r="D554" s="59">
        <v>61</v>
      </c>
      <c r="E554" s="41" t="str">
        <f>IF(COUNTIF('Sa suberīnskābe'!$B$6:$B$83, $D554) &gt; 0,"sub",IF(COUNTIF('Sa hito + sub'!$B$6:$B$82, $D554) &gt; 0,"hito_sub",""))</f>
        <v/>
      </c>
      <c r="F554" s="41" t="str">
        <f>IF(COUNTIF('ūd sorbcija Sa'!$C$3:$C$22, $D554) &gt; 0, "ūdens sorbc",IF(COUNTIF(higro!$C$19:$C$30, $D554) &gt; 0, "higroskopija",IF(COUNTIF(higro!$C$47:$C$58, $D554) &gt; 0, "higroskopija",IF(COUNTIF(Komp!$D$2:$D$16, $D554) &gt; 0, "komposts",IF(COUNTIF(spiedei!$C$42:$C$106, $D554) &gt; 0, "spiede","")))))</f>
        <v/>
      </c>
    </row>
    <row r="555" spans="1:6" ht="15.75" customHeight="1">
      <c r="A555" s="26" t="s">
        <v>36</v>
      </c>
      <c r="B555" s="26">
        <v>5</v>
      </c>
      <c r="C555" s="58">
        <v>117</v>
      </c>
      <c r="D555" s="59">
        <v>62</v>
      </c>
      <c r="E555" s="41" t="str">
        <f>IF(COUNTIF('Sa suberīnskābe'!$B$6:$B$83, $D555) &gt; 0,"sub",IF(COUNTIF('Sa hito + sub'!$B$6:$B$82, $D555) &gt; 0,"hito_sub",""))</f>
        <v/>
      </c>
      <c r="F555" s="41" t="str">
        <f>IF(COUNTIF('ūd sorbcija Sa'!$C$3:$C$22, $D555) &gt; 0, "ūdens sorbc",IF(COUNTIF(higro!$C$19:$C$30, $D555) &gt; 0, "higroskopija",IF(COUNTIF(higro!$C$47:$C$58, $D555) &gt; 0, "higroskopija",IF(COUNTIF(Komp!$D$2:$D$16, $D555) &gt; 0, "komposts",IF(COUNTIF(spiedei!$C$42:$C$106, $D555) &gt; 0, "spiede","")))))</f>
        <v/>
      </c>
    </row>
    <row r="556" spans="1:6" ht="15.75" customHeight="1">
      <c r="A556" s="26" t="s">
        <v>36</v>
      </c>
      <c r="B556" s="26">
        <v>5</v>
      </c>
      <c r="C556" s="58">
        <v>117</v>
      </c>
      <c r="D556" s="59">
        <v>63</v>
      </c>
      <c r="E556" s="41" t="str">
        <f>IF(COUNTIF('Sa suberīnskābe'!$B$6:$B$83, $D556) &gt; 0,"sub",IF(COUNTIF('Sa hito + sub'!$B$6:$B$82, $D556) &gt; 0,"hito_sub",""))</f>
        <v/>
      </c>
      <c r="F556" s="41" t="str">
        <f>IF(COUNTIF('ūd sorbcija Sa'!$C$3:$C$22, $D556) &gt; 0, "ūdens sorbc",IF(COUNTIF(higro!$C$19:$C$30, $D556) &gt; 0, "higroskopija",IF(COUNTIF(higro!$C$47:$C$58, $D556) &gt; 0, "higroskopija",IF(COUNTIF(Komp!$D$2:$D$16, $D556) &gt; 0, "komposts",IF(COUNTIF(spiedei!$C$42:$C$106, $D556) &gt; 0, "spiede","")))))</f>
        <v/>
      </c>
    </row>
    <row r="557" spans="1:6" ht="15.75" customHeight="1">
      <c r="A557" s="26" t="s">
        <v>36</v>
      </c>
      <c r="B557" s="26">
        <v>5</v>
      </c>
      <c r="C557" s="58">
        <v>117</v>
      </c>
      <c r="D557" s="59">
        <v>64</v>
      </c>
      <c r="E557" s="41" t="str">
        <f>IF(COUNTIF('Sa suberīnskābe'!$B$6:$B$83, $D557) &gt; 0,"sub",IF(COUNTIF('Sa hito + sub'!$B$6:$B$82, $D557) &gt; 0,"hito_sub",""))</f>
        <v/>
      </c>
      <c r="F557" s="41" t="str">
        <f>IF(COUNTIF('ūd sorbcija Sa'!$C$3:$C$22, $D557) &gt; 0, "ūdens sorbc",IF(COUNTIF(higro!$C$19:$C$30, $D557) &gt; 0, "higroskopija",IF(COUNTIF(higro!$C$47:$C$58, $D557) &gt; 0, "higroskopija",IF(COUNTIF(Komp!$D$2:$D$16, $D557) &gt; 0, "komposts",IF(COUNTIF(spiedei!$C$42:$C$106, $D557) &gt; 0, "spiede","")))))</f>
        <v/>
      </c>
    </row>
    <row r="558" spans="1:6" ht="15.75" customHeight="1">
      <c r="A558" s="28" t="s">
        <v>36</v>
      </c>
      <c r="B558" s="28">
        <v>5</v>
      </c>
      <c r="C558" s="63">
        <v>117</v>
      </c>
      <c r="D558" s="64">
        <v>65</v>
      </c>
      <c r="E558" s="41" t="str">
        <f>IF(COUNTIF('Sa suberīnskābe'!$B$6:$B$83, $D558) &gt; 0,"sub",IF(COUNTIF('Sa hito + sub'!$B$6:$B$82, $D558) &gt; 0,"hito_sub",""))</f>
        <v/>
      </c>
      <c r="F558" s="41" t="str">
        <f>IF(COUNTIF('ūd sorbcija Sa'!$C$3:$C$22, $D558) &gt; 0, "ūdens sorbc",IF(COUNTIF(higro!$C$19:$C$30, $D558) &gt; 0, "higroskopija",IF(COUNTIF(higro!$C$47:$C$58, $D558) &gt; 0, "higroskopija",IF(COUNTIF(Komp!$D$2:$D$16, $D558) &gt; 0, "komposts",IF(COUNTIF(spiedei!$C$42:$C$106, $D558) &gt; 0, "spiede","")))))</f>
        <v/>
      </c>
    </row>
    <row r="559" spans="1:6" ht="15.75" customHeight="1"/>
    <row r="560" spans="1: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workbookViewId="0">
      <selection activeCell="F2" sqref="F2"/>
    </sheetView>
  </sheetViews>
  <sheetFormatPr defaultColWidth="14.453125" defaultRowHeight="15" customHeight="1"/>
  <cols>
    <col min="1" max="2" width="9.08984375" customWidth="1"/>
    <col min="3" max="3" width="13.54296875" customWidth="1"/>
    <col min="4" max="4" width="16.08984375" customWidth="1"/>
    <col min="5" max="6" width="16.7265625" customWidth="1"/>
    <col min="7" max="8" width="9.08984375" customWidth="1"/>
    <col min="9" max="9" width="12" customWidth="1"/>
    <col min="10" max="10" width="20.54296875" customWidth="1"/>
    <col min="11" max="11" width="16" customWidth="1"/>
    <col min="12" max="12" width="13.08984375" customWidth="1"/>
    <col min="13" max="13" width="14.7265625" customWidth="1"/>
    <col min="14" max="14" width="14" customWidth="1"/>
    <col min="15" max="16" width="8.7265625" customWidth="1"/>
    <col min="17" max="26" width="14" customWidth="1"/>
  </cols>
  <sheetData>
    <row r="1" spans="1:15" ht="15" customHeight="1">
      <c r="A1" s="4" t="s">
        <v>61</v>
      </c>
    </row>
    <row r="2" spans="1:15" ht="15.75" customHeight="1">
      <c r="A2" s="67" t="s">
        <v>62</v>
      </c>
      <c r="B2" s="68"/>
      <c r="C2" s="68" t="s">
        <v>63</v>
      </c>
      <c r="D2" s="68"/>
      <c r="E2" s="68"/>
      <c r="F2" s="68"/>
      <c r="G2" s="68"/>
      <c r="H2" s="68"/>
      <c r="I2" s="68"/>
      <c r="J2" s="68"/>
    </row>
    <row r="3" spans="1:15" ht="15.75" customHeight="1">
      <c r="A3" s="69" t="s">
        <v>64</v>
      </c>
      <c r="B3" s="68"/>
      <c r="C3" s="69"/>
      <c r="D3" s="68"/>
      <c r="E3" s="69"/>
      <c r="F3" s="69"/>
      <c r="G3" s="69" t="s">
        <v>65</v>
      </c>
      <c r="H3" s="68"/>
      <c r="I3" s="68"/>
      <c r="J3" s="68"/>
    </row>
    <row r="4" spans="1:15" ht="15.75" customHeight="1">
      <c r="A4" s="70" t="s">
        <v>66</v>
      </c>
      <c r="B4" s="70" t="s">
        <v>67</v>
      </c>
      <c r="C4" s="70" t="s">
        <v>68</v>
      </c>
      <c r="D4" s="70" t="s">
        <v>69</v>
      </c>
      <c r="E4" s="70" t="s">
        <v>70</v>
      </c>
      <c r="F4" s="70" t="s">
        <v>71</v>
      </c>
      <c r="G4" s="70" t="s">
        <v>72</v>
      </c>
      <c r="H4" s="70" t="s">
        <v>67</v>
      </c>
      <c r="I4" s="70" t="s">
        <v>68</v>
      </c>
      <c r="J4" s="70" t="s">
        <v>69</v>
      </c>
      <c r="K4" s="71" t="s">
        <v>70</v>
      </c>
      <c r="L4" s="70" t="s">
        <v>71</v>
      </c>
      <c r="M4" s="68"/>
    </row>
    <row r="5" spans="1:15" ht="15.75" customHeight="1">
      <c r="A5" s="72">
        <v>3</v>
      </c>
      <c r="B5" s="70">
        <v>4.5</v>
      </c>
      <c r="C5" s="70">
        <v>7.12</v>
      </c>
      <c r="D5" s="70">
        <f>C5-B5</f>
        <v>2.62</v>
      </c>
      <c r="E5" s="73">
        <f>D5/B5</f>
        <v>0.5822222222222222</v>
      </c>
      <c r="F5" s="74">
        <f t="shared" ref="F5:F84" si="0">D5/27</f>
        <v>9.7037037037037047E-2</v>
      </c>
      <c r="G5" s="72">
        <v>1</v>
      </c>
      <c r="H5" s="70">
        <v>25.63</v>
      </c>
      <c r="I5" s="70">
        <v>39.28</v>
      </c>
      <c r="J5" s="70">
        <f t="shared" ref="J5:J24" si="1">I5-H5</f>
        <v>13.650000000000002</v>
      </c>
      <c r="K5" s="75">
        <f t="shared" ref="K5:K24" si="2">J5/H5</f>
        <v>0.5325790089738589</v>
      </c>
      <c r="L5" s="74">
        <f t="shared" ref="L5:L24" si="3">J5/153</f>
        <v>8.921568627450982E-2</v>
      </c>
      <c r="M5" s="76"/>
    </row>
    <row r="6" spans="1:15" ht="15.75" customHeight="1">
      <c r="A6" s="72">
        <v>4</v>
      </c>
      <c r="B6" s="70">
        <v>4.66</v>
      </c>
      <c r="C6" s="70">
        <v>7.23</v>
      </c>
      <c r="D6" s="70">
        <f t="shared" ref="D6:D84" si="4">C6-B6</f>
        <v>2.5700000000000003</v>
      </c>
      <c r="E6" s="73">
        <f t="shared" ref="E6:E84" si="5">D6/B6</f>
        <v>0.55150214592274682</v>
      </c>
      <c r="F6" s="74">
        <f t="shared" si="0"/>
        <v>9.5185185185185192E-2</v>
      </c>
      <c r="G6" s="72">
        <v>8</v>
      </c>
      <c r="H6" s="70">
        <v>24.96</v>
      </c>
      <c r="I6" s="70">
        <v>39.61</v>
      </c>
      <c r="J6" s="70">
        <f t="shared" si="1"/>
        <v>14.649999999999999</v>
      </c>
      <c r="K6" s="73">
        <f t="shared" si="2"/>
        <v>0.58693910256410253</v>
      </c>
      <c r="L6" s="74">
        <f t="shared" si="3"/>
        <v>9.5751633986928097E-2</v>
      </c>
    </row>
    <row r="7" spans="1:15" ht="15.75" customHeight="1">
      <c r="A7" s="72">
        <v>7</v>
      </c>
      <c r="B7" s="70">
        <v>4.4400000000000004</v>
      </c>
      <c r="C7" s="70">
        <v>7.12</v>
      </c>
      <c r="D7" s="70">
        <f t="shared" si="4"/>
        <v>2.6799999999999997</v>
      </c>
      <c r="E7" s="73">
        <f t="shared" si="5"/>
        <v>0.60360360360360343</v>
      </c>
      <c r="F7" s="74">
        <f t="shared" si="0"/>
        <v>9.9259259259259255E-2</v>
      </c>
      <c r="G7" s="77">
        <v>11</v>
      </c>
      <c r="H7" s="70">
        <v>18.89</v>
      </c>
      <c r="I7" s="70">
        <v>31.98</v>
      </c>
      <c r="J7" s="70">
        <f t="shared" si="1"/>
        <v>13.09</v>
      </c>
      <c r="K7" s="73">
        <f t="shared" si="2"/>
        <v>0.69295923769190049</v>
      </c>
      <c r="L7" s="74">
        <f t="shared" si="3"/>
        <v>8.5555555555555551E-2</v>
      </c>
      <c r="O7" s="68"/>
    </row>
    <row r="8" spans="1:15" ht="15.75" customHeight="1">
      <c r="A8" s="72">
        <v>8</v>
      </c>
      <c r="B8" s="70">
        <v>4.4800000000000004</v>
      </c>
      <c r="C8" s="70">
        <v>7.03</v>
      </c>
      <c r="D8" s="70">
        <f t="shared" si="4"/>
        <v>2.5499999999999998</v>
      </c>
      <c r="E8" s="73">
        <f t="shared" si="5"/>
        <v>0.56919642857142849</v>
      </c>
      <c r="F8" s="74">
        <f t="shared" si="0"/>
        <v>9.4444444444444442E-2</v>
      </c>
      <c r="G8" s="77">
        <v>19</v>
      </c>
      <c r="H8" s="70">
        <v>19.510000000000002</v>
      </c>
      <c r="I8" s="70">
        <v>33.24</v>
      </c>
      <c r="J8" s="70">
        <f t="shared" si="1"/>
        <v>13.73</v>
      </c>
      <c r="K8" s="73">
        <f t="shared" si="2"/>
        <v>0.70374167093798046</v>
      </c>
      <c r="L8" s="74">
        <f t="shared" si="3"/>
        <v>8.9738562091503271E-2</v>
      </c>
      <c r="O8" s="68"/>
    </row>
    <row r="9" spans="1:15" ht="15.75" customHeight="1">
      <c r="A9" s="72">
        <v>9</v>
      </c>
      <c r="B9" s="70">
        <v>4.62</v>
      </c>
      <c r="C9" s="70">
        <v>6.84</v>
      </c>
      <c r="D9" s="70">
        <f t="shared" si="4"/>
        <v>2.2199999999999998</v>
      </c>
      <c r="E9" s="73">
        <f t="shared" si="5"/>
        <v>0.48051948051948046</v>
      </c>
      <c r="F9" s="74">
        <f t="shared" si="0"/>
        <v>8.222222222222221E-2</v>
      </c>
      <c r="G9" s="78">
        <v>32</v>
      </c>
      <c r="H9" s="70">
        <v>26.1</v>
      </c>
      <c r="I9" s="70">
        <v>40.549999999999997</v>
      </c>
      <c r="J9" s="70">
        <f t="shared" si="1"/>
        <v>14.449999999999996</v>
      </c>
      <c r="K9" s="73">
        <f t="shared" si="2"/>
        <v>0.55363984674329481</v>
      </c>
      <c r="L9" s="74">
        <f t="shared" si="3"/>
        <v>9.4444444444444414E-2</v>
      </c>
    </row>
    <row r="10" spans="1:15" ht="15.75" customHeight="1">
      <c r="A10" s="72">
        <v>12</v>
      </c>
      <c r="B10" s="70">
        <v>4.54</v>
      </c>
      <c r="C10" s="70">
        <v>6.93</v>
      </c>
      <c r="D10" s="70">
        <f t="shared" si="4"/>
        <v>2.3899999999999997</v>
      </c>
      <c r="E10" s="73">
        <f t="shared" si="5"/>
        <v>0.52643171806167388</v>
      </c>
      <c r="F10" s="74">
        <f t="shared" si="0"/>
        <v>8.851851851851851E-2</v>
      </c>
      <c r="G10" s="78">
        <v>34</v>
      </c>
      <c r="H10" s="70">
        <v>26.76</v>
      </c>
      <c r="I10" s="70">
        <v>40.630000000000003</v>
      </c>
      <c r="J10" s="70">
        <f t="shared" si="1"/>
        <v>13.870000000000001</v>
      </c>
      <c r="K10" s="73">
        <f t="shared" si="2"/>
        <v>0.51831091180866962</v>
      </c>
      <c r="L10" s="74">
        <f t="shared" si="3"/>
        <v>9.0653594771241838E-2</v>
      </c>
    </row>
    <row r="11" spans="1:15" ht="15.75" customHeight="1">
      <c r="A11" s="72">
        <v>13</v>
      </c>
      <c r="B11" s="70">
        <v>4.57</v>
      </c>
      <c r="C11" s="70">
        <v>6.95</v>
      </c>
      <c r="D11" s="70">
        <f t="shared" si="4"/>
        <v>2.38</v>
      </c>
      <c r="E11" s="73">
        <f t="shared" si="5"/>
        <v>0.52078774617067825</v>
      </c>
      <c r="F11" s="74">
        <f t="shared" si="0"/>
        <v>8.8148148148148142E-2</v>
      </c>
      <c r="G11" s="79">
        <v>37</v>
      </c>
      <c r="H11" s="70">
        <v>27.25</v>
      </c>
      <c r="I11" s="70">
        <v>42.9</v>
      </c>
      <c r="J11" s="70">
        <f t="shared" si="1"/>
        <v>15.649999999999999</v>
      </c>
      <c r="K11" s="73">
        <f t="shared" si="2"/>
        <v>0.57431192660550456</v>
      </c>
      <c r="L11" s="74">
        <f t="shared" si="3"/>
        <v>0.1022875816993464</v>
      </c>
    </row>
    <row r="12" spans="1:15" ht="15.75" customHeight="1">
      <c r="A12" s="72">
        <v>18</v>
      </c>
      <c r="B12" s="70">
        <v>6.16</v>
      </c>
      <c r="C12" s="70">
        <v>8.8699999999999992</v>
      </c>
      <c r="D12" s="70">
        <f t="shared" si="4"/>
        <v>2.7099999999999991</v>
      </c>
      <c r="E12" s="73">
        <f t="shared" si="5"/>
        <v>0.43993506493506479</v>
      </c>
      <c r="F12" s="74">
        <f t="shared" si="0"/>
        <v>0.10037037037037033</v>
      </c>
      <c r="G12" s="79">
        <v>43</v>
      </c>
      <c r="H12" s="70">
        <v>26.67</v>
      </c>
      <c r="I12" s="70">
        <v>43.13</v>
      </c>
      <c r="J12" s="70">
        <f t="shared" si="1"/>
        <v>16.46</v>
      </c>
      <c r="K12" s="73">
        <f t="shared" si="2"/>
        <v>0.61717285339332584</v>
      </c>
      <c r="L12" s="74">
        <f t="shared" si="3"/>
        <v>0.10758169934640524</v>
      </c>
    </row>
    <row r="13" spans="1:15" ht="15.75" customHeight="1">
      <c r="A13" s="72">
        <v>21</v>
      </c>
      <c r="B13" s="70">
        <v>4.24</v>
      </c>
      <c r="C13" s="70">
        <v>6.85</v>
      </c>
      <c r="D13" s="70">
        <f t="shared" si="4"/>
        <v>2.6099999999999994</v>
      </c>
      <c r="E13" s="73">
        <f t="shared" si="5"/>
        <v>0.61556603773584884</v>
      </c>
      <c r="F13" s="74">
        <f t="shared" si="0"/>
        <v>9.6666666666666651E-2</v>
      </c>
      <c r="G13" s="72">
        <v>58</v>
      </c>
      <c r="H13" s="70">
        <v>25.06</v>
      </c>
      <c r="I13" s="70">
        <v>37.299999999999997</v>
      </c>
      <c r="J13" s="70">
        <f t="shared" si="1"/>
        <v>12.239999999999998</v>
      </c>
      <c r="K13" s="73">
        <f t="shared" si="2"/>
        <v>0.48842777334397441</v>
      </c>
      <c r="L13" s="74">
        <f t="shared" si="3"/>
        <v>7.9999999999999988E-2</v>
      </c>
    </row>
    <row r="14" spans="1:15" ht="15.75" customHeight="1">
      <c r="A14" s="72">
        <v>22</v>
      </c>
      <c r="B14" s="70">
        <v>4.2699999999999996</v>
      </c>
      <c r="C14" s="70">
        <v>6.92</v>
      </c>
      <c r="D14" s="70">
        <f t="shared" si="4"/>
        <v>2.6500000000000004</v>
      </c>
      <c r="E14" s="73">
        <f t="shared" si="5"/>
        <v>0.62060889929742402</v>
      </c>
      <c r="F14" s="74">
        <f t="shared" si="0"/>
        <v>9.8148148148148165E-2</v>
      </c>
      <c r="G14" s="72">
        <v>63</v>
      </c>
      <c r="H14" s="70">
        <v>24.74</v>
      </c>
      <c r="I14" s="70">
        <v>38.200000000000003</v>
      </c>
      <c r="J14" s="70">
        <f t="shared" si="1"/>
        <v>13.460000000000004</v>
      </c>
      <c r="K14" s="73">
        <f t="shared" si="2"/>
        <v>0.54405820533548932</v>
      </c>
      <c r="L14" s="74">
        <f t="shared" si="3"/>
        <v>8.7973856209150353E-2</v>
      </c>
    </row>
    <row r="15" spans="1:15" ht="15.75" customHeight="1">
      <c r="A15" s="72">
        <v>23</v>
      </c>
      <c r="B15" s="70">
        <v>4.38</v>
      </c>
      <c r="C15" s="70">
        <v>6.85</v>
      </c>
      <c r="D15" s="70">
        <f t="shared" si="4"/>
        <v>2.4699999999999998</v>
      </c>
      <c r="E15" s="73">
        <f t="shared" si="5"/>
        <v>0.5639269406392694</v>
      </c>
      <c r="F15" s="74">
        <f t="shared" si="0"/>
        <v>9.1481481481481469E-2</v>
      </c>
      <c r="G15" s="72">
        <v>65</v>
      </c>
      <c r="H15" s="70">
        <v>24.22</v>
      </c>
      <c r="I15" s="70">
        <v>38.85</v>
      </c>
      <c r="J15" s="70">
        <f t="shared" si="1"/>
        <v>14.630000000000003</v>
      </c>
      <c r="K15" s="73">
        <f t="shared" si="2"/>
        <v>0.60404624277456664</v>
      </c>
      <c r="L15" s="74">
        <f t="shared" si="3"/>
        <v>9.5620915032679749E-2</v>
      </c>
    </row>
    <row r="16" spans="1:15" ht="15.75" customHeight="1">
      <c r="A16" s="72">
        <v>27</v>
      </c>
      <c r="B16" s="70">
        <v>4.5</v>
      </c>
      <c r="C16" s="70">
        <v>7.15</v>
      </c>
      <c r="D16" s="70">
        <f t="shared" si="4"/>
        <v>2.6500000000000004</v>
      </c>
      <c r="E16" s="73">
        <f t="shared" si="5"/>
        <v>0.58888888888888902</v>
      </c>
      <c r="F16" s="74">
        <f t="shared" si="0"/>
        <v>9.8148148148148165E-2</v>
      </c>
      <c r="G16" s="77">
        <v>69</v>
      </c>
      <c r="H16" s="70">
        <v>19.260000000000002</v>
      </c>
      <c r="I16" s="70">
        <v>33.64</v>
      </c>
      <c r="J16" s="70">
        <f t="shared" si="1"/>
        <v>14.379999999999999</v>
      </c>
      <c r="K16" s="73">
        <f t="shared" si="2"/>
        <v>0.74662512980269979</v>
      </c>
      <c r="L16" s="74">
        <f t="shared" si="3"/>
        <v>9.3986928104575151E-2</v>
      </c>
    </row>
    <row r="17" spans="1:16" ht="15.75" customHeight="1">
      <c r="A17" s="72">
        <v>28</v>
      </c>
      <c r="B17" s="70">
        <v>4.26</v>
      </c>
      <c r="C17" s="70">
        <v>6.96</v>
      </c>
      <c r="D17" s="70">
        <f t="shared" si="4"/>
        <v>2.7</v>
      </c>
      <c r="E17" s="73">
        <f t="shared" si="5"/>
        <v>0.63380281690140849</v>
      </c>
      <c r="F17" s="74">
        <f t="shared" si="0"/>
        <v>0.1</v>
      </c>
      <c r="G17" s="77">
        <v>73</v>
      </c>
      <c r="H17" s="70">
        <v>19.14</v>
      </c>
      <c r="I17" s="70">
        <v>34.630000000000003</v>
      </c>
      <c r="J17" s="70">
        <f t="shared" si="1"/>
        <v>15.490000000000002</v>
      </c>
      <c r="K17" s="73">
        <f t="shared" si="2"/>
        <v>0.80929989550679216</v>
      </c>
      <c r="L17" s="74">
        <f t="shared" si="3"/>
        <v>0.10124183006535949</v>
      </c>
    </row>
    <row r="18" spans="1:16" ht="15.75" customHeight="1">
      <c r="A18" s="77">
        <v>33</v>
      </c>
      <c r="B18" s="70">
        <v>3.25</v>
      </c>
      <c r="C18" s="70">
        <v>5.99</v>
      </c>
      <c r="D18" s="70">
        <f t="shared" si="4"/>
        <v>2.74</v>
      </c>
      <c r="E18" s="73">
        <f t="shared" si="5"/>
        <v>0.84307692307692317</v>
      </c>
      <c r="F18" s="74">
        <f t="shared" si="0"/>
        <v>0.10148148148148149</v>
      </c>
      <c r="G18" s="77">
        <v>75</v>
      </c>
      <c r="H18" s="70">
        <v>19.13</v>
      </c>
      <c r="I18" s="70">
        <v>34.74</v>
      </c>
      <c r="J18" s="70">
        <f t="shared" si="1"/>
        <v>15.610000000000003</v>
      </c>
      <c r="K18" s="73">
        <f t="shared" si="2"/>
        <v>0.8159958180867749</v>
      </c>
      <c r="L18" s="74">
        <f t="shared" si="3"/>
        <v>0.10202614379084969</v>
      </c>
    </row>
    <row r="19" spans="1:16" ht="15.75" customHeight="1">
      <c r="A19" s="77">
        <v>34</v>
      </c>
      <c r="B19" s="70">
        <v>3.18</v>
      </c>
      <c r="C19" s="4">
        <v>5.95</v>
      </c>
      <c r="D19" s="70">
        <f t="shared" si="4"/>
        <v>2.77</v>
      </c>
      <c r="E19" s="73">
        <f t="shared" si="5"/>
        <v>0.87106918238993702</v>
      </c>
      <c r="F19" s="74">
        <f t="shared" si="0"/>
        <v>0.1025925925925926</v>
      </c>
      <c r="G19" s="78">
        <v>78</v>
      </c>
      <c r="H19" s="70">
        <v>27.37</v>
      </c>
      <c r="I19" s="70">
        <v>42.73</v>
      </c>
      <c r="J19" s="70">
        <f t="shared" si="1"/>
        <v>15.359999999999996</v>
      </c>
      <c r="K19" s="73">
        <f t="shared" si="2"/>
        <v>0.56119839240043823</v>
      </c>
      <c r="L19" s="74">
        <f t="shared" si="3"/>
        <v>0.10039215686274507</v>
      </c>
    </row>
    <row r="20" spans="1:16" ht="15.75" customHeight="1">
      <c r="A20" s="77">
        <v>38</v>
      </c>
      <c r="B20" s="70">
        <v>3.23</v>
      </c>
      <c r="C20" s="70">
        <v>5.88</v>
      </c>
      <c r="D20" s="70">
        <f t="shared" si="4"/>
        <v>2.65</v>
      </c>
      <c r="E20" s="73">
        <f t="shared" si="5"/>
        <v>0.82043343653250767</v>
      </c>
      <c r="F20" s="74">
        <f t="shared" si="0"/>
        <v>9.8148148148148151E-2</v>
      </c>
      <c r="G20" s="78">
        <v>84</v>
      </c>
      <c r="H20" s="70">
        <v>27.32</v>
      </c>
      <c r="I20" s="70">
        <v>43.21</v>
      </c>
      <c r="J20" s="70">
        <f t="shared" si="1"/>
        <v>15.89</v>
      </c>
      <c r="K20" s="73">
        <f t="shared" si="2"/>
        <v>0.58162518301610544</v>
      </c>
      <c r="L20" s="74">
        <f t="shared" si="3"/>
        <v>0.1038562091503268</v>
      </c>
    </row>
    <row r="21" spans="1:16" ht="15.75" customHeight="1">
      <c r="A21" s="77">
        <v>39</v>
      </c>
      <c r="B21" s="70">
        <v>2.25</v>
      </c>
      <c r="C21" s="70">
        <v>5.87</v>
      </c>
      <c r="D21" s="70">
        <f t="shared" si="4"/>
        <v>3.62</v>
      </c>
      <c r="E21" s="73">
        <f t="shared" si="5"/>
        <v>1.608888888888889</v>
      </c>
      <c r="F21" s="74">
        <f t="shared" si="0"/>
        <v>0.13407407407407407</v>
      </c>
      <c r="G21" s="78">
        <v>86</v>
      </c>
      <c r="H21" s="70">
        <v>28.07</v>
      </c>
      <c r="I21" s="70">
        <v>43.88</v>
      </c>
      <c r="J21" s="70">
        <f t="shared" si="1"/>
        <v>15.810000000000002</v>
      </c>
      <c r="K21" s="73">
        <f t="shared" si="2"/>
        <v>0.56323477021731394</v>
      </c>
      <c r="L21" s="74">
        <f t="shared" si="3"/>
        <v>0.10333333333333335</v>
      </c>
    </row>
    <row r="22" spans="1:16" ht="15.75" customHeight="1">
      <c r="A22" s="77">
        <v>40</v>
      </c>
      <c r="B22" s="70">
        <v>3.31</v>
      </c>
      <c r="C22" s="70">
        <v>6.07</v>
      </c>
      <c r="D22" s="70">
        <f t="shared" si="4"/>
        <v>2.7600000000000002</v>
      </c>
      <c r="E22" s="73">
        <f t="shared" si="5"/>
        <v>0.83383685800604235</v>
      </c>
      <c r="F22" s="74">
        <f t="shared" si="0"/>
        <v>0.10222222222222223</v>
      </c>
      <c r="G22" s="79">
        <v>88</v>
      </c>
      <c r="H22" s="70">
        <v>25.51</v>
      </c>
      <c r="I22" s="70">
        <v>44.54</v>
      </c>
      <c r="J22" s="70">
        <f t="shared" si="1"/>
        <v>19.029999999999998</v>
      </c>
      <c r="K22" s="73">
        <f t="shared" si="2"/>
        <v>0.74598196785574267</v>
      </c>
      <c r="L22" s="74">
        <f t="shared" si="3"/>
        <v>0.12437908496732025</v>
      </c>
    </row>
    <row r="23" spans="1:16" ht="15.75" customHeight="1">
      <c r="A23" s="77">
        <v>41</v>
      </c>
      <c r="B23" s="70">
        <v>3.32</v>
      </c>
      <c r="C23" s="70">
        <v>6.03</v>
      </c>
      <c r="D23" s="70">
        <f t="shared" si="4"/>
        <v>2.7100000000000004</v>
      </c>
      <c r="E23" s="73">
        <f t="shared" si="5"/>
        <v>0.81626506024096401</v>
      </c>
      <c r="F23" s="74">
        <f t="shared" si="0"/>
        <v>0.10037037037037039</v>
      </c>
      <c r="G23" s="79">
        <v>90</v>
      </c>
      <c r="H23" s="70">
        <v>25.38</v>
      </c>
      <c r="I23" s="70">
        <v>43.1</v>
      </c>
      <c r="J23" s="70">
        <f t="shared" si="1"/>
        <v>17.720000000000002</v>
      </c>
      <c r="K23" s="73">
        <f t="shared" si="2"/>
        <v>0.69818754925137916</v>
      </c>
      <c r="L23" s="74">
        <f t="shared" si="3"/>
        <v>0.1158169934640523</v>
      </c>
    </row>
    <row r="24" spans="1:16" ht="15.75" customHeight="1">
      <c r="A24" s="77">
        <v>45</v>
      </c>
      <c r="B24" s="70">
        <v>3.32</v>
      </c>
      <c r="C24" s="70">
        <v>5.93</v>
      </c>
      <c r="D24" s="70">
        <f t="shared" si="4"/>
        <v>2.61</v>
      </c>
      <c r="E24" s="73">
        <f t="shared" si="5"/>
        <v>0.78614457831325302</v>
      </c>
      <c r="F24" s="74">
        <f t="shared" si="0"/>
        <v>9.6666666666666665E-2</v>
      </c>
      <c r="G24" s="79">
        <v>94</v>
      </c>
      <c r="H24" s="70">
        <v>26.71</v>
      </c>
      <c r="I24" s="70">
        <v>43</v>
      </c>
      <c r="J24" s="70">
        <f t="shared" si="1"/>
        <v>16.29</v>
      </c>
      <c r="K24" s="73">
        <f t="shared" si="2"/>
        <v>0.6098839385997753</v>
      </c>
      <c r="L24" s="74">
        <f t="shared" si="3"/>
        <v>0.10647058823529411</v>
      </c>
    </row>
    <row r="25" spans="1:16" ht="15.75" customHeight="1">
      <c r="A25" s="77">
        <v>46</v>
      </c>
      <c r="B25" s="70">
        <v>3.38</v>
      </c>
      <c r="C25" s="4">
        <v>6.09</v>
      </c>
      <c r="D25" s="70">
        <f t="shared" si="4"/>
        <v>2.71</v>
      </c>
      <c r="E25" s="73">
        <f t="shared" si="5"/>
        <v>0.80177514792899407</v>
      </c>
      <c r="F25" s="74">
        <f t="shared" si="0"/>
        <v>0.10037037037037037</v>
      </c>
      <c r="G25" s="70"/>
      <c r="H25" s="70"/>
      <c r="I25" s="70"/>
      <c r="J25" s="68"/>
    </row>
    <row r="26" spans="1:16" ht="15.75" customHeight="1">
      <c r="A26" s="77">
        <v>51</v>
      </c>
      <c r="B26" s="70">
        <v>3.48</v>
      </c>
      <c r="C26" s="4">
        <v>6.22</v>
      </c>
      <c r="D26" s="70">
        <f t="shared" si="4"/>
        <v>2.7399999999999998</v>
      </c>
      <c r="E26" s="73">
        <f t="shared" si="5"/>
        <v>0.78735632183908044</v>
      </c>
      <c r="F26" s="74">
        <f t="shared" si="0"/>
        <v>0.10148148148148148</v>
      </c>
      <c r="G26" s="70"/>
      <c r="H26" s="70"/>
      <c r="I26" s="70"/>
      <c r="J26" s="68"/>
      <c r="P26" s="68"/>
    </row>
    <row r="27" spans="1:16" ht="15.75" customHeight="1">
      <c r="A27" s="77">
        <v>52</v>
      </c>
      <c r="B27" s="70">
        <v>3.38</v>
      </c>
      <c r="C27" s="70">
        <v>6.09</v>
      </c>
      <c r="D27" s="70">
        <f t="shared" si="4"/>
        <v>2.71</v>
      </c>
      <c r="E27" s="73">
        <f t="shared" si="5"/>
        <v>0.80177514792899407</v>
      </c>
      <c r="F27" s="74">
        <f t="shared" si="0"/>
        <v>0.10037037037037037</v>
      </c>
      <c r="G27" s="70"/>
      <c r="H27" s="70"/>
      <c r="I27" s="70"/>
      <c r="J27" s="68"/>
      <c r="P27" s="68"/>
    </row>
    <row r="28" spans="1:16" ht="15.75" customHeight="1">
      <c r="A28" s="77">
        <v>55</v>
      </c>
      <c r="B28" s="70">
        <v>3.45</v>
      </c>
      <c r="C28" s="70">
        <v>6.09</v>
      </c>
      <c r="D28" s="70">
        <f t="shared" si="4"/>
        <v>2.6399999999999997</v>
      </c>
      <c r="E28" s="73">
        <f t="shared" si="5"/>
        <v>0.76521739130434774</v>
      </c>
      <c r="F28" s="74">
        <f t="shared" si="0"/>
        <v>9.7777777777777769E-2</v>
      </c>
      <c r="G28" s="70"/>
      <c r="H28" s="70"/>
      <c r="I28" s="70"/>
      <c r="J28" s="68"/>
    </row>
    <row r="29" spans="1:16" ht="15.75" customHeight="1">
      <c r="A29" s="77">
        <v>56</v>
      </c>
      <c r="B29" s="70">
        <v>3.56</v>
      </c>
      <c r="C29" s="70">
        <v>6.09</v>
      </c>
      <c r="D29" s="70">
        <f t="shared" si="4"/>
        <v>2.5299999999999998</v>
      </c>
      <c r="E29" s="73">
        <f t="shared" si="5"/>
        <v>0.71067415730337069</v>
      </c>
      <c r="F29" s="74">
        <f t="shared" si="0"/>
        <v>9.3703703703703692E-2</v>
      </c>
      <c r="G29" s="70"/>
      <c r="H29" s="70"/>
      <c r="I29" s="70"/>
      <c r="J29" s="68"/>
    </row>
    <row r="30" spans="1:16" ht="15.75" customHeight="1">
      <c r="A30" s="77">
        <v>60</v>
      </c>
      <c r="B30" s="70">
        <v>3.31</v>
      </c>
      <c r="C30" s="70">
        <v>5.85</v>
      </c>
      <c r="D30" s="70">
        <f t="shared" si="4"/>
        <v>2.5399999999999996</v>
      </c>
      <c r="E30" s="73">
        <f t="shared" si="5"/>
        <v>0.76737160120845904</v>
      </c>
      <c r="F30" s="74">
        <f t="shared" si="0"/>
        <v>9.407407407407406E-2</v>
      </c>
      <c r="G30" s="70"/>
      <c r="H30" s="70"/>
      <c r="I30" s="70"/>
      <c r="J30" s="68"/>
    </row>
    <row r="31" spans="1:16" ht="15.75" customHeight="1">
      <c r="A31" s="77">
        <v>61</v>
      </c>
      <c r="B31" s="70">
        <v>3.46</v>
      </c>
      <c r="C31" s="70">
        <v>6.1</v>
      </c>
      <c r="D31" s="70">
        <f t="shared" si="4"/>
        <v>2.6399999999999997</v>
      </c>
      <c r="E31" s="73">
        <f t="shared" si="5"/>
        <v>0.76300578034682076</v>
      </c>
      <c r="F31" s="74">
        <f t="shared" si="0"/>
        <v>9.7777777777777769E-2</v>
      </c>
      <c r="G31" s="70"/>
      <c r="H31" s="70"/>
      <c r="I31" s="70"/>
      <c r="J31" s="68"/>
    </row>
    <row r="32" spans="1:16" ht="15.75" customHeight="1">
      <c r="A32" s="78">
        <v>65</v>
      </c>
      <c r="B32" s="70">
        <v>4.45</v>
      </c>
      <c r="C32" s="70">
        <v>7.23</v>
      </c>
      <c r="D32" s="70">
        <f t="shared" si="4"/>
        <v>2.7800000000000002</v>
      </c>
      <c r="E32" s="73">
        <f t="shared" si="5"/>
        <v>0.62471910112359552</v>
      </c>
      <c r="F32" s="74">
        <f t="shared" si="0"/>
        <v>0.10296296296296298</v>
      </c>
      <c r="G32" s="70"/>
      <c r="H32" s="70"/>
      <c r="I32" s="70"/>
      <c r="J32" s="68"/>
    </row>
    <row r="33" spans="1:11" ht="15.75" customHeight="1">
      <c r="A33" s="78">
        <v>66</v>
      </c>
      <c r="B33" s="70">
        <v>4.45</v>
      </c>
      <c r="C33" s="70">
        <v>7.18</v>
      </c>
      <c r="D33" s="70">
        <f t="shared" si="4"/>
        <v>2.7299999999999995</v>
      </c>
      <c r="E33" s="73">
        <f t="shared" si="5"/>
        <v>0.61348314606741561</v>
      </c>
      <c r="F33" s="74">
        <f t="shared" si="0"/>
        <v>0.1011111111111111</v>
      </c>
      <c r="G33" s="70"/>
      <c r="H33" s="70"/>
      <c r="I33" s="70"/>
      <c r="J33" s="68"/>
    </row>
    <row r="34" spans="1:11" ht="15.75" customHeight="1">
      <c r="A34" s="78">
        <v>67</v>
      </c>
      <c r="B34" s="70">
        <v>4.5599999999999996</v>
      </c>
      <c r="C34" s="70">
        <v>7.18</v>
      </c>
      <c r="D34" s="70">
        <f t="shared" si="4"/>
        <v>2.62</v>
      </c>
      <c r="E34" s="73">
        <f t="shared" si="5"/>
        <v>0.57456140350877205</v>
      </c>
      <c r="F34" s="74">
        <f t="shared" si="0"/>
        <v>9.7037037037037047E-2</v>
      </c>
      <c r="G34" s="70"/>
      <c r="H34" s="70"/>
      <c r="I34" s="70"/>
      <c r="J34" s="68"/>
    </row>
    <row r="35" spans="1:11" ht="15.75" customHeight="1">
      <c r="A35" s="78">
        <v>69</v>
      </c>
      <c r="B35" s="70">
        <v>4.63</v>
      </c>
      <c r="C35" s="70">
        <v>7.22</v>
      </c>
      <c r="D35" s="70">
        <f t="shared" si="4"/>
        <v>2.59</v>
      </c>
      <c r="E35" s="73">
        <f t="shared" si="5"/>
        <v>0.55939524838012955</v>
      </c>
      <c r="F35" s="74">
        <f t="shared" si="0"/>
        <v>9.5925925925925914E-2</v>
      </c>
      <c r="G35" s="70"/>
      <c r="H35" s="70"/>
      <c r="I35" s="70"/>
      <c r="J35" s="69"/>
      <c r="K35" s="4"/>
    </row>
    <row r="36" spans="1:11" ht="15.75" customHeight="1">
      <c r="A36" s="78">
        <v>70</v>
      </c>
      <c r="B36" s="70">
        <v>4.46</v>
      </c>
      <c r="C36" s="70">
        <v>7.13</v>
      </c>
      <c r="D36" s="70">
        <f t="shared" si="4"/>
        <v>2.67</v>
      </c>
      <c r="E36" s="73">
        <f t="shared" si="5"/>
        <v>0.59865470852017932</v>
      </c>
      <c r="F36" s="74">
        <f t="shared" si="0"/>
        <v>9.8888888888888887E-2</v>
      </c>
      <c r="G36" s="70"/>
      <c r="H36" s="70"/>
      <c r="I36" s="70"/>
      <c r="J36" s="68"/>
    </row>
    <row r="37" spans="1:11" ht="15.75" customHeight="1">
      <c r="A37" s="78">
        <v>71</v>
      </c>
      <c r="B37" s="70">
        <v>4.55</v>
      </c>
      <c r="C37" s="70">
        <v>7.35</v>
      </c>
      <c r="D37" s="70">
        <f t="shared" si="4"/>
        <v>2.8</v>
      </c>
      <c r="E37" s="73">
        <f t="shared" si="5"/>
        <v>0.61538461538461542</v>
      </c>
      <c r="F37" s="74">
        <f t="shared" si="0"/>
        <v>0.1037037037037037</v>
      </c>
      <c r="G37" s="70"/>
      <c r="H37" s="70"/>
      <c r="I37" s="70"/>
      <c r="J37" s="68"/>
    </row>
    <row r="38" spans="1:11" ht="15.75" customHeight="1">
      <c r="A38" s="78">
        <v>72</v>
      </c>
      <c r="B38" s="70">
        <v>4.76</v>
      </c>
      <c r="C38" s="70">
        <v>7.46</v>
      </c>
      <c r="D38" s="70">
        <f t="shared" si="4"/>
        <v>2.7</v>
      </c>
      <c r="E38" s="73">
        <f t="shared" si="5"/>
        <v>0.56722689075630262</v>
      </c>
      <c r="F38" s="74">
        <f t="shared" si="0"/>
        <v>0.1</v>
      </c>
      <c r="G38" s="70"/>
      <c r="H38" s="70"/>
      <c r="I38" s="70"/>
      <c r="J38" s="68"/>
    </row>
    <row r="39" spans="1:11" ht="15.75" customHeight="1">
      <c r="A39" s="79">
        <v>75</v>
      </c>
      <c r="B39" s="70">
        <v>4.75</v>
      </c>
      <c r="C39" s="70">
        <v>7.57</v>
      </c>
      <c r="D39" s="70">
        <f t="shared" si="4"/>
        <v>2.8200000000000003</v>
      </c>
      <c r="E39" s="73">
        <f t="shared" si="5"/>
        <v>0.59368421052631581</v>
      </c>
      <c r="F39" s="74">
        <f t="shared" si="0"/>
        <v>0.10444444444444445</v>
      </c>
      <c r="G39" s="70"/>
      <c r="H39" s="70"/>
      <c r="I39" s="70"/>
      <c r="J39" s="80" t="s">
        <v>9</v>
      </c>
    </row>
    <row r="40" spans="1:11" ht="15.75" customHeight="1">
      <c r="A40" s="79">
        <v>76</v>
      </c>
      <c r="B40" s="70">
        <v>4.88</v>
      </c>
      <c r="C40" s="70">
        <v>7.61</v>
      </c>
      <c r="D40" s="70">
        <f t="shared" si="4"/>
        <v>2.7300000000000004</v>
      </c>
      <c r="E40" s="73">
        <f t="shared" si="5"/>
        <v>0.55942622950819687</v>
      </c>
      <c r="F40" s="74">
        <f t="shared" si="0"/>
        <v>0.10111111111111112</v>
      </c>
      <c r="G40" s="70"/>
      <c r="H40" s="70"/>
      <c r="I40" s="70"/>
      <c r="J40" s="81" t="s">
        <v>17</v>
      </c>
    </row>
    <row r="41" spans="1:11" ht="15.75" customHeight="1">
      <c r="A41" s="79">
        <v>77</v>
      </c>
      <c r="B41" s="70">
        <v>4.66</v>
      </c>
      <c r="C41" s="70">
        <v>7.53</v>
      </c>
      <c r="D41" s="70">
        <f t="shared" si="4"/>
        <v>2.87</v>
      </c>
      <c r="E41" s="73">
        <f t="shared" si="5"/>
        <v>0.61587982832618027</v>
      </c>
      <c r="F41" s="74">
        <f t="shared" si="0"/>
        <v>0.10629629629629631</v>
      </c>
      <c r="G41" s="70"/>
      <c r="H41" s="70"/>
      <c r="I41" s="70"/>
      <c r="J41" s="11" t="s">
        <v>23</v>
      </c>
    </row>
    <row r="42" spans="1:11" ht="15.75" customHeight="1">
      <c r="A42" s="79">
        <v>80</v>
      </c>
      <c r="B42" s="70">
        <v>4.83</v>
      </c>
      <c r="C42" s="70">
        <v>7.78</v>
      </c>
      <c r="D42" s="70">
        <f t="shared" si="4"/>
        <v>2.95</v>
      </c>
      <c r="E42" s="73">
        <f t="shared" si="5"/>
        <v>0.61076604554865432</v>
      </c>
      <c r="F42" s="74">
        <f t="shared" si="0"/>
        <v>0.10925925925925926</v>
      </c>
      <c r="G42" s="70"/>
      <c r="H42" s="70"/>
      <c r="I42" s="70"/>
      <c r="J42" s="82" t="s">
        <v>26</v>
      </c>
    </row>
    <row r="43" spans="1:11" ht="15.75" customHeight="1">
      <c r="A43" s="79">
        <v>81</v>
      </c>
      <c r="B43" s="70">
        <v>4.78</v>
      </c>
      <c r="C43" s="70">
        <v>7.61</v>
      </c>
      <c r="D43" s="70">
        <f t="shared" si="4"/>
        <v>2.83</v>
      </c>
      <c r="E43" s="73">
        <f t="shared" si="5"/>
        <v>0.59205020920502094</v>
      </c>
      <c r="F43" s="74">
        <f t="shared" si="0"/>
        <v>0.10481481481481482</v>
      </c>
      <c r="G43" s="70"/>
      <c r="H43" s="70"/>
      <c r="I43" s="70"/>
      <c r="J43" s="68"/>
    </row>
    <row r="44" spans="1:11" ht="15.75" customHeight="1">
      <c r="A44" s="79">
        <v>82</v>
      </c>
      <c r="B44" s="70">
        <v>4.93</v>
      </c>
      <c r="C44" s="70">
        <v>7.9</v>
      </c>
      <c r="D44" s="70">
        <f t="shared" si="4"/>
        <v>2.9700000000000006</v>
      </c>
      <c r="E44" s="73">
        <f t="shared" si="5"/>
        <v>0.60243407707910768</v>
      </c>
      <c r="F44" s="74">
        <f t="shared" si="0"/>
        <v>0.11000000000000003</v>
      </c>
      <c r="G44" s="70"/>
      <c r="H44" s="70"/>
      <c r="I44" s="70"/>
      <c r="J44" s="68"/>
    </row>
    <row r="45" spans="1:11" ht="15.75" customHeight="1">
      <c r="A45" s="79">
        <v>83</v>
      </c>
      <c r="B45" s="70">
        <v>4.8600000000000003</v>
      </c>
      <c r="C45" s="70">
        <v>7.8</v>
      </c>
      <c r="D45" s="70">
        <f t="shared" si="4"/>
        <v>2.9399999999999995</v>
      </c>
      <c r="E45" s="73">
        <f t="shared" si="5"/>
        <v>0.60493827160493818</v>
      </c>
      <c r="F45" s="74">
        <f t="shared" si="0"/>
        <v>0.10888888888888887</v>
      </c>
      <c r="G45" s="70"/>
      <c r="H45" s="70"/>
      <c r="I45" s="70"/>
      <c r="J45" s="68"/>
    </row>
    <row r="46" spans="1:11" ht="15.75" customHeight="1">
      <c r="A46" s="79">
        <v>85</v>
      </c>
      <c r="B46" s="70">
        <v>4.63</v>
      </c>
      <c r="C46" s="70">
        <v>7.61</v>
      </c>
      <c r="D46" s="70">
        <f t="shared" si="4"/>
        <v>2.9800000000000004</v>
      </c>
      <c r="E46" s="73">
        <f t="shared" si="5"/>
        <v>0.64362850971922259</v>
      </c>
      <c r="F46" s="74">
        <f t="shared" si="0"/>
        <v>0.11037037037037038</v>
      </c>
      <c r="G46" s="70"/>
      <c r="H46" s="70"/>
      <c r="I46" s="70"/>
      <c r="J46" s="68"/>
    </row>
    <row r="47" spans="1:11" ht="15.75" customHeight="1">
      <c r="A47" s="79">
        <v>86</v>
      </c>
      <c r="B47" s="70">
        <v>4.82</v>
      </c>
      <c r="C47" s="70">
        <v>7.74</v>
      </c>
      <c r="D47" s="70">
        <f t="shared" si="4"/>
        <v>2.92</v>
      </c>
      <c r="E47" s="73">
        <f t="shared" si="5"/>
        <v>0.60580912863070535</v>
      </c>
      <c r="F47" s="74">
        <f t="shared" si="0"/>
        <v>0.10814814814814815</v>
      </c>
      <c r="G47" s="70"/>
      <c r="H47" s="70"/>
      <c r="I47" s="70"/>
      <c r="J47" s="68"/>
    </row>
    <row r="48" spans="1:11" ht="15.75" customHeight="1">
      <c r="A48" s="79">
        <v>90</v>
      </c>
      <c r="B48" s="70">
        <v>5.0199999999999996</v>
      </c>
      <c r="C48" s="70">
        <v>8.2100000000000009</v>
      </c>
      <c r="D48" s="70">
        <f t="shared" si="4"/>
        <v>3.1900000000000013</v>
      </c>
      <c r="E48" s="73">
        <f t="shared" si="5"/>
        <v>0.63545816733067761</v>
      </c>
      <c r="F48" s="74">
        <f t="shared" si="0"/>
        <v>0.1181481481481482</v>
      </c>
      <c r="G48" s="70"/>
      <c r="H48" s="70"/>
      <c r="I48" s="70"/>
      <c r="J48" s="68"/>
    </row>
    <row r="49" spans="1:10" ht="15.75" customHeight="1">
      <c r="A49" s="79">
        <v>91</v>
      </c>
      <c r="B49" s="70">
        <v>4.75</v>
      </c>
      <c r="C49" s="70">
        <v>7.82</v>
      </c>
      <c r="D49" s="70">
        <f t="shared" si="4"/>
        <v>3.0700000000000003</v>
      </c>
      <c r="E49" s="73">
        <f t="shared" si="5"/>
        <v>0.64631578947368429</v>
      </c>
      <c r="F49" s="74">
        <f t="shared" si="0"/>
        <v>0.11370370370370371</v>
      </c>
      <c r="G49" s="70"/>
      <c r="H49" s="70"/>
      <c r="I49" s="70"/>
      <c r="J49" s="68"/>
    </row>
    <row r="50" spans="1:10" ht="15.75" customHeight="1">
      <c r="A50" s="79">
        <v>92</v>
      </c>
      <c r="B50" s="70">
        <v>4.6500000000000004</v>
      </c>
      <c r="C50" s="70">
        <v>7.73</v>
      </c>
      <c r="D50" s="70">
        <f t="shared" si="4"/>
        <v>3.08</v>
      </c>
      <c r="E50" s="73">
        <f t="shared" si="5"/>
        <v>0.66236559139784945</v>
      </c>
      <c r="F50" s="74">
        <f t="shared" si="0"/>
        <v>0.11407407407407408</v>
      </c>
      <c r="G50" s="70"/>
      <c r="H50" s="70"/>
      <c r="I50" s="70"/>
      <c r="J50" s="68"/>
    </row>
    <row r="51" spans="1:10" ht="15.75" customHeight="1">
      <c r="A51" s="79">
        <v>95</v>
      </c>
      <c r="B51" s="70">
        <v>4.6900000000000004</v>
      </c>
      <c r="C51" s="70">
        <v>7.85</v>
      </c>
      <c r="D51" s="70">
        <f t="shared" si="4"/>
        <v>3.1599999999999993</v>
      </c>
      <c r="E51" s="73">
        <f t="shared" si="5"/>
        <v>0.6737739872068228</v>
      </c>
      <c r="F51" s="74">
        <f t="shared" si="0"/>
        <v>0.11703703703703701</v>
      </c>
      <c r="G51" s="70"/>
      <c r="H51" s="70"/>
      <c r="I51" s="70"/>
      <c r="J51" s="68"/>
    </row>
    <row r="52" spans="1:10" ht="15.75" customHeight="1">
      <c r="A52" s="79">
        <v>96</v>
      </c>
      <c r="B52" s="70">
        <v>4.88</v>
      </c>
      <c r="C52" s="70">
        <v>8.06</v>
      </c>
      <c r="D52" s="70">
        <f t="shared" si="4"/>
        <v>3.1800000000000006</v>
      </c>
      <c r="E52" s="73">
        <f t="shared" si="5"/>
        <v>0.65163934426229519</v>
      </c>
      <c r="F52" s="74">
        <f t="shared" si="0"/>
        <v>0.1177777777777778</v>
      </c>
      <c r="G52" s="70"/>
      <c r="H52" s="70"/>
      <c r="I52" s="70"/>
      <c r="J52" s="68"/>
    </row>
    <row r="53" spans="1:10" ht="15.75" customHeight="1">
      <c r="A53" s="79">
        <v>97</v>
      </c>
      <c r="B53" s="70">
        <v>4.79</v>
      </c>
      <c r="C53" s="70">
        <v>7.95</v>
      </c>
      <c r="D53" s="70">
        <f t="shared" si="4"/>
        <v>3.16</v>
      </c>
      <c r="E53" s="73">
        <f t="shared" si="5"/>
        <v>0.65970772442588732</v>
      </c>
      <c r="F53" s="74">
        <f t="shared" si="0"/>
        <v>0.11703703703703704</v>
      </c>
      <c r="G53" s="70"/>
      <c r="H53" s="70"/>
      <c r="I53" s="70"/>
      <c r="J53" s="68"/>
    </row>
    <row r="54" spans="1:10" ht="15.75" customHeight="1">
      <c r="A54" s="72">
        <v>101</v>
      </c>
      <c r="B54" s="70">
        <v>4.4000000000000004</v>
      </c>
      <c r="C54" s="70">
        <v>7.29</v>
      </c>
      <c r="D54" s="70">
        <f t="shared" si="4"/>
        <v>2.8899999999999997</v>
      </c>
      <c r="E54" s="73">
        <f t="shared" si="5"/>
        <v>0.65681818181818175</v>
      </c>
      <c r="F54" s="74">
        <f t="shared" si="0"/>
        <v>0.10703703703703703</v>
      </c>
      <c r="G54" s="70"/>
      <c r="H54" s="70"/>
      <c r="I54" s="70"/>
      <c r="J54" s="68"/>
    </row>
    <row r="55" spans="1:10" ht="15.75" customHeight="1">
      <c r="A55" s="72">
        <v>102</v>
      </c>
      <c r="B55" s="70">
        <v>4.49</v>
      </c>
      <c r="C55" s="70">
        <v>7.24</v>
      </c>
      <c r="D55" s="70">
        <f t="shared" si="4"/>
        <v>2.75</v>
      </c>
      <c r="E55" s="73">
        <f t="shared" si="5"/>
        <v>0.61247216035634744</v>
      </c>
      <c r="F55" s="74">
        <f t="shared" si="0"/>
        <v>0.10185185185185185</v>
      </c>
      <c r="G55" s="70"/>
      <c r="H55" s="70"/>
      <c r="I55" s="70"/>
      <c r="J55" s="68"/>
    </row>
    <row r="56" spans="1:10" ht="15.75" customHeight="1">
      <c r="A56" s="72">
        <v>105</v>
      </c>
      <c r="B56" s="70">
        <v>4.58</v>
      </c>
      <c r="C56" s="70">
        <v>7.3</v>
      </c>
      <c r="D56" s="70">
        <f t="shared" si="4"/>
        <v>2.7199999999999998</v>
      </c>
      <c r="E56" s="73">
        <f t="shared" si="5"/>
        <v>0.59388646288209601</v>
      </c>
      <c r="F56" s="74">
        <f t="shared" si="0"/>
        <v>0.10074074074074073</v>
      </c>
      <c r="G56" s="70"/>
      <c r="H56" s="70"/>
      <c r="I56" s="70"/>
      <c r="J56" s="69" t="s">
        <v>73</v>
      </c>
    </row>
    <row r="57" spans="1:10" ht="15.75" customHeight="1">
      <c r="A57" s="72">
        <v>106</v>
      </c>
      <c r="B57" s="70">
        <v>4.4800000000000004</v>
      </c>
      <c r="C57" s="70">
        <v>7.12</v>
      </c>
      <c r="D57" s="70">
        <f t="shared" si="4"/>
        <v>2.6399999999999997</v>
      </c>
      <c r="E57" s="73">
        <f t="shared" si="5"/>
        <v>0.58928571428571419</v>
      </c>
      <c r="F57" s="74">
        <f t="shared" si="0"/>
        <v>9.7777777777777769E-2</v>
      </c>
      <c r="G57" s="70"/>
      <c r="H57" s="70"/>
      <c r="I57" s="70"/>
      <c r="J57" s="68"/>
    </row>
    <row r="58" spans="1:10" ht="15.75" customHeight="1">
      <c r="A58" s="72">
        <v>111</v>
      </c>
      <c r="B58" s="70">
        <v>4.3899999999999997</v>
      </c>
      <c r="C58" s="70">
        <v>7.18</v>
      </c>
      <c r="D58" s="70">
        <f t="shared" si="4"/>
        <v>2.79</v>
      </c>
      <c r="E58" s="73">
        <f t="shared" si="5"/>
        <v>0.63553530751708431</v>
      </c>
      <c r="F58" s="74">
        <f t="shared" si="0"/>
        <v>0.10333333333333333</v>
      </c>
      <c r="G58" s="70"/>
      <c r="H58" s="70"/>
      <c r="I58" s="70"/>
      <c r="J58" s="68"/>
    </row>
    <row r="59" spans="1:10" ht="15.75" customHeight="1">
      <c r="A59" s="72">
        <v>113</v>
      </c>
      <c r="B59" s="70">
        <v>4.28</v>
      </c>
      <c r="C59" s="70">
        <v>6.74</v>
      </c>
      <c r="D59" s="70">
        <f t="shared" si="4"/>
        <v>2.46</v>
      </c>
      <c r="E59" s="73">
        <f t="shared" si="5"/>
        <v>0.57476635514018692</v>
      </c>
      <c r="F59" s="74">
        <f t="shared" si="0"/>
        <v>9.1111111111111115E-2</v>
      </c>
      <c r="G59" s="70"/>
      <c r="H59" s="70"/>
      <c r="I59" s="70"/>
      <c r="J59" s="68"/>
    </row>
    <row r="60" spans="1:10" ht="15.75" customHeight="1">
      <c r="A60" s="72">
        <v>115</v>
      </c>
      <c r="B60" s="70">
        <v>4.38</v>
      </c>
      <c r="C60" s="70">
        <v>7.31</v>
      </c>
      <c r="D60" s="70">
        <f t="shared" si="4"/>
        <v>2.9299999999999997</v>
      </c>
      <c r="E60" s="73">
        <f t="shared" si="5"/>
        <v>0.66894977168949765</v>
      </c>
      <c r="F60" s="74">
        <f t="shared" si="0"/>
        <v>0.10851851851851851</v>
      </c>
      <c r="G60" s="70"/>
      <c r="H60" s="70"/>
      <c r="I60" s="70"/>
      <c r="J60" s="68"/>
    </row>
    <row r="61" spans="1:10" ht="15.75" customHeight="1">
      <c r="A61" s="77">
        <v>121</v>
      </c>
      <c r="B61" s="70">
        <v>3.45</v>
      </c>
      <c r="C61" s="70">
        <v>6.21</v>
      </c>
      <c r="D61" s="70">
        <f t="shared" si="4"/>
        <v>2.76</v>
      </c>
      <c r="E61" s="73">
        <f t="shared" si="5"/>
        <v>0.79999999999999993</v>
      </c>
      <c r="F61" s="74">
        <f t="shared" si="0"/>
        <v>0.10222222222222221</v>
      </c>
      <c r="G61" s="70"/>
      <c r="H61" s="70"/>
      <c r="I61" s="70"/>
      <c r="J61" s="68"/>
    </row>
    <row r="62" spans="1:10" ht="15.75" customHeight="1">
      <c r="A62" s="77">
        <v>122</v>
      </c>
      <c r="B62" s="70">
        <v>3.28</v>
      </c>
      <c r="C62" s="70">
        <v>6.18</v>
      </c>
      <c r="D62" s="70">
        <f t="shared" si="4"/>
        <v>2.9</v>
      </c>
      <c r="E62" s="73">
        <f t="shared" si="5"/>
        <v>0.88414634146341464</v>
      </c>
      <c r="F62" s="74">
        <f t="shared" si="0"/>
        <v>0.10740740740740741</v>
      </c>
      <c r="G62" s="70"/>
      <c r="H62" s="70"/>
      <c r="I62" s="70"/>
      <c r="J62" s="68"/>
    </row>
    <row r="63" spans="1:10" ht="15.75" customHeight="1">
      <c r="A63" s="77">
        <v>125</v>
      </c>
      <c r="B63" s="70">
        <v>3.34</v>
      </c>
      <c r="C63" s="70">
        <v>6.17</v>
      </c>
      <c r="D63" s="70">
        <f t="shared" si="4"/>
        <v>2.83</v>
      </c>
      <c r="E63" s="73">
        <f t="shared" si="5"/>
        <v>0.84730538922155696</v>
      </c>
      <c r="F63" s="74">
        <f t="shared" si="0"/>
        <v>0.10481481481481482</v>
      </c>
      <c r="G63" s="70"/>
      <c r="H63" s="70"/>
      <c r="I63" s="70"/>
      <c r="J63" s="68"/>
    </row>
    <row r="64" spans="1:10" ht="15.75" customHeight="1">
      <c r="A64" s="77">
        <v>131</v>
      </c>
      <c r="B64" s="70">
        <v>3.36</v>
      </c>
      <c r="C64" s="70">
        <v>6.18</v>
      </c>
      <c r="D64" s="70">
        <f t="shared" si="4"/>
        <v>2.82</v>
      </c>
      <c r="E64" s="73">
        <f t="shared" si="5"/>
        <v>0.8392857142857143</v>
      </c>
      <c r="F64" s="74">
        <f t="shared" si="0"/>
        <v>0.10444444444444444</v>
      </c>
      <c r="G64" s="70"/>
      <c r="H64" s="70"/>
      <c r="I64" s="70"/>
      <c r="J64" s="68"/>
    </row>
    <row r="65" spans="1:11" ht="15.75" customHeight="1">
      <c r="A65" s="77">
        <v>132</v>
      </c>
      <c r="B65" s="70">
        <v>3.49</v>
      </c>
      <c r="C65" s="70">
        <v>6.2</v>
      </c>
      <c r="D65" s="70">
        <f t="shared" si="4"/>
        <v>2.71</v>
      </c>
      <c r="E65" s="73">
        <f t="shared" si="5"/>
        <v>0.77650429799426923</v>
      </c>
      <c r="F65" s="74">
        <f t="shared" si="0"/>
        <v>0.10037037037037037</v>
      </c>
      <c r="G65" s="70"/>
      <c r="H65" s="70"/>
      <c r="I65" s="70"/>
      <c r="J65" s="68"/>
    </row>
    <row r="66" spans="1:11" ht="15.75" customHeight="1">
      <c r="A66" s="77">
        <v>136</v>
      </c>
      <c r="B66" s="70">
        <v>3.47</v>
      </c>
      <c r="C66" s="70">
        <v>6.34</v>
      </c>
      <c r="D66" s="70">
        <f t="shared" si="4"/>
        <v>2.8699999999999997</v>
      </c>
      <c r="E66" s="73">
        <f t="shared" si="5"/>
        <v>0.82708933717579236</v>
      </c>
      <c r="F66" s="74">
        <f t="shared" si="0"/>
        <v>0.10629629629629628</v>
      </c>
      <c r="G66" s="70"/>
      <c r="H66" s="70"/>
      <c r="I66" s="70"/>
      <c r="J66" s="68"/>
    </row>
    <row r="67" spans="1:11" ht="15.75" customHeight="1">
      <c r="A67" s="78">
        <v>140</v>
      </c>
      <c r="B67" s="70">
        <v>4.79</v>
      </c>
      <c r="C67" s="70">
        <v>7.55</v>
      </c>
      <c r="D67" s="70">
        <f t="shared" si="4"/>
        <v>2.76</v>
      </c>
      <c r="E67" s="73">
        <f t="shared" si="5"/>
        <v>0.57620041753653439</v>
      </c>
      <c r="F67" s="74">
        <f t="shared" si="0"/>
        <v>0.10222222222222221</v>
      </c>
      <c r="G67" s="70"/>
      <c r="H67" s="70"/>
      <c r="I67" s="70"/>
      <c r="J67" s="68"/>
    </row>
    <row r="68" spans="1:11" ht="15.75" customHeight="1">
      <c r="A68" s="78">
        <v>141</v>
      </c>
      <c r="B68" s="70">
        <v>4.79</v>
      </c>
      <c r="C68" s="70">
        <v>7.66</v>
      </c>
      <c r="D68" s="70">
        <f t="shared" si="4"/>
        <v>2.87</v>
      </c>
      <c r="E68" s="73">
        <f t="shared" si="5"/>
        <v>0.59916492693110646</v>
      </c>
      <c r="F68" s="74">
        <f t="shared" si="0"/>
        <v>0.10629629629629631</v>
      </c>
      <c r="G68" s="70"/>
      <c r="H68" s="70"/>
      <c r="I68" s="70"/>
      <c r="J68" s="68"/>
    </row>
    <row r="69" spans="1:11" ht="15.75" customHeight="1">
      <c r="A69" s="78">
        <v>142</v>
      </c>
      <c r="B69" s="70">
        <v>4.7699999999999996</v>
      </c>
      <c r="C69" s="4">
        <v>7.58</v>
      </c>
      <c r="D69" s="70">
        <f t="shared" si="4"/>
        <v>2.8100000000000005</v>
      </c>
      <c r="E69" s="73">
        <f t="shared" si="5"/>
        <v>0.58909853249475908</v>
      </c>
      <c r="F69" s="74">
        <f t="shared" si="0"/>
        <v>0.1040740740740741</v>
      </c>
      <c r="G69" s="70"/>
      <c r="H69" s="70"/>
      <c r="I69" s="70"/>
      <c r="J69" s="68"/>
    </row>
    <row r="70" spans="1:11" ht="15.75" customHeight="1">
      <c r="A70" s="78">
        <v>144</v>
      </c>
      <c r="B70" s="70">
        <v>4.87</v>
      </c>
      <c r="C70" s="4">
        <v>7.66</v>
      </c>
      <c r="D70" s="70">
        <f t="shared" si="4"/>
        <v>2.79</v>
      </c>
      <c r="E70" s="73">
        <f t="shared" si="5"/>
        <v>0.5728952772073922</v>
      </c>
      <c r="F70" s="74">
        <f t="shared" si="0"/>
        <v>0.10333333333333333</v>
      </c>
      <c r="G70" s="70"/>
      <c r="H70" s="70"/>
      <c r="I70" s="70"/>
      <c r="J70" s="68"/>
    </row>
    <row r="71" spans="1:11" ht="15.75" customHeight="1">
      <c r="A71" s="78">
        <v>145</v>
      </c>
      <c r="B71" s="70">
        <v>4.96</v>
      </c>
      <c r="C71" s="70">
        <v>7.71</v>
      </c>
      <c r="D71" s="70">
        <f t="shared" si="4"/>
        <v>2.75</v>
      </c>
      <c r="E71" s="73">
        <f t="shared" si="5"/>
        <v>0.55443548387096775</v>
      </c>
      <c r="F71" s="74">
        <f t="shared" si="0"/>
        <v>0.10185185185185185</v>
      </c>
      <c r="G71" s="70"/>
      <c r="H71" s="70"/>
      <c r="I71" s="70"/>
      <c r="J71" s="68"/>
    </row>
    <row r="72" spans="1:11" ht="15.75" customHeight="1">
      <c r="A72" s="78">
        <v>146</v>
      </c>
      <c r="B72" s="70">
        <v>4.78</v>
      </c>
      <c r="C72" s="70">
        <v>7.5</v>
      </c>
      <c r="D72" s="70">
        <f t="shared" si="4"/>
        <v>2.7199999999999998</v>
      </c>
      <c r="E72" s="73">
        <f t="shared" si="5"/>
        <v>0.56903765690376562</v>
      </c>
      <c r="F72" s="74">
        <f t="shared" si="0"/>
        <v>0.10074074074074073</v>
      </c>
      <c r="G72" s="70"/>
      <c r="H72" s="70"/>
      <c r="I72" s="70"/>
      <c r="J72" s="68"/>
    </row>
    <row r="73" spans="1:11" ht="15.75" customHeight="1">
      <c r="A73" s="78">
        <v>147</v>
      </c>
      <c r="B73" s="70">
        <v>4.71</v>
      </c>
      <c r="C73" s="70">
        <v>7.43</v>
      </c>
      <c r="D73" s="70">
        <f t="shared" si="4"/>
        <v>2.7199999999999998</v>
      </c>
      <c r="E73" s="73">
        <f t="shared" si="5"/>
        <v>0.57749469214437366</v>
      </c>
      <c r="F73" s="74">
        <f t="shared" si="0"/>
        <v>0.10074074074074073</v>
      </c>
      <c r="G73" s="70"/>
      <c r="H73" s="70"/>
      <c r="I73" s="70"/>
      <c r="J73" s="68"/>
    </row>
    <row r="74" spans="1:11" ht="15.75" customHeight="1">
      <c r="A74" s="78">
        <v>149</v>
      </c>
      <c r="B74" s="70">
        <v>4.8099999999999996</v>
      </c>
      <c r="C74" s="70">
        <v>7.58</v>
      </c>
      <c r="D74" s="70">
        <f t="shared" si="4"/>
        <v>2.7700000000000005</v>
      </c>
      <c r="E74" s="73">
        <f t="shared" si="5"/>
        <v>0.57588357588357597</v>
      </c>
      <c r="F74" s="74">
        <f t="shared" si="0"/>
        <v>0.10259259259259261</v>
      </c>
      <c r="G74" s="70"/>
      <c r="H74" s="70"/>
      <c r="I74" s="70"/>
      <c r="J74" s="68"/>
    </row>
    <row r="75" spans="1:11" ht="15.75" customHeight="1">
      <c r="A75" s="78">
        <v>151</v>
      </c>
      <c r="B75" s="70">
        <v>4.68</v>
      </c>
      <c r="C75" s="70">
        <v>7.6</v>
      </c>
      <c r="D75" s="70">
        <f t="shared" si="4"/>
        <v>2.92</v>
      </c>
      <c r="E75" s="73">
        <f t="shared" si="5"/>
        <v>0.62393162393162394</v>
      </c>
      <c r="F75" s="74">
        <f t="shared" si="0"/>
        <v>0.10814814814814815</v>
      </c>
      <c r="G75" s="70"/>
      <c r="H75" s="70"/>
      <c r="I75" s="70"/>
      <c r="J75" s="68"/>
    </row>
    <row r="76" spans="1:11" ht="15.75" customHeight="1">
      <c r="A76" s="78">
        <v>152</v>
      </c>
      <c r="B76" s="70">
        <v>5.0999999999999996</v>
      </c>
      <c r="C76" s="70">
        <v>7.94</v>
      </c>
      <c r="D76" s="70">
        <f t="shared" si="4"/>
        <v>2.8400000000000007</v>
      </c>
      <c r="E76" s="73">
        <f t="shared" si="5"/>
        <v>0.55686274509803935</v>
      </c>
      <c r="F76" s="74">
        <f t="shared" si="0"/>
        <v>0.10518518518518521</v>
      </c>
      <c r="G76" s="70"/>
      <c r="H76" s="70"/>
      <c r="I76" s="70"/>
      <c r="J76" s="68"/>
    </row>
    <row r="77" spans="1:11" ht="15.75" customHeight="1">
      <c r="A77" s="83">
        <v>153</v>
      </c>
      <c r="B77" s="4">
        <v>4.59</v>
      </c>
      <c r="C77" s="4">
        <v>7.37</v>
      </c>
      <c r="D77" s="70">
        <f t="shared" si="4"/>
        <v>2.7800000000000002</v>
      </c>
      <c r="E77" s="73">
        <f t="shared" si="5"/>
        <v>0.60566448801742923</v>
      </c>
      <c r="F77" s="74">
        <f t="shared" si="0"/>
        <v>0.10296296296296298</v>
      </c>
      <c r="G77" s="70"/>
      <c r="H77" s="70"/>
      <c r="I77" s="70"/>
      <c r="J77" s="69">
        <v>153</v>
      </c>
      <c r="K77" s="4" t="s">
        <v>74</v>
      </c>
    </row>
    <row r="78" spans="1:11" ht="15.75" customHeight="1">
      <c r="A78" s="84">
        <v>154</v>
      </c>
      <c r="B78" s="70">
        <v>4.57</v>
      </c>
      <c r="C78" s="70">
        <v>7.71</v>
      </c>
      <c r="D78" s="70">
        <f t="shared" si="4"/>
        <v>3.1399999999999997</v>
      </c>
      <c r="E78" s="73">
        <f t="shared" si="5"/>
        <v>0.68708971553610487</v>
      </c>
      <c r="F78" s="74">
        <f t="shared" si="0"/>
        <v>0.11629629629629629</v>
      </c>
      <c r="G78" s="70"/>
      <c r="H78" s="70"/>
      <c r="I78" s="70"/>
      <c r="J78" s="69">
        <v>154</v>
      </c>
    </row>
    <row r="79" spans="1:11" ht="15.75" customHeight="1">
      <c r="A79" s="79">
        <v>156</v>
      </c>
      <c r="B79" s="70">
        <v>4.42</v>
      </c>
      <c r="C79" s="70">
        <v>7.45</v>
      </c>
      <c r="D79" s="70">
        <f t="shared" si="4"/>
        <v>3.0300000000000002</v>
      </c>
      <c r="E79" s="73">
        <f t="shared" si="5"/>
        <v>0.68552036199095034</v>
      </c>
      <c r="F79" s="74">
        <f t="shared" si="0"/>
        <v>0.11222222222222224</v>
      </c>
      <c r="G79" s="70"/>
      <c r="H79" s="70"/>
      <c r="I79" s="70"/>
      <c r="J79" s="68"/>
    </row>
    <row r="80" spans="1:11" ht="15.75" customHeight="1">
      <c r="A80" s="79">
        <v>160</v>
      </c>
      <c r="B80" s="70">
        <v>4.3600000000000003</v>
      </c>
      <c r="C80" s="4">
        <v>7.46</v>
      </c>
      <c r="D80" s="70">
        <f t="shared" si="4"/>
        <v>3.0999999999999996</v>
      </c>
      <c r="E80" s="73">
        <f t="shared" si="5"/>
        <v>0.71100917431192645</v>
      </c>
      <c r="F80" s="74">
        <f t="shared" si="0"/>
        <v>0.1148148148148148</v>
      </c>
      <c r="G80" s="70"/>
      <c r="H80" s="70"/>
      <c r="I80" s="70"/>
      <c r="J80" s="68"/>
    </row>
    <row r="81" spans="1:10" ht="15.75" customHeight="1">
      <c r="A81" s="79">
        <v>166</v>
      </c>
      <c r="B81" s="70">
        <v>4.58</v>
      </c>
      <c r="C81" s="70">
        <v>7.66</v>
      </c>
      <c r="D81" s="70">
        <f t="shared" si="4"/>
        <v>3.08</v>
      </c>
      <c r="E81" s="73">
        <f t="shared" si="5"/>
        <v>0.67248908296943233</v>
      </c>
      <c r="F81" s="74">
        <f t="shared" si="0"/>
        <v>0.11407407407407408</v>
      </c>
      <c r="G81" s="70"/>
      <c r="H81" s="70"/>
      <c r="I81" s="70"/>
      <c r="J81" s="68"/>
    </row>
    <row r="82" spans="1:10" ht="15.75" customHeight="1">
      <c r="A82" s="79">
        <v>171</v>
      </c>
      <c r="B82" s="70">
        <v>4.47</v>
      </c>
      <c r="C82" s="70">
        <v>7.58</v>
      </c>
      <c r="D82" s="70">
        <f t="shared" si="4"/>
        <v>3.1100000000000003</v>
      </c>
      <c r="E82" s="73">
        <f t="shared" si="5"/>
        <v>0.69574944071588374</v>
      </c>
      <c r="F82" s="74">
        <f t="shared" si="0"/>
        <v>0.1151851851851852</v>
      </c>
      <c r="G82" s="70"/>
      <c r="H82" s="70"/>
      <c r="I82" s="70"/>
      <c r="J82" s="68"/>
    </row>
    <row r="83" spans="1:10" ht="15.75" customHeight="1">
      <c r="A83" s="79">
        <v>172</v>
      </c>
      <c r="B83" s="70">
        <v>4.6100000000000003</v>
      </c>
      <c r="C83" s="70">
        <v>7.73</v>
      </c>
      <c r="D83" s="70">
        <f t="shared" si="4"/>
        <v>3.12</v>
      </c>
      <c r="E83" s="73">
        <f t="shared" si="5"/>
        <v>0.67678958785249455</v>
      </c>
      <c r="F83" s="74">
        <f t="shared" si="0"/>
        <v>0.11555555555555556</v>
      </c>
      <c r="G83" s="70"/>
      <c r="H83" s="70"/>
      <c r="I83" s="70"/>
      <c r="J83" s="68"/>
    </row>
    <row r="84" spans="1:10" ht="15.75" customHeight="1">
      <c r="A84" s="79">
        <v>175</v>
      </c>
      <c r="B84" s="70">
        <v>4.43</v>
      </c>
      <c r="C84" s="70">
        <v>7.49</v>
      </c>
      <c r="D84" s="70">
        <f t="shared" si="4"/>
        <v>3.0600000000000005</v>
      </c>
      <c r="E84" s="73">
        <f t="shared" si="5"/>
        <v>0.69074492099322815</v>
      </c>
      <c r="F84" s="74">
        <f t="shared" si="0"/>
        <v>0.11333333333333336</v>
      </c>
      <c r="G84" s="70"/>
      <c r="H84" s="70"/>
      <c r="I84" s="70"/>
      <c r="J84" s="68"/>
    </row>
    <row r="85" spans="1:10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</row>
    <row r="86" spans="1:10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</row>
    <row r="87" spans="1:10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</row>
    <row r="88" spans="1:10" ht="15.75" customHeight="1">
      <c r="A88" s="68" t="s">
        <v>75</v>
      </c>
      <c r="B88" s="68"/>
      <c r="C88" s="68"/>
      <c r="D88" s="68"/>
      <c r="E88" s="68"/>
      <c r="F88" s="68"/>
      <c r="G88" s="68"/>
      <c r="H88" s="68"/>
      <c r="I88" s="68"/>
      <c r="J88" s="68"/>
    </row>
    <row r="89" spans="1:10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</row>
    <row r="90" spans="1:1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</row>
    <row r="91" spans="1:10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</row>
    <row r="92" spans="1:10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</row>
    <row r="93" spans="1:10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</row>
    <row r="94" spans="1:10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</row>
    <row r="95" spans="1:10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</row>
    <row r="96" spans="1:10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</row>
    <row r="97" spans="1:10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</row>
    <row r="98" spans="1:10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</row>
    <row r="99" spans="1:10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</row>
    <row r="100" spans="1:1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</row>
    <row r="101" spans="1:10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</row>
    <row r="102" spans="1:10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</row>
    <row r="103" spans="1:10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</row>
    <row r="104" spans="1:10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</row>
    <row r="105" spans="1:10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</row>
    <row r="106" spans="1:10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</row>
    <row r="107" spans="1:10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</row>
    <row r="108" spans="1:10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</row>
    <row r="109" spans="1:10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</row>
    <row r="110" spans="1: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</row>
    <row r="111" spans="1:10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</row>
    <row r="112" spans="1:10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</row>
    <row r="113" spans="1:10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</row>
    <row r="114" spans="1:10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</row>
    <row r="115" spans="1:10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</row>
    <row r="116" spans="1:10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</row>
    <row r="117" spans="1:10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</row>
    <row r="118" spans="1:10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</row>
    <row r="119" spans="1:10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</row>
    <row r="120" spans="1:1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</row>
    <row r="121" spans="1:10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</row>
    <row r="122" spans="1:10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</row>
    <row r="123" spans="1:10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</row>
    <row r="124" spans="1:10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</row>
    <row r="125" spans="1:10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</row>
    <row r="126" spans="1:10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</row>
    <row r="127" spans="1:10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</row>
    <row r="128" spans="1:10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</row>
    <row r="129" spans="1:10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</row>
    <row r="130" spans="1:1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</row>
    <row r="131" spans="1:10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</row>
    <row r="132" spans="1:10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</row>
    <row r="133" spans="1:10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</row>
    <row r="134" spans="1:10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</row>
    <row r="135" spans="1:10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</row>
    <row r="136" spans="1:10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</row>
    <row r="137" spans="1:10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</row>
    <row r="138" spans="1:10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</row>
    <row r="139" spans="1:10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</row>
    <row r="140" spans="1:1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</row>
    <row r="141" spans="1:10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</row>
    <row r="142" spans="1:10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</row>
    <row r="143" spans="1:10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</row>
    <row r="144" spans="1:10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</row>
    <row r="145" spans="1:10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</row>
    <row r="146" spans="1:10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</row>
    <row r="147" spans="1:10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</row>
    <row r="148" spans="1:10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</row>
    <row r="149" spans="1:10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</row>
    <row r="150" spans="1:1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</row>
    <row r="151" spans="1:10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</row>
    <row r="152" spans="1:10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</row>
    <row r="153" spans="1:10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</row>
    <row r="154" spans="1:10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</row>
    <row r="155" spans="1:10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</row>
    <row r="156" spans="1:10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</row>
    <row r="157" spans="1:10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</row>
    <row r="158" spans="1:10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</row>
    <row r="159" spans="1:10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</row>
    <row r="160" spans="1:1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</row>
    <row r="161" spans="1:10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</row>
    <row r="162" spans="1:10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</row>
    <row r="163" spans="1:10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</row>
    <row r="164" spans="1:10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</row>
    <row r="165" spans="1:10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</row>
    <row r="166" spans="1:10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</row>
    <row r="167" spans="1:10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</row>
    <row r="168" spans="1:10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</row>
    <row r="169" spans="1:10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</row>
    <row r="170" spans="1:1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</row>
    <row r="171" spans="1:10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</row>
    <row r="172" spans="1:10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</row>
    <row r="173" spans="1:10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</row>
    <row r="174" spans="1:10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</row>
    <row r="175" spans="1:10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</row>
    <row r="176" spans="1:10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</row>
    <row r="177" spans="1:10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</row>
    <row r="178" spans="1:10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</row>
    <row r="179" spans="1:10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</row>
    <row r="180" spans="1:1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</row>
    <row r="181" spans="1:10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</row>
    <row r="182" spans="1:10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</row>
    <row r="183" spans="1:10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</row>
    <row r="184" spans="1:10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</row>
    <row r="185" spans="1:10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</row>
    <row r="186" spans="1:10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</row>
    <row r="187" spans="1:10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</row>
    <row r="188" spans="1:10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</row>
    <row r="189" spans="1:10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</row>
    <row r="190" spans="1:1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</row>
    <row r="191" spans="1:10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</row>
    <row r="192" spans="1:10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</row>
    <row r="193" spans="1:10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</row>
    <row r="194" spans="1:10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</row>
    <row r="195" spans="1:10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</row>
    <row r="196" spans="1:10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</row>
    <row r="197" spans="1:10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</row>
    <row r="198" spans="1:10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</row>
    <row r="199" spans="1:10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</row>
    <row r="200" spans="1:1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</row>
    <row r="201" spans="1:10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</row>
    <row r="202" spans="1:10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</row>
    <row r="203" spans="1:10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</row>
    <row r="204" spans="1:10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</row>
    <row r="205" spans="1:10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</row>
    <row r="206" spans="1:10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</row>
    <row r="207" spans="1:10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</row>
    <row r="208" spans="1:10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</row>
    <row r="209" spans="1:10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</row>
    <row r="210" spans="1: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</row>
    <row r="211" spans="1:10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</row>
    <row r="212" spans="1:10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</row>
    <row r="213" spans="1:10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</row>
    <row r="214" spans="1:10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</row>
    <row r="215" spans="1:10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</row>
    <row r="216" spans="1:10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</row>
    <row r="217" spans="1:10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</row>
    <row r="218" spans="1:10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</row>
    <row r="219" spans="1:10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</row>
    <row r="220" spans="1:1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</row>
    <row r="221" spans="1:10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</row>
    <row r="222" spans="1:10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</row>
    <row r="223" spans="1:10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</row>
    <row r="224" spans="1:10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</row>
    <row r="225" spans="1:10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</row>
    <row r="226" spans="1:10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</row>
    <row r="227" spans="1:10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</row>
    <row r="228" spans="1:10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</row>
    <row r="229" spans="1:10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</row>
    <row r="230" spans="1:1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</row>
    <row r="231" spans="1:10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</row>
    <row r="232" spans="1:10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</row>
    <row r="233" spans="1:10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</row>
    <row r="234" spans="1:10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</row>
    <row r="235" spans="1:10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</row>
    <row r="236" spans="1:10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</row>
    <row r="237" spans="1:10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</row>
    <row r="238" spans="1:10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</row>
    <row r="239" spans="1:10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</row>
    <row r="240" spans="1:1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</row>
    <row r="241" spans="1:10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</row>
    <row r="242" spans="1:10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</row>
    <row r="243" spans="1:10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</row>
    <row r="244" spans="1:10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</row>
    <row r="245" spans="1:10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</row>
    <row r="246" spans="1:10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</row>
    <row r="247" spans="1:10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</row>
    <row r="248" spans="1:10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</row>
    <row r="249" spans="1:10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</row>
    <row r="250" spans="1:1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</row>
    <row r="251" spans="1:10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</row>
    <row r="252" spans="1:10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</row>
    <row r="253" spans="1:10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</row>
    <row r="254" spans="1:10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</row>
    <row r="255" spans="1:10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</row>
    <row r="256" spans="1:10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</row>
    <row r="257" spans="1:10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</row>
    <row r="258" spans="1:10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</row>
    <row r="259" spans="1:10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</row>
    <row r="260" spans="1:1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</row>
    <row r="261" spans="1:10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</row>
    <row r="262" spans="1:10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</row>
    <row r="263" spans="1:10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</row>
    <row r="264" spans="1:10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</row>
    <row r="265" spans="1:10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</row>
    <row r="266" spans="1:10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</row>
    <row r="267" spans="1:10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</row>
    <row r="268" spans="1:10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</row>
    <row r="269" spans="1:10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</row>
    <row r="270" spans="1:1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</row>
    <row r="271" spans="1:10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</row>
    <row r="272" spans="1:10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</row>
    <row r="273" spans="1:10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</row>
    <row r="274" spans="1:10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</row>
    <row r="275" spans="1:10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</row>
    <row r="276" spans="1:10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</row>
    <row r="277" spans="1:10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</row>
    <row r="278" spans="1:10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</row>
    <row r="279" spans="1:10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</row>
    <row r="280" spans="1:1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</row>
    <row r="281" spans="1:10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</row>
    <row r="282" spans="1:10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</row>
    <row r="283" spans="1:10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</row>
    <row r="284" spans="1:10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</row>
    <row r="285" spans="1:10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</row>
    <row r="286" spans="1:10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</row>
    <row r="287" spans="1:10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</row>
    <row r="288" spans="1:10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25" right="0.25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"/>
  <sheetViews>
    <sheetView topLeftCell="G1" workbookViewId="0"/>
  </sheetViews>
  <sheetFormatPr defaultColWidth="14.453125" defaultRowHeight="15" customHeight="1"/>
  <cols>
    <col min="1" max="1" width="6.81640625" customWidth="1"/>
    <col min="2" max="2" width="8.7265625" customWidth="1"/>
    <col min="3" max="3" width="12.54296875" customWidth="1"/>
    <col min="4" max="4" width="14.54296875" customWidth="1"/>
    <col min="5" max="5" width="18.7265625" customWidth="1"/>
    <col min="6" max="8" width="14.54296875" customWidth="1"/>
    <col min="9" max="9" width="17.26953125" customWidth="1"/>
    <col min="10" max="10" width="20.7265625" customWidth="1"/>
    <col min="11" max="11" width="17.453125" customWidth="1"/>
    <col min="12" max="12" width="9.08984375" customWidth="1"/>
    <col min="13" max="13" width="8.7265625" customWidth="1"/>
    <col min="14" max="14" width="10.7265625" customWidth="1"/>
    <col min="15" max="20" width="16.26953125" customWidth="1"/>
    <col min="21" max="22" width="17.81640625" customWidth="1"/>
    <col min="23" max="26" width="14" customWidth="1"/>
  </cols>
  <sheetData>
    <row r="1" spans="1:22" ht="15" customHeight="1">
      <c r="A1" s="4" t="s">
        <v>76</v>
      </c>
    </row>
    <row r="2" spans="1:22" ht="15.75" customHeight="1">
      <c r="A2" s="67" t="s">
        <v>77</v>
      </c>
      <c r="B2" s="68"/>
      <c r="C2" s="68"/>
      <c r="D2" s="68" t="s">
        <v>78</v>
      </c>
      <c r="E2" s="68"/>
      <c r="F2" s="68"/>
      <c r="G2" s="68"/>
      <c r="H2" s="68"/>
      <c r="I2" s="68"/>
      <c r="J2" s="68" t="s">
        <v>79</v>
      </c>
      <c r="K2" s="68"/>
      <c r="N2" s="68"/>
      <c r="O2" s="68"/>
      <c r="P2" s="68"/>
      <c r="Q2" s="68"/>
      <c r="R2" s="68"/>
      <c r="S2" s="68"/>
      <c r="T2" s="68"/>
      <c r="U2" s="68"/>
      <c r="V2" s="68"/>
    </row>
    <row r="3" spans="1:22" ht="15.75" customHeight="1">
      <c r="A3" s="69" t="s">
        <v>80</v>
      </c>
      <c r="B3" s="68"/>
      <c r="C3" s="69"/>
      <c r="D3" s="68"/>
      <c r="E3" s="68"/>
      <c r="F3" s="68"/>
      <c r="G3" s="68"/>
      <c r="H3" s="68"/>
      <c r="I3" s="68"/>
      <c r="J3" s="68"/>
      <c r="K3" s="68"/>
      <c r="L3" s="69" t="s">
        <v>81</v>
      </c>
      <c r="M3" s="68"/>
      <c r="N3" s="68"/>
      <c r="O3" s="68"/>
      <c r="P3" s="68"/>
      <c r="Q3" s="68"/>
      <c r="R3" s="68"/>
      <c r="S3" s="68"/>
      <c r="T3" s="68"/>
      <c r="U3" s="68"/>
      <c r="V3" s="68"/>
    </row>
    <row r="4" spans="1:22" ht="15.75" customHeight="1">
      <c r="A4" s="70" t="s">
        <v>66</v>
      </c>
      <c r="B4" s="70" t="s">
        <v>67</v>
      </c>
      <c r="C4" s="70" t="s">
        <v>68</v>
      </c>
      <c r="D4" s="70" t="s">
        <v>82</v>
      </c>
      <c r="E4" s="70" t="s">
        <v>83</v>
      </c>
      <c r="F4" s="70" t="s">
        <v>84</v>
      </c>
      <c r="G4" s="70" t="s">
        <v>85</v>
      </c>
      <c r="H4" s="70" t="s">
        <v>86</v>
      </c>
      <c r="I4" s="70" t="s">
        <v>69</v>
      </c>
      <c r="J4" s="70" t="s">
        <v>70</v>
      </c>
      <c r="K4" s="70" t="s">
        <v>71</v>
      </c>
      <c r="L4" s="70" t="s">
        <v>72</v>
      </c>
      <c r="M4" s="70" t="s">
        <v>67</v>
      </c>
      <c r="N4" s="70" t="s">
        <v>68</v>
      </c>
      <c r="O4" s="70" t="s">
        <v>82</v>
      </c>
      <c r="P4" s="70" t="s">
        <v>83</v>
      </c>
      <c r="Q4" s="70" t="s">
        <v>84</v>
      </c>
      <c r="R4" s="70" t="s">
        <v>85</v>
      </c>
      <c r="S4" s="70" t="s">
        <v>87</v>
      </c>
      <c r="T4" s="70" t="s">
        <v>69</v>
      </c>
      <c r="U4" s="70" t="s">
        <v>70</v>
      </c>
      <c r="V4" s="70" t="s">
        <v>71</v>
      </c>
    </row>
    <row r="5" spans="1:22" ht="15.75" customHeight="1">
      <c r="A5" s="72">
        <v>1</v>
      </c>
      <c r="B5" s="70">
        <v>4.78</v>
      </c>
      <c r="C5" s="70">
        <v>5.0599999999999996</v>
      </c>
      <c r="D5" s="70">
        <v>6.97</v>
      </c>
      <c r="E5" s="70">
        <f t="shared" ref="E5:E78" si="0">C5-B5</f>
        <v>0.27999999999999936</v>
      </c>
      <c r="F5" s="74">
        <f t="shared" ref="F5:F78" si="1">E5/B5</f>
        <v>5.8577405857740447E-2</v>
      </c>
      <c r="G5" s="85">
        <f t="shared" ref="G5:G78" si="2">E5/(9*6)</f>
        <v>5.1851851851851738E-3</v>
      </c>
      <c r="H5" s="85">
        <f t="shared" ref="H5:H78" si="3">E5/27</f>
        <v>1.0370370370370348E-2</v>
      </c>
      <c r="I5" s="70">
        <f t="shared" ref="I5:I78" si="4">D5-C5</f>
        <v>1.9100000000000001</v>
      </c>
      <c r="J5" s="74">
        <f t="shared" ref="J5:J78" si="5">I5/C5</f>
        <v>0.37747035573122534</v>
      </c>
      <c r="K5" s="74">
        <f t="shared" ref="K5:K78" si="6">I5/27</f>
        <v>7.0740740740740743E-2</v>
      </c>
      <c r="L5" s="72">
        <v>2</v>
      </c>
      <c r="M5" s="70">
        <v>25.76</v>
      </c>
      <c r="N5" s="70">
        <v>26.32</v>
      </c>
      <c r="O5" s="70">
        <v>38.03</v>
      </c>
      <c r="P5" s="70">
        <f t="shared" ref="P5:P12" si="7">N5-M5</f>
        <v>0.55999999999999872</v>
      </c>
      <c r="Q5" s="74">
        <f t="shared" ref="Q5:Q12" si="8">P5/M5</f>
        <v>2.1739130434782556E-2</v>
      </c>
      <c r="R5" s="85">
        <f t="shared" ref="R5:R12" si="9">P5/(9*2+3*17*4)</f>
        <v>2.5225225225225167E-3</v>
      </c>
      <c r="S5" s="85">
        <f t="shared" ref="S5:S12" si="10">P5/153</f>
        <v>3.66013071895424E-3</v>
      </c>
      <c r="T5" s="70">
        <f t="shared" ref="T5:T12" si="11">O5-N5</f>
        <v>11.71</v>
      </c>
      <c r="U5" s="74">
        <f t="shared" ref="U5:U12" si="12">T5/N5</f>
        <v>0.44490881458966569</v>
      </c>
      <c r="V5" s="74">
        <f t="shared" ref="V5:V12" si="13">T5/153</f>
        <v>7.6535947712418312E-2</v>
      </c>
    </row>
    <row r="6" spans="1:22" ht="15.75" customHeight="1">
      <c r="A6" s="72">
        <v>2</v>
      </c>
      <c r="B6" s="70">
        <v>4.38</v>
      </c>
      <c r="C6" s="70">
        <v>4.63</v>
      </c>
      <c r="D6" s="70">
        <v>6.89</v>
      </c>
      <c r="E6" s="70">
        <f t="shared" si="0"/>
        <v>0.25</v>
      </c>
      <c r="F6" s="74">
        <f t="shared" si="1"/>
        <v>5.7077625570776259E-2</v>
      </c>
      <c r="G6" s="85">
        <f t="shared" si="2"/>
        <v>4.6296296296296294E-3</v>
      </c>
      <c r="H6" s="85">
        <f t="shared" si="3"/>
        <v>9.2592592592592587E-3</v>
      </c>
      <c r="I6" s="70">
        <f t="shared" si="4"/>
        <v>2.2599999999999998</v>
      </c>
      <c r="J6" s="74">
        <f t="shared" si="5"/>
        <v>0.48812095032397407</v>
      </c>
      <c r="K6" s="74">
        <f t="shared" si="6"/>
        <v>8.3703703703703697E-2</v>
      </c>
      <c r="L6" s="72">
        <v>6</v>
      </c>
      <c r="M6" s="70">
        <v>26.18</v>
      </c>
      <c r="N6" s="70">
        <v>26.66</v>
      </c>
      <c r="O6" s="70">
        <v>39.29</v>
      </c>
      <c r="P6" s="70">
        <f t="shared" si="7"/>
        <v>0.48000000000000043</v>
      </c>
      <c r="Q6" s="74">
        <f t="shared" si="8"/>
        <v>1.8334606569900703E-2</v>
      </c>
      <c r="R6" s="85">
        <f t="shared" si="9"/>
        <v>2.1621621621621639E-3</v>
      </c>
      <c r="S6" s="85">
        <f t="shared" si="10"/>
        <v>3.1372549019607872E-3</v>
      </c>
      <c r="T6" s="70">
        <f t="shared" si="11"/>
        <v>12.629999999999999</v>
      </c>
      <c r="U6" s="74">
        <f t="shared" si="12"/>
        <v>0.47374343585896472</v>
      </c>
      <c r="V6" s="74">
        <f t="shared" si="13"/>
        <v>8.2549019607843124E-2</v>
      </c>
    </row>
    <row r="7" spans="1:22" ht="15.75" customHeight="1">
      <c r="A7" s="72">
        <v>5</v>
      </c>
      <c r="B7" s="70">
        <v>4.51</v>
      </c>
      <c r="C7" s="70">
        <v>4.75</v>
      </c>
      <c r="D7" s="70">
        <v>7.2</v>
      </c>
      <c r="E7" s="70">
        <f t="shared" si="0"/>
        <v>0.24000000000000021</v>
      </c>
      <c r="F7" s="74">
        <f t="shared" si="1"/>
        <v>5.3215077605321556E-2</v>
      </c>
      <c r="G7" s="85">
        <f t="shared" si="2"/>
        <v>4.4444444444444488E-3</v>
      </c>
      <c r="H7" s="85">
        <f t="shared" si="3"/>
        <v>8.8888888888888976E-3</v>
      </c>
      <c r="I7" s="70">
        <f t="shared" si="4"/>
        <v>2.4500000000000002</v>
      </c>
      <c r="J7" s="74">
        <f t="shared" si="5"/>
        <v>0.51578947368421058</v>
      </c>
      <c r="K7" s="74">
        <f t="shared" si="6"/>
        <v>9.0740740740740747E-2</v>
      </c>
      <c r="L7" s="79">
        <v>38</v>
      </c>
      <c r="M7" s="70">
        <v>27.4</v>
      </c>
      <c r="N7" s="70">
        <v>28.7</v>
      </c>
      <c r="O7" s="70">
        <v>43.99</v>
      </c>
      <c r="P7" s="70">
        <f t="shared" si="7"/>
        <v>1.3000000000000007</v>
      </c>
      <c r="Q7" s="74">
        <f t="shared" si="8"/>
        <v>4.744525547445258E-2</v>
      </c>
      <c r="R7" s="85">
        <f t="shared" si="9"/>
        <v>5.8558558558558594E-3</v>
      </c>
      <c r="S7" s="85">
        <f t="shared" si="10"/>
        <v>8.4967320261437954E-3</v>
      </c>
      <c r="T7" s="70">
        <f t="shared" si="11"/>
        <v>15.290000000000003</v>
      </c>
      <c r="U7" s="74">
        <f t="shared" si="12"/>
        <v>0.53275261324041823</v>
      </c>
      <c r="V7" s="74">
        <f t="shared" si="13"/>
        <v>9.9934640522875831E-2</v>
      </c>
    </row>
    <row r="8" spans="1:22" ht="15.75" customHeight="1">
      <c r="A8" s="72">
        <v>6</v>
      </c>
      <c r="B8" s="70">
        <v>4.7300000000000004</v>
      </c>
      <c r="C8" s="70">
        <v>4.99</v>
      </c>
      <c r="D8" s="70">
        <v>7.19</v>
      </c>
      <c r="E8" s="70">
        <f t="shared" si="0"/>
        <v>0.25999999999999979</v>
      </c>
      <c r="F8" s="74">
        <f t="shared" si="1"/>
        <v>5.4968287526427011E-2</v>
      </c>
      <c r="G8" s="85">
        <f t="shared" si="2"/>
        <v>4.8148148148148108E-3</v>
      </c>
      <c r="H8" s="85">
        <f t="shared" si="3"/>
        <v>9.6296296296296217E-3</v>
      </c>
      <c r="I8" s="70">
        <f t="shared" si="4"/>
        <v>2.2000000000000002</v>
      </c>
      <c r="J8" s="74">
        <f t="shared" si="5"/>
        <v>0.4408817635270541</v>
      </c>
      <c r="K8" s="74">
        <f t="shared" si="6"/>
        <v>8.1481481481481488E-2</v>
      </c>
      <c r="L8" s="79">
        <v>45</v>
      </c>
      <c r="M8" s="70">
        <v>27.52</v>
      </c>
      <c r="N8" s="70">
        <v>28.49</v>
      </c>
      <c r="O8" s="70">
        <v>45.09</v>
      </c>
      <c r="P8" s="70">
        <f t="shared" si="7"/>
        <v>0.96999999999999886</v>
      </c>
      <c r="Q8" s="74">
        <f t="shared" si="8"/>
        <v>3.5247093023255772E-2</v>
      </c>
      <c r="R8" s="85">
        <f t="shared" si="9"/>
        <v>4.3693693693693646E-3</v>
      </c>
      <c r="S8" s="85">
        <f t="shared" si="10"/>
        <v>6.3398692810457445E-3</v>
      </c>
      <c r="T8" s="70">
        <f t="shared" si="11"/>
        <v>16.600000000000005</v>
      </c>
      <c r="U8" s="74">
        <f t="shared" si="12"/>
        <v>0.58266058266058285</v>
      </c>
      <c r="V8" s="74">
        <f t="shared" si="13"/>
        <v>0.10849673202614382</v>
      </c>
    </row>
    <row r="9" spans="1:22" ht="15.75" customHeight="1">
      <c r="A9" s="72">
        <v>10</v>
      </c>
      <c r="B9" s="70">
        <v>4.72</v>
      </c>
      <c r="C9" s="70">
        <v>5.0199999999999996</v>
      </c>
      <c r="D9" s="70">
        <v>7.3</v>
      </c>
      <c r="E9" s="70">
        <f t="shared" si="0"/>
        <v>0.29999999999999982</v>
      </c>
      <c r="F9" s="74">
        <f t="shared" si="1"/>
        <v>6.3559322033898275E-2</v>
      </c>
      <c r="G9" s="85">
        <f t="shared" si="2"/>
        <v>5.5555555555555523E-3</v>
      </c>
      <c r="H9" s="85">
        <f t="shared" si="3"/>
        <v>1.1111111111111105E-2</v>
      </c>
      <c r="I9" s="70">
        <f t="shared" si="4"/>
        <v>2.2800000000000002</v>
      </c>
      <c r="J9" s="74">
        <f t="shared" si="5"/>
        <v>0.45418326693227101</v>
      </c>
      <c r="K9" s="74">
        <f t="shared" si="6"/>
        <v>8.4444444444444447E-2</v>
      </c>
      <c r="L9" s="77">
        <v>68</v>
      </c>
      <c r="M9" s="70">
        <v>18.91</v>
      </c>
      <c r="N9" s="70">
        <v>19.61</v>
      </c>
      <c r="O9" s="70">
        <v>34.04</v>
      </c>
      <c r="P9" s="70">
        <f t="shared" si="7"/>
        <v>0.69999999999999929</v>
      </c>
      <c r="Q9" s="74">
        <f t="shared" si="8"/>
        <v>3.7017451084082456E-2</v>
      </c>
      <c r="R9" s="85">
        <f t="shared" si="9"/>
        <v>3.15315315315315E-3</v>
      </c>
      <c r="S9" s="85">
        <f t="shared" si="10"/>
        <v>4.5751633986928055E-3</v>
      </c>
      <c r="T9" s="70">
        <f t="shared" si="11"/>
        <v>14.43</v>
      </c>
      <c r="U9" s="74">
        <f t="shared" si="12"/>
        <v>0.73584905660377364</v>
      </c>
      <c r="V9" s="74">
        <f t="shared" si="13"/>
        <v>9.4313725490196079E-2</v>
      </c>
    </row>
    <row r="10" spans="1:22" ht="15.75" customHeight="1">
      <c r="A10" s="72">
        <v>11</v>
      </c>
      <c r="B10" s="70">
        <v>4.76</v>
      </c>
      <c r="C10" s="70">
        <v>5</v>
      </c>
      <c r="D10" s="70">
        <v>6.91</v>
      </c>
      <c r="E10" s="70">
        <f t="shared" si="0"/>
        <v>0.24000000000000021</v>
      </c>
      <c r="F10" s="74">
        <f t="shared" si="1"/>
        <v>5.0420168067226941E-2</v>
      </c>
      <c r="G10" s="85">
        <f t="shared" si="2"/>
        <v>4.4444444444444488E-3</v>
      </c>
      <c r="H10" s="85">
        <f t="shared" si="3"/>
        <v>8.8888888888888976E-3</v>
      </c>
      <c r="I10" s="70">
        <f t="shared" si="4"/>
        <v>1.9100000000000001</v>
      </c>
      <c r="J10" s="74">
        <f t="shared" si="5"/>
        <v>0.38200000000000001</v>
      </c>
      <c r="K10" s="74">
        <f t="shared" si="6"/>
        <v>7.0740740740740743E-2</v>
      </c>
      <c r="L10" s="77">
        <v>71</v>
      </c>
      <c r="M10" s="70">
        <v>18.82</v>
      </c>
      <c r="N10" s="70">
        <v>19.64</v>
      </c>
      <c r="O10" s="70">
        <v>34.67</v>
      </c>
      <c r="P10" s="70">
        <f t="shared" si="7"/>
        <v>0.82000000000000028</v>
      </c>
      <c r="Q10" s="74">
        <f t="shared" si="8"/>
        <v>4.3570669500531366E-2</v>
      </c>
      <c r="R10" s="85">
        <f t="shared" si="9"/>
        <v>3.693693693693695E-3</v>
      </c>
      <c r="S10" s="85">
        <f t="shared" si="10"/>
        <v>5.3594771241830081E-3</v>
      </c>
      <c r="T10" s="70">
        <f t="shared" si="11"/>
        <v>15.030000000000001</v>
      </c>
      <c r="U10" s="74">
        <f t="shared" si="12"/>
        <v>0.76527494908350313</v>
      </c>
      <c r="V10" s="74">
        <f t="shared" si="13"/>
        <v>9.823529411764706E-2</v>
      </c>
    </row>
    <row r="11" spans="1:22" ht="15.75" customHeight="1">
      <c r="A11" s="72">
        <v>14</v>
      </c>
      <c r="B11" s="70">
        <v>4.6500000000000004</v>
      </c>
      <c r="C11" s="70">
        <v>4.93</v>
      </c>
      <c r="D11" s="70">
        <v>7.19</v>
      </c>
      <c r="E11" s="70">
        <f t="shared" si="0"/>
        <v>0.27999999999999936</v>
      </c>
      <c r="F11" s="74">
        <f t="shared" si="1"/>
        <v>6.0215053763440718E-2</v>
      </c>
      <c r="G11" s="85">
        <f t="shared" si="2"/>
        <v>5.1851851851851738E-3</v>
      </c>
      <c r="H11" s="85">
        <f t="shared" si="3"/>
        <v>1.0370370370370348E-2</v>
      </c>
      <c r="I11" s="70">
        <f t="shared" si="4"/>
        <v>2.2600000000000007</v>
      </c>
      <c r="J11" s="74">
        <f t="shared" si="5"/>
        <v>0.45841784989858031</v>
      </c>
      <c r="K11" s="74">
        <f t="shared" si="6"/>
        <v>8.3703703703703725E-2</v>
      </c>
      <c r="L11" s="78">
        <v>82</v>
      </c>
      <c r="M11" s="70">
        <v>27.86</v>
      </c>
      <c r="N11" s="70">
        <v>28.65</v>
      </c>
      <c r="O11" s="70">
        <v>42.79</v>
      </c>
      <c r="P11" s="70">
        <f t="shared" si="7"/>
        <v>0.78999999999999915</v>
      </c>
      <c r="Q11" s="74">
        <f t="shared" si="8"/>
        <v>2.8356066044508226E-2</v>
      </c>
      <c r="R11" s="85">
        <f t="shared" si="9"/>
        <v>3.5585585585585547E-3</v>
      </c>
      <c r="S11" s="85">
        <f t="shared" si="10"/>
        <v>5.1633986928104518E-3</v>
      </c>
      <c r="T11" s="70">
        <f t="shared" si="11"/>
        <v>14.14</v>
      </c>
      <c r="U11" s="74">
        <f t="shared" si="12"/>
        <v>0.49354275741710302</v>
      </c>
      <c r="V11" s="74">
        <f t="shared" si="13"/>
        <v>9.241830065359477E-2</v>
      </c>
    </row>
    <row r="12" spans="1:22" ht="15.75" customHeight="1">
      <c r="A12" s="72">
        <v>16</v>
      </c>
      <c r="B12" s="70">
        <v>4.46</v>
      </c>
      <c r="C12" s="70">
        <v>4.67</v>
      </c>
      <c r="D12" s="70">
        <v>6.66</v>
      </c>
      <c r="E12" s="70">
        <f t="shared" si="0"/>
        <v>0.20999999999999996</v>
      </c>
      <c r="F12" s="74">
        <f t="shared" si="1"/>
        <v>4.7085201793721963E-2</v>
      </c>
      <c r="G12" s="85">
        <f t="shared" si="2"/>
        <v>3.8888888888888883E-3</v>
      </c>
      <c r="H12" s="85">
        <f t="shared" si="3"/>
        <v>7.7777777777777767E-3</v>
      </c>
      <c r="I12" s="70">
        <f t="shared" si="4"/>
        <v>1.9900000000000002</v>
      </c>
      <c r="J12" s="74">
        <f t="shared" si="5"/>
        <v>0.42612419700214138</v>
      </c>
      <c r="K12" s="74">
        <f t="shared" si="6"/>
        <v>7.3703703703703716E-2</v>
      </c>
      <c r="L12" s="78">
        <v>85</v>
      </c>
      <c r="M12" s="70">
        <v>27.95</v>
      </c>
      <c r="N12" s="70">
        <v>28.22</v>
      </c>
      <c r="O12" s="70">
        <v>43.5</v>
      </c>
      <c r="P12" s="70">
        <f t="shared" si="7"/>
        <v>0.26999999999999957</v>
      </c>
      <c r="Q12" s="74">
        <f t="shared" si="8"/>
        <v>9.6601073345259237E-3</v>
      </c>
      <c r="R12" s="85">
        <f t="shared" si="9"/>
        <v>1.2162162162162142E-3</v>
      </c>
      <c r="S12" s="85">
        <f t="shared" si="10"/>
        <v>1.7647058823529384E-3</v>
      </c>
      <c r="T12" s="70">
        <f t="shared" si="11"/>
        <v>15.280000000000001</v>
      </c>
      <c r="U12" s="74">
        <f t="shared" si="12"/>
        <v>0.54145995747696674</v>
      </c>
      <c r="V12" s="74">
        <f t="shared" si="13"/>
        <v>9.9869281045751643E-2</v>
      </c>
    </row>
    <row r="13" spans="1:22" ht="15.75" customHeight="1">
      <c r="A13" s="72">
        <v>17</v>
      </c>
      <c r="B13" s="70">
        <v>4.3499999999999996</v>
      </c>
      <c r="C13" s="70">
        <v>4.59</v>
      </c>
      <c r="D13" s="70">
        <v>7.18</v>
      </c>
      <c r="E13" s="70">
        <f t="shared" si="0"/>
        <v>0.24000000000000021</v>
      </c>
      <c r="F13" s="74">
        <f t="shared" si="1"/>
        <v>5.5172413793103503E-2</v>
      </c>
      <c r="G13" s="85">
        <f t="shared" si="2"/>
        <v>4.4444444444444488E-3</v>
      </c>
      <c r="H13" s="85">
        <f t="shared" si="3"/>
        <v>8.8888888888888976E-3</v>
      </c>
      <c r="I13" s="70">
        <f t="shared" si="4"/>
        <v>2.59</v>
      </c>
      <c r="J13" s="74">
        <f t="shared" si="5"/>
        <v>0.56427015250544665</v>
      </c>
      <c r="K13" s="74">
        <f t="shared" si="6"/>
        <v>9.5925925925925914E-2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</row>
    <row r="14" spans="1:22" ht="15.75" customHeight="1">
      <c r="A14" s="72">
        <v>19</v>
      </c>
      <c r="B14" s="70">
        <v>4.58</v>
      </c>
      <c r="C14" s="70">
        <v>4.82</v>
      </c>
      <c r="D14" s="70">
        <v>7.3</v>
      </c>
      <c r="E14" s="70">
        <f t="shared" si="0"/>
        <v>0.24000000000000021</v>
      </c>
      <c r="F14" s="74">
        <f t="shared" si="1"/>
        <v>5.2401746724890876E-2</v>
      </c>
      <c r="G14" s="85">
        <f t="shared" si="2"/>
        <v>4.4444444444444488E-3</v>
      </c>
      <c r="H14" s="85">
        <f t="shared" si="3"/>
        <v>8.8888888888888976E-3</v>
      </c>
      <c r="I14" s="70">
        <f t="shared" si="4"/>
        <v>2.4799999999999995</v>
      </c>
      <c r="J14" s="74">
        <f t="shared" si="5"/>
        <v>0.51452282157676332</v>
      </c>
      <c r="K14" s="74">
        <f t="shared" si="6"/>
        <v>9.1851851851851837E-2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</row>
    <row r="15" spans="1:22" ht="15.75" customHeight="1">
      <c r="A15" s="72">
        <v>20</v>
      </c>
      <c r="B15" s="70">
        <v>4.83</v>
      </c>
      <c r="C15" s="70">
        <v>5.07</v>
      </c>
      <c r="D15" s="70">
        <v>6.97</v>
      </c>
      <c r="E15" s="70">
        <f t="shared" si="0"/>
        <v>0.24000000000000021</v>
      </c>
      <c r="F15" s="74">
        <f t="shared" si="1"/>
        <v>4.9689440993788865E-2</v>
      </c>
      <c r="G15" s="85">
        <f t="shared" si="2"/>
        <v>4.4444444444444488E-3</v>
      </c>
      <c r="H15" s="85">
        <f t="shared" si="3"/>
        <v>8.8888888888888976E-3</v>
      </c>
      <c r="I15" s="70">
        <f t="shared" si="4"/>
        <v>1.8999999999999995</v>
      </c>
      <c r="J15" s="74">
        <f t="shared" si="5"/>
        <v>0.37475345167652846</v>
      </c>
      <c r="K15" s="74">
        <f t="shared" si="6"/>
        <v>7.0370370370370347E-2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</row>
    <row r="16" spans="1:22" ht="15.75" customHeight="1">
      <c r="A16" s="72">
        <v>24</v>
      </c>
      <c r="B16" s="70">
        <v>4.33</v>
      </c>
      <c r="C16" s="70">
        <v>4.57</v>
      </c>
      <c r="D16" s="70">
        <v>6.94</v>
      </c>
      <c r="E16" s="70">
        <f t="shared" si="0"/>
        <v>0.24000000000000021</v>
      </c>
      <c r="F16" s="74">
        <f t="shared" si="1"/>
        <v>5.5427251732101668E-2</v>
      </c>
      <c r="G16" s="85">
        <f t="shared" si="2"/>
        <v>4.4444444444444488E-3</v>
      </c>
      <c r="H16" s="85">
        <f t="shared" si="3"/>
        <v>8.8888888888888976E-3</v>
      </c>
      <c r="I16" s="70">
        <f t="shared" si="4"/>
        <v>2.37</v>
      </c>
      <c r="J16" s="74">
        <f t="shared" si="5"/>
        <v>0.51859956236323845</v>
      </c>
      <c r="K16" s="74">
        <f t="shared" si="6"/>
        <v>8.7777777777777788E-2</v>
      </c>
      <c r="L16" s="80" t="s">
        <v>9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</row>
    <row r="17" spans="1:22" ht="15.75" customHeight="1">
      <c r="A17" s="72">
        <v>26</v>
      </c>
      <c r="B17" s="70">
        <v>4.59</v>
      </c>
      <c r="C17" s="70">
        <v>4.8499999999999996</v>
      </c>
      <c r="D17" s="70">
        <v>7.41</v>
      </c>
      <c r="E17" s="70">
        <f t="shared" si="0"/>
        <v>0.25999999999999979</v>
      </c>
      <c r="F17" s="74">
        <f t="shared" si="1"/>
        <v>5.6644880174291895E-2</v>
      </c>
      <c r="G17" s="85">
        <f t="shared" si="2"/>
        <v>4.8148148148148108E-3</v>
      </c>
      <c r="H17" s="85">
        <f t="shared" si="3"/>
        <v>9.6296296296296217E-3</v>
      </c>
      <c r="I17" s="70">
        <f t="shared" si="4"/>
        <v>2.5600000000000005</v>
      </c>
      <c r="J17" s="74">
        <f t="shared" si="5"/>
        <v>0.52783505154639188</v>
      </c>
      <c r="K17" s="74">
        <f t="shared" si="6"/>
        <v>9.4814814814814838E-2</v>
      </c>
      <c r="L17" s="81" t="s">
        <v>17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</row>
    <row r="18" spans="1:22" ht="15.75" customHeight="1">
      <c r="A18" s="72">
        <v>29</v>
      </c>
      <c r="B18" s="70">
        <v>4.3</v>
      </c>
      <c r="C18" s="70">
        <v>4.55</v>
      </c>
      <c r="D18" s="70">
        <v>6.69</v>
      </c>
      <c r="E18" s="70">
        <f t="shared" si="0"/>
        <v>0.25</v>
      </c>
      <c r="F18" s="74">
        <f t="shared" si="1"/>
        <v>5.8139534883720929E-2</v>
      </c>
      <c r="G18" s="85">
        <f t="shared" si="2"/>
        <v>4.6296296296296294E-3</v>
      </c>
      <c r="H18" s="85">
        <f t="shared" si="3"/>
        <v>9.2592592592592587E-3</v>
      </c>
      <c r="I18" s="70">
        <f t="shared" si="4"/>
        <v>2.1400000000000006</v>
      </c>
      <c r="J18" s="74">
        <f t="shared" si="5"/>
        <v>0.47032967032967049</v>
      </c>
      <c r="K18" s="74">
        <f t="shared" si="6"/>
        <v>7.9259259259259279E-2</v>
      </c>
      <c r="L18" s="11" t="s">
        <v>23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</row>
    <row r="19" spans="1:22" ht="15.75" customHeight="1">
      <c r="A19" s="77">
        <v>31</v>
      </c>
      <c r="B19" s="70">
        <v>3.42</v>
      </c>
      <c r="C19" s="70">
        <v>3.7</v>
      </c>
      <c r="D19" s="70">
        <v>5.93</v>
      </c>
      <c r="E19" s="70">
        <f t="shared" si="0"/>
        <v>0.28000000000000025</v>
      </c>
      <c r="F19" s="74">
        <f t="shared" si="1"/>
        <v>8.1871345029239845E-2</v>
      </c>
      <c r="G19" s="85">
        <f t="shared" si="2"/>
        <v>5.1851851851851894E-3</v>
      </c>
      <c r="H19" s="85">
        <f t="shared" si="3"/>
        <v>1.0370370370370379E-2</v>
      </c>
      <c r="I19" s="70">
        <f t="shared" si="4"/>
        <v>2.2299999999999995</v>
      </c>
      <c r="J19" s="74">
        <f t="shared" si="5"/>
        <v>0.60270270270270254</v>
      </c>
      <c r="K19" s="74">
        <f t="shared" si="6"/>
        <v>8.2592592592592579E-2</v>
      </c>
      <c r="L19" s="82" t="s">
        <v>26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</row>
    <row r="20" spans="1:22" ht="15.75" customHeight="1">
      <c r="A20" s="77">
        <v>32</v>
      </c>
      <c r="B20" s="70">
        <v>3.41</v>
      </c>
      <c r="C20" s="70">
        <v>3.69</v>
      </c>
      <c r="D20" s="70">
        <v>6.13</v>
      </c>
      <c r="E20" s="70">
        <f t="shared" si="0"/>
        <v>0.2799999999999998</v>
      </c>
      <c r="F20" s="74">
        <f t="shared" si="1"/>
        <v>8.2111436950146569E-2</v>
      </c>
      <c r="G20" s="85">
        <f t="shared" si="2"/>
        <v>5.1851851851851816E-3</v>
      </c>
      <c r="H20" s="85">
        <f t="shared" si="3"/>
        <v>1.0370370370370363E-2</v>
      </c>
      <c r="I20" s="70">
        <f t="shared" si="4"/>
        <v>2.44</v>
      </c>
      <c r="J20" s="74">
        <f t="shared" si="5"/>
        <v>0.66124661246612471</v>
      </c>
      <c r="K20" s="74">
        <f t="shared" si="6"/>
        <v>9.0370370370370365E-2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</row>
    <row r="21" spans="1:22" ht="15.75" customHeight="1">
      <c r="A21" s="77">
        <v>35</v>
      </c>
      <c r="B21" s="70">
        <v>3.43</v>
      </c>
      <c r="C21" s="70">
        <v>3.72</v>
      </c>
      <c r="D21" s="70">
        <v>6.04</v>
      </c>
      <c r="E21" s="70">
        <f t="shared" si="0"/>
        <v>0.29000000000000004</v>
      </c>
      <c r="F21" s="74">
        <f t="shared" si="1"/>
        <v>8.454810495626823E-2</v>
      </c>
      <c r="G21" s="85">
        <f t="shared" si="2"/>
        <v>5.3703703703703708E-3</v>
      </c>
      <c r="H21" s="85">
        <f t="shared" si="3"/>
        <v>1.0740740740740742E-2</v>
      </c>
      <c r="I21" s="70">
        <f t="shared" si="4"/>
        <v>2.3199999999999998</v>
      </c>
      <c r="J21" s="74">
        <f t="shared" si="5"/>
        <v>0.62365591397849451</v>
      </c>
      <c r="K21" s="74">
        <f t="shared" si="6"/>
        <v>8.5925925925925919E-2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</row>
    <row r="22" spans="1:22" ht="15.75" customHeight="1">
      <c r="A22" s="77">
        <v>37</v>
      </c>
      <c r="B22" s="70">
        <v>3.25</v>
      </c>
      <c r="C22" s="70">
        <v>3.51</v>
      </c>
      <c r="D22" s="70">
        <v>5.67</v>
      </c>
      <c r="E22" s="70">
        <f t="shared" si="0"/>
        <v>0.25999999999999979</v>
      </c>
      <c r="F22" s="74">
        <f t="shared" si="1"/>
        <v>7.9999999999999932E-2</v>
      </c>
      <c r="G22" s="85">
        <f t="shared" si="2"/>
        <v>4.8148148148148108E-3</v>
      </c>
      <c r="H22" s="85">
        <f t="shared" si="3"/>
        <v>9.6296296296296217E-3</v>
      </c>
      <c r="I22" s="70">
        <f t="shared" si="4"/>
        <v>2.16</v>
      </c>
      <c r="J22" s="74">
        <f t="shared" si="5"/>
        <v>0.61538461538461542</v>
      </c>
      <c r="K22" s="74">
        <f t="shared" si="6"/>
        <v>0.08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</row>
    <row r="23" spans="1:22" ht="15.75" customHeight="1">
      <c r="A23" s="77">
        <v>44</v>
      </c>
      <c r="B23" s="70">
        <v>3.25</v>
      </c>
      <c r="C23" s="70">
        <v>3.55</v>
      </c>
      <c r="D23" s="70">
        <v>5.95</v>
      </c>
      <c r="E23" s="70">
        <f t="shared" si="0"/>
        <v>0.29999999999999982</v>
      </c>
      <c r="F23" s="74">
        <f t="shared" si="1"/>
        <v>9.2307692307692257E-2</v>
      </c>
      <c r="G23" s="85">
        <f t="shared" si="2"/>
        <v>5.5555555555555523E-3</v>
      </c>
      <c r="H23" s="85">
        <f t="shared" si="3"/>
        <v>1.1111111111111105E-2</v>
      </c>
      <c r="I23" s="70">
        <f t="shared" si="4"/>
        <v>2.4000000000000004</v>
      </c>
      <c r="J23" s="74">
        <f t="shared" si="5"/>
        <v>0.67605633802816911</v>
      </c>
      <c r="K23" s="74">
        <f t="shared" si="6"/>
        <v>8.8888888888888906E-2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</row>
    <row r="24" spans="1:22" ht="15.75" customHeight="1">
      <c r="A24" s="77">
        <v>47</v>
      </c>
      <c r="B24" s="70">
        <v>3.32</v>
      </c>
      <c r="C24" s="70">
        <v>3.67</v>
      </c>
      <c r="D24" s="70">
        <v>6.15</v>
      </c>
      <c r="E24" s="70">
        <f t="shared" si="0"/>
        <v>0.35000000000000009</v>
      </c>
      <c r="F24" s="74">
        <f t="shared" si="1"/>
        <v>0.10542168674698799</v>
      </c>
      <c r="G24" s="85">
        <f t="shared" si="2"/>
        <v>6.481481481481483E-3</v>
      </c>
      <c r="H24" s="85">
        <f t="shared" si="3"/>
        <v>1.2962962962962966E-2</v>
      </c>
      <c r="I24" s="70">
        <f t="shared" si="4"/>
        <v>2.4800000000000004</v>
      </c>
      <c r="J24" s="74">
        <f t="shared" si="5"/>
        <v>0.67574931880109002</v>
      </c>
      <c r="K24" s="74">
        <f t="shared" si="6"/>
        <v>9.1851851851851865E-2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</row>
    <row r="25" spans="1:22" ht="15.75" customHeight="1">
      <c r="A25" s="77">
        <v>49</v>
      </c>
      <c r="B25" s="70">
        <v>3.23</v>
      </c>
      <c r="C25" s="70">
        <v>3.77</v>
      </c>
      <c r="D25" s="70">
        <v>6.12</v>
      </c>
      <c r="E25" s="70">
        <f t="shared" si="0"/>
        <v>0.54</v>
      </c>
      <c r="F25" s="74">
        <f t="shared" si="1"/>
        <v>0.16718266253869971</v>
      </c>
      <c r="G25" s="85">
        <f t="shared" si="2"/>
        <v>0.01</v>
      </c>
      <c r="H25" s="85">
        <f t="shared" si="3"/>
        <v>0.02</v>
      </c>
      <c r="I25" s="70">
        <f t="shared" si="4"/>
        <v>2.35</v>
      </c>
      <c r="J25" s="74">
        <f t="shared" si="5"/>
        <v>0.62334217506631306</v>
      </c>
      <c r="K25" s="74">
        <f t="shared" si="6"/>
        <v>8.7037037037037038E-2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</row>
    <row r="26" spans="1:22" ht="15.75" customHeight="1">
      <c r="A26" s="77">
        <v>50</v>
      </c>
      <c r="B26" s="70">
        <v>3.31</v>
      </c>
      <c r="C26" s="70">
        <v>3.79</v>
      </c>
      <c r="D26" s="70">
        <v>6.15</v>
      </c>
      <c r="E26" s="70">
        <f t="shared" si="0"/>
        <v>0.48</v>
      </c>
      <c r="F26" s="74">
        <f t="shared" si="1"/>
        <v>0.14501510574018125</v>
      </c>
      <c r="G26" s="85">
        <f t="shared" si="2"/>
        <v>8.8888888888888889E-3</v>
      </c>
      <c r="H26" s="85">
        <f t="shared" si="3"/>
        <v>1.7777777777777778E-2</v>
      </c>
      <c r="I26" s="70">
        <f t="shared" si="4"/>
        <v>2.3600000000000003</v>
      </c>
      <c r="J26" s="74">
        <f t="shared" si="5"/>
        <v>0.62269129287598957</v>
      </c>
      <c r="K26" s="74">
        <f t="shared" si="6"/>
        <v>8.740740740740742E-2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</row>
    <row r="27" spans="1:22" ht="15.75" customHeight="1">
      <c r="A27" s="77">
        <v>53</v>
      </c>
      <c r="B27" s="70">
        <v>3.37</v>
      </c>
      <c r="C27" s="70">
        <v>3.92</v>
      </c>
      <c r="D27" s="70">
        <v>6.17</v>
      </c>
      <c r="E27" s="70">
        <f t="shared" si="0"/>
        <v>0.54999999999999982</v>
      </c>
      <c r="F27" s="74">
        <f t="shared" si="1"/>
        <v>0.16320474777448066</v>
      </c>
      <c r="G27" s="85">
        <f t="shared" si="2"/>
        <v>1.0185185185185183E-2</v>
      </c>
      <c r="H27" s="85">
        <f t="shared" si="3"/>
        <v>2.0370370370370365E-2</v>
      </c>
      <c r="I27" s="70">
        <f t="shared" si="4"/>
        <v>2.25</v>
      </c>
      <c r="J27" s="74">
        <f t="shared" si="5"/>
        <v>0.57397959183673475</v>
      </c>
      <c r="K27" s="74">
        <f t="shared" si="6"/>
        <v>8.3333333333333329E-2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</row>
    <row r="28" spans="1:22" ht="15.75" customHeight="1">
      <c r="A28" s="77">
        <v>57</v>
      </c>
      <c r="B28" s="70">
        <v>3.41</v>
      </c>
      <c r="C28" s="70">
        <v>3.93</v>
      </c>
      <c r="D28" s="70">
        <v>6.29</v>
      </c>
      <c r="E28" s="70">
        <f t="shared" si="0"/>
        <v>0.52</v>
      </c>
      <c r="F28" s="74">
        <f t="shared" si="1"/>
        <v>0.15249266862170088</v>
      </c>
      <c r="G28" s="85">
        <f t="shared" si="2"/>
        <v>9.6296296296296303E-3</v>
      </c>
      <c r="H28" s="85">
        <f t="shared" si="3"/>
        <v>1.9259259259259261E-2</v>
      </c>
      <c r="I28" s="70">
        <f t="shared" si="4"/>
        <v>2.36</v>
      </c>
      <c r="J28" s="74">
        <f t="shared" si="5"/>
        <v>0.60050890585241723</v>
      </c>
      <c r="K28" s="74">
        <f t="shared" si="6"/>
        <v>8.7407407407407406E-2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</row>
    <row r="29" spans="1:22" ht="15.75" customHeight="1">
      <c r="A29" s="77">
        <v>59</v>
      </c>
      <c r="B29" s="70">
        <v>3.21</v>
      </c>
      <c r="C29" s="70">
        <v>4.0999999999999996</v>
      </c>
      <c r="D29" s="70">
        <v>6.17</v>
      </c>
      <c r="E29" s="70">
        <f t="shared" si="0"/>
        <v>0.88999999999999968</v>
      </c>
      <c r="F29" s="74">
        <f t="shared" si="1"/>
        <v>0.27725856697819307</v>
      </c>
      <c r="G29" s="85">
        <f t="shared" si="2"/>
        <v>1.6481481481481475E-2</v>
      </c>
      <c r="H29" s="85">
        <f t="shared" si="3"/>
        <v>3.2962962962962951E-2</v>
      </c>
      <c r="I29" s="70">
        <f t="shared" si="4"/>
        <v>2.0700000000000003</v>
      </c>
      <c r="J29" s="74">
        <f t="shared" si="5"/>
        <v>0.50487804878048792</v>
      </c>
      <c r="K29" s="74">
        <f t="shared" si="6"/>
        <v>7.6666666666666675E-2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</row>
    <row r="30" spans="1:22" ht="15.75" customHeight="1">
      <c r="A30" s="77">
        <v>62</v>
      </c>
      <c r="B30" s="70">
        <v>3.2</v>
      </c>
      <c r="C30" s="70">
        <v>3.7</v>
      </c>
      <c r="D30" s="70">
        <v>5.96</v>
      </c>
      <c r="E30" s="70">
        <f t="shared" si="0"/>
        <v>0.5</v>
      </c>
      <c r="F30" s="74">
        <f t="shared" si="1"/>
        <v>0.15625</v>
      </c>
      <c r="G30" s="85">
        <f t="shared" si="2"/>
        <v>9.2592592592592587E-3</v>
      </c>
      <c r="H30" s="85">
        <f t="shared" si="3"/>
        <v>1.8518518518518517E-2</v>
      </c>
      <c r="I30" s="70">
        <f t="shared" si="4"/>
        <v>2.2599999999999998</v>
      </c>
      <c r="J30" s="74">
        <f t="shared" si="5"/>
        <v>0.61081081081081068</v>
      </c>
      <c r="K30" s="74">
        <f t="shared" si="6"/>
        <v>8.3703703703703697E-2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</row>
    <row r="31" spans="1:22" ht="15.75" customHeight="1">
      <c r="A31" s="78">
        <v>64</v>
      </c>
      <c r="B31" s="70">
        <v>4.51</v>
      </c>
      <c r="C31" s="70">
        <v>4.83</v>
      </c>
      <c r="D31" s="70">
        <v>7.15</v>
      </c>
      <c r="E31" s="70">
        <f t="shared" si="0"/>
        <v>0.32000000000000028</v>
      </c>
      <c r="F31" s="74">
        <f t="shared" si="1"/>
        <v>7.0953436807095413E-2</v>
      </c>
      <c r="G31" s="85">
        <f t="shared" si="2"/>
        <v>5.9259259259259308E-3</v>
      </c>
      <c r="H31" s="85">
        <f t="shared" si="3"/>
        <v>1.1851851851851862E-2</v>
      </c>
      <c r="I31" s="70">
        <f t="shared" si="4"/>
        <v>2.3200000000000003</v>
      </c>
      <c r="J31" s="74">
        <f t="shared" si="5"/>
        <v>0.48033126293995865</v>
      </c>
      <c r="K31" s="74">
        <f t="shared" si="6"/>
        <v>8.5925925925925933E-2</v>
      </c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</row>
    <row r="32" spans="1:22" ht="15.75" customHeight="1">
      <c r="A32" s="78">
        <v>68</v>
      </c>
      <c r="B32" s="70">
        <v>4.54</v>
      </c>
      <c r="C32" s="70">
        <v>4.88</v>
      </c>
      <c r="D32" s="70">
        <v>7.18</v>
      </c>
      <c r="E32" s="70">
        <f t="shared" si="0"/>
        <v>0.33999999999999986</v>
      </c>
      <c r="F32" s="74">
        <f t="shared" si="1"/>
        <v>7.4889867841409663E-2</v>
      </c>
      <c r="G32" s="85">
        <f t="shared" si="2"/>
        <v>6.2962962962962938E-3</v>
      </c>
      <c r="H32" s="85">
        <f t="shared" si="3"/>
        <v>1.2592592592592588E-2</v>
      </c>
      <c r="I32" s="70">
        <f t="shared" si="4"/>
        <v>2.2999999999999998</v>
      </c>
      <c r="J32" s="74">
        <f t="shared" si="5"/>
        <v>0.47131147540983603</v>
      </c>
      <c r="K32" s="74">
        <f t="shared" si="6"/>
        <v>8.5185185185185183E-2</v>
      </c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</row>
    <row r="33" spans="1:22" ht="15.75" customHeight="1">
      <c r="A33" s="78">
        <v>73</v>
      </c>
      <c r="B33" s="70">
        <v>4.76</v>
      </c>
      <c r="C33" s="70">
        <v>5.17</v>
      </c>
      <c r="D33" s="70">
        <v>7.42</v>
      </c>
      <c r="E33" s="70">
        <f t="shared" si="0"/>
        <v>0.41000000000000014</v>
      </c>
      <c r="F33" s="74">
        <f t="shared" si="1"/>
        <v>8.6134453781512632E-2</v>
      </c>
      <c r="G33" s="85">
        <f t="shared" si="2"/>
        <v>7.5925925925925952E-3</v>
      </c>
      <c r="H33" s="85">
        <f t="shared" si="3"/>
        <v>1.518518518518519E-2</v>
      </c>
      <c r="I33" s="70">
        <f t="shared" si="4"/>
        <v>2.25</v>
      </c>
      <c r="J33" s="74">
        <f t="shared" si="5"/>
        <v>0.43520309477756286</v>
      </c>
      <c r="K33" s="74">
        <f t="shared" si="6"/>
        <v>8.3333333333333329E-2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</row>
    <row r="34" spans="1:22" ht="15.75" customHeight="1">
      <c r="A34" s="79">
        <v>74</v>
      </c>
      <c r="B34" s="70">
        <v>4.7699999999999996</v>
      </c>
      <c r="C34" s="70">
        <v>5.47</v>
      </c>
      <c r="D34" s="70">
        <v>7.85</v>
      </c>
      <c r="E34" s="70">
        <f t="shared" si="0"/>
        <v>0.70000000000000018</v>
      </c>
      <c r="F34" s="74">
        <f t="shared" si="1"/>
        <v>0.14675052410901473</v>
      </c>
      <c r="G34" s="85">
        <f t="shared" si="2"/>
        <v>1.2962962962962966E-2</v>
      </c>
      <c r="H34" s="85">
        <f t="shared" si="3"/>
        <v>2.5925925925925932E-2</v>
      </c>
      <c r="I34" s="70">
        <f t="shared" si="4"/>
        <v>2.38</v>
      </c>
      <c r="J34" s="74">
        <f t="shared" si="5"/>
        <v>0.43510054844606949</v>
      </c>
      <c r="K34" s="74">
        <f t="shared" si="6"/>
        <v>8.8148148148148142E-2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</row>
    <row r="35" spans="1:22" ht="15.75" customHeight="1">
      <c r="A35" s="79">
        <v>78</v>
      </c>
      <c r="B35" s="70">
        <v>4.7300000000000004</v>
      </c>
      <c r="C35" s="70">
        <v>5.0599999999999996</v>
      </c>
      <c r="D35" s="70">
        <v>7.76</v>
      </c>
      <c r="E35" s="70">
        <f t="shared" si="0"/>
        <v>0.32999999999999918</v>
      </c>
      <c r="F35" s="74">
        <f t="shared" si="1"/>
        <v>6.9767441860464935E-2</v>
      </c>
      <c r="G35" s="85">
        <f t="shared" si="2"/>
        <v>6.1111111111110958E-3</v>
      </c>
      <c r="H35" s="85">
        <f t="shared" si="3"/>
        <v>1.2222222222222192E-2</v>
      </c>
      <c r="I35" s="70">
        <f t="shared" si="4"/>
        <v>2.7</v>
      </c>
      <c r="J35" s="74">
        <f t="shared" si="5"/>
        <v>0.53359683794466406</v>
      </c>
      <c r="K35" s="74">
        <f t="shared" si="6"/>
        <v>0.1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</row>
    <row r="36" spans="1:22" ht="15.75" customHeight="1">
      <c r="A36" s="79">
        <v>79</v>
      </c>
      <c r="B36" s="70">
        <v>4.75</v>
      </c>
      <c r="C36" s="70">
        <v>5.18</v>
      </c>
      <c r="D36" s="70">
        <v>7.81</v>
      </c>
      <c r="E36" s="70">
        <f t="shared" si="0"/>
        <v>0.42999999999999972</v>
      </c>
      <c r="F36" s="74">
        <f t="shared" si="1"/>
        <v>9.0526315789473621E-2</v>
      </c>
      <c r="G36" s="85">
        <f t="shared" si="2"/>
        <v>7.9629629629629581E-3</v>
      </c>
      <c r="H36" s="85">
        <f t="shared" si="3"/>
        <v>1.5925925925925916E-2</v>
      </c>
      <c r="I36" s="70">
        <f t="shared" si="4"/>
        <v>2.63</v>
      </c>
      <c r="J36" s="74">
        <f t="shared" si="5"/>
        <v>0.50772200772200771</v>
      </c>
      <c r="K36" s="74">
        <f t="shared" si="6"/>
        <v>9.7407407407407401E-2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</row>
    <row r="37" spans="1:22" ht="15.75" customHeight="1">
      <c r="A37" s="79">
        <v>84</v>
      </c>
      <c r="B37" s="70">
        <v>4.84</v>
      </c>
      <c r="C37" s="70">
        <v>5.14</v>
      </c>
      <c r="D37" s="70">
        <v>7.76</v>
      </c>
      <c r="E37" s="70">
        <f t="shared" si="0"/>
        <v>0.29999999999999982</v>
      </c>
      <c r="F37" s="74">
        <f t="shared" si="1"/>
        <v>6.1983471074380132E-2</v>
      </c>
      <c r="G37" s="85">
        <f t="shared" si="2"/>
        <v>5.5555555555555523E-3</v>
      </c>
      <c r="H37" s="85">
        <f t="shared" si="3"/>
        <v>1.1111111111111105E-2</v>
      </c>
      <c r="I37" s="70">
        <f t="shared" si="4"/>
        <v>2.62</v>
      </c>
      <c r="J37" s="74">
        <f t="shared" si="5"/>
        <v>0.50972762645914405</v>
      </c>
      <c r="K37" s="74">
        <f t="shared" si="6"/>
        <v>9.7037037037037047E-2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</row>
    <row r="38" spans="1:22" ht="15.75" customHeight="1">
      <c r="A38" s="79">
        <v>87</v>
      </c>
      <c r="B38" s="70">
        <v>4.93</v>
      </c>
      <c r="C38" s="70">
        <v>5.28</v>
      </c>
      <c r="D38" s="70">
        <v>7.89</v>
      </c>
      <c r="E38" s="70">
        <f t="shared" si="0"/>
        <v>0.35000000000000053</v>
      </c>
      <c r="F38" s="74">
        <f t="shared" si="1"/>
        <v>7.0993914807302341E-2</v>
      </c>
      <c r="G38" s="85">
        <f t="shared" si="2"/>
        <v>6.4814814814814917E-3</v>
      </c>
      <c r="H38" s="85">
        <f t="shared" si="3"/>
        <v>1.2962962962962983E-2</v>
      </c>
      <c r="I38" s="70">
        <f t="shared" si="4"/>
        <v>2.6099999999999994</v>
      </c>
      <c r="J38" s="74">
        <f t="shared" si="5"/>
        <v>0.49431818181818171</v>
      </c>
      <c r="K38" s="74">
        <f t="shared" si="6"/>
        <v>9.6666666666666651E-2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</row>
    <row r="39" spans="1:22" ht="15.75" customHeight="1">
      <c r="A39" s="79">
        <v>88</v>
      </c>
      <c r="B39" s="70">
        <v>5.09</v>
      </c>
      <c r="C39" s="70">
        <v>5.37</v>
      </c>
      <c r="D39" s="70">
        <v>8.17</v>
      </c>
      <c r="E39" s="70">
        <f t="shared" si="0"/>
        <v>0.28000000000000025</v>
      </c>
      <c r="F39" s="74">
        <f t="shared" si="1"/>
        <v>5.5009823182711248E-2</v>
      </c>
      <c r="G39" s="85">
        <f t="shared" si="2"/>
        <v>5.1851851851851894E-3</v>
      </c>
      <c r="H39" s="85">
        <f t="shared" si="3"/>
        <v>1.0370370370370379E-2</v>
      </c>
      <c r="I39" s="70">
        <f t="shared" si="4"/>
        <v>2.8</v>
      </c>
      <c r="J39" s="74">
        <f t="shared" si="5"/>
        <v>0.52141527001862198</v>
      </c>
      <c r="K39" s="74">
        <f t="shared" si="6"/>
        <v>0.1037037037037037</v>
      </c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</row>
    <row r="40" spans="1:22" ht="15.75" customHeight="1">
      <c r="A40" s="79">
        <v>89</v>
      </c>
      <c r="B40" s="70">
        <v>5.03</v>
      </c>
      <c r="C40" s="70">
        <v>5.34</v>
      </c>
      <c r="D40" s="70">
        <v>8.2100000000000009</v>
      </c>
      <c r="E40" s="70">
        <f t="shared" si="0"/>
        <v>0.30999999999999961</v>
      </c>
      <c r="F40" s="74">
        <f t="shared" si="1"/>
        <v>6.1630218687872683E-2</v>
      </c>
      <c r="G40" s="85">
        <f t="shared" si="2"/>
        <v>5.7407407407407338E-3</v>
      </c>
      <c r="H40" s="85">
        <f t="shared" si="3"/>
        <v>1.1481481481481468E-2</v>
      </c>
      <c r="I40" s="70">
        <f t="shared" si="4"/>
        <v>2.870000000000001</v>
      </c>
      <c r="J40" s="74">
        <f t="shared" si="5"/>
        <v>0.53745318352059945</v>
      </c>
      <c r="K40" s="74">
        <f t="shared" si="6"/>
        <v>0.10629629629629633</v>
      </c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</row>
    <row r="41" spans="1:22" ht="15.75" customHeight="1">
      <c r="A41" s="79">
        <v>93</v>
      </c>
      <c r="B41" s="70">
        <v>4.5999999999999996</v>
      </c>
      <c r="C41" s="70">
        <v>5.07</v>
      </c>
      <c r="D41" s="70">
        <v>7.76</v>
      </c>
      <c r="E41" s="70">
        <f t="shared" si="0"/>
        <v>0.47000000000000064</v>
      </c>
      <c r="F41" s="74">
        <f t="shared" si="1"/>
        <v>0.10217391304347841</v>
      </c>
      <c r="G41" s="85">
        <f t="shared" si="2"/>
        <v>8.7037037037037152E-3</v>
      </c>
      <c r="H41" s="85">
        <f t="shared" si="3"/>
        <v>1.740740740740743E-2</v>
      </c>
      <c r="I41" s="70">
        <f t="shared" si="4"/>
        <v>2.6899999999999995</v>
      </c>
      <c r="J41" s="74">
        <f t="shared" si="5"/>
        <v>0.53057199211045347</v>
      </c>
      <c r="K41" s="74">
        <f t="shared" si="6"/>
        <v>9.962962962962961E-2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</row>
    <row r="42" spans="1:22" ht="15.75" customHeight="1">
      <c r="A42" s="79">
        <v>94</v>
      </c>
      <c r="B42" s="70">
        <v>4.68</v>
      </c>
      <c r="C42" s="70">
        <v>5.25</v>
      </c>
      <c r="D42" s="70">
        <v>7.82</v>
      </c>
      <c r="E42" s="70">
        <f t="shared" si="0"/>
        <v>0.57000000000000028</v>
      </c>
      <c r="F42" s="74">
        <f t="shared" si="1"/>
        <v>0.12179487179487186</v>
      </c>
      <c r="G42" s="85">
        <f t="shared" si="2"/>
        <v>1.0555555555555561E-2</v>
      </c>
      <c r="H42" s="85">
        <f t="shared" si="3"/>
        <v>2.1111111111111122E-2</v>
      </c>
      <c r="I42" s="70">
        <f t="shared" si="4"/>
        <v>2.5700000000000003</v>
      </c>
      <c r="J42" s="74">
        <f t="shared" si="5"/>
        <v>0.48952380952380958</v>
      </c>
      <c r="K42" s="74">
        <f t="shared" si="6"/>
        <v>9.5185185185185192E-2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</row>
    <row r="43" spans="1:22" ht="15.75" customHeight="1">
      <c r="A43" s="79">
        <v>98</v>
      </c>
      <c r="B43" s="70">
        <v>4.74</v>
      </c>
      <c r="C43" s="70">
        <v>4.95</v>
      </c>
      <c r="D43" s="70">
        <v>7.78</v>
      </c>
      <c r="E43" s="70">
        <f t="shared" si="0"/>
        <v>0.20999999999999996</v>
      </c>
      <c r="F43" s="74">
        <f t="shared" si="1"/>
        <v>4.4303797468354424E-2</v>
      </c>
      <c r="G43" s="85">
        <f t="shared" si="2"/>
        <v>3.8888888888888883E-3</v>
      </c>
      <c r="H43" s="85">
        <f t="shared" si="3"/>
        <v>7.7777777777777767E-3</v>
      </c>
      <c r="I43" s="70">
        <f t="shared" si="4"/>
        <v>2.83</v>
      </c>
      <c r="J43" s="74">
        <f t="shared" si="5"/>
        <v>0.57171717171717173</v>
      </c>
      <c r="K43" s="74">
        <f t="shared" si="6"/>
        <v>0.10481481481481482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</row>
    <row r="44" spans="1:22" ht="15.75" customHeight="1">
      <c r="A44" s="72">
        <v>99</v>
      </c>
      <c r="B44" s="70">
        <v>4.4000000000000004</v>
      </c>
      <c r="C44" s="70">
        <v>4.78</v>
      </c>
      <c r="D44" s="70">
        <v>7.29</v>
      </c>
      <c r="E44" s="70">
        <f t="shared" si="0"/>
        <v>0.37999999999999989</v>
      </c>
      <c r="F44" s="74">
        <f t="shared" si="1"/>
        <v>8.6363636363636337E-2</v>
      </c>
      <c r="G44" s="85">
        <f t="shared" si="2"/>
        <v>7.0370370370370352E-3</v>
      </c>
      <c r="H44" s="85">
        <f t="shared" si="3"/>
        <v>1.407407407407407E-2</v>
      </c>
      <c r="I44" s="70">
        <f t="shared" si="4"/>
        <v>2.5099999999999998</v>
      </c>
      <c r="J44" s="74">
        <f t="shared" si="5"/>
        <v>0.52510460251046021</v>
      </c>
      <c r="K44" s="74">
        <f t="shared" si="6"/>
        <v>9.2962962962962956E-2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</row>
    <row r="45" spans="1:22" ht="15.75" customHeight="1">
      <c r="A45" s="72">
        <v>100</v>
      </c>
      <c r="B45" s="70">
        <v>4.46</v>
      </c>
      <c r="C45" s="70">
        <v>4.96</v>
      </c>
      <c r="D45" s="70">
        <v>7.17</v>
      </c>
      <c r="E45" s="70">
        <f t="shared" si="0"/>
        <v>0.5</v>
      </c>
      <c r="F45" s="74">
        <f t="shared" si="1"/>
        <v>0.11210762331838565</v>
      </c>
      <c r="G45" s="85">
        <f t="shared" si="2"/>
        <v>9.2592592592592587E-3</v>
      </c>
      <c r="H45" s="85">
        <f t="shared" si="3"/>
        <v>1.8518518518518517E-2</v>
      </c>
      <c r="I45" s="70">
        <f t="shared" si="4"/>
        <v>2.21</v>
      </c>
      <c r="J45" s="74">
        <f t="shared" si="5"/>
        <v>0.44556451612903225</v>
      </c>
      <c r="K45" s="74">
        <f t="shared" si="6"/>
        <v>8.1851851851851856E-2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</row>
    <row r="46" spans="1:22" ht="15.75" customHeight="1">
      <c r="A46" s="72">
        <v>104</v>
      </c>
      <c r="B46" s="70">
        <v>4.58</v>
      </c>
      <c r="C46" s="70">
        <v>5.0199999999999996</v>
      </c>
      <c r="D46" s="70">
        <v>7.36</v>
      </c>
      <c r="E46" s="70">
        <f t="shared" si="0"/>
        <v>0.4399999999999995</v>
      </c>
      <c r="F46" s="74">
        <f t="shared" si="1"/>
        <v>9.6069868995633079E-2</v>
      </c>
      <c r="G46" s="85">
        <f t="shared" si="2"/>
        <v>8.1481481481481387E-3</v>
      </c>
      <c r="H46" s="85">
        <f t="shared" si="3"/>
        <v>1.6296296296296277E-2</v>
      </c>
      <c r="I46" s="70">
        <f t="shared" si="4"/>
        <v>2.3400000000000007</v>
      </c>
      <c r="J46" s="74">
        <f t="shared" si="5"/>
        <v>0.46613545816733087</v>
      </c>
      <c r="K46" s="74">
        <f t="shared" si="6"/>
        <v>8.6666666666666697E-2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</row>
    <row r="47" spans="1:22" ht="15.75" customHeight="1">
      <c r="A47" s="72">
        <v>107</v>
      </c>
      <c r="B47" s="70">
        <v>4.41</v>
      </c>
      <c r="C47" s="70">
        <v>4.67</v>
      </c>
      <c r="D47" s="70">
        <v>6.99</v>
      </c>
      <c r="E47" s="70">
        <f t="shared" si="0"/>
        <v>0.25999999999999979</v>
      </c>
      <c r="F47" s="74">
        <f t="shared" si="1"/>
        <v>5.8956916099773195E-2</v>
      </c>
      <c r="G47" s="85">
        <f t="shared" si="2"/>
        <v>4.8148148148148108E-3</v>
      </c>
      <c r="H47" s="85">
        <f t="shared" si="3"/>
        <v>9.6296296296296217E-3</v>
      </c>
      <c r="I47" s="70">
        <f t="shared" si="4"/>
        <v>2.3200000000000003</v>
      </c>
      <c r="J47" s="74">
        <f t="shared" si="5"/>
        <v>0.49678800856531058</v>
      </c>
      <c r="K47" s="74">
        <f t="shared" si="6"/>
        <v>8.5925925925925933E-2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</row>
    <row r="48" spans="1:22" ht="15.75" customHeight="1">
      <c r="A48" s="72">
        <v>116</v>
      </c>
      <c r="B48" s="70">
        <v>4.18</v>
      </c>
      <c r="C48" s="70">
        <v>4.3600000000000003</v>
      </c>
      <c r="D48" s="70">
        <v>6.55</v>
      </c>
      <c r="E48" s="70">
        <f t="shared" si="0"/>
        <v>0.1800000000000006</v>
      </c>
      <c r="F48" s="74">
        <f t="shared" si="1"/>
        <v>4.3062200956937947E-2</v>
      </c>
      <c r="G48" s="85">
        <f t="shared" si="2"/>
        <v>3.3333333333333444E-3</v>
      </c>
      <c r="H48" s="85">
        <f t="shared" si="3"/>
        <v>6.6666666666666888E-3</v>
      </c>
      <c r="I48" s="70">
        <f t="shared" si="4"/>
        <v>2.1899999999999995</v>
      </c>
      <c r="J48" s="74">
        <f t="shared" si="5"/>
        <v>0.5022935779816512</v>
      </c>
      <c r="K48" s="74">
        <f t="shared" si="6"/>
        <v>8.1111111111111092E-2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</row>
    <row r="49" spans="1:22" ht="15.75" customHeight="1">
      <c r="A49" s="72">
        <v>117</v>
      </c>
      <c r="B49" s="70">
        <v>4.34</v>
      </c>
      <c r="C49" s="70">
        <v>4.5999999999999996</v>
      </c>
      <c r="D49" s="70">
        <v>6.8</v>
      </c>
      <c r="E49" s="70">
        <f t="shared" si="0"/>
        <v>0.25999999999999979</v>
      </c>
      <c r="F49" s="74">
        <f t="shared" si="1"/>
        <v>5.9907834101382444E-2</v>
      </c>
      <c r="G49" s="85">
        <f t="shared" si="2"/>
        <v>4.8148148148148108E-3</v>
      </c>
      <c r="H49" s="85">
        <f t="shared" si="3"/>
        <v>9.6296296296296217E-3</v>
      </c>
      <c r="I49" s="70">
        <f t="shared" si="4"/>
        <v>2.2000000000000002</v>
      </c>
      <c r="J49" s="74">
        <f t="shared" si="5"/>
        <v>0.47826086956521746</v>
      </c>
      <c r="K49" s="74">
        <f t="shared" si="6"/>
        <v>8.1481481481481488E-2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</row>
    <row r="50" spans="1:22" ht="15.75" customHeight="1">
      <c r="A50" s="77">
        <v>120</v>
      </c>
      <c r="B50" s="70">
        <v>3.48</v>
      </c>
      <c r="C50" s="70">
        <v>3.72</v>
      </c>
      <c r="D50" s="70">
        <v>6.06</v>
      </c>
      <c r="E50" s="70">
        <f t="shared" si="0"/>
        <v>0.24000000000000021</v>
      </c>
      <c r="F50" s="74">
        <f t="shared" si="1"/>
        <v>6.8965517241379379E-2</v>
      </c>
      <c r="G50" s="85">
        <f t="shared" si="2"/>
        <v>4.4444444444444488E-3</v>
      </c>
      <c r="H50" s="85">
        <f t="shared" si="3"/>
        <v>8.8888888888888976E-3</v>
      </c>
      <c r="I50" s="70">
        <f t="shared" si="4"/>
        <v>2.3399999999999994</v>
      </c>
      <c r="J50" s="74">
        <f t="shared" si="5"/>
        <v>0.6290322580645159</v>
      </c>
      <c r="K50" s="74">
        <f t="shared" si="6"/>
        <v>8.6666666666666642E-2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</row>
    <row r="51" spans="1:22" ht="15.75" customHeight="1">
      <c r="A51" s="77">
        <v>123</v>
      </c>
      <c r="B51" s="70">
        <v>3.23</v>
      </c>
      <c r="C51" s="70">
        <v>3.49</v>
      </c>
      <c r="D51" s="70">
        <v>6</v>
      </c>
      <c r="E51" s="70">
        <f t="shared" si="0"/>
        <v>0.26000000000000023</v>
      </c>
      <c r="F51" s="74">
        <f t="shared" si="1"/>
        <v>8.0495356037151772E-2</v>
      </c>
      <c r="G51" s="85">
        <f t="shared" si="2"/>
        <v>4.8148148148148195E-3</v>
      </c>
      <c r="H51" s="85">
        <f t="shared" si="3"/>
        <v>9.629629629629639E-3</v>
      </c>
      <c r="I51" s="70">
        <f t="shared" si="4"/>
        <v>2.5099999999999998</v>
      </c>
      <c r="J51" s="74">
        <f t="shared" si="5"/>
        <v>0.71919770773638958</v>
      </c>
      <c r="K51" s="74">
        <f t="shared" si="6"/>
        <v>9.2962962962962956E-2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</row>
    <row r="52" spans="1:22" ht="15.75" customHeight="1">
      <c r="A52" s="77">
        <v>124</v>
      </c>
      <c r="B52" s="70">
        <v>3.21</v>
      </c>
      <c r="C52" s="70">
        <v>3.42</v>
      </c>
      <c r="D52" s="70">
        <v>5.84</v>
      </c>
      <c r="E52" s="70">
        <f t="shared" si="0"/>
        <v>0.20999999999999996</v>
      </c>
      <c r="F52" s="74">
        <f t="shared" si="1"/>
        <v>6.5420560747663545E-2</v>
      </c>
      <c r="G52" s="85">
        <f t="shared" si="2"/>
        <v>3.8888888888888883E-3</v>
      </c>
      <c r="H52" s="85">
        <f t="shared" si="3"/>
        <v>7.7777777777777767E-3</v>
      </c>
      <c r="I52" s="70">
        <f t="shared" si="4"/>
        <v>2.42</v>
      </c>
      <c r="J52" s="74">
        <f t="shared" si="5"/>
        <v>0.70760233918128657</v>
      </c>
      <c r="K52" s="74">
        <f t="shared" si="6"/>
        <v>8.9629629629629629E-2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</row>
    <row r="53" spans="1:22" ht="15.75" customHeight="1">
      <c r="A53" s="77">
        <v>126</v>
      </c>
      <c r="B53" s="70">
        <v>3.34</v>
      </c>
      <c r="C53" s="70">
        <v>3.55</v>
      </c>
      <c r="D53" s="70">
        <v>5.81</v>
      </c>
      <c r="E53" s="70">
        <f t="shared" si="0"/>
        <v>0.20999999999999996</v>
      </c>
      <c r="F53" s="74">
        <f t="shared" si="1"/>
        <v>6.2874251497005984E-2</v>
      </c>
      <c r="G53" s="85">
        <f t="shared" si="2"/>
        <v>3.8888888888888883E-3</v>
      </c>
      <c r="H53" s="85">
        <f t="shared" si="3"/>
        <v>7.7777777777777767E-3</v>
      </c>
      <c r="I53" s="70">
        <f t="shared" si="4"/>
        <v>2.2599999999999998</v>
      </c>
      <c r="J53" s="74">
        <f t="shared" si="5"/>
        <v>0.63661971830985908</v>
      </c>
      <c r="K53" s="74">
        <f t="shared" si="6"/>
        <v>8.3703703703703697E-2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</row>
    <row r="54" spans="1:22" ht="15.75" customHeight="1">
      <c r="A54" s="77">
        <v>127</v>
      </c>
      <c r="B54" s="70">
        <v>3.35</v>
      </c>
      <c r="C54" s="70">
        <v>3.61</v>
      </c>
      <c r="D54" s="70">
        <v>5.97</v>
      </c>
      <c r="E54" s="70">
        <f t="shared" si="0"/>
        <v>0.25999999999999979</v>
      </c>
      <c r="F54" s="74">
        <f t="shared" si="1"/>
        <v>7.7611940298507404E-2</v>
      </c>
      <c r="G54" s="85">
        <f t="shared" si="2"/>
        <v>4.8148148148148108E-3</v>
      </c>
      <c r="H54" s="85">
        <f t="shared" si="3"/>
        <v>9.6296296296296217E-3</v>
      </c>
      <c r="I54" s="70">
        <f t="shared" si="4"/>
        <v>2.36</v>
      </c>
      <c r="J54" s="74">
        <f t="shared" si="5"/>
        <v>0.65373961218836563</v>
      </c>
      <c r="K54" s="74">
        <f t="shared" si="6"/>
        <v>8.7407407407407406E-2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</row>
    <row r="55" spans="1:22" ht="15.75" customHeight="1">
      <c r="A55" s="77">
        <v>130</v>
      </c>
      <c r="B55" s="70">
        <v>3.39</v>
      </c>
      <c r="C55" s="70">
        <v>3.63</v>
      </c>
      <c r="D55" s="70">
        <v>5.89</v>
      </c>
      <c r="E55" s="70">
        <f t="shared" si="0"/>
        <v>0.23999999999999977</v>
      </c>
      <c r="F55" s="74">
        <f t="shared" si="1"/>
        <v>7.079646017699108E-2</v>
      </c>
      <c r="G55" s="85">
        <f t="shared" si="2"/>
        <v>4.4444444444444401E-3</v>
      </c>
      <c r="H55" s="85">
        <f t="shared" si="3"/>
        <v>8.8888888888888802E-3</v>
      </c>
      <c r="I55" s="70">
        <f t="shared" si="4"/>
        <v>2.2599999999999998</v>
      </c>
      <c r="J55" s="74">
        <f t="shared" si="5"/>
        <v>0.62258953168044073</v>
      </c>
      <c r="K55" s="74">
        <f t="shared" si="6"/>
        <v>8.3703703703703697E-2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</row>
    <row r="56" spans="1:22" ht="15.75" customHeight="1">
      <c r="A56" s="77">
        <v>134</v>
      </c>
      <c r="B56" s="70">
        <v>3.35</v>
      </c>
      <c r="C56" s="70">
        <v>3.55</v>
      </c>
      <c r="D56" s="70">
        <v>5.9</v>
      </c>
      <c r="E56" s="70">
        <f t="shared" si="0"/>
        <v>0.19999999999999973</v>
      </c>
      <c r="F56" s="74">
        <f t="shared" si="1"/>
        <v>5.9701492537313348E-2</v>
      </c>
      <c r="G56" s="85">
        <f t="shared" si="2"/>
        <v>3.7037037037036986E-3</v>
      </c>
      <c r="H56" s="85">
        <f t="shared" si="3"/>
        <v>7.4074074074073973E-3</v>
      </c>
      <c r="I56" s="70">
        <f t="shared" si="4"/>
        <v>2.3500000000000005</v>
      </c>
      <c r="J56" s="74">
        <f t="shared" si="5"/>
        <v>0.66197183098591572</v>
      </c>
      <c r="K56" s="74">
        <f t="shared" si="6"/>
        <v>8.7037037037037052E-2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</row>
    <row r="57" spans="1:22" ht="15.75" customHeight="1">
      <c r="A57" s="77">
        <v>135</v>
      </c>
      <c r="B57" s="70">
        <v>3.39</v>
      </c>
      <c r="C57" s="70">
        <v>3.59</v>
      </c>
      <c r="D57" s="70">
        <v>6.11</v>
      </c>
      <c r="E57" s="70">
        <f t="shared" si="0"/>
        <v>0.19999999999999973</v>
      </c>
      <c r="F57" s="74">
        <f t="shared" si="1"/>
        <v>5.8997050147492541E-2</v>
      </c>
      <c r="G57" s="85">
        <f t="shared" si="2"/>
        <v>3.7037037037036986E-3</v>
      </c>
      <c r="H57" s="85">
        <f t="shared" si="3"/>
        <v>7.4074074074073973E-3</v>
      </c>
      <c r="I57" s="70">
        <f t="shared" si="4"/>
        <v>2.5200000000000005</v>
      </c>
      <c r="J57" s="74">
        <f t="shared" si="5"/>
        <v>0.70194986072423415</v>
      </c>
      <c r="K57" s="74">
        <f t="shared" si="6"/>
        <v>9.3333333333333351E-2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</row>
    <row r="58" spans="1:22" ht="15.75" customHeight="1">
      <c r="A58" s="78">
        <v>139</v>
      </c>
      <c r="B58" s="70">
        <v>4.6500000000000004</v>
      </c>
      <c r="C58" s="70">
        <v>4.82</v>
      </c>
      <c r="D58" s="70">
        <v>7.28</v>
      </c>
      <c r="E58" s="70">
        <f t="shared" si="0"/>
        <v>0.16999999999999993</v>
      </c>
      <c r="F58" s="74">
        <f t="shared" si="1"/>
        <v>3.6559139784946217E-2</v>
      </c>
      <c r="G58" s="85">
        <f t="shared" si="2"/>
        <v>3.1481481481481469E-3</v>
      </c>
      <c r="H58" s="85">
        <f t="shared" si="3"/>
        <v>6.2962962962962938E-3</v>
      </c>
      <c r="I58" s="70">
        <f t="shared" si="4"/>
        <v>2.46</v>
      </c>
      <c r="J58" s="74">
        <f t="shared" si="5"/>
        <v>0.51037344398340245</v>
      </c>
      <c r="K58" s="74">
        <f t="shared" si="6"/>
        <v>9.1111111111111115E-2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</row>
    <row r="59" spans="1:22" ht="15.75" customHeight="1">
      <c r="A59" s="78">
        <v>143</v>
      </c>
      <c r="B59" s="70">
        <v>4.67</v>
      </c>
      <c r="C59" s="70">
        <v>5.01</v>
      </c>
      <c r="D59" s="70">
        <v>7.32</v>
      </c>
      <c r="E59" s="70">
        <f t="shared" si="0"/>
        <v>0.33999999999999986</v>
      </c>
      <c r="F59" s="74">
        <f t="shared" si="1"/>
        <v>7.280513918629547E-2</v>
      </c>
      <c r="G59" s="85">
        <f t="shared" si="2"/>
        <v>6.2962962962962938E-3</v>
      </c>
      <c r="H59" s="85">
        <f t="shared" si="3"/>
        <v>1.2592592592592588E-2</v>
      </c>
      <c r="I59" s="70">
        <f t="shared" si="4"/>
        <v>2.3100000000000005</v>
      </c>
      <c r="J59" s="74">
        <f t="shared" si="5"/>
        <v>0.46107784431137738</v>
      </c>
      <c r="K59" s="74">
        <f t="shared" si="6"/>
        <v>8.5555555555555579E-2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</row>
    <row r="60" spans="1:22" ht="15.75" customHeight="1">
      <c r="A60" s="78">
        <v>148</v>
      </c>
      <c r="B60" s="70">
        <v>4.93</v>
      </c>
      <c r="C60" s="70">
        <v>5.0999999999999996</v>
      </c>
      <c r="D60" s="70">
        <v>7.55</v>
      </c>
      <c r="E60" s="70">
        <f t="shared" si="0"/>
        <v>0.16999999999999993</v>
      </c>
      <c r="F60" s="74">
        <f t="shared" si="1"/>
        <v>3.4482758620689641E-2</v>
      </c>
      <c r="G60" s="85">
        <f t="shared" si="2"/>
        <v>3.1481481481481469E-3</v>
      </c>
      <c r="H60" s="85">
        <f t="shared" si="3"/>
        <v>6.2962962962962938E-3</v>
      </c>
      <c r="I60" s="70">
        <f t="shared" si="4"/>
        <v>2.4500000000000002</v>
      </c>
      <c r="J60" s="74">
        <f t="shared" si="5"/>
        <v>0.48039215686274517</v>
      </c>
      <c r="K60" s="74">
        <f t="shared" si="6"/>
        <v>9.0740740740740747E-2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</row>
    <row r="61" spans="1:22" ht="15.75" customHeight="1">
      <c r="A61" s="78">
        <v>150</v>
      </c>
      <c r="B61" s="70">
        <v>4.8099999999999996</v>
      </c>
      <c r="C61" s="70">
        <v>5.13</v>
      </c>
      <c r="D61" s="70">
        <v>7.54</v>
      </c>
      <c r="E61" s="70">
        <f t="shared" si="0"/>
        <v>0.32000000000000028</v>
      </c>
      <c r="F61" s="74">
        <f t="shared" si="1"/>
        <v>6.6528066528066587E-2</v>
      </c>
      <c r="G61" s="85">
        <f t="shared" si="2"/>
        <v>5.9259259259259308E-3</v>
      </c>
      <c r="H61" s="85">
        <f t="shared" si="3"/>
        <v>1.1851851851851862E-2</v>
      </c>
      <c r="I61" s="70">
        <f t="shared" si="4"/>
        <v>2.41</v>
      </c>
      <c r="J61" s="74">
        <f t="shared" si="5"/>
        <v>0.46978557504873297</v>
      </c>
      <c r="K61" s="74">
        <f t="shared" si="6"/>
        <v>8.925925925925926E-2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</row>
    <row r="62" spans="1:22" ht="15.75" customHeight="1">
      <c r="A62" s="79">
        <v>155</v>
      </c>
      <c r="B62" s="70">
        <v>4.4400000000000004</v>
      </c>
      <c r="C62" s="70">
        <v>6.36</v>
      </c>
      <c r="D62" s="70">
        <v>7.91</v>
      </c>
      <c r="E62" s="70">
        <f t="shared" si="0"/>
        <v>1.92</v>
      </c>
      <c r="F62" s="74">
        <f t="shared" si="1"/>
        <v>0.4324324324324324</v>
      </c>
      <c r="G62" s="85">
        <f t="shared" si="2"/>
        <v>3.5555555555555556E-2</v>
      </c>
      <c r="H62" s="85">
        <f t="shared" si="3"/>
        <v>7.1111111111111111E-2</v>
      </c>
      <c r="I62" s="70">
        <f t="shared" si="4"/>
        <v>1.5499999999999998</v>
      </c>
      <c r="J62" s="74">
        <f t="shared" si="5"/>
        <v>0.24371069182389934</v>
      </c>
      <c r="K62" s="74">
        <f t="shared" si="6"/>
        <v>5.74074074074074E-2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</row>
    <row r="63" spans="1:22" ht="15.75" customHeight="1">
      <c r="A63" s="79">
        <v>157</v>
      </c>
      <c r="B63" s="70">
        <v>4.59</v>
      </c>
      <c r="C63" s="70">
        <v>4.72</v>
      </c>
      <c r="D63" s="70">
        <v>7.61</v>
      </c>
      <c r="E63" s="70">
        <f t="shared" si="0"/>
        <v>0.12999999999999989</v>
      </c>
      <c r="F63" s="74">
        <f t="shared" si="1"/>
        <v>2.8322440087145948E-2</v>
      </c>
      <c r="G63" s="85">
        <f t="shared" si="2"/>
        <v>2.4074074074074054E-3</v>
      </c>
      <c r="H63" s="85">
        <f t="shared" si="3"/>
        <v>4.8148148148148108E-3</v>
      </c>
      <c r="I63" s="70">
        <f t="shared" si="4"/>
        <v>2.8900000000000006</v>
      </c>
      <c r="J63" s="74">
        <f t="shared" si="5"/>
        <v>0.61228813559322048</v>
      </c>
      <c r="K63" s="74">
        <f t="shared" si="6"/>
        <v>0.10703703703703706</v>
      </c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</row>
    <row r="64" spans="1:22" ht="15.75" customHeight="1">
      <c r="A64" s="79">
        <v>158</v>
      </c>
      <c r="B64" s="70">
        <v>4.4800000000000004</v>
      </c>
      <c r="C64" s="70">
        <v>4.74</v>
      </c>
      <c r="D64" s="70">
        <v>7.54</v>
      </c>
      <c r="E64" s="70">
        <f t="shared" si="0"/>
        <v>0.25999999999999979</v>
      </c>
      <c r="F64" s="74">
        <f t="shared" si="1"/>
        <v>5.8035714285714232E-2</v>
      </c>
      <c r="G64" s="85">
        <f t="shared" si="2"/>
        <v>4.8148148148148108E-3</v>
      </c>
      <c r="H64" s="85">
        <f t="shared" si="3"/>
        <v>9.6296296296296217E-3</v>
      </c>
      <c r="I64" s="70">
        <f t="shared" si="4"/>
        <v>2.8</v>
      </c>
      <c r="J64" s="74">
        <f t="shared" si="5"/>
        <v>0.59071729957805896</v>
      </c>
      <c r="K64" s="74">
        <f t="shared" si="6"/>
        <v>0.1037037037037037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</row>
    <row r="65" spans="1:22" ht="15.75" customHeight="1">
      <c r="A65" s="79">
        <v>161</v>
      </c>
      <c r="B65" s="70">
        <v>4.28</v>
      </c>
      <c r="C65" s="70">
        <v>4.59</v>
      </c>
      <c r="D65" s="70">
        <v>7.42</v>
      </c>
      <c r="E65" s="70">
        <f t="shared" si="0"/>
        <v>0.30999999999999961</v>
      </c>
      <c r="F65" s="74">
        <f t="shared" si="1"/>
        <v>7.2429906542055986E-2</v>
      </c>
      <c r="G65" s="85">
        <f t="shared" si="2"/>
        <v>5.7407407407407338E-3</v>
      </c>
      <c r="H65" s="85">
        <f t="shared" si="3"/>
        <v>1.1481481481481468E-2</v>
      </c>
      <c r="I65" s="70">
        <f t="shared" si="4"/>
        <v>2.83</v>
      </c>
      <c r="J65" s="74">
        <f t="shared" si="5"/>
        <v>0.6165577342047931</v>
      </c>
      <c r="K65" s="74">
        <f t="shared" si="6"/>
        <v>0.10481481481481482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</row>
    <row r="66" spans="1:22" ht="15.75" customHeight="1">
      <c r="A66" s="79">
        <v>165</v>
      </c>
      <c r="B66" s="70">
        <v>4.66</v>
      </c>
      <c r="C66" s="70">
        <v>4.9400000000000004</v>
      </c>
      <c r="D66" s="70">
        <v>7.7</v>
      </c>
      <c r="E66" s="70">
        <f t="shared" si="0"/>
        <v>0.28000000000000025</v>
      </c>
      <c r="F66" s="74">
        <f t="shared" si="1"/>
        <v>6.0085836909871293E-2</v>
      </c>
      <c r="G66" s="85">
        <f t="shared" si="2"/>
        <v>5.1851851851851894E-3</v>
      </c>
      <c r="H66" s="85">
        <f t="shared" si="3"/>
        <v>1.0370370370370379E-2</v>
      </c>
      <c r="I66" s="70">
        <f t="shared" si="4"/>
        <v>2.76</v>
      </c>
      <c r="J66" s="74">
        <f t="shared" si="5"/>
        <v>0.55870445344129549</v>
      </c>
      <c r="K66" s="74">
        <f t="shared" si="6"/>
        <v>0.10222222222222221</v>
      </c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</row>
    <row r="67" spans="1:22" ht="15.75" customHeight="1">
      <c r="A67" s="79">
        <v>167</v>
      </c>
      <c r="B67" s="70">
        <v>4.6500000000000004</v>
      </c>
      <c r="C67" s="70">
        <v>5.15</v>
      </c>
      <c r="D67" s="70">
        <v>7.74</v>
      </c>
      <c r="E67" s="70">
        <f t="shared" si="0"/>
        <v>0.5</v>
      </c>
      <c r="F67" s="74">
        <f t="shared" si="1"/>
        <v>0.1075268817204301</v>
      </c>
      <c r="G67" s="85">
        <f t="shared" si="2"/>
        <v>9.2592592592592587E-3</v>
      </c>
      <c r="H67" s="85">
        <f t="shared" si="3"/>
        <v>1.8518518518518517E-2</v>
      </c>
      <c r="I67" s="70">
        <f t="shared" si="4"/>
        <v>2.59</v>
      </c>
      <c r="J67" s="74">
        <f t="shared" si="5"/>
        <v>0.50291262135922321</v>
      </c>
      <c r="K67" s="74">
        <f t="shared" si="6"/>
        <v>9.5925925925925914E-2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</row>
    <row r="68" spans="1:22" ht="15.75" customHeight="1">
      <c r="A68" s="79">
        <v>168</v>
      </c>
      <c r="B68" s="70">
        <v>4.49</v>
      </c>
      <c r="C68" s="70">
        <v>4.71</v>
      </c>
      <c r="D68" s="70">
        <v>7.06</v>
      </c>
      <c r="E68" s="70">
        <f t="shared" si="0"/>
        <v>0.21999999999999975</v>
      </c>
      <c r="F68" s="74">
        <f t="shared" si="1"/>
        <v>4.8997772828507737E-2</v>
      </c>
      <c r="G68" s="85">
        <f t="shared" si="2"/>
        <v>4.0740740740740694E-3</v>
      </c>
      <c r="H68" s="85">
        <f t="shared" si="3"/>
        <v>8.1481481481481387E-3</v>
      </c>
      <c r="I68" s="70">
        <f t="shared" si="4"/>
        <v>2.3499999999999996</v>
      </c>
      <c r="J68" s="74">
        <f t="shared" si="5"/>
        <v>0.49893842887473455</v>
      </c>
      <c r="K68" s="74">
        <f t="shared" si="6"/>
        <v>8.7037037037037024E-2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</row>
    <row r="69" spans="1:22" ht="15.75" customHeight="1">
      <c r="A69" s="79">
        <v>169</v>
      </c>
      <c r="B69" s="70">
        <v>4.68</v>
      </c>
      <c r="C69" s="70">
        <v>5.21</v>
      </c>
      <c r="D69" s="70">
        <v>7.86</v>
      </c>
      <c r="E69" s="70">
        <f t="shared" si="0"/>
        <v>0.53000000000000025</v>
      </c>
      <c r="F69" s="74">
        <f t="shared" si="1"/>
        <v>0.1132478632478633</v>
      </c>
      <c r="G69" s="85">
        <f t="shared" si="2"/>
        <v>9.8148148148148196E-3</v>
      </c>
      <c r="H69" s="85">
        <f t="shared" si="3"/>
        <v>1.9629629629629639E-2</v>
      </c>
      <c r="I69" s="70">
        <f t="shared" si="4"/>
        <v>2.6500000000000004</v>
      </c>
      <c r="J69" s="74">
        <f t="shared" si="5"/>
        <v>0.50863723608445299</v>
      </c>
      <c r="K69" s="74">
        <f t="shared" si="6"/>
        <v>9.8148148148148165E-2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</row>
    <row r="70" spans="1:22" ht="15.75" customHeight="1">
      <c r="A70" s="79">
        <v>174</v>
      </c>
      <c r="B70" s="70">
        <v>4.5199999999999996</v>
      </c>
      <c r="C70" s="70">
        <v>5.0599999999999996</v>
      </c>
      <c r="D70" s="70">
        <v>7.57</v>
      </c>
      <c r="E70" s="70">
        <f t="shared" si="0"/>
        <v>0.54</v>
      </c>
      <c r="F70" s="74">
        <f t="shared" si="1"/>
        <v>0.11946902654867259</v>
      </c>
      <c r="G70" s="85">
        <f t="shared" si="2"/>
        <v>0.01</v>
      </c>
      <c r="H70" s="85">
        <f t="shared" si="3"/>
        <v>0.02</v>
      </c>
      <c r="I70" s="70">
        <f t="shared" si="4"/>
        <v>2.5100000000000007</v>
      </c>
      <c r="J70" s="74">
        <f t="shared" si="5"/>
        <v>0.49604743083003972</v>
      </c>
      <c r="K70" s="74">
        <f t="shared" si="6"/>
        <v>9.2962962962962983E-2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</row>
    <row r="71" spans="1:22" ht="15.75" customHeight="1">
      <c r="A71" s="78">
        <v>187</v>
      </c>
      <c r="B71" s="70">
        <v>4.38</v>
      </c>
      <c r="C71" s="70">
        <v>4.6100000000000003</v>
      </c>
      <c r="D71" s="70">
        <v>7</v>
      </c>
      <c r="E71" s="70">
        <f t="shared" si="0"/>
        <v>0.23000000000000043</v>
      </c>
      <c r="F71" s="74">
        <f t="shared" si="1"/>
        <v>5.2511415525114256E-2</v>
      </c>
      <c r="G71" s="85">
        <f t="shared" si="2"/>
        <v>4.2592592592592673E-3</v>
      </c>
      <c r="H71" s="85">
        <f t="shared" si="3"/>
        <v>8.5185185185185346E-3</v>
      </c>
      <c r="I71" s="70">
        <f t="shared" si="4"/>
        <v>2.3899999999999997</v>
      </c>
      <c r="J71" s="74">
        <f t="shared" si="5"/>
        <v>0.51843817787418645</v>
      </c>
      <c r="K71" s="74">
        <f t="shared" si="6"/>
        <v>8.851851851851851E-2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</row>
    <row r="72" spans="1:22" ht="15.75" customHeight="1">
      <c r="A72" s="78">
        <v>188</v>
      </c>
      <c r="B72" s="70">
        <v>4.43</v>
      </c>
      <c r="C72" s="70">
        <v>4.88</v>
      </c>
      <c r="D72" s="70">
        <v>7.63</v>
      </c>
      <c r="E72" s="70">
        <f t="shared" si="0"/>
        <v>0.45000000000000018</v>
      </c>
      <c r="F72" s="74">
        <f t="shared" si="1"/>
        <v>0.10158013544018063</v>
      </c>
      <c r="G72" s="85">
        <f t="shared" si="2"/>
        <v>8.3333333333333367E-3</v>
      </c>
      <c r="H72" s="85">
        <f t="shared" si="3"/>
        <v>1.6666666666666673E-2</v>
      </c>
      <c r="I72" s="70">
        <f t="shared" si="4"/>
        <v>2.75</v>
      </c>
      <c r="J72" s="74">
        <f t="shared" si="5"/>
        <v>0.56352459016393441</v>
      </c>
      <c r="K72" s="74">
        <f t="shared" si="6"/>
        <v>0.10185185185185185</v>
      </c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</row>
    <row r="73" spans="1:22" ht="15.75" customHeight="1">
      <c r="A73" s="78">
        <v>189</v>
      </c>
      <c r="B73" s="70">
        <v>4.4400000000000004</v>
      </c>
      <c r="C73" s="70">
        <v>4.5999999999999996</v>
      </c>
      <c r="D73" s="70">
        <v>7.15</v>
      </c>
      <c r="E73" s="70">
        <f t="shared" si="0"/>
        <v>0.15999999999999925</v>
      </c>
      <c r="F73" s="74">
        <f t="shared" si="1"/>
        <v>3.6036036036035862E-2</v>
      </c>
      <c r="G73" s="85">
        <f t="shared" si="2"/>
        <v>2.9629629629629489E-3</v>
      </c>
      <c r="H73" s="85">
        <f t="shared" si="3"/>
        <v>5.9259259259258979E-3</v>
      </c>
      <c r="I73" s="70">
        <f t="shared" si="4"/>
        <v>2.5500000000000007</v>
      </c>
      <c r="J73" s="74">
        <f t="shared" si="5"/>
        <v>0.55434782608695676</v>
      </c>
      <c r="K73" s="74">
        <f t="shared" si="6"/>
        <v>9.444444444444447E-2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</row>
    <row r="74" spans="1:22" ht="15.75" customHeight="1">
      <c r="A74" s="78">
        <v>190</v>
      </c>
      <c r="B74" s="70">
        <v>4.38</v>
      </c>
      <c r="C74" s="70">
        <v>4.6100000000000003</v>
      </c>
      <c r="D74" s="70">
        <v>7.07</v>
      </c>
      <c r="E74" s="70">
        <f t="shared" si="0"/>
        <v>0.23000000000000043</v>
      </c>
      <c r="F74" s="74">
        <f t="shared" si="1"/>
        <v>5.2511415525114256E-2</v>
      </c>
      <c r="G74" s="85">
        <f t="shared" si="2"/>
        <v>4.2592592592592673E-3</v>
      </c>
      <c r="H74" s="85">
        <f t="shared" si="3"/>
        <v>8.5185185185185346E-3</v>
      </c>
      <c r="I74" s="70">
        <f t="shared" si="4"/>
        <v>2.46</v>
      </c>
      <c r="J74" s="74">
        <f t="shared" si="5"/>
        <v>0.53362255965292837</v>
      </c>
      <c r="K74" s="74">
        <f t="shared" si="6"/>
        <v>9.1111111111111115E-2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</row>
    <row r="75" spans="1:22" ht="15.75" customHeight="1">
      <c r="A75" s="78">
        <v>191</v>
      </c>
      <c r="B75" s="70">
        <v>4.43</v>
      </c>
      <c r="C75" s="70">
        <v>4.79</v>
      </c>
      <c r="D75" s="70">
        <v>7.23</v>
      </c>
      <c r="E75" s="70">
        <f t="shared" si="0"/>
        <v>0.36000000000000032</v>
      </c>
      <c r="F75" s="74">
        <f t="shared" si="1"/>
        <v>8.1264108352144551E-2</v>
      </c>
      <c r="G75" s="85">
        <f t="shared" si="2"/>
        <v>6.6666666666666723E-3</v>
      </c>
      <c r="H75" s="85">
        <f t="shared" si="3"/>
        <v>1.3333333333333345E-2</v>
      </c>
      <c r="I75" s="70">
        <f t="shared" si="4"/>
        <v>2.4400000000000004</v>
      </c>
      <c r="J75" s="74">
        <f t="shared" si="5"/>
        <v>0.50939457202505223</v>
      </c>
      <c r="K75" s="74">
        <f t="shared" si="6"/>
        <v>9.0370370370370379E-2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</row>
    <row r="76" spans="1:22" ht="15.75" customHeight="1">
      <c r="A76" s="78">
        <v>192</v>
      </c>
      <c r="B76" s="70">
        <v>4.4400000000000004</v>
      </c>
      <c r="C76" s="70">
        <v>4.71</v>
      </c>
      <c r="D76" s="70">
        <v>7.19</v>
      </c>
      <c r="E76" s="70">
        <f t="shared" si="0"/>
        <v>0.26999999999999957</v>
      </c>
      <c r="F76" s="74">
        <f t="shared" si="1"/>
        <v>6.081081081081071E-2</v>
      </c>
      <c r="G76" s="85">
        <f t="shared" si="2"/>
        <v>4.9999999999999923E-3</v>
      </c>
      <c r="H76" s="85">
        <f t="shared" si="3"/>
        <v>9.9999999999999846E-3</v>
      </c>
      <c r="I76" s="70">
        <f t="shared" si="4"/>
        <v>2.4800000000000004</v>
      </c>
      <c r="J76" s="74">
        <f t="shared" si="5"/>
        <v>0.52653927813163492</v>
      </c>
      <c r="K76" s="74">
        <f t="shared" si="6"/>
        <v>9.1851851851851865E-2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</row>
    <row r="77" spans="1:22" ht="15.75" customHeight="1">
      <c r="A77" s="78">
        <v>193</v>
      </c>
      <c r="B77" s="70">
        <v>4.49</v>
      </c>
      <c r="C77" s="70">
        <v>4.75</v>
      </c>
      <c r="D77" s="70">
        <v>6.98</v>
      </c>
      <c r="E77" s="70">
        <f t="shared" si="0"/>
        <v>0.25999999999999979</v>
      </c>
      <c r="F77" s="74">
        <f t="shared" si="1"/>
        <v>5.7906458797327344E-2</v>
      </c>
      <c r="G77" s="85">
        <f t="shared" si="2"/>
        <v>4.8148148148148108E-3</v>
      </c>
      <c r="H77" s="85">
        <f t="shared" si="3"/>
        <v>9.6296296296296217E-3</v>
      </c>
      <c r="I77" s="70">
        <f t="shared" si="4"/>
        <v>2.2300000000000004</v>
      </c>
      <c r="J77" s="74">
        <f t="shared" si="5"/>
        <v>0.46947368421052643</v>
      </c>
      <c r="K77" s="74">
        <f t="shared" si="6"/>
        <v>8.2592592592592606E-2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</row>
    <row r="78" spans="1:22" ht="15.75" customHeight="1">
      <c r="A78" s="78">
        <v>194</v>
      </c>
      <c r="B78" s="70">
        <v>4.37</v>
      </c>
      <c r="C78" s="70">
        <v>4.55</v>
      </c>
      <c r="D78" s="70">
        <v>7.22</v>
      </c>
      <c r="E78" s="70">
        <f t="shared" si="0"/>
        <v>0.17999999999999972</v>
      </c>
      <c r="F78" s="74">
        <f t="shared" si="1"/>
        <v>4.1189931350114353E-2</v>
      </c>
      <c r="G78" s="85">
        <f t="shared" si="2"/>
        <v>3.3333333333333279E-3</v>
      </c>
      <c r="H78" s="85">
        <f t="shared" si="3"/>
        <v>6.6666666666666558E-3</v>
      </c>
      <c r="I78" s="70">
        <f t="shared" si="4"/>
        <v>2.67</v>
      </c>
      <c r="J78" s="74">
        <f t="shared" si="5"/>
        <v>0.58681318681318684</v>
      </c>
      <c r="K78" s="74">
        <f t="shared" si="6"/>
        <v>9.8888888888888887E-2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</row>
    <row r="79" spans="1:22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</row>
    <row r="80" spans="1:22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</row>
    <row r="81" spans="1:22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</row>
    <row r="82" spans="1:2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</row>
    <row r="83" spans="1:22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</row>
    <row r="84" spans="1:22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</row>
    <row r="85" spans="1:22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</row>
    <row r="86" spans="1:22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</row>
    <row r="87" spans="1:22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</row>
    <row r="88" spans="1:22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</row>
    <row r="89" spans="1:22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</row>
    <row r="90" spans="1:22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</row>
    <row r="91" spans="1:22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</row>
    <row r="92" spans="1:2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</row>
    <row r="93" spans="1:22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</row>
    <row r="94" spans="1:22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</row>
    <row r="95" spans="1:22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</row>
    <row r="96" spans="1:22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</row>
    <row r="97" spans="1:22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</row>
    <row r="98" spans="1:22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</row>
    <row r="99" spans="1:22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</row>
    <row r="100" spans="1:22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</row>
    <row r="101" spans="1:22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</row>
    <row r="102" spans="1:2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</row>
    <row r="103" spans="1:22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</row>
    <row r="104" spans="1:22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</row>
    <row r="105" spans="1:22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</row>
    <row r="106" spans="1:22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</row>
    <row r="107" spans="1:22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</row>
    <row r="108" spans="1:22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</row>
    <row r="109" spans="1:22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</row>
    <row r="110" spans="1:22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</row>
    <row r="111" spans="1:22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</row>
    <row r="112" spans="1:2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</row>
    <row r="113" spans="1:22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</row>
    <row r="114" spans="1:22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</row>
    <row r="115" spans="1:22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</row>
    <row r="116" spans="1:22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</row>
    <row r="117" spans="1:22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</row>
    <row r="118" spans="1:22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</row>
    <row r="119" spans="1:22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</row>
    <row r="120" spans="1:22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</row>
    <row r="121" spans="1:22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</row>
    <row r="122" spans="1: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</row>
    <row r="123" spans="1:22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</row>
    <row r="124" spans="1:22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</row>
    <row r="125" spans="1:22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</row>
    <row r="126" spans="1:22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</row>
    <row r="127" spans="1:22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</row>
    <row r="128" spans="1:22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</row>
    <row r="129" spans="1:22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</row>
    <row r="130" spans="1:22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</row>
    <row r="131" spans="1:22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</row>
    <row r="132" spans="1:2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</row>
    <row r="133" spans="1:22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</row>
    <row r="134" spans="1:22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</row>
    <row r="135" spans="1:22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</row>
    <row r="136" spans="1:22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</row>
    <row r="137" spans="1:22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</row>
    <row r="138" spans="1:22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</row>
    <row r="139" spans="1:22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</row>
    <row r="140" spans="1:22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</row>
    <row r="141" spans="1:22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</row>
    <row r="142" spans="1:2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</row>
    <row r="143" spans="1:22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</row>
    <row r="144" spans="1:22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</row>
    <row r="145" spans="1:22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</row>
    <row r="146" spans="1:22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</row>
    <row r="147" spans="1:22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</row>
    <row r="148" spans="1:22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</row>
    <row r="149" spans="1:22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</row>
    <row r="150" spans="1:22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</row>
    <row r="151" spans="1:22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</row>
    <row r="152" spans="1:2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</row>
    <row r="153" spans="1:22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</row>
    <row r="154" spans="1:22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</row>
    <row r="155" spans="1:22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</row>
    <row r="156" spans="1:22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</row>
    <row r="157" spans="1:22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</row>
    <row r="158" spans="1:22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</row>
    <row r="159" spans="1:22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</row>
    <row r="160" spans="1:22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</row>
    <row r="161" spans="1:22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</row>
    <row r="162" spans="1:2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</row>
    <row r="163" spans="1:22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</row>
    <row r="164" spans="1:22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</row>
    <row r="165" spans="1:22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</row>
    <row r="166" spans="1:22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</row>
    <row r="167" spans="1:22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</row>
    <row r="168" spans="1:22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</row>
    <row r="169" spans="1:22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</row>
    <row r="170" spans="1:22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</row>
    <row r="171" spans="1:22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</row>
    <row r="172" spans="1:2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</row>
    <row r="173" spans="1:22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</row>
    <row r="174" spans="1:22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</row>
    <row r="175" spans="1:22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</row>
    <row r="176" spans="1:22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</row>
    <row r="177" spans="1:22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</row>
    <row r="178" spans="1:22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</row>
    <row r="179" spans="1:22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</row>
    <row r="180" spans="1:22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</row>
    <row r="181" spans="1:22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</row>
    <row r="182" spans="1:2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</row>
    <row r="183" spans="1:22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</row>
    <row r="184" spans="1:22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</row>
    <row r="185" spans="1:22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</row>
    <row r="186" spans="1:22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</row>
    <row r="187" spans="1:22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</row>
    <row r="188" spans="1:22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</row>
    <row r="189" spans="1:22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</row>
    <row r="190" spans="1:22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</row>
    <row r="191" spans="1:22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</row>
    <row r="192" spans="1:2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</row>
    <row r="193" spans="1:22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</row>
    <row r="194" spans="1:22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</row>
    <row r="195" spans="1:22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</row>
    <row r="196" spans="1:22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</row>
    <row r="197" spans="1:22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</row>
    <row r="198" spans="1:22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</row>
    <row r="199" spans="1:22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</row>
    <row r="200" spans="1:22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</row>
    <row r="201" spans="1:22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</row>
    <row r="202" spans="1:2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</row>
    <row r="203" spans="1:22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</row>
    <row r="204" spans="1:22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</row>
    <row r="205" spans="1:22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</row>
    <row r="206" spans="1:22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</row>
    <row r="207" spans="1:22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</row>
    <row r="208" spans="1:22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</row>
    <row r="209" spans="1:22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</row>
    <row r="210" spans="1:22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</row>
    <row r="211" spans="1:22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</row>
    <row r="212" spans="1:2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</row>
    <row r="213" spans="1:22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</row>
    <row r="214" spans="1:22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</row>
    <row r="215" spans="1:22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</row>
    <row r="216" spans="1:22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</row>
    <row r="217" spans="1:22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</row>
    <row r="218" spans="1:22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</row>
    <row r="219" spans="1:22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</row>
    <row r="220" spans="1:22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</row>
    <row r="221" spans="1:22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</row>
    <row r="222" spans="1: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</row>
    <row r="223" spans="1:22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</row>
    <row r="224" spans="1:22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</row>
    <row r="225" spans="1:22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</row>
    <row r="226" spans="1:22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</row>
    <row r="227" spans="1:22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</row>
    <row r="228" spans="1:22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</row>
    <row r="229" spans="1:22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</row>
    <row r="230" spans="1:22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</row>
    <row r="231" spans="1:22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</row>
    <row r="232" spans="1:2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</row>
    <row r="233" spans="1:22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</row>
    <row r="234" spans="1:22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</row>
    <row r="235" spans="1:22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</row>
    <row r="236" spans="1:22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</row>
    <row r="237" spans="1:22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</row>
    <row r="238" spans="1:22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</row>
    <row r="239" spans="1:22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</row>
    <row r="240" spans="1:22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</row>
    <row r="241" spans="1:22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</row>
    <row r="242" spans="1:2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</row>
    <row r="243" spans="1:22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</row>
    <row r="244" spans="1:22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</row>
    <row r="245" spans="1:22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</row>
    <row r="246" spans="1:22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</row>
    <row r="247" spans="1:22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</row>
    <row r="248" spans="1:22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</row>
    <row r="249" spans="1:22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</row>
    <row r="250" spans="1:22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</row>
    <row r="251" spans="1:22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</row>
    <row r="252" spans="1:2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</row>
    <row r="253" spans="1:22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</row>
    <row r="254" spans="1:22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</row>
    <row r="255" spans="1:22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</row>
    <row r="256" spans="1:22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</row>
    <row r="257" spans="1:22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</row>
    <row r="258" spans="1:22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</row>
    <row r="259" spans="1:22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</row>
    <row r="260" spans="1:22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</row>
    <row r="261" spans="1:22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</row>
    <row r="262" spans="1:2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</row>
    <row r="263" spans="1:22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</row>
    <row r="264" spans="1:22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</row>
    <row r="265" spans="1:22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</row>
    <row r="266" spans="1:22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</row>
    <row r="267" spans="1:22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</row>
    <row r="268" spans="1:22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</row>
    <row r="269" spans="1:22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</row>
    <row r="270" spans="1:22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</row>
    <row r="271" spans="1:22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</row>
    <row r="272" spans="1:2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</row>
    <row r="273" spans="1:22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</row>
    <row r="274" spans="1:22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</row>
    <row r="275" spans="1:22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</row>
    <row r="276" spans="1:22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</row>
    <row r="277" spans="1:22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</row>
    <row r="278" spans="1:22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</row>
    <row r="279" spans="1:22" ht="15.75" customHeight="1"/>
    <row r="280" spans="1:22" ht="15.75" customHeight="1"/>
    <row r="281" spans="1:22" ht="15.75" customHeight="1"/>
    <row r="282" spans="1:22" ht="15.75" customHeight="1"/>
    <row r="283" spans="1:22" ht="15.75" customHeight="1"/>
    <row r="284" spans="1:22" ht="15.75" customHeight="1"/>
    <row r="285" spans="1:22" ht="15.75" customHeight="1"/>
    <row r="286" spans="1:22" ht="15.75" customHeight="1"/>
    <row r="287" spans="1:22" ht="15.75" customHeight="1"/>
    <row r="288" spans="1:22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53125" defaultRowHeight="15" customHeight="1"/>
  <cols>
    <col min="1" max="26" width="14" customWidth="1"/>
  </cols>
  <sheetData>
    <row r="1" spans="1:8" ht="15" customHeight="1">
      <c r="A1" s="68" t="s">
        <v>78</v>
      </c>
    </row>
    <row r="2" spans="1:8" ht="15.5">
      <c r="A2" s="70" t="s">
        <v>72</v>
      </c>
      <c r="B2" s="70" t="s">
        <v>67</v>
      </c>
      <c r="C2" s="70" t="s">
        <v>68</v>
      </c>
      <c r="D2" s="70" t="s">
        <v>88</v>
      </c>
      <c r="E2" s="70" t="s">
        <v>84</v>
      </c>
      <c r="F2" s="70" t="s">
        <v>85</v>
      </c>
      <c r="G2" s="70" t="s">
        <v>89</v>
      </c>
      <c r="H2" s="70" t="s">
        <v>90</v>
      </c>
    </row>
    <row r="3" spans="1:8" ht="15.5">
      <c r="A3" s="70">
        <v>13</v>
      </c>
      <c r="B3" s="70">
        <v>18.899999999999999</v>
      </c>
      <c r="C3" s="70">
        <v>19.649999999999999</v>
      </c>
      <c r="D3" s="70">
        <f t="shared" ref="D3:D14" si="0">C3-B3</f>
        <v>0.75</v>
      </c>
      <c r="E3" s="74">
        <f t="shared" ref="E3:E14" si="1">D3/B3</f>
        <v>3.9682539682539687E-2</v>
      </c>
      <c r="F3" s="85">
        <f t="shared" ref="F3:F14" si="2">D3/(9*2+3*17*4)</f>
        <v>3.3783783783783786E-3</v>
      </c>
      <c r="G3" s="85">
        <f t="shared" ref="G3:G14" si="3">D3/153</f>
        <v>4.9019607843137254E-3</v>
      </c>
      <c r="H3" s="70"/>
    </row>
    <row r="4" spans="1:8" ht="15.5">
      <c r="A4" s="70">
        <v>17</v>
      </c>
      <c r="B4" s="70">
        <v>19.18</v>
      </c>
      <c r="C4" s="70">
        <v>20.13</v>
      </c>
      <c r="D4" s="70">
        <f t="shared" si="0"/>
        <v>0.94999999999999929</v>
      </c>
      <c r="E4" s="74">
        <f t="shared" si="1"/>
        <v>4.9530761209593287E-2</v>
      </c>
      <c r="F4" s="85">
        <f t="shared" si="2"/>
        <v>4.2792792792792763E-3</v>
      </c>
      <c r="G4" s="85">
        <f t="shared" si="3"/>
        <v>6.2091503267973809E-3</v>
      </c>
      <c r="H4" s="70"/>
    </row>
    <row r="5" spans="1:8" ht="15.5">
      <c r="A5" s="70">
        <v>33</v>
      </c>
      <c r="B5" s="70">
        <v>25.93</v>
      </c>
      <c r="C5" s="70">
        <v>26.51</v>
      </c>
      <c r="D5" s="70">
        <f t="shared" si="0"/>
        <v>0.58000000000000185</v>
      </c>
      <c r="E5" s="74">
        <f t="shared" si="1"/>
        <v>2.2367913613575083E-2</v>
      </c>
      <c r="F5" s="85">
        <f t="shared" si="2"/>
        <v>2.6126126126126211E-3</v>
      </c>
      <c r="G5" s="85">
        <f t="shared" si="3"/>
        <v>3.7908496732026262E-3</v>
      </c>
      <c r="H5" s="70"/>
    </row>
    <row r="6" spans="1:8" ht="15.5">
      <c r="A6" s="70" t="s">
        <v>91</v>
      </c>
      <c r="B6" s="70">
        <v>24.23</v>
      </c>
      <c r="C6" s="70">
        <v>27.09</v>
      </c>
      <c r="D6" s="70">
        <f t="shared" si="0"/>
        <v>2.8599999999999994</v>
      </c>
      <c r="E6" s="74">
        <f t="shared" si="1"/>
        <v>0.11803549319025998</v>
      </c>
      <c r="F6" s="85">
        <f t="shared" si="2"/>
        <v>1.288288288288288E-2</v>
      </c>
      <c r="G6" s="85">
        <f t="shared" si="3"/>
        <v>1.8692810457516335E-2</v>
      </c>
      <c r="H6" s="70"/>
    </row>
    <row r="7" spans="1:8" ht="15.5">
      <c r="A7" s="70">
        <v>59</v>
      </c>
      <c r="B7" s="70">
        <v>26.13</v>
      </c>
      <c r="C7" s="70">
        <v>27.05</v>
      </c>
      <c r="D7" s="70">
        <f t="shared" si="0"/>
        <v>0.92000000000000171</v>
      </c>
      <c r="E7" s="74">
        <f t="shared" si="1"/>
        <v>3.5208572522005425E-2</v>
      </c>
      <c r="F7" s="85">
        <f t="shared" si="2"/>
        <v>4.1441441441441521E-3</v>
      </c>
      <c r="G7" s="85">
        <f t="shared" si="3"/>
        <v>6.013071895424848E-3</v>
      </c>
      <c r="H7" s="70"/>
    </row>
    <row r="8" spans="1:8" ht="15.5">
      <c r="A8" s="70">
        <v>61</v>
      </c>
      <c r="B8" s="70">
        <v>25.27</v>
      </c>
      <c r="C8" s="70">
        <v>26.41</v>
      </c>
      <c r="D8" s="70">
        <f t="shared" si="0"/>
        <v>1.1400000000000006</v>
      </c>
      <c r="E8" s="74">
        <f t="shared" si="1"/>
        <v>4.5112781954887243E-2</v>
      </c>
      <c r="F8" s="85">
        <f t="shared" si="2"/>
        <v>5.1351351351351373E-3</v>
      </c>
      <c r="G8" s="85">
        <f t="shared" si="3"/>
        <v>7.4509803921568663E-3</v>
      </c>
      <c r="H8" s="70"/>
    </row>
    <row r="9" spans="1:8" ht="15.5">
      <c r="A9" s="70">
        <v>67</v>
      </c>
      <c r="B9" s="70">
        <v>24.68</v>
      </c>
      <c r="C9" s="70">
        <v>25.27</v>
      </c>
      <c r="D9" s="70">
        <f t="shared" si="0"/>
        <v>0.58999999999999986</v>
      </c>
      <c r="E9" s="74">
        <f t="shared" si="1"/>
        <v>2.3905996758508907E-2</v>
      </c>
      <c r="F9" s="85">
        <f t="shared" si="2"/>
        <v>2.657657657657657E-3</v>
      </c>
      <c r="G9" s="85">
        <f t="shared" si="3"/>
        <v>3.8562091503267963E-3</v>
      </c>
      <c r="H9" s="70"/>
    </row>
    <row r="10" spans="1:8" ht="15.5">
      <c r="A10" s="70">
        <v>74</v>
      </c>
      <c r="B10" s="70">
        <v>19.45</v>
      </c>
      <c r="C10" s="70">
        <v>20.11</v>
      </c>
      <c r="D10" s="70">
        <f t="shared" si="0"/>
        <v>0.66000000000000014</v>
      </c>
      <c r="E10" s="74">
        <f t="shared" si="1"/>
        <v>3.3933161953727517E-2</v>
      </c>
      <c r="F10" s="85">
        <f t="shared" si="2"/>
        <v>2.9729729729729734E-3</v>
      </c>
      <c r="G10" s="85">
        <f t="shared" si="3"/>
        <v>4.3137254901960791E-3</v>
      </c>
      <c r="H10" s="70"/>
    </row>
    <row r="11" spans="1:8" ht="15.5">
      <c r="A11" s="70">
        <v>79</v>
      </c>
      <c r="B11" s="70">
        <v>27.23</v>
      </c>
      <c r="C11" s="70">
        <v>28.25</v>
      </c>
      <c r="D11" s="70">
        <f t="shared" si="0"/>
        <v>1.0199999999999996</v>
      </c>
      <c r="E11" s="74">
        <f t="shared" si="1"/>
        <v>3.7458685273595284E-2</v>
      </c>
      <c r="F11" s="85">
        <f t="shared" si="2"/>
        <v>4.5945945945945928E-3</v>
      </c>
      <c r="G11" s="85">
        <f t="shared" si="3"/>
        <v>6.6666666666666636E-3</v>
      </c>
      <c r="H11" s="70"/>
    </row>
    <row r="12" spans="1:8" ht="15.5">
      <c r="A12" s="70">
        <v>87</v>
      </c>
      <c r="B12" s="70">
        <v>28.05</v>
      </c>
      <c r="C12" s="70">
        <v>28.68</v>
      </c>
      <c r="D12" s="70">
        <f t="shared" si="0"/>
        <v>0.62999999999999901</v>
      </c>
      <c r="E12" s="74">
        <f t="shared" si="1"/>
        <v>2.2459893048128305E-2</v>
      </c>
      <c r="F12" s="85">
        <f t="shared" si="2"/>
        <v>2.8378378378378336E-3</v>
      </c>
      <c r="G12" s="85">
        <f t="shared" si="3"/>
        <v>4.1176470588235228E-3</v>
      </c>
      <c r="H12" s="70"/>
    </row>
    <row r="13" spans="1:8" ht="15.5">
      <c r="A13" s="70">
        <v>89</v>
      </c>
      <c r="B13" s="70">
        <v>25.06</v>
      </c>
      <c r="C13" s="70">
        <v>25.7</v>
      </c>
      <c r="D13" s="70">
        <f t="shared" si="0"/>
        <v>0.64000000000000057</v>
      </c>
      <c r="E13" s="74">
        <f t="shared" si="1"/>
        <v>2.5538707102952939E-2</v>
      </c>
      <c r="F13" s="85">
        <f t="shared" si="2"/>
        <v>2.8828828828828855E-3</v>
      </c>
      <c r="G13" s="85">
        <f t="shared" si="3"/>
        <v>4.1830065359477163E-3</v>
      </c>
      <c r="H13" s="70"/>
    </row>
    <row r="14" spans="1:8" ht="15.5">
      <c r="A14" s="70">
        <v>93</v>
      </c>
      <c r="B14" s="70">
        <v>25.94</v>
      </c>
      <c r="C14" s="70">
        <v>26.49</v>
      </c>
      <c r="D14" s="70">
        <f t="shared" si="0"/>
        <v>0.54999999999999716</v>
      </c>
      <c r="E14" s="74">
        <f t="shared" si="1"/>
        <v>2.1202775636083158E-2</v>
      </c>
      <c r="F14" s="85">
        <f t="shared" si="2"/>
        <v>2.4774774774774647E-3</v>
      </c>
      <c r="G14" s="85">
        <f t="shared" si="3"/>
        <v>3.594771241830047E-3</v>
      </c>
      <c r="H14" s="7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/>
  </sheetViews>
  <sheetFormatPr defaultColWidth="14.453125" defaultRowHeight="15" customHeight="1"/>
  <cols>
    <col min="1" max="4" width="8.7265625" customWidth="1"/>
    <col min="5" max="5" width="12.54296875" customWidth="1"/>
    <col min="6" max="6" width="10.7265625" customWidth="1"/>
    <col min="7" max="26" width="8.7265625" customWidth="1"/>
  </cols>
  <sheetData>
    <row r="1" spans="1:13" ht="15.5">
      <c r="A1" s="58">
        <v>1</v>
      </c>
      <c r="J1" s="80" t="s">
        <v>9</v>
      </c>
    </row>
    <row r="2" spans="1:13" ht="15.5">
      <c r="B2" s="4" t="s">
        <v>92</v>
      </c>
      <c r="J2" s="86" t="s">
        <v>17</v>
      </c>
    </row>
    <row r="3" spans="1:13" ht="15.5">
      <c r="B3" s="67" t="s">
        <v>62</v>
      </c>
      <c r="C3" s="68"/>
      <c r="D3" s="68" t="s">
        <v>63</v>
      </c>
      <c r="E3" s="68"/>
      <c r="F3" s="68"/>
      <c r="G3" s="68"/>
      <c r="H3" s="68"/>
      <c r="I3" s="68"/>
      <c r="J3" s="87" t="s">
        <v>23</v>
      </c>
      <c r="K3" s="68"/>
    </row>
    <row r="4" spans="1:13" ht="15.5">
      <c r="B4" s="69" t="s">
        <v>93</v>
      </c>
      <c r="C4" s="68"/>
      <c r="D4" s="69"/>
      <c r="E4" s="68"/>
      <c r="F4" s="69"/>
      <c r="G4" s="69"/>
      <c r="H4" s="69" t="s">
        <v>65</v>
      </c>
      <c r="I4" s="68"/>
      <c r="J4" s="88" t="s">
        <v>26</v>
      </c>
      <c r="K4" s="68"/>
    </row>
    <row r="5" spans="1:13" ht="15.5">
      <c r="A5" s="58" t="s">
        <v>94</v>
      </c>
      <c r="B5" s="70" t="s">
        <v>66</v>
      </c>
      <c r="C5" s="70" t="s">
        <v>67</v>
      </c>
      <c r="D5" s="70" t="s">
        <v>68</v>
      </c>
      <c r="E5" s="70" t="s">
        <v>69</v>
      </c>
      <c r="F5" s="70" t="s">
        <v>70</v>
      </c>
      <c r="G5" s="70" t="s">
        <v>71</v>
      </c>
      <c r="H5" s="70" t="s">
        <v>72</v>
      </c>
      <c r="I5" s="70" t="s">
        <v>67</v>
      </c>
      <c r="J5" s="70" t="s">
        <v>68</v>
      </c>
      <c r="K5" s="70" t="s">
        <v>69</v>
      </c>
      <c r="L5" s="71" t="s">
        <v>70</v>
      </c>
      <c r="M5" s="70" t="s">
        <v>71</v>
      </c>
    </row>
    <row r="6" spans="1:13" ht="15.5">
      <c r="A6" s="58" t="s">
        <v>32</v>
      </c>
      <c r="B6" s="89">
        <v>101</v>
      </c>
      <c r="C6" s="70">
        <v>1.87</v>
      </c>
      <c r="D6" s="70">
        <v>3.63</v>
      </c>
      <c r="E6" s="70">
        <f t="shared" ref="E6:E83" si="0">D6-C6</f>
        <v>1.7599999999999998</v>
      </c>
      <c r="F6" s="73">
        <f t="shared" ref="F6:F83" si="1">E6/C6</f>
        <v>0.94117647058823517</v>
      </c>
      <c r="G6" s="74">
        <f t="shared" ref="G6:G83" si="2">E6/27</f>
        <v>6.5185185185185179E-2</v>
      </c>
      <c r="H6" s="89">
        <v>1</v>
      </c>
      <c r="I6" s="70">
        <v>12.26</v>
      </c>
      <c r="J6" s="70">
        <v>24.02</v>
      </c>
      <c r="K6" s="70">
        <f>J6-I6</f>
        <v>11.76</v>
      </c>
      <c r="L6" s="75">
        <f>K6/I6</f>
        <v>0.95921696574225124</v>
      </c>
      <c r="M6" s="74">
        <f>K6/153</f>
        <v>7.6862745098039212E-2</v>
      </c>
    </row>
    <row r="7" spans="1:13" ht="15.5">
      <c r="A7" s="58" t="s">
        <v>32</v>
      </c>
      <c r="B7" s="89">
        <v>102</v>
      </c>
      <c r="C7" s="70">
        <v>1.98</v>
      </c>
      <c r="D7" s="70">
        <v>3.76</v>
      </c>
      <c r="E7" s="70">
        <f t="shared" si="0"/>
        <v>1.7799999999999998</v>
      </c>
      <c r="F7" s="73">
        <f t="shared" si="1"/>
        <v>0.89898989898989889</v>
      </c>
      <c r="G7" s="74">
        <f t="shared" si="2"/>
        <v>6.5925925925925916E-2</v>
      </c>
      <c r="H7" s="89">
        <v>5</v>
      </c>
      <c r="I7" s="70"/>
      <c r="J7" s="70"/>
      <c r="K7" s="70"/>
      <c r="L7" s="75"/>
      <c r="M7" s="74"/>
    </row>
    <row r="8" spans="1:13" ht="15.5">
      <c r="A8" s="58" t="s">
        <v>32</v>
      </c>
      <c r="B8" s="89">
        <v>103</v>
      </c>
      <c r="C8" s="70">
        <v>2</v>
      </c>
      <c r="D8" s="70">
        <v>3.89</v>
      </c>
      <c r="E8" s="70">
        <f t="shared" si="0"/>
        <v>1.8900000000000001</v>
      </c>
      <c r="F8" s="73">
        <f t="shared" si="1"/>
        <v>0.94500000000000006</v>
      </c>
      <c r="G8" s="74">
        <f t="shared" si="2"/>
        <v>7.0000000000000007E-2</v>
      </c>
      <c r="H8" s="89">
        <v>51</v>
      </c>
      <c r="I8" s="70">
        <v>12.69</v>
      </c>
      <c r="J8" s="70">
        <v>23.88</v>
      </c>
      <c r="K8" s="70">
        <f t="shared" ref="K8:K25" si="3">J8-I8</f>
        <v>11.19</v>
      </c>
      <c r="L8" s="75">
        <f t="shared" ref="L8:L25" si="4">K8/I8</f>
        <v>0.88179669030732855</v>
      </c>
      <c r="M8" s="74">
        <f t="shared" ref="M8:M25" si="5">K8/153</f>
        <v>7.3137254901960783E-2</v>
      </c>
    </row>
    <row r="9" spans="1:13" ht="15.5">
      <c r="A9" s="58" t="s">
        <v>32</v>
      </c>
      <c r="B9" s="89">
        <v>104</v>
      </c>
      <c r="C9" s="70">
        <v>1.99</v>
      </c>
      <c r="D9" s="70">
        <v>3.76</v>
      </c>
      <c r="E9" s="70">
        <f t="shared" si="0"/>
        <v>1.7699999999999998</v>
      </c>
      <c r="F9" s="73">
        <f t="shared" si="1"/>
        <v>0.88944723618090438</v>
      </c>
      <c r="G9" s="74">
        <f t="shared" si="2"/>
        <v>6.5555555555555547E-2</v>
      </c>
      <c r="H9" s="89">
        <v>57</v>
      </c>
      <c r="I9" s="70">
        <v>12.29</v>
      </c>
      <c r="J9" s="70">
        <v>24.73</v>
      </c>
      <c r="K9" s="70">
        <f t="shared" si="3"/>
        <v>12.440000000000001</v>
      </c>
      <c r="L9" s="75">
        <f t="shared" si="4"/>
        <v>1.0122050447518309</v>
      </c>
      <c r="M9" s="74">
        <f t="shared" si="5"/>
        <v>8.1307189542483671E-2</v>
      </c>
    </row>
    <row r="10" spans="1:13" ht="15.5">
      <c r="A10" s="58" t="s">
        <v>32</v>
      </c>
      <c r="B10" s="89">
        <v>105</v>
      </c>
      <c r="C10" s="70">
        <v>2.08</v>
      </c>
      <c r="D10" s="70">
        <v>4.0199999999999996</v>
      </c>
      <c r="E10" s="70">
        <f t="shared" si="0"/>
        <v>1.9399999999999995</v>
      </c>
      <c r="F10" s="73">
        <f t="shared" si="1"/>
        <v>0.93269230769230738</v>
      </c>
      <c r="G10" s="74">
        <f t="shared" si="2"/>
        <v>7.1851851851851833E-2</v>
      </c>
      <c r="H10" s="89">
        <v>68</v>
      </c>
      <c r="I10" s="70">
        <v>13.51</v>
      </c>
      <c r="J10" s="70">
        <v>25.44</v>
      </c>
      <c r="K10" s="70">
        <f t="shared" si="3"/>
        <v>11.930000000000001</v>
      </c>
      <c r="L10" s="75">
        <f t="shared" si="4"/>
        <v>0.88304959289415264</v>
      </c>
      <c r="M10" s="74">
        <f t="shared" si="5"/>
        <v>7.797385620915033E-2</v>
      </c>
    </row>
    <row r="11" spans="1:13" ht="15.5">
      <c r="A11" s="58" t="s">
        <v>32</v>
      </c>
      <c r="B11" s="89">
        <v>291</v>
      </c>
      <c r="C11" s="70">
        <v>2.02</v>
      </c>
      <c r="D11" s="70">
        <v>3.94</v>
      </c>
      <c r="E11" s="70">
        <f t="shared" si="0"/>
        <v>1.92</v>
      </c>
      <c r="F11" s="73">
        <f t="shared" si="1"/>
        <v>0.95049504950495045</v>
      </c>
      <c r="G11" s="74">
        <f t="shared" si="2"/>
        <v>7.1111111111111111E-2</v>
      </c>
      <c r="H11" s="72">
        <v>6</v>
      </c>
      <c r="I11" s="70">
        <v>14.95</v>
      </c>
      <c r="J11" s="70">
        <v>27.62</v>
      </c>
      <c r="K11" s="70">
        <f t="shared" si="3"/>
        <v>12.670000000000002</v>
      </c>
      <c r="L11" s="75">
        <f t="shared" si="4"/>
        <v>0.84749163879598677</v>
      </c>
      <c r="M11" s="74">
        <f t="shared" si="5"/>
        <v>8.2810457516339878E-2</v>
      </c>
    </row>
    <row r="12" spans="1:13" ht="15.5">
      <c r="A12" s="58" t="s">
        <v>32</v>
      </c>
      <c r="B12" s="89">
        <v>292</v>
      </c>
      <c r="C12" s="70">
        <v>2.2400000000000002</v>
      </c>
      <c r="D12" s="70">
        <v>4.2699999999999996</v>
      </c>
      <c r="E12" s="70">
        <f t="shared" si="0"/>
        <v>2.0299999999999994</v>
      </c>
      <c r="F12" s="73">
        <f t="shared" si="1"/>
        <v>0.90624999999999967</v>
      </c>
      <c r="G12" s="74">
        <f t="shared" si="2"/>
        <v>7.518518518518516E-2</v>
      </c>
      <c r="H12" s="72">
        <v>9</v>
      </c>
      <c r="I12" s="70">
        <v>15.35</v>
      </c>
      <c r="J12" s="70">
        <v>28.75</v>
      </c>
      <c r="K12" s="70">
        <f t="shared" si="3"/>
        <v>13.4</v>
      </c>
      <c r="L12" s="75">
        <f t="shared" si="4"/>
        <v>0.87296416938110755</v>
      </c>
      <c r="M12" s="74">
        <f t="shared" si="5"/>
        <v>8.7581699346405237E-2</v>
      </c>
    </row>
    <row r="13" spans="1:13" ht="15.5">
      <c r="A13" s="58" t="s">
        <v>32</v>
      </c>
      <c r="B13" s="89">
        <v>293</v>
      </c>
      <c r="C13" s="70">
        <v>2.31</v>
      </c>
      <c r="D13" s="70">
        <v>4.37</v>
      </c>
      <c r="E13" s="70">
        <f t="shared" si="0"/>
        <v>2.06</v>
      </c>
      <c r="F13" s="73">
        <f t="shared" si="1"/>
        <v>0.89177489177489178</v>
      </c>
      <c r="G13" s="74">
        <f t="shared" si="2"/>
        <v>7.6296296296296293E-2</v>
      </c>
      <c r="H13" s="72">
        <v>45</v>
      </c>
      <c r="I13" s="70">
        <v>16.09</v>
      </c>
      <c r="J13" s="70">
        <v>29.51</v>
      </c>
      <c r="K13" s="70">
        <f t="shared" si="3"/>
        <v>13.420000000000002</v>
      </c>
      <c r="L13" s="75">
        <f t="shared" si="4"/>
        <v>0.83405842137973907</v>
      </c>
      <c r="M13" s="74">
        <f t="shared" si="5"/>
        <v>8.77124183006536E-2</v>
      </c>
    </row>
    <row r="14" spans="1:13" ht="15.5">
      <c r="A14" s="58" t="s">
        <v>32</v>
      </c>
      <c r="B14" s="89">
        <v>294</v>
      </c>
      <c r="C14" s="70">
        <v>2.0499999999999998</v>
      </c>
      <c r="D14" s="70">
        <v>3.76</v>
      </c>
      <c r="E14" s="70">
        <f t="shared" si="0"/>
        <v>1.71</v>
      </c>
      <c r="F14" s="73">
        <f t="shared" si="1"/>
        <v>0.83414634146341471</v>
      </c>
      <c r="G14" s="74">
        <f t="shared" si="2"/>
        <v>6.3333333333333339E-2</v>
      </c>
      <c r="H14" s="72">
        <v>48</v>
      </c>
      <c r="I14" s="70">
        <v>15.71</v>
      </c>
      <c r="J14" s="70">
        <v>28.95</v>
      </c>
      <c r="K14" s="70">
        <f t="shared" si="3"/>
        <v>13.239999999999998</v>
      </c>
      <c r="L14" s="75">
        <f t="shared" si="4"/>
        <v>0.84277530235518761</v>
      </c>
      <c r="M14" s="74">
        <f t="shared" si="5"/>
        <v>8.6535947712418293E-2</v>
      </c>
    </row>
    <row r="15" spans="1:13" ht="15.5">
      <c r="A15" s="58" t="s">
        <v>32</v>
      </c>
      <c r="B15" s="89">
        <v>295</v>
      </c>
      <c r="C15" s="70">
        <v>2.19</v>
      </c>
      <c r="D15" s="70">
        <v>4.12</v>
      </c>
      <c r="E15" s="70">
        <f t="shared" si="0"/>
        <v>1.9300000000000002</v>
      </c>
      <c r="F15" s="73">
        <f t="shared" si="1"/>
        <v>0.88127853881278551</v>
      </c>
      <c r="G15" s="74">
        <f t="shared" si="2"/>
        <v>7.1481481481481493E-2</v>
      </c>
      <c r="H15" s="72">
        <v>62</v>
      </c>
      <c r="I15" s="70">
        <v>15.76</v>
      </c>
      <c r="J15" s="70">
        <v>28.09</v>
      </c>
      <c r="K15" s="70">
        <f t="shared" si="3"/>
        <v>12.33</v>
      </c>
      <c r="L15" s="75">
        <f t="shared" si="4"/>
        <v>0.78236040609137059</v>
      </c>
      <c r="M15" s="74">
        <f t="shared" si="5"/>
        <v>8.0588235294117641E-2</v>
      </c>
    </row>
    <row r="16" spans="1:13" ht="15.5">
      <c r="A16" s="58" t="s">
        <v>32</v>
      </c>
      <c r="B16" s="89">
        <v>281</v>
      </c>
      <c r="C16" s="70">
        <v>2.19</v>
      </c>
      <c r="D16" s="70">
        <v>4.0199999999999996</v>
      </c>
      <c r="E16" s="70">
        <f t="shared" si="0"/>
        <v>1.8299999999999996</v>
      </c>
      <c r="F16" s="73">
        <f t="shared" si="1"/>
        <v>0.83561643835616428</v>
      </c>
      <c r="G16" s="74">
        <f t="shared" si="2"/>
        <v>6.777777777777777E-2</v>
      </c>
      <c r="H16" s="90">
        <v>17</v>
      </c>
      <c r="I16" s="70">
        <v>19.14</v>
      </c>
      <c r="J16" s="70">
        <v>31.15</v>
      </c>
      <c r="K16" s="70">
        <f t="shared" si="3"/>
        <v>12.009999999999998</v>
      </c>
      <c r="L16" s="75">
        <f t="shared" si="4"/>
        <v>0.62748171368861017</v>
      </c>
      <c r="M16" s="74">
        <f t="shared" si="5"/>
        <v>7.8496732026143781E-2</v>
      </c>
    </row>
    <row r="17" spans="1:13" ht="15.5">
      <c r="A17" s="58" t="s">
        <v>32</v>
      </c>
      <c r="B17" s="89">
        <v>282</v>
      </c>
      <c r="C17" s="70">
        <v>1.99</v>
      </c>
      <c r="D17" s="70">
        <v>3.71</v>
      </c>
      <c r="E17" s="70">
        <f t="shared" si="0"/>
        <v>1.72</v>
      </c>
      <c r="F17" s="73">
        <f t="shared" si="1"/>
        <v>0.86432160804020097</v>
      </c>
      <c r="G17" s="74">
        <f t="shared" si="2"/>
        <v>6.3703703703703707E-2</v>
      </c>
      <c r="H17" s="90">
        <v>71</v>
      </c>
      <c r="I17" s="70">
        <v>21.44</v>
      </c>
      <c r="J17" s="70">
        <v>33.31</v>
      </c>
      <c r="K17" s="70">
        <f t="shared" si="3"/>
        <v>11.870000000000001</v>
      </c>
      <c r="L17" s="75">
        <f t="shared" si="4"/>
        <v>0.5536380597014926</v>
      </c>
      <c r="M17" s="74">
        <f t="shared" si="5"/>
        <v>7.7581699346405242E-2</v>
      </c>
    </row>
    <row r="18" spans="1:13" ht="15.5">
      <c r="A18" s="58" t="s">
        <v>32</v>
      </c>
      <c r="B18" s="89">
        <v>283</v>
      </c>
      <c r="C18" s="70">
        <v>2.08</v>
      </c>
      <c r="D18" s="70">
        <v>3.77</v>
      </c>
      <c r="E18" s="70">
        <f t="shared" si="0"/>
        <v>1.69</v>
      </c>
      <c r="F18" s="73">
        <f t="shared" si="1"/>
        <v>0.8125</v>
      </c>
      <c r="G18" s="74">
        <f t="shared" si="2"/>
        <v>6.2592592592592589E-2</v>
      </c>
      <c r="H18" s="90">
        <v>35</v>
      </c>
      <c r="I18" s="70">
        <v>19.12</v>
      </c>
      <c r="J18" s="70">
        <v>31.3</v>
      </c>
      <c r="K18" s="70">
        <f t="shared" si="3"/>
        <v>12.18</v>
      </c>
      <c r="L18" s="75">
        <f t="shared" si="4"/>
        <v>0.63702928870292885</v>
      </c>
      <c r="M18" s="74">
        <f t="shared" si="5"/>
        <v>7.9607843137254899E-2</v>
      </c>
    </row>
    <row r="19" spans="1:13" ht="15.5">
      <c r="A19" s="58" t="s">
        <v>32</v>
      </c>
      <c r="B19" s="89">
        <v>284</v>
      </c>
      <c r="C19" s="70">
        <v>2.02</v>
      </c>
      <c r="D19" s="70">
        <v>3.76</v>
      </c>
      <c r="E19" s="70">
        <f t="shared" si="0"/>
        <v>1.7399999999999998</v>
      </c>
      <c r="F19" s="73">
        <f t="shared" si="1"/>
        <v>0.86138613861386126</v>
      </c>
      <c r="G19" s="74">
        <f t="shared" si="2"/>
        <v>6.4444444444444429E-2</v>
      </c>
      <c r="H19" s="90">
        <v>121</v>
      </c>
      <c r="I19" s="70">
        <v>20.81</v>
      </c>
      <c r="J19" s="70">
        <v>32.86</v>
      </c>
      <c r="K19" s="70">
        <f t="shared" si="3"/>
        <v>12.05</v>
      </c>
      <c r="L19" s="75">
        <f t="shared" si="4"/>
        <v>0.57904853435848158</v>
      </c>
      <c r="M19" s="74">
        <f t="shared" si="5"/>
        <v>7.8758169934640521E-2</v>
      </c>
    </row>
    <row r="20" spans="1:13" ht="15.5">
      <c r="A20" s="58" t="s">
        <v>32</v>
      </c>
      <c r="B20" s="89">
        <v>285</v>
      </c>
      <c r="C20" s="70">
        <v>2.0699999999999998</v>
      </c>
      <c r="D20" s="4">
        <v>3.83</v>
      </c>
      <c r="E20" s="70">
        <f t="shared" si="0"/>
        <v>1.7600000000000002</v>
      </c>
      <c r="F20" s="73">
        <f t="shared" si="1"/>
        <v>0.85024154589372003</v>
      </c>
      <c r="G20" s="74">
        <f t="shared" si="2"/>
        <v>6.5185185185185193E-2</v>
      </c>
      <c r="H20" s="90">
        <v>128</v>
      </c>
      <c r="I20" s="70">
        <v>20.78</v>
      </c>
      <c r="J20" s="70">
        <v>34.39</v>
      </c>
      <c r="K20" s="70">
        <f t="shared" si="3"/>
        <v>13.61</v>
      </c>
      <c r="L20" s="75">
        <f t="shared" si="4"/>
        <v>0.65495668912415783</v>
      </c>
      <c r="M20" s="74">
        <f t="shared" si="5"/>
        <v>8.8954248366013067E-2</v>
      </c>
    </row>
    <row r="21" spans="1:13" ht="15.75" customHeight="1">
      <c r="A21" s="58" t="s">
        <v>32</v>
      </c>
      <c r="B21" s="89">
        <v>321</v>
      </c>
      <c r="C21" s="70">
        <v>2.3199999999999998</v>
      </c>
      <c r="D21" s="70">
        <v>3.98</v>
      </c>
      <c r="E21" s="70">
        <f t="shared" si="0"/>
        <v>1.6600000000000001</v>
      </c>
      <c r="F21" s="73">
        <f t="shared" si="1"/>
        <v>0.7155172413793105</v>
      </c>
      <c r="G21" s="74">
        <f t="shared" si="2"/>
        <v>6.1481481481481484E-2</v>
      </c>
      <c r="H21" s="91">
        <v>23</v>
      </c>
      <c r="I21" s="70">
        <v>13.87</v>
      </c>
      <c r="J21" s="70">
        <v>27.88</v>
      </c>
      <c r="K21" s="70">
        <f t="shared" si="3"/>
        <v>14.01</v>
      </c>
      <c r="L21" s="75">
        <f t="shared" si="4"/>
        <v>1.0100937274693584</v>
      </c>
      <c r="M21" s="74">
        <f t="shared" si="5"/>
        <v>9.1568627450980392E-2</v>
      </c>
    </row>
    <row r="22" spans="1:13" ht="15.75" customHeight="1">
      <c r="A22" s="58" t="s">
        <v>32</v>
      </c>
      <c r="B22" s="89">
        <v>322</v>
      </c>
      <c r="C22" s="70">
        <v>2.25</v>
      </c>
      <c r="D22" s="70">
        <v>4.05</v>
      </c>
      <c r="E22" s="70">
        <f t="shared" si="0"/>
        <v>1.7999999999999998</v>
      </c>
      <c r="F22" s="73">
        <f t="shared" si="1"/>
        <v>0.79999999999999993</v>
      </c>
      <c r="G22" s="74">
        <f t="shared" si="2"/>
        <v>6.6666666666666666E-2</v>
      </c>
      <c r="H22" s="91">
        <v>29</v>
      </c>
      <c r="I22" s="70">
        <v>12.05</v>
      </c>
      <c r="J22" s="70">
        <v>25.85</v>
      </c>
      <c r="K22" s="70">
        <f t="shared" si="3"/>
        <v>13.8</v>
      </c>
      <c r="L22" s="75">
        <f t="shared" si="4"/>
        <v>1.1452282157676348</v>
      </c>
      <c r="M22" s="74">
        <f t="shared" si="5"/>
        <v>9.0196078431372548E-2</v>
      </c>
    </row>
    <row r="23" spans="1:13" ht="15.75" customHeight="1">
      <c r="A23" s="58" t="s">
        <v>32</v>
      </c>
      <c r="B23" s="89">
        <v>323</v>
      </c>
      <c r="C23" s="70">
        <v>2.2400000000000002</v>
      </c>
      <c r="D23" s="70">
        <v>4.16</v>
      </c>
      <c r="E23" s="70">
        <f t="shared" si="0"/>
        <v>1.92</v>
      </c>
      <c r="F23" s="73">
        <f t="shared" si="1"/>
        <v>0.85714285714285698</v>
      </c>
      <c r="G23" s="74">
        <f t="shared" si="2"/>
        <v>7.1111111111111111E-2</v>
      </c>
      <c r="H23" s="91">
        <v>41</v>
      </c>
      <c r="I23" s="70">
        <v>12.43</v>
      </c>
      <c r="J23" s="70">
        <v>25.79</v>
      </c>
      <c r="K23" s="70">
        <f t="shared" si="3"/>
        <v>13.36</v>
      </c>
      <c r="L23" s="75">
        <f t="shared" si="4"/>
        <v>1.074818986323411</v>
      </c>
      <c r="M23" s="74">
        <f t="shared" si="5"/>
        <v>8.7320261437908497E-2</v>
      </c>
    </row>
    <row r="24" spans="1:13" ht="15.75" customHeight="1">
      <c r="A24" s="58" t="s">
        <v>32</v>
      </c>
      <c r="B24" s="89">
        <v>324</v>
      </c>
      <c r="C24" s="70">
        <v>2.0299999999999998</v>
      </c>
      <c r="D24" s="70">
        <v>3.86</v>
      </c>
      <c r="E24" s="70">
        <f t="shared" si="0"/>
        <v>1.83</v>
      </c>
      <c r="F24" s="73">
        <f t="shared" si="1"/>
        <v>0.90147783251231539</v>
      </c>
      <c r="G24" s="74">
        <f t="shared" si="2"/>
        <v>6.7777777777777784E-2</v>
      </c>
      <c r="H24" s="91">
        <v>15</v>
      </c>
      <c r="I24" s="70">
        <v>13.16</v>
      </c>
      <c r="J24" s="70">
        <v>25.42</v>
      </c>
      <c r="K24" s="70">
        <f t="shared" si="3"/>
        <v>12.260000000000002</v>
      </c>
      <c r="L24" s="75">
        <f t="shared" si="4"/>
        <v>0.93161094224924024</v>
      </c>
      <c r="M24" s="74">
        <f t="shared" si="5"/>
        <v>8.0130718954248378E-2</v>
      </c>
    </row>
    <row r="25" spans="1:13" ht="15.75" customHeight="1">
      <c r="A25" s="58" t="s">
        <v>32</v>
      </c>
      <c r="B25" s="89">
        <v>325</v>
      </c>
      <c r="C25" s="70">
        <v>2.38</v>
      </c>
      <c r="D25" s="70">
        <v>4.3600000000000003</v>
      </c>
      <c r="E25" s="70">
        <f t="shared" si="0"/>
        <v>1.9800000000000004</v>
      </c>
      <c r="F25" s="73">
        <f t="shared" si="1"/>
        <v>0.83193277310924396</v>
      </c>
      <c r="G25" s="74">
        <f t="shared" si="2"/>
        <v>7.3333333333333348E-2</v>
      </c>
      <c r="H25" s="91">
        <v>112</v>
      </c>
      <c r="I25" s="70">
        <v>13.08</v>
      </c>
      <c r="J25" s="70">
        <v>23.97</v>
      </c>
      <c r="K25" s="70">
        <f t="shared" si="3"/>
        <v>10.889999999999999</v>
      </c>
      <c r="L25" s="75">
        <f t="shared" si="4"/>
        <v>0.83256880733944949</v>
      </c>
      <c r="M25" s="74">
        <f t="shared" si="5"/>
        <v>7.1176470588235285E-2</v>
      </c>
    </row>
    <row r="26" spans="1:13" ht="15.75" customHeight="1">
      <c r="A26" s="58" t="s">
        <v>33</v>
      </c>
      <c r="B26" s="72">
        <v>201</v>
      </c>
      <c r="C26" s="70">
        <v>2.73</v>
      </c>
      <c r="D26" s="4">
        <v>4.96</v>
      </c>
      <c r="E26" s="70">
        <f t="shared" si="0"/>
        <v>2.23</v>
      </c>
      <c r="F26" s="73">
        <f t="shared" si="1"/>
        <v>0.81684981684981683</v>
      </c>
      <c r="G26" s="74">
        <f t="shared" si="2"/>
        <v>8.2592592592592592E-2</v>
      </c>
      <c r="H26" s="70"/>
      <c r="I26" s="70"/>
      <c r="J26" s="70"/>
      <c r="K26" s="68"/>
    </row>
    <row r="27" spans="1:13" ht="15.75" customHeight="1">
      <c r="A27" s="58" t="s">
        <v>33</v>
      </c>
      <c r="B27" s="72">
        <v>202</v>
      </c>
      <c r="C27" s="70">
        <v>2.65</v>
      </c>
      <c r="D27" s="4">
        <v>4.8899999999999997</v>
      </c>
      <c r="E27" s="70">
        <f t="shared" si="0"/>
        <v>2.2399999999999998</v>
      </c>
      <c r="F27" s="73">
        <f t="shared" si="1"/>
        <v>0.84528301886792445</v>
      </c>
      <c r="G27" s="74">
        <f t="shared" si="2"/>
        <v>8.2962962962962961E-2</v>
      </c>
      <c r="H27" s="70"/>
      <c r="I27" s="70"/>
      <c r="J27" s="70"/>
      <c r="K27" s="68"/>
    </row>
    <row r="28" spans="1:13" ht="15.75" customHeight="1">
      <c r="A28" s="58" t="s">
        <v>33</v>
      </c>
      <c r="B28" s="72">
        <v>203</v>
      </c>
      <c r="C28" s="70">
        <v>2.7</v>
      </c>
      <c r="D28" s="70">
        <v>4.92</v>
      </c>
      <c r="E28" s="70">
        <f t="shared" si="0"/>
        <v>2.2199999999999998</v>
      </c>
      <c r="F28" s="73">
        <f t="shared" si="1"/>
        <v>0.82222222222222208</v>
      </c>
      <c r="G28" s="74">
        <f t="shared" si="2"/>
        <v>8.222222222222221E-2</v>
      </c>
      <c r="H28" s="70"/>
      <c r="I28" s="70"/>
      <c r="J28" s="70"/>
      <c r="K28" s="68"/>
    </row>
    <row r="29" spans="1:13" ht="15.75" customHeight="1">
      <c r="A29" s="58" t="s">
        <v>33</v>
      </c>
      <c r="B29" s="72">
        <v>204</v>
      </c>
      <c r="C29" s="70">
        <v>2.64</v>
      </c>
      <c r="D29" s="70">
        <v>4.82</v>
      </c>
      <c r="E29" s="70">
        <f t="shared" si="0"/>
        <v>2.1800000000000002</v>
      </c>
      <c r="F29" s="73">
        <f t="shared" si="1"/>
        <v>0.8257575757575758</v>
      </c>
      <c r="G29" s="74">
        <f t="shared" si="2"/>
        <v>8.0740740740740752E-2</v>
      </c>
      <c r="H29" s="70"/>
      <c r="I29" s="70"/>
      <c r="J29" s="70"/>
      <c r="K29" s="68"/>
    </row>
    <row r="30" spans="1:13" ht="15.75" customHeight="1">
      <c r="A30" s="58" t="s">
        <v>33</v>
      </c>
      <c r="B30" s="72">
        <v>205</v>
      </c>
      <c r="C30" s="70">
        <v>2.59</v>
      </c>
      <c r="D30" s="70">
        <v>4.8</v>
      </c>
      <c r="E30" s="70">
        <f t="shared" si="0"/>
        <v>2.21</v>
      </c>
      <c r="F30" s="73">
        <f t="shared" si="1"/>
        <v>0.85328185328185335</v>
      </c>
      <c r="G30" s="74">
        <f t="shared" si="2"/>
        <v>8.1851851851851856E-2</v>
      </c>
      <c r="H30" s="70"/>
      <c r="I30" s="70"/>
      <c r="J30" s="70"/>
      <c r="K30" s="68"/>
    </row>
    <row r="31" spans="1:13" ht="15.75" customHeight="1">
      <c r="A31" s="58" t="s">
        <v>33</v>
      </c>
      <c r="B31" s="72">
        <v>316</v>
      </c>
      <c r="C31" s="70">
        <v>2.71</v>
      </c>
      <c r="D31" s="70">
        <v>4.88</v>
      </c>
      <c r="E31" s="70">
        <f t="shared" si="0"/>
        <v>2.17</v>
      </c>
      <c r="F31" s="73">
        <f t="shared" si="1"/>
        <v>0.80073800738007384</v>
      </c>
      <c r="G31" s="74">
        <f t="shared" si="2"/>
        <v>8.037037037037037E-2</v>
      </c>
      <c r="H31" s="70"/>
      <c r="I31" s="70"/>
      <c r="J31" s="70"/>
      <c r="K31" s="68"/>
    </row>
    <row r="32" spans="1:13" ht="15.75" customHeight="1">
      <c r="A32" s="58" t="s">
        <v>33</v>
      </c>
      <c r="B32" s="72">
        <v>317</v>
      </c>
      <c r="C32" s="70">
        <v>2.72</v>
      </c>
      <c r="D32" s="70">
        <v>4.88</v>
      </c>
      <c r="E32" s="70">
        <f t="shared" si="0"/>
        <v>2.1599999999999997</v>
      </c>
      <c r="F32" s="73">
        <f t="shared" si="1"/>
        <v>0.79411764705882337</v>
      </c>
      <c r="G32" s="74">
        <f t="shared" si="2"/>
        <v>7.9999999999999988E-2</v>
      </c>
      <c r="H32" s="70"/>
      <c r="I32" s="70"/>
      <c r="J32" s="70"/>
      <c r="K32" s="68"/>
    </row>
    <row r="33" spans="1:12" ht="15.75" customHeight="1">
      <c r="A33" s="58" t="s">
        <v>33</v>
      </c>
      <c r="B33" s="72">
        <v>318</v>
      </c>
      <c r="C33" s="70">
        <v>2.79</v>
      </c>
      <c r="D33" s="70">
        <v>4.96</v>
      </c>
      <c r="E33" s="70">
        <f t="shared" si="0"/>
        <v>2.17</v>
      </c>
      <c r="F33" s="73">
        <f t="shared" si="1"/>
        <v>0.77777777777777779</v>
      </c>
      <c r="G33" s="74">
        <f t="shared" si="2"/>
        <v>8.037037037037037E-2</v>
      </c>
      <c r="H33" s="70"/>
      <c r="I33" s="70"/>
      <c r="J33" s="70"/>
      <c r="K33" s="68"/>
    </row>
    <row r="34" spans="1:12" ht="15.75" customHeight="1">
      <c r="A34" s="58" t="s">
        <v>33</v>
      </c>
      <c r="B34" s="72">
        <v>319</v>
      </c>
      <c r="C34" s="70">
        <v>2.83</v>
      </c>
      <c r="D34" s="70">
        <v>5.0199999999999996</v>
      </c>
      <c r="E34" s="70">
        <f t="shared" si="0"/>
        <v>2.1899999999999995</v>
      </c>
      <c r="F34" s="73">
        <f t="shared" si="1"/>
        <v>0.7738515901060069</v>
      </c>
      <c r="G34" s="74">
        <f t="shared" si="2"/>
        <v>8.1111111111111092E-2</v>
      </c>
      <c r="H34" s="70"/>
      <c r="I34" s="70"/>
      <c r="J34" s="70"/>
      <c r="K34" s="68"/>
    </row>
    <row r="35" spans="1:12" ht="15.75" customHeight="1">
      <c r="A35" s="58" t="s">
        <v>33</v>
      </c>
      <c r="B35" s="72">
        <v>320</v>
      </c>
      <c r="C35" s="70">
        <v>2.82</v>
      </c>
      <c r="D35" s="70">
        <v>5.0599999999999996</v>
      </c>
      <c r="E35" s="70">
        <f t="shared" si="0"/>
        <v>2.2399999999999998</v>
      </c>
      <c r="F35" s="73">
        <f t="shared" si="1"/>
        <v>0.7943262411347517</v>
      </c>
      <c r="G35" s="74">
        <f t="shared" si="2"/>
        <v>8.2962962962962961E-2</v>
      </c>
      <c r="H35" s="70"/>
      <c r="I35" s="70"/>
      <c r="J35" s="70"/>
      <c r="K35" s="68"/>
    </row>
    <row r="36" spans="1:12" ht="15.75" customHeight="1">
      <c r="A36" s="58" t="s">
        <v>33</v>
      </c>
      <c r="B36" s="72">
        <v>271</v>
      </c>
      <c r="C36" s="70">
        <v>2.82</v>
      </c>
      <c r="D36" s="70">
        <v>5.07</v>
      </c>
      <c r="E36" s="70">
        <f t="shared" si="0"/>
        <v>2.2500000000000004</v>
      </c>
      <c r="F36" s="73">
        <f t="shared" si="1"/>
        <v>0.79787234042553212</v>
      </c>
      <c r="G36" s="74">
        <f t="shared" si="2"/>
        <v>8.3333333333333356E-2</v>
      </c>
      <c r="H36" s="70"/>
      <c r="I36" s="70"/>
      <c r="J36" s="70"/>
      <c r="K36" s="69"/>
      <c r="L36" s="4"/>
    </row>
    <row r="37" spans="1:12" ht="15.75" customHeight="1">
      <c r="A37" s="58" t="s">
        <v>33</v>
      </c>
      <c r="B37" s="72">
        <v>272</v>
      </c>
      <c r="C37" s="70">
        <v>2.8</v>
      </c>
      <c r="D37" s="70">
        <v>5.08</v>
      </c>
      <c r="E37" s="70">
        <f t="shared" si="0"/>
        <v>2.2800000000000002</v>
      </c>
      <c r="F37" s="73">
        <f t="shared" si="1"/>
        <v>0.81428571428571439</v>
      </c>
      <c r="G37" s="74">
        <f t="shared" si="2"/>
        <v>8.4444444444444447E-2</v>
      </c>
      <c r="H37" s="70"/>
      <c r="I37" s="70"/>
      <c r="J37" s="70"/>
      <c r="K37" s="68"/>
    </row>
    <row r="38" spans="1:12" ht="15.75" customHeight="1">
      <c r="A38" s="58" t="s">
        <v>33</v>
      </c>
      <c r="B38" s="72">
        <v>273</v>
      </c>
      <c r="C38" s="70">
        <v>2.78</v>
      </c>
      <c r="D38" s="70">
        <v>4.96</v>
      </c>
      <c r="E38" s="70">
        <f t="shared" si="0"/>
        <v>2.1800000000000002</v>
      </c>
      <c r="F38" s="73">
        <f t="shared" si="1"/>
        <v>0.78417266187050372</v>
      </c>
      <c r="G38" s="74">
        <f t="shared" si="2"/>
        <v>8.0740740740740752E-2</v>
      </c>
      <c r="H38" s="70"/>
      <c r="I38" s="70"/>
      <c r="J38" s="70"/>
      <c r="K38" s="68"/>
    </row>
    <row r="39" spans="1:12" ht="15.75" customHeight="1">
      <c r="A39" s="58" t="s">
        <v>33</v>
      </c>
      <c r="B39" s="72">
        <v>274</v>
      </c>
      <c r="C39" s="70">
        <v>2.67</v>
      </c>
      <c r="D39" s="70">
        <v>4.83</v>
      </c>
      <c r="E39" s="70">
        <f t="shared" si="0"/>
        <v>2.16</v>
      </c>
      <c r="F39" s="73">
        <f t="shared" si="1"/>
        <v>0.80898876404494391</v>
      </c>
      <c r="G39" s="74">
        <f t="shared" si="2"/>
        <v>0.08</v>
      </c>
      <c r="H39" s="70"/>
      <c r="I39" s="70"/>
      <c r="J39" s="70"/>
      <c r="K39" s="68"/>
    </row>
    <row r="40" spans="1:12" ht="15.75" customHeight="1">
      <c r="A40" s="58" t="s">
        <v>33</v>
      </c>
      <c r="B40" s="72">
        <v>275</v>
      </c>
      <c r="C40" s="70">
        <v>2.76</v>
      </c>
      <c r="D40" s="70">
        <v>4.8899999999999997</v>
      </c>
      <c r="E40" s="70">
        <f t="shared" si="0"/>
        <v>2.13</v>
      </c>
      <c r="F40" s="73">
        <f t="shared" si="1"/>
        <v>0.77173913043478259</v>
      </c>
      <c r="G40" s="74">
        <f t="shared" si="2"/>
        <v>7.8888888888888883E-2</v>
      </c>
      <c r="H40" s="70"/>
      <c r="I40" s="70"/>
      <c r="J40" s="70"/>
    </row>
    <row r="41" spans="1:12" ht="15.75" customHeight="1">
      <c r="A41" s="58" t="s">
        <v>33</v>
      </c>
      <c r="B41" s="72">
        <v>266</v>
      </c>
      <c r="C41" s="70">
        <v>2.8</v>
      </c>
      <c r="D41" s="70">
        <v>4.9800000000000004</v>
      </c>
      <c r="E41" s="70">
        <f t="shared" si="0"/>
        <v>2.1800000000000006</v>
      </c>
      <c r="F41" s="73">
        <f t="shared" si="1"/>
        <v>0.7785714285714288</v>
      </c>
      <c r="G41" s="74">
        <f t="shared" si="2"/>
        <v>8.0740740740740766E-2</v>
      </c>
      <c r="H41" s="70"/>
      <c r="I41" s="70"/>
      <c r="J41" s="70"/>
    </row>
    <row r="42" spans="1:12" ht="15.75" customHeight="1">
      <c r="A42" s="58" t="s">
        <v>33</v>
      </c>
      <c r="B42" s="72">
        <v>267</v>
      </c>
      <c r="C42" s="70">
        <v>2.79</v>
      </c>
      <c r="D42" s="70">
        <v>4.9800000000000004</v>
      </c>
      <c r="E42" s="70">
        <f t="shared" si="0"/>
        <v>2.1900000000000004</v>
      </c>
      <c r="F42" s="73">
        <f t="shared" si="1"/>
        <v>0.78494623655913986</v>
      </c>
      <c r="G42" s="74">
        <f t="shared" si="2"/>
        <v>8.111111111111112E-2</v>
      </c>
      <c r="H42" s="70"/>
      <c r="I42" s="70"/>
      <c r="J42" s="70"/>
    </row>
    <row r="43" spans="1:12" ht="15.75" customHeight="1">
      <c r="A43" s="58" t="s">
        <v>33</v>
      </c>
      <c r="B43" s="72">
        <v>268</v>
      </c>
      <c r="C43" s="70">
        <v>2.7</v>
      </c>
      <c r="D43" s="70">
        <v>4.87</v>
      </c>
      <c r="E43" s="70">
        <f t="shared" si="0"/>
        <v>2.17</v>
      </c>
      <c r="F43" s="73">
        <f t="shared" si="1"/>
        <v>0.80370370370370359</v>
      </c>
      <c r="G43" s="74">
        <f t="shared" si="2"/>
        <v>8.037037037037037E-2</v>
      </c>
      <c r="H43" s="70"/>
      <c r="I43" s="70"/>
      <c r="J43" s="70"/>
    </row>
    <row r="44" spans="1:12" ht="15.75" customHeight="1">
      <c r="A44" s="58" t="s">
        <v>35</v>
      </c>
      <c r="B44" s="90">
        <v>166</v>
      </c>
      <c r="C44" s="70">
        <v>3.35</v>
      </c>
      <c r="D44" s="70">
        <v>5.36</v>
      </c>
      <c r="E44" s="70">
        <f t="shared" si="0"/>
        <v>2.0100000000000002</v>
      </c>
      <c r="F44" s="73">
        <f t="shared" si="1"/>
        <v>0.60000000000000009</v>
      </c>
      <c r="G44" s="74">
        <f t="shared" si="2"/>
        <v>7.4444444444444452E-2</v>
      </c>
      <c r="H44" s="70"/>
      <c r="I44" s="70"/>
      <c r="J44" s="70"/>
      <c r="K44" s="68"/>
    </row>
    <row r="45" spans="1:12" ht="15.75" customHeight="1">
      <c r="A45" s="58" t="s">
        <v>35</v>
      </c>
      <c r="B45" s="90">
        <v>167</v>
      </c>
      <c r="C45" s="70">
        <v>3.49</v>
      </c>
      <c r="D45" s="70">
        <v>5.5</v>
      </c>
      <c r="E45" s="70">
        <f t="shared" si="0"/>
        <v>2.0099999999999998</v>
      </c>
      <c r="F45" s="73">
        <f t="shared" si="1"/>
        <v>0.5759312320916905</v>
      </c>
      <c r="G45" s="74">
        <f t="shared" si="2"/>
        <v>7.4444444444444438E-2</v>
      </c>
      <c r="H45" s="70"/>
      <c r="I45" s="70"/>
      <c r="J45" s="70"/>
      <c r="K45" s="68"/>
    </row>
    <row r="46" spans="1:12" ht="15.75" customHeight="1">
      <c r="A46" s="58" t="s">
        <v>35</v>
      </c>
      <c r="B46" s="90">
        <v>168</v>
      </c>
      <c r="C46" s="70">
        <v>3.39</v>
      </c>
      <c r="D46" s="70">
        <v>5.4</v>
      </c>
      <c r="E46" s="70">
        <f t="shared" si="0"/>
        <v>2.0100000000000002</v>
      </c>
      <c r="F46" s="73">
        <f t="shared" si="1"/>
        <v>0.59292035398230092</v>
      </c>
      <c r="G46" s="74">
        <f t="shared" si="2"/>
        <v>7.4444444444444452E-2</v>
      </c>
      <c r="H46" s="70"/>
      <c r="I46" s="70"/>
      <c r="J46" s="70"/>
      <c r="K46" s="68"/>
    </row>
    <row r="47" spans="1:12" ht="15.75" customHeight="1">
      <c r="A47" s="58" t="s">
        <v>35</v>
      </c>
      <c r="B47" s="90">
        <v>169</v>
      </c>
      <c r="C47" s="70">
        <v>3.41</v>
      </c>
      <c r="D47" s="70">
        <v>5.52</v>
      </c>
      <c r="E47" s="70">
        <f t="shared" si="0"/>
        <v>2.1099999999999994</v>
      </c>
      <c r="F47" s="73">
        <f t="shared" si="1"/>
        <v>0.61876832844574758</v>
      </c>
      <c r="G47" s="74">
        <f t="shared" si="2"/>
        <v>7.8148148148148133E-2</v>
      </c>
      <c r="H47" s="70"/>
      <c r="I47" s="70"/>
      <c r="J47" s="70"/>
      <c r="K47" s="68"/>
    </row>
    <row r="48" spans="1:12" ht="15.75" customHeight="1">
      <c r="A48" s="58" t="s">
        <v>35</v>
      </c>
      <c r="B48" s="90">
        <v>170</v>
      </c>
      <c r="C48" s="70">
        <v>3.37</v>
      </c>
      <c r="D48" s="70">
        <v>5.41</v>
      </c>
      <c r="E48" s="70">
        <f t="shared" si="0"/>
        <v>2.04</v>
      </c>
      <c r="F48" s="73">
        <f t="shared" si="1"/>
        <v>0.60534124629080122</v>
      </c>
      <c r="G48" s="74">
        <f t="shared" si="2"/>
        <v>7.5555555555555556E-2</v>
      </c>
      <c r="H48" s="70"/>
      <c r="I48" s="70"/>
      <c r="J48" s="70"/>
      <c r="K48" s="68"/>
    </row>
    <row r="49" spans="1:11" ht="15.75" customHeight="1">
      <c r="A49" s="58" t="s">
        <v>35</v>
      </c>
      <c r="B49" s="90">
        <v>241</v>
      </c>
      <c r="C49" s="70">
        <v>3.48</v>
      </c>
      <c r="D49" s="70">
        <v>5.49</v>
      </c>
      <c r="E49" s="70">
        <f t="shared" si="0"/>
        <v>2.0100000000000002</v>
      </c>
      <c r="F49" s="73">
        <f t="shared" si="1"/>
        <v>0.57758620689655182</v>
      </c>
      <c r="G49" s="74">
        <f t="shared" si="2"/>
        <v>7.4444444444444452E-2</v>
      </c>
      <c r="H49" s="70"/>
      <c r="I49" s="70"/>
      <c r="J49" s="70"/>
      <c r="K49" s="68"/>
    </row>
    <row r="50" spans="1:11" ht="15.75" customHeight="1">
      <c r="A50" s="58" t="s">
        <v>35</v>
      </c>
      <c r="B50" s="90">
        <v>242</v>
      </c>
      <c r="C50" s="70">
        <v>3.63</v>
      </c>
      <c r="D50" s="70">
        <v>5.68</v>
      </c>
      <c r="E50" s="70">
        <f t="shared" si="0"/>
        <v>2.0499999999999998</v>
      </c>
      <c r="F50" s="73">
        <f t="shared" si="1"/>
        <v>0.56473829201101922</v>
      </c>
      <c r="G50" s="74">
        <f t="shared" si="2"/>
        <v>7.5925925925925924E-2</v>
      </c>
      <c r="H50" s="70"/>
      <c r="I50" s="70"/>
      <c r="J50" s="70"/>
      <c r="K50" s="68"/>
    </row>
    <row r="51" spans="1:11" ht="15.75" customHeight="1">
      <c r="A51" s="58" t="s">
        <v>35</v>
      </c>
      <c r="B51" s="90">
        <v>243</v>
      </c>
      <c r="C51" s="70">
        <v>3.61</v>
      </c>
      <c r="D51" s="70">
        <v>5.6</v>
      </c>
      <c r="E51" s="70">
        <f t="shared" si="0"/>
        <v>1.9899999999999998</v>
      </c>
      <c r="F51" s="73">
        <f t="shared" si="1"/>
        <v>0.55124653739612184</v>
      </c>
      <c r="G51" s="74">
        <f t="shared" si="2"/>
        <v>7.3703703703703702E-2</v>
      </c>
      <c r="H51" s="70"/>
      <c r="I51" s="70"/>
      <c r="J51" s="70"/>
      <c r="K51" s="68"/>
    </row>
    <row r="52" spans="1:11" ht="15.75" customHeight="1">
      <c r="A52" s="58" t="s">
        <v>35</v>
      </c>
      <c r="B52" s="90">
        <v>244</v>
      </c>
      <c r="C52" s="70">
        <v>3.64</v>
      </c>
      <c r="D52" s="70">
        <v>5.49</v>
      </c>
      <c r="E52" s="70">
        <f t="shared" si="0"/>
        <v>1.85</v>
      </c>
      <c r="F52" s="73">
        <f t="shared" si="1"/>
        <v>0.50824175824175821</v>
      </c>
      <c r="G52" s="74">
        <f t="shared" si="2"/>
        <v>6.851851851851852E-2</v>
      </c>
      <c r="H52" s="70"/>
      <c r="I52" s="70"/>
      <c r="J52" s="70"/>
      <c r="K52" s="68"/>
    </row>
    <row r="53" spans="1:11" ht="15.75" customHeight="1">
      <c r="A53" s="58" t="s">
        <v>35</v>
      </c>
      <c r="B53" s="90">
        <v>245</v>
      </c>
      <c r="C53" s="70">
        <v>3.53</v>
      </c>
      <c r="D53" s="70">
        <v>5.56</v>
      </c>
      <c r="E53" s="70">
        <f t="shared" si="0"/>
        <v>2.0299999999999998</v>
      </c>
      <c r="F53" s="73">
        <f t="shared" si="1"/>
        <v>0.57507082152974498</v>
      </c>
      <c r="G53" s="74">
        <f t="shared" si="2"/>
        <v>7.5185185185185174E-2</v>
      </c>
      <c r="H53" s="70"/>
      <c r="I53" s="70"/>
      <c r="J53" s="70"/>
      <c r="K53" s="68"/>
    </row>
    <row r="54" spans="1:11" ht="15.75" customHeight="1">
      <c r="A54" s="58" t="s">
        <v>35</v>
      </c>
      <c r="B54" s="90">
        <v>341</v>
      </c>
      <c r="C54" s="70">
        <v>3.46</v>
      </c>
      <c r="D54" s="70">
        <v>5.32</v>
      </c>
      <c r="E54" s="70">
        <f t="shared" si="0"/>
        <v>1.8600000000000003</v>
      </c>
      <c r="F54" s="73">
        <f t="shared" si="1"/>
        <v>0.53757225433526024</v>
      </c>
      <c r="G54" s="74">
        <f t="shared" si="2"/>
        <v>6.8888888888888902E-2</v>
      </c>
      <c r="H54" s="70"/>
      <c r="I54" s="70"/>
      <c r="J54" s="70"/>
      <c r="K54" s="68"/>
    </row>
    <row r="55" spans="1:11" ht="15.75" customHeight="1">
      <c r="A55" s="58" t="s">
        <v>35</v>
      </c>
      <c r="B55" s="90">
        <v>342</v>
      </c>
      <c r="C55" s="70">
        <v>3.57</v>
      </c>
      <c r="D55" s="70">
        <v>5.56</v>
      </c>
      <c r="E55" s="70">
        <f t="shared" si="0"/>
        <v>1.9899999999999998</v>
      </c>
      <c r="F55" s="73">
        <f t="shared" si="1"/>
        <v>0.55742296918767498</v>
      </c>
      <c r="G55" s="74">
        <f t="shared" si="2"/>
        <v>7.3703703703703702E-2</v>
      </c>
      <c r="H55" s="70"/>
      <c r="I55" s="70"/>
      <c r="J55" s="70"/>
      <c r="K55" s="68"/>
    </row>
    <row r="56" spans="1:11" ht="15.75" customHeight="1">
      <c r="A56" s="58" t="s">
        <v>35</v>
      </c>
      <c r="B56" s="90">
        <v>343</v>
      </c>
      <c r="C56" s="70">
        <v>3.7</v>
      </c>
      <c r="D56" s="70">
        <v>5.64</v>
      </c>
      <c r="E56" s="70">
        <f t="shared" si="0"/>
        <v>1.9399999999999995</v>
      </c>
      <c r="F56" s="73">
        <f t="shared" si="1"/>
        <v>0.52432432432432419</v>
      </c>
      <c r="G56" s="74">
        <f t="shared" si="2"/>
        <v>7.1851851851851833E-2</v>
      </c>
      <c r="H56" s="70"/>
      <c r="I56" s="70"/>
      <c r="J56" s="70"/>
      <c r="K56" s="68"/>
    </row>
    <row r="57" spans="1:11" ht="15.75" customHeight="1">
      <c r="A57" s="58" t="s">
        <v>35</v>
      </c>
      <c r="B57" s="90">
        <v>344</v>
      </c>
      <c r="C57" s="70">
        <v>3.77</v>
      </c>
      <c r="D57" s="70">
        <v>5.75</v>
      </c>
      <c r="E57" s="70">
        <f t="shared" si="0"/>
        <v>1.98</v>
      </c>
      <c r="F57" s="73">
        <f t="shared" si="1"/>
        <v>0.5251989389920424</v>
      </c>
      <c r="G57" s="74">
        <f t="shared" si="2"/>
        <v>7.3333333333333334E-2</v>
      </c>
      <c r="H57" s="70"/>
      <c r="I57" s="70"/>
      <c r="J57" s="70"/>
      <c r="K57" s="69"/>
    </row>
    <row r="58" spans="1:11" ht="15.75" customHeight="1">
      <c r="A58" s="58" t="s">
        <v>35</v>
      </c>
      <c r="B58" s="90">
        <v>345</v>
      </c>
      <c r="C58" s="70">
        <v>3.76</v>
      </c>
      <c r="D58" s="70">
        <v>5.77</v>
      </c>
      <c r="E58" s="70">
        <f t="shared" si="0"/>
        <v>2.0099999999999998</v>
      </c>
      <c r="F58" s="73">
        <f t="shared" si="1"/>
        <v>0.53457446808510634</v>
      </c>
      <c r="G58" s="74">
        <f t="shared" si="2"/>
        <v>7.4444444444444438E-2</v>
      </c>
      <c r="H58" s="70"/>
      <c r="I58" s="70"/>
      <c r="J58" s="70"/>
      <c r="K58" s="68"/>
    </row>
    <row r="59" spans="1:11" ht="15.75" customHeight="1">
      <c r="A59" s="58" t="s">
        <v>35</v>
      </c>
      <c r="B59" s="90">
        <v>56</v>
      </c>
      <c r="C59" s="70">
        <v>3.68</v>
      </c>
      <c r="D59" s="70">
        <v>5.71</v>
      </c>
      <c r="E59" s="70">
        <f t="shared" si="0"/>
        <v>2.0299999999999998</v>
      </c>
      <c r="F59" s="73">
        <f t="shared" si="1"/>
        <v>0.55163043478260865</v>
      </c>
      <c r="G59" s="74">
        <f t="shared" si="2"/>
        <v>7.5185185185185174E-2</v>
      </c>
      <c r="H59" s="70"/>
      <c r="I59" s="70"/>
      <c r="J59" s="70"/>
      <c r="K59" s="68"/>
    </row>
    <row r="60" spans="1:11" ht="15.75" customHeight="1">
      <c r="A60" s="58" t="s">
        <v>35</v>
      </c>
      <c r="B60" s="90">
        <v>57</v>
      </c>
      <c r="C60" s="70">
        <v>3.77</v>
      </c>
      <c r="D60" s="70">
        <v>5.88</v>
      </c>
      <c r="E60" s="70">
        <f t="shared" si="0"/>
        <v>2.11</v>
      </c>
      <c r="F60" s="73">
        <f t="shared" si="1"/>
        <v>0.55968169761273201</v>
      </c>
      <c r="G60" s="74">
        <f t="shared" si="2"/>
        <v>7.8148148148148147E-2</v>
      </c>
      <c r="H60" s="70"/>
      <c r="I60" s="70"/>
      <c r="J60" s="70"/>
      <c r="K60" s="68"/>
    </row>
    <row r="61" spans="1:11" ht="15.75" customHeight="1">
      <c r="A61" s="58" t="s">
        <v>35</v>
      </c>
      <c r="B61" s="90">
        <v>58</v>
      </c>
      <c r="C61" s="70">
        <v>3.84</v>
      </c>
      <c r="D61" s="70">
        <v>5.95</v>
      </c>
      <c r="E61" s="70">
        <f t="shared" si="0"/>
        <v>2.1100000000000003</v>
      </c>
      <c r="F61" s="73">
        <f t="shared" si="1"/>
        <v>0.54947916666666674</v>
      </c>
      <c r="G61" s="74">
        <f t="shared" si="2"/>
        <v>7.8148148148148161E-2</v>
      </c>
      <c r="H61" s="70"/>
      <c r="I61" s="70"/>
      <c r="J61" s="70"/>
      <c r="K61" s="68"/>
    </row>
    <row r="62" spans="1:11" ht="15.75" customHeight="1">
      <c r="A62" s="58" t="s">
        <v>35</v>
      </c>
      <c r="B62" s="90">
        <v>59</v>
      </c>
      <c r="C62" s="70">
        <v>3.99</v>
      </c>
      <c r="D62" s="70">
        <v>6.14</v>
      </c>
      <c r="E62" s="70">
        <f t="shared" si="0"/>
        <v>2.1499999999999995</v>
      </c>
      <c r="F62" s="73">
        <f t="shared" si="1"/>
        <v>0.53884711779448602</v>
      </c>
      <c r="G62" s="74">
        <f t="shared" si="2"/>
        <v>7.9629629629629606E-2</v>
      </c>
      <c r="H62" s="70"/>
      <c r="I62" s="70"/>
      <c r="J62" s="70"/>
      <c r="K62" s="68"/>
    </row>
    <row r="63" spans="1:11" ht="15.75" customHeight="1">
      <c r="A63" s="58" t="s">
        <v>35</v>
      </c>
      <c r="B63" s="90">
        <v>60</v>
      </c>
      <c r="C63" s="70">
        <v>3.88</v>
      </c>
      <c r="D63" s="70">
        <v>6.01</v>
      </c>
      <c r="E63" s="70">
        <f t="shared" si="0"/>
        <v>2.13</v>
      </c>
      <c r="F63" s="73">
        <f t="shared" si="1"/>
        <v>0.54896907216494839</v>
      </c>
      <c r="G63" s="74">
        <f t="shared" si="2"/>
        <v>7.8888888888888883E-2</v>
      </c>
      <c r="H63" s="70"/>
      <c r="I63" s="70"/>
      <c r="J63" s="70"/>
      <c r="K63" s="68"/>
    </row>
    <row r="64" spans="1:11" ht="15.75" customHeight="1">
      <c r="A64" s="58" t="s">
        <v>36</v>
      </c>
      <c r="B64" s="92">
        <v>186</v>
      </c>
      <c r="C64" s="70">
        <v>2.2200000000000002</v>
      </c>
      <c r="D64" s="70">
        <v>4.1100000000000003</v>
      </c>
      <c r="E64" s="70">
        <f t="shared" si="0"/>
        <v>1.8900000000000001</v>
      </c>
      <c r="F64" s="73">
        <f t="shared" si="1"/>
        <v>0.85135135135135132</v>
      </c>
      <c r="G64" s="74">
        <f t="shared" si="2"/>
        <v>7.0000000000000007E-2</v>
      </c>
      <c r="H64" s="70"/>
      <c r="I64" s="70"/>
      <c r="J64" s="70"/>
      <c r="K64" s="68"/>
    </row>
    <row r="65" spans="1:12" ht="15.75" customHeight="1">
      <c r="A65" s="58" t="s">
        <v>36</v>
      </c>
      <c r="B65" s="92">
        <v>187</v>
      </c>
      <c r="C65" s="70">
        <v>2.16</v>
      </c>
      <c r="D65" s="70">
        <v>3.9</v>
      </c>
      <c r="E65" s="70">
        <f t="shared" si="0"/>
        <v>1.7399999999999998</v>
      </c>
      <c r="F65" s="73">
        <f t="shared" si="1"/>
        <v>0.80555555555555536</v>
      </c>
      <c r="G65" s="74">
        <f t="shared" si="2"/>
        <v>6.4444444444444429E-2</v>
      </c>
      <c r="H65" s="70"/>
      <c r="I65" s="70"/>
      <c r="J65" s="70"/>
      <c r="K65" s="68"/>
    </row>
    <row r="66" spans="1:12" ht="15.75" customHeight="1">
      <c r="A66" s="58" t="s">
        <v>36</v>
      </c>
      <c r="B66" s="92">
        <v>188</v>
      </c>
      <c r="C66" s="70">
        <v>2.16</v>
      </c>
      <c r="D66" s="70">
        <v>3.86</v>
      </c>
      <c r="E66" s="70">
        <f t="shared" si="0"/>
        <v>1.6999999999999997</v>
      </c>
      <c r="F66" s="73">
        <f t="shared" si="1"/>
        <v>0.78703703703703687</v>
      </c>
      <c r="G66" s="74">
        <f t="shared" si="2"/>
        <v>6.2962962962962957E-2</v>
      </c>
      <c r="H66" s="70"/>
      <c r="I66" s="70"/>
      <c r="J66" s="70"/>
      <c r="K66" s="68"/>
    </row>
    <row r="67" spans="1:12" ht="15.75" customHeight="1">
      <c r="A67" s="58" t="s">
        <v>36</v>
      </c>
      <c r="B67" s="92">
        <v>189</v>
      </c>
      <c r="C67" s="70">
        <v>2.15</v>
      </c>
      <c r="D67" s="70">
        <v>3.98</v>
      </c>
      <c r="E67" s="70">
        <f t="shared" si="0"/>
        <v>1.83</v>
      </c>
      <c r="F67" s="73">
        <f t="shared" si="1"/>
        <v>0.85116279069767453</v>
      </c>
      <c r="G67" s="74">
        <f t="shared" si="2"/>
        <v>6.7777777777777784E-2</v>
      </c>
      <c r="H67" s="70"/>
      <c r="I67" s="70"/>
      <c r="J67" s="70"/>
      <c r="K67" s="68"/>
    </row>
    <row r="68" spans="1:12" ht="15.75" customHeight="1">
      <c r="A68" s="58" t="s">
        <v>36</v>
      </c>
      <c r="B68" s="92">
        <v>190</v>
      </c>
      <c r="C68" s="70">
        <v>2.1</v>
      </c>
      <c r="D68" s="70">
        <v>3.78</v>
      </c>
      <c r="E68" s="70">
        <f t="shared" si="0"/>
        <v>1.6799999999999997</v>
      </c>
      <c r="F68" s="73">
        <f t="shared" si="1"/>
        <v>0.79999999999999982</v>
      </c>
      <c r="G68" s="74">
        <f t="shared" si="2"/>
        <v>6.2222222222222213E-2</v>
      </c>
      <c r="H68" s="70"/>
      <c r="I68" s="70"/>
      <c r="J68" s="70"/>
      <c r="K68" s="68"/>
    </row>
    <row r="69" spans="1:12" ht="15.75" customHeight="1">
      <c r="A69" s="58" t="s">
        <v>36</v>
      </c>
      <c r="B69" s="92">
        <v>261</v>
      </c>
      <c r="C69" s="70">
        <v>2.34</v>
      </c>
      <c r="D69" s="70">
        <v>4.3099999999999996</v>
      </c>
      <c r="E69" s="70">
        <f t="shared" si="0"/>
        <v>1.9699999999999998</v>
      </c>
      <c r="F69" s="73">
        <f t="shared" si="1"/>
        <v>0.84188034188034178</v>
      </c>
      <c r="G69" s="74">
        <f t="shared" si="2"/>
        <v>7.2962962962962952E-2</v>
      </c>
      <c r="H69" s="70"/>
      <c r="I69" s="70"/>
      <c r="J69" s="70"/>
      <c r="K69" s="68"/>
    </row>
    <row r="70" spans="1:12" ht="15.75" customHeight="1">
      <c r="A70" s="58" t="s">
        <v>36</v>
      </c>
      <c r="B70" s="92">
        <v>262</v>
      </c>
      <c r="C70" s="70">
        <v>2.39</v>
      </c>
      <c r="D70" s="4">
        <v>4.3600000000000003</v>
      </c>
      <c r="E70" s="70">
        <f t="shared" si="0"/>
        <v>1.9700000000000002</v>
      </c>
      <c r="F70" s="73">
        <f t="shared" si="1"/>
        <v>0.82426778242677823</v>
      </c>
      <c r="G70" s="74">
        <f t="shared" si="2"/>
        <v>7.2962962962962966E-2</v>
      </c>
      <c r="H70" s="70"/>
      <c r="I70" s="70"/>
      <c r="J70" s="70"/>
      <c r="K70" s="68"/>
    </row>
    <row r="71" spans="1:12" ht="15.75" customHeight="1">
      <c r="A71" s="58" t="s">
        <v>36</v>
      </c>
      <c r="B71" s="92">
        <v>263</v>
      </c>
      <c r="C71" s="70">
        <v>2.44</v>
      </c>
      <c r="D71" s="4">
        <v>4.47</v>
      </c>
      <c r="E71" s="70">
        <f t="shared" si="0"/>
        <v>2.0299999999999998</v>
      </c>
      <c r="F71" s="73">
        <f t="shared" si="1"/>
        <v>0.83196721311475408</v>
      </c>
      <c r="G71" s="74">
        <f t="shared" si="2"/>
        <v>7.5185185185185174E-2</v>
      </c>
      <c r="H71" s="70"/>
      <c r="I71" s="70"/>
      <c r="J71" s="70"/>
      <c r="K71" s="68"/>
    </row>
    <row r="72" spans="1:12" ht="15.75" customHeight="1">
      <c r="A72" s="58" t="s">
        <v>36</v>
      </c>
      <c r="B72" s="92">
        <v>264</v>
      </c>
      <c r="C72" s="70">
        <v>2.36</v>
      </c>
      <c r="D72" s="70">
        <v>4.34</v>
      </c>
      <c r="E72" s="70">
        <f t="shared" si="0"/>
        <v>1.98</v>
      </c>
      <c r="F72" s="73">
        <f t="shared" si="1"/>
        <v>0.83898305084745761</v>
      </c>
      <c r="G72" s="74">
        <f t="shared" si="2"/>
        <v>7.3333333333333334E-2</v>
      </c>
      <c r="H72" s="70"/>
      <c r="I72" s="70"/>
      <c r="J72" s="70"/>
      <c r="K72" s="68"/>
    </row>
    <row r="73" spans="1:12" ht="15.75" customHeight="1">
      <c r="A73" s="58" t="s">
        <v>36</v>
      </c>
      <c r="B73" s="92">
        <v>265</v>
      </c>
      <c r="C73" s="70">
        <v>2.34</v>
      </c>
      <c r="D73" s="70">
        <v>4.29</v>
      </c>
      <c r="E73" s="70">
        <f t="shared" si="0"/>
        <v>1.9500000000000002</v>
      </c>
      <c r="F73" s="73">
        <f t="shared" si="1"/>
        <v>0.83333333333333348</v>
      </c>
      <c r="G73" s="74">
        <f t="shared" si="2"/>
        <v>7.2222222222222229E-2</v>
      </c>
      <c r="H73" s="70"/>
      <c r="I73" s="70"/>
      <c r="J73" s="70"/>
      <c r="K73" s="68"/>
    </row>
    <row r="74" spans="1:12" ht="15.75" customHeight="1">
      <c r="A74" s="58" t="s">
        <v>36</v>
      </c>
      <c r="B74" s="92">
        <v>246</v>
      </c>
      <c r="C74" s="70">
        <v>2.1800000000000002</v>
      </c>
      <c r="D74" s="70">
        <v>4.1500000000000004</v>
      </c>
      <c r="E74" s="70">
        <f t="shared" si="0"/>
        <v>1.9700000000000002</v>
      </c>
      <c r="F74" s="73">
        <f t="shared" si="1"/>
        <v>0.90366972477064222</v>
      </c>
      <c r="G74" s="74">
        <f t="shared" si="2"/>
        <v>7.2962962962962966E-2</v>
      </c>
      <c r="H74" s="70"/>
      <c r="I74" s="70"/>
      <c r="J74" s="70"/>
      <c r="K74" s="68"/>
    </row>
    <row r="75" spans="1:12" ht="15.75" customHeight="1">
      <c r="A75" s="58" t="s">
        <v>36</v>
      </c>
      <c r="B75" s="92">
        <v>247</v>
      </c>
      <c r="C75" s="70">
        <v>1.86</v>
      </c>
      <c r="D75" s="70">
        <v>3.56</v>
      </c>
      <c r="E75" s="70">
        <f t="shared" si="0"/>
        <v>1.7</v>
      </c>
      <c r="F75" s="73">
        <f t="shared" si="1"/>
        <v>0.91397849462365588</v>
      </c>
      <c r="G75" s="74">
        <f t="shared" si="2"/>
        <v>6.2962962962962957E-2</v>
      </c>
      <c r="H75" s="70"/>
      <c r="I75" s="70"/>
      <c r="J75" s="70"/>
      <c r="K75" s="68"/>
    </row>
    <row r="76" spans="1:12" ht="15.75" customHeight="1">
      <c r="A76" s="58" t="s">
        <v>36</v>
      </c>
      <c r="B76" s="92">
        <v>248</v>
      </c>
      <c r="C76" s="70">
        <v>2.0299999999999998</v>
      </c>
      <c r="D76" s="70">
        <v>3.85</v>
      </c>
      <c r="E76" s="70">
        <f t="shared" si="0"/>
        <v>1.8200000000000003</v>
      </c>
      <c r="F76" s="73">
        <f t="shared" si="1"/>
        <v>0.89655172413793127</v>
      </c>
      <c r="G76" s="74">
        <f t="shared" si="2"/>
        <v>6.7407407407407416E-2</v>
      </c>
      <c r="H76" s="70"/>
      <c r="I76" s="70"/>
      <c r="J76" s="70"/>
      <c r="K76" s="68"/>
    </row>
    <row r="77" spans="1:12" ht="15.75" customHeight="1">
      <c r="A77" s="58" t="s">
        <v>36</v>
      </c>
      <c r="B77" s="92">
        <v>249</v>
      </c>
      <c r="C77" s="70">
        <v>2.08</v>
      </c>
      <c r="D77" s="70">
        <v>3.99</v>
      </c>
      <c r="E77" s="70">
        <f t="shared" si="0"/>
        <v>1.9100000000000001</v>
      </c>
      <c r="F77" s="73">
        <f t="shared" si="1"/>
        <v>0.91826923076923084</v>
      </c>
      <c r="G77" s="74">
        <f t="shared" si="2"/>
        <v>7.0740740740740743E-2</v>
      </c>
      <c r="H77" s="70"/>
      <c r="I77" s="70"/>
      <c r="J77" s="70"/>
      <c r="K77" s="68"/>
    </row>
    <row r="78" spans="1:12" ht="15.75" customHeight="1">
      <c r="A78" s="58" t="s">
        <v>36</v>
      </c>
      <c r="B78" s="92">
        <v>250</v>
      </c>
      <c r="C78" s="4">
        <v>2.17</v>
      </c>
      <c r="D78" s="4">
        <v>4.13</v>
      </c>
      <c r="E78" s="70">
        <f t="shared" si="0"/>
        <v>1.96</v>
      </c>
      <c r="F78" s="73">
        <f t="shared" si="1"/>
        <v>0.90322580645161288</v>
      </c>
      <c r="G78" s="74">
        <f t="shared" si="2"/>
        <v>7.2592592592592597E-2</v>
      </c>
      <c r="H78" s="70"/>
      <c r="I78" s="70"/>
      <c r="J78" s="70"/>
      <c r="K78" s="69"/>
      <c r="L78" s="4"/>
    </row>
    <row r="79" spans="1:12" ht="15.75" customHeight="1">
      <c r="A79" s="58" t="s">
        <v>36</v>
      </c>
      <c r="B79" s="92">
        <v>221</v>
      </c>
      <c r="C79" s="70">
        <v>2.2200000000000002</v>
      </c>
      <c r="D79" s="70">
        <v>4.16</v>
      </c>
      <c r="E79" s="70">
        <f t="shared" si="0"/>
        <v>1.94</v>
      </c>
      <c r="F79" s="73">
        <f t="shared" si="1"/>
        <v>0.87387387387387372</v>
      </c>
      <c r="G79" s="74">
        <f t="shared" si="2"/>
        <v>7.1851851851851847E-2</v>
      </c>
      <c r="H79" s="70"/>
      <c r="I79" s="70"/>
      <c r="J79" s="70"/>
      <c r="K79" s="69"/>
    </row>
    <row r="80" spans="1:12" ht="15.75" customHeight="1">
      <c r="A80" s="58" t="s">
        <v>36</v>
      </c>
      <c r="B80" s="92">
        <v>211</v>
      </c>
      <c r="C80" s="70">
        <v>1.91</v>
      </c>
      <c r="D80" s="70">
        <v>3.83</v>
      </c>
      <c r="E80" s="70">
        <f t="shared" si="0"/>
        <v>1.9200000000000002</v>
      </c>
      <c r="F80" s="73">
        <f t="shared" si="1"/>
        <v>1.005235602094241</v>
      </c>
      <c r="G80" s="74">
        <f t="shared" si="2"/>
        <v>7.1111111111111111E-2</v>
      </c>
      <c r="H80" s="70"/>
      <c r="I80" s="70"/>
      <c r="J80" s="70"/>
      <c r="K80" s="68"/>
    </row>
    <row r="81" spans="1:11" ht="15.75" customHeight="1">
      <c r="A81" s="58" t="s">
        <v>36</v>
      </c>
      <c r="B81" s="92">
        <v>212</v>
      </c>
      <c r="C81" s="70">
        <v>1.94</v>
      </c>
      <c r="D81" s="4">
        <v>3.94</v>
      </c>
      <c r="E81" s="70">
        <f t="shared" si="0"/>
        <v>2</v>
      </c>
      <c r="F81" s="73">
        <f t="shared" si="1"/>
        <v>1.0309278350515465</v>
      </c>
      <c r="G81" s="74">
        <f t="shared" si="2"/>
        <v>7.407407407407407E-2</v>
      </c>
      <c r="H81" s="70"/>
      <c r="I81" s="70"/>
      <c r="J81" s="70"/>
      <c r="K81" s="68"/>
    </row>
    <row r="82" spans="1:11" ht="15.75" customHeight="1">
      <c r="A82" s="58" t="s">
        <v>36</v>
      </c>
      <c r="B82" s="92">
        <v>213</v>
      </c>
      <c r="C82" s="70">
        <v>1.96</v>
      </c>
      <c r="D82" s="70">
        <v>3.9</v>
      </c>
      <c r="E82" s="70">
        <f t="shared" si="0"/>
        <v>1.94</v>
      </c>
      <c r="F82" s="73">
        <f t="shared" si="1"/>
        <v>0.98979591836734693</v>
      </c>
      <c r="G82" s="74">
        <f t="shared" si="2"/>
        <v>7.1851851851851847E-2</v>
      </c>
      <c r="H82" s="70"/>
      <c r="I82" s="70"/>
      <c r="J82" s="70"/>
      <c r="K82" s="68"/>
    </row>
    <row r="83" spans="1:11" ht="15.75" customHeight="1">
      <c r="A83" s="58" t="s">
        <v>36</v>
      </c>
      <c r="B83" s="93">
        <v>214</v>
      </c>
      <c r="C83" s="94">
        <v>1.89</v>
      </c>
      <c r="D83" s="94">
        <v>3.83</v>
      </c>
      <c r="E83" s="70">
        <f t="shared" si="0"/>
        <v>1.9400000000000002</v>
      </c>
      <c r="F83" s="73">
        <f t="shared" si="1"/>
        <v>1.0264550264550265</v>
      </c>
      <c r="G83" s="74">
        <f t="shared" si="2"/>
        <v>7.1851851851851861E-2</v>
      </c>
      <c r="H83" s="94"/>
      <c r="I83" s="94"/>
      <c r="J83" s="94"/>
      <c r="K83" s="68"/>
    </row>
    <row r="84" spans="1:11" ht="15.75" customHeight="1">
      <c r="B84" s="68"/>
      <c r="C84" s="68"/>
      <c r="D84" s="68"/>
      <c r="E84" s="68"/>
      <c r="F84" s="76"/>
      <c r="G84" s="95"/>
      <c r="H84" s="68"/>
      <c r="I84" s="68"/>
      <c r="J84" s="68"/>
      <c r="K84" s="68"/>
    </row>
    <row r="85" spans="1:11" ht="15.75" customHeight="1">
      <c r="B85" s="68"/>
      <c r="C85" s="68"/>
      <c r="D85" s="68"/>
      <c r="E85" s="68"/>
      <c r="F85" s="76"/>
      <c r="G85" s="95"/>
      <c r="H85" s="68"/>
      <c r="I85" s="68"/>
      <c r="J85" s="68"/>
      <c r="K85" s="68"/>
    </row>
    <row r="86" spans="1:11" ht="15.75" customHeight="1"/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999"/>
  <sheetViews>
    <sheetView workbookViewId="0"/>
  </sheetViews>
  <sheetFormatPr defaultColWidth="14.453125" defaultRowHeight="15" customHeight="1"/>
  <cols>
    <col min="1" max="26" width="8.7265625" customWidth="1"/>
  </cols>
  <sheetData>
    <row r="1" spans="1:23" ht="15.5">
      <c r="R1" s="80" t="s">
        <v>9</v>
      </c>
    </row>
    <row r="2" spans="1:23" ht="15.5">
      <c r="B2" s="4" t="s">
        <v>92</v>
      </c>
      <c r="R2" s="81" t="s">
        <v>17</v>
      </c>
    </row>
    <row r="3" spans="1:23" ht="15.5">
      <c r="B3" s="67" t="s">
        <v>77</v>
      </c>
      <c r="C3" s="68"/>
      <c r="D3" s="68"/>
      <c r="E3" s="68" t="s">
        <v>78</v>
      </c>
      <c r="F3" s="68"/>
      <c r="G3" s="68"/>
      <c r="H3" s="68"/>
      <c r="I3" s="68"/>
      <c r="J3" s="68"/>
      <c r="K3" s="68" t="s">
        <v>79</v>
      </c>
      <c r="L3" s="68"/>
      <c r="O3" s="68"/>
      <c r="P3" s="68"/>
      <c r="Q3" s="68"/>
      <c r="R3" s="11" t="s">
        <v>23</v>
      </c>
      <c r="S3" s="68"/>
      <c r="T3" s="68"/>
      <c r="U3" s="68"/>
      <c r="V3" s="68"/>
      <c r="W3" s="68"/>
    </row>
    <row r="4" spans="1:23" ht="15.5">
      <c r="B4" s="69" t="s">
        <v>95</v>
      </c>
      <c r="C4" s="68"/>
      <c r="D4" s="69"/>
      <c r="E4" s="68"/>
      <c r="F4" s="68"/>
      <c r="G4" s="68"/>
      <c r="H4" s="68"/>
      <c r="I4" s="68"/>
      <c r="J4" s="68"/>
      <c r="K4" s="68"/>
      <c r="L4" s="68"/>
      <c r="M4" s="69" t="s">
        <v>81</v>
      </c>
      <c r="N4" s="68"/>
      <c r="O4" s="68"/>
      <c r="P4" s="68"/>
      <c r="Q4" s="68"/>
      <c r="R4" s="82" t="s">
        <v>26</v>
      </c>
      <c r="S4" s="68"/>
      <c r="T4" s="68"/>
      <c r="U4" s="68"/>
      <c r="V4" s="68"/>
      <c r="W4" s="68"/>
    </row>
    <row r="5" spans="1:23" ht="15.5">
      <c r="B5" s="70" t="s">
        <v>66</v>
      </c>
      <c r="C5" s="70" t="s">
        <v>67</v>
      </c>
      <c r="D5" s="70" t="s">
        <v>68</v>
      </c>
      <c r="E5" s="70" t="s">
        <v>82</v>
      </c>
      <c r="F5" s="70" t="s">
        <v>83</v>
      </c>
      <c r="G5" s="70" t="s">
        <v>84</v>
      </c>
      <c r="H5" s="94" t="s">
        <v>85</v>
      </c>
      <c r="I5" s="70" t="s">
        <v>86</v>
      </c>
      <c r="J5" s="70" t="s">
        <v>69</v>
      </c>
      <c r="K5" s="70" t="s">
        <v>70</v>
      </c>
      <c r="L5" s="70" t="s">
        <v>71</v>
      </c>
      <c r="M5" s="70" t="s">
        <v>72</v>
      </c>
      <c r="N5" s="70" t="s">
        <v>67</v>
      </c>
      <c r="O5" s="70" t="s">
        <v>68</v>
      </c>
      <c r="P5" s="70" t="s">
        <v>82</v>
      </c>
      <c r="Q5" s="70" t="s">
        <v>83</v>
      </c>
      <c r="R5" s="70" t="s">
        <v>84</v>
      </c>
      <c r="S5" s="70" t="s">
        <v>85</v>
      </c>
      <c r="T5" s="70" t="s">
        <v>86</v>
      </c>
      <c r="U5" s="70" t="s">
        <v>69</v>
      </c>
      <c r="V5" s="70" t="s">
        <v>70</v>
      </c>
      <c r="W5" s="70" t="s">
        <v>71</v>
      </c>
    </row>
    <row r="6" spans="1:23" ht="15.5">
      <c r="A6" s="58" t="s">
        <v>32</v>
      </c>
      <c r="B6" s="89">
        <v>106</v>
      </c>
      <c r="C6" s="70">
        <v>1.81</v>
      </c>
      <c r="D6" s="70">
        <v>1.86</v>
      </c>
      <c r="E6" s="70">
        <v>3.78</v>
      </c>
      <c r="F6" s="70">
        <f t="shared" ref="F6:F82" si="0">D6-C6</f>
        <v>5.0000000000000044E-2</v>
      </c>
      <c r="G6" s="74">
        <f t="shared" ref="G6:G82" si="1">F6/C6</f>
        <v>2.7624309392265217E-2</v>
      </c>
      <c r="H6" s="85">
        <f t="shared" ref="H6:H82" si="2">F6/(9*6)</f>
        <v>9.2592592592592672E-4</v>
      </c>
      <c r="I6" s="85">
        <f t="shared" ref="I6:I82" si="3">F6/27</f>
        <v>1.8518518518518534E-3</v>
      </c>
      <c r="J6" s="70">
        <f t="shared" ref="J6:J71" si="4">E6-D6</f>
        <v>1.9199999999999997</v>
      </c>
      <c r="K6" s="74">
        <f t="shared" ref="K6:K71" si="5">J6/D6</f>
        <v>1.0322580645161288</v>
      </c>
      <c r="L6" s="74">
        <f t="shared" ref="L6:L71" si="6">J6/27</f>
        <v>7.1111111111111097E-2</v>
      </c>
      <c r="M6" s="89">
        <v>2</v>
      </c>
      <c r="N6" s="70">
        <v>12.03</v>
      </c>
      <c r="O6" s="70"/>
      <c r="P6" s="70"/>
      <c r="Q6" s="70"/>
      <c r="R6" s="74"/>
      <c r="S6" s="85"/>
      <c r="T6" s="85"/>
      <c r="U6" s="70"/>
      <c r="V6" s="74"/>
      <c r="W6" s="74"/>
    </row>
    <row r="7" spans="1:23" ht="15.5">
      <c r="A7" s="58" t="s">
        <v>32</v>
      </c>
      <c r="B7" s="89">
        <v>107</v>
      </c>
      <c r="C7" s="70">
        <v>1.86</v>
      </c>
      <c r="D7" s="70">
        <v>1.85</v>
      </c>
      <c r="E7" s="70">
        <v>3.66</v>
      </c>
      <c r="F7" s="70">
        <f t="shared" si="0"/>
        <v>-1.0000000000000009E-2</v>
      </c>
      <c r="G7" s="74">
        <f t="shared" si="1"/>
        <v>-5.3763440860215101E-3</v>
      </c>
      <c r="H7" s="85">
        <f t="shared" si="2"/>
        <v>-1.8518518518518534E-4</v>
      </c>
      <c r="I7" s="85">
        <f t="shared" si="3"/>
        <v>-3.7037037037037068E-4</v>
      </c>
      <c r="J7" s="70">
        <f t="shared" si="4"/>
        <v>1.81</v>
      </c>
      <c r="K7" s="74">
        <f t="shared" si="5"/>
        <v>0.97837837837837838</v>
      </c>
      <c r="L7" s="74">
        <f t="shared" si="6"/>
        <v>6.7037037037037034E-2</v>
      </c>
      <c r="M7" s="89">
        <v>52</v>
      </c>
      <c r="N7" s="70">
        <v>12.79</v>
      </c>
      <c r="O7" s="70"/>
      <c r="P7" s="70"/>
      <c r="Q7" s="70"/>
      <c r="R7" s="74"/>
      <c r="S7" s="85"/>
      <c r="T7" s="85"/>
      <c r="U7" s="70"/>
      <c r="V7" s="74"/>
      <c r="W7" s="74"/>
    </row>
    <row r="8" spans="1:23" ht="15.5">
      <c r="A8" s="58" t="s">
        <v>32</v>
      </c>
      <c r="B8" s="89">
        <v>108</v>
      </c>
      <c r="C8" s="70">
        <v>1.9</v>
      </c>
      <c r="D8" s="70">
        <v>1.96</v>
      </c>
      <c r="E8" s="70">
        <v>4</v>
      </c>
      <c r="F8" s="70">
        <f t="shared" si="0"/>
        <v>6.0000000000000053E-2</v>
      </c>
      <c r="G8" s="74">
        <f t="shared" si="1"/>
        <v>3.1578947368421081E-2</v>
      </c>
      <c r="H8" s="85">
        <f t="shared" si="2"/>
        <v>1.1111111111111122E-3</v>
      </c>
      <c r="I8" s="85">
        <f t="shared" si="3"/>
        <v>2.2222222222222244E-3</v>
      </c>
      <c r="J8" s="70">
        <f t="shared" si="4"/>
        <v>2.04</v>
      </c>
      <c r="K8" s="74">
        <f t="shared" si="5"/>
        <v>1.0408163265306123</v>
      </c>
      <c r="L8" s="74">
        <f t="shared" si="6"/>
        <v>7.5555555555555556E-2</v>
      </c>
      <c r="M8" s="89">
        <v>58</v>
      </c>
      <c r="N8" s="70">
        <v>12.15</v>
      </c>
      <c r="O8" s="70"/>
      <c r="P8" s="70"/>
      <c r="Q8" s="70"/>
      <c r="R8" s="74"/>
      <c r="S8" s="85"/>
      <c r="T8" s="85"/>
      <c r="U8" s="70"/>
      <c r="V8" s="74"/>
      <c r="W8" s="74"/>
    </row>
    <row r="9" spans="1:23" ht="15.5">
      <c r="A9" s="58" t="s">
        <v>32</v>
      </c>
      <c r="B9" s="89">
        <v>109</v>
      </c>
      <c r="C9" s="70">
        <v>1.97</v>
      </c>
      <c r="D9" s="70">
        <v>1.99</v>
      </c>
      <c r="E9" s="70">
        <v>4.0599999999999996</v>
      </c>
      <c r="F9" s="70">
        <f t="shared" si="0"/>
        <v>2.0000000000000018E-2</v>
      </c>
      <c r="G9" s="74">
        <f t="shared" si="1"/>
        <v>1.01522842639594E-2</v>
      </c>
      <c r="H9" s="85">
        <f t="shared" si="2"/>
        <v>3.7037037037037068E-4</v>
      </c>
      <c r="I9" s="85">
        <f t="shared" si="3"/>
        <v>7.4074074074074135E-4</v>
      </c>
      <c r="J9" s="70">
        <f t="shared" si="4"/>
        <v>2.0699999999999994</v>
      </c>
      <c r="K9" s="74">
        <f t="shared" si="5"/>
        <v>1.0402010050251254</v>
      </c>
      <c r="L9" s="74">
        <f t="shared" si="6"/>
        <v>7.6666666666666647E-2</v>
      </c>
      <c r="M9" s="89">
        <v>65</v>
      </c>
      <c r="N9" s="70">
        <v>14.16</v>
      </c>
      <c r="O9" s="70">
        <v>14.82</v>
      </c>
      <c r="P9" s="70">
        <v>27.48</v>
      </c>
      <c r="Q9" s="70">
        <f t="shared" ref="Q9:Q23" si="7">O9-N9</f>
        <v>0.66000000000000014</v>
      </c>
      <c r="R9" s="74">
        <f t="shared" ref="R9:R23" si="8">Q9/N9</f>
        <v>4.6610169491525431E-2</v>
      </c>
      <c r="S9" s="85">
        <f t="shared" ref="S9:S23" si="9">Q9/(9*2+3*17*4)</f>
        <v>2.9729729729729734E-3</v>
      </c>
      <c r="T9" s="85">
        <f t="shared" ref="T9:T23" si="10">Q9/153</f>
        <v>4.3137254901960791E-3</v>
      </c>
      <c r="U9" s="70">
        <f t="shared" ref="U9:U23" si="11">P9-O9</f>
        <v>12.66</v>
      </c>
      <c r="V9" s="74">
        <f t="shared" ref="V9:V23" si="12">U9/O9</f>
        <v>0.85425101214574894</v>
      </c>
      <c r="W9" s="74">
        <f t="shared" ref="W9:W23" si="13">U9/153</f>
        <v>8.2745098039215689E-2</v>
      </c>
    </row>
    <row r="10" spans="1:23" ht="15.5">
      <c r="A10" s="58" t="s">
        <v>32</v>
      </c>
      <c r="B10" s="89">
        <v>110</v>
      </c>
      <c r="C10" s="70">
        <v>2.12</v>
      </c>
      <c r="D10" s="70">
        <v>2.17</v>
      </c>
      <c r="E10" s="70">
        <v>4.42</v>
      </c>
      <c r="F10" s="70">
        <f t="shared" si="0"/>
        <v>4.9999999999999822E-2</v>
      </c>
      <c r="G10" s="74">
        <f t="shared" si="1"/>
        <v>2.3584905660377273E-2</v>
      </c>
      <c r="H10" s="85">
        <f t="shared" si="2"/>
        <v>9.259259259259226E-4</v>
      </c>
      <c r="I10" s="85">
        <f t="shared" si="3"/>
        <v>1.8518518518518452E-3</v>
      </c>
      <c r="J10" s="70">
        <f t="shared" si="4"/>
        <v>2.25</v>
      </c>
      <c r="K10" s="74">
        <f t="shared" si="5"/>
        <v>1.0368663594470047</v>
      </c>
      <c r="L10" s="74">
        <f t="shared" si="6"/>
        <v>8.3333333333333329E-2</v>
      </c>
      <c r="M10" s="89">
        <v>69</v>
      </c>
      <c r="N10" s="70">
        <v>13.99</v>
      </c>
      <c r="O10" s="70">
        <v>14.22</v>
      </c>
      <c r="P10" s="70">
        <v>27.001000000000001</v>
      </c>
      <c r="Q10" s="70">
        <f t="shared" si="7"/>
        <v>0.23000000000000043</v>
      </c>
      <c r="R10" s="74">
        <f t="shared" si="8"/>
        <v>1.6440314510364578E-2</v>
      </c>
      <c r="S10" s="85">
        <f t="shared" si="9"/>
        <v>1.036036036036038E-3</v>
      </c>
      <c r="T10" s="85">
        <f t="shared" si="10"/>
        <v>1.503267973856212E-3</v>
      </c>
      <c r="U10" s="70">
        <f t="shared" si="11"/>
        <v>12.781000000000001</v>
      </c>
      <c r="V10" s="74">
        <f t="shared" si="12"/>
        <v>0.89880450070323492</v>
      </c>
      <c r="W10" s="74">
        <f t="shared" si="13"/>
        <v>8.3535947712418304E-2</v>
      </c>
    </row>
    <row r="11" spans="1:23" ht="15.5">
      <c r="A11" s="58" t="s">
        <v>32</v>
      </c>
      <c r="B11" s="89">
        <v>306</v>
      </c>
      <c r="C11" s="70">
        <v>2.23</v>
      </c>
      <c r="D11" s="70">
        <v>2.41</v>
      </c>
      <c r="E11" s="70">
        <v>5.0199999999999996</v>
      </c>
      <c r="F11" s="70">
        <f t="shared" si="0"/>
        <v>0.18000000000000016</v>
      </c>
      <c r="G11" s="74">
        <f t="shared" si="1"/>
        <v>8.0717488789237735E-2</v>
      </c>
      <c r="H11" s="85">
        <f t="shared" si="2"/>
        <v>3.3333333333333361E-3</v>
      </c>
      <c r="I11" s="85">
        <f t="shared" si="3"/>
        <v>6.6666666666666723E-3</v>
      </c>
      <c r="J11" s="70">
        <f t="shared" si="4"/>
        <v>2.6099999999999994</v>
      </c>
      <c r="K11" s="74">
        <f t="shared" si="5"/>
        <v>1.0829875518672196</v>
      </c>
      <c r="L11" s="74">
        <f t="shared" si="6"/>
        <v>9.6666666666666651E-2</v>
      </c>
      <c r="M11" s="72">
        <v>7</v>
      </c>
      <c r="N11" s="70">
        <v>14.92</v>
      </c>
      <c r="O11" s="70">
        <v>15.6</v>
      </c>
      <c r="P11" s="70">
        <v>29.64</v>
      </c>
      <c r="Q11" s="70">
        <f t="shared" si="7"/>
        <v>0.67999999999999972</v>
      </c>
      <c r="R11" s="74">
        <f t="shared" si="8"/>
        <v>4.5576407506702395E-2</v>
      </c>
      <c r="S11" s="85">
        <f t="shared" si="9"/>
        <v>3.0630630630630617E-3</v>
      </c>
      <c r="T11" s="85">
        <f t="shared" si="10"/>
        <v>4.4444444444444427E-3</v>
      </c>
      <c r="U11" s="70">
        <f t="shared" si="11"/>
        <v>14.040000000000001</v>
      </c>
      <c r="V11" s="74">
        <f t="shared" si="12"/>
        <v>0.90000000000000013</v>
      </c>
      <c r="W11" s="74">
        <f t="shared" si="13"/>
        <v>9.1764705882352943E-2</v>
      </c>
    </row>
    <row r="12" spans="1:23" ht="15.5">
      <c r="A12" s="58" t="s">
        <v>32</v>
      </c>
      <c r="B12" s="89">
        <v>307</v>
      </c>
      <c r="C12" s="70">
        <v>2.21</v>
      </c>
      <c r="D12" s="70">
        <v>2.39</v>
      </c>
      <c r="E12" s="70">
        <v>4.7699999999999996</v>
      </c>
      <c r="F12" s="70">
        <f t="shared" si="0"/>
        <v>0.18000000000000016</v>
      </c>
      <c r="G12" s="74">
        <f t="shared" si="1"/>
        <v>8.1447963800905049E-2</v>
      </c>
      <c r="H12" s="85">
        <f t="shared" si="2"/>
        <v>3.3333333333333361E-3</v>
      </c>
      <c r="I12" s="85">
        <f t="shared" si="3"/>
        <v>6.6666666666666723E-3</v>
      </c>
      <c r="J12" s="70">
        <f t="shared" si="4"/>
        <v>2.3799999999999994</v>
      </c>
      <c r="K12" s="74">
        <f t="shared" si="5"/>
        <v>0.99581589958158967</v>
      </c>
      <c r="L12" s="74">
        <f t="shared" si="6"/>
        <v>8.8148148148148128E-2</v>
      </c>
      <c r="M12" s="72">
        <v>10</v>
      </c>
      <c r="N12" s="70">
        <v>15.44</v>
      </c>
      <c r="O12" s="70">
        <v>16.25</v>
      </c>
      <c r="P12" s="70">
        <v>30.03</v>
      </c>
      <c r="Q12" s="70">
        <f t="shared" si="7"/>
        <v>0.8100000000000005</v>
      </c>
      <c r="R12" s="74">
        <f t="shared" si="8"/>
        <v>5.2461139896373091E-2</v>
      </c>
      <c r="S12" s="85">
        <f t="shared" si="9"/>
        <v>3.6486486486486508E-3</v>
      </c>
      <c r="T12" s="85">
        <f t="shared" si="10"/>
        <v>5.2941176470588268E-3</v>
      </c>
      <c r="U12" s="70">
        <f t="shared" si="11"/>
        <v>13.780000000000001</v>
      </c>
      <c r="V12" s="74">
        <f t="shared" si="12"/>
        <v>0.84800000000000009</v>
      </c>
      <c r="W12" s="74">
        <f t="shared" si="13"/>
        <v>9.0065359477124185E-2</v>
      </c>
    </row>
    <row r="13" spans="1:23" ht="15.5">
      <c r="A13" s="58" t="s">
        <v>32</v>
      </c>
      <c r="B13" s="89">
        <v>308</v>
      </c>
      <c r="C13" s="70">
        <v>2.0499999999999998</v>
      </c>
      <c r="D13" s="70">
        <v>2.09</v>
      </c>
      <c r="E13" s="70">
        <v>4.1399999999999997</v>
      </c>
      <c r="F13" s="70">
        <f t="shared" si="0"/>
        <v>4.0000000000000036E-2</v>
      </c>
      <c r="G13" s="74">
        <f t="shared" si="1"/>
        <v>1.9512195121951237E-2</v>
      </c>
      <c r="H13" s="85">
        <f t="shared" si="2"/>
        <v>7.4074074074074135E-4</v>
      </c>
      <c r="I13" s="85">
        <f t="shared" si="3"/>
        <v>1.4814814814814827E-3</v>
      </c>
      <c r="J13" s="70">
        <f t="shared" si="4"/>
        <v>2.0499999999999998</v>
      </c>
      <c r="K13" s="74">
        <f t="shared" si="5"/>
        <v>0.98086124401913877</v>
      </c>
      <c r="L13" s="74">
        <f t="shared" si="6"/>
        <v>7.5925925925925924E-2</v>
      </c>
      <c r="M13" s="72">
        <v>46</v>
      </c>
      <c r="N13" s="70">
        <v>15.99</v>
      </c>
      <c r="O13" s="70">
        <v>16.989999999999998</v>
      </c>
      <c r="P13" s="70">
        <v>30.33</v>
      </c>
      <c r="Q13" s="70">
        <f t="shared" si="7"/>
        <v>0.99999999999999822</v>
      </c>
      <c r="R13" s="74">
        <f t="shared" si="8"/>
        <v>6.2539086929330717E-2</v>
      </c>
      <c r="S13" s="85">
        <f t="shared" si="9"/>
        <v>4.5045045045044967E-3</v>
      </c>
      <c r="T13" s="85">
        <f t="shared" si="10"/>
        <v>6.5359477124182887E-3</v>
      </c>
      <c r="U13" s="70">
        <f t="shared" si="11"/>
        <v>13.34</v>
      </c>
      <c r="V13" s="74">
        <f t="shared" si="12"/>
        <v>0.78516774573278403</v>
      </c>
      <c r="W13" s="74">
        <f t="shared" si="13"/>
        <v>8.7189542483660135E-2</v>
      </c>
    </row>
    <row r="14" spans="1:23" ht="15.5">
      <c r="A14" s="58" t="s">
        <v>32</v>
      </c>
      <c r="B14" s="89">
        <v>309</v>
      </c>
      <c r="C14" s="70">
        <v>1.96</v>
      </c>
      <c r="D14" s="70">
        <v>2.09</v>
      </c>
      <c r="E14" s="70">
        <v>4.22</v>
      </c>
      <c r="F14" s="70">
        <f t="shared" si="0"/>
        <v>0.12999999999999989</v>
      </c>
      <c r="G14" s="74">
        <f t="shared" si="1"/>
        <v>6.6326530612244847E-2</v>
      </c>
      <c r="H14" s="85">
        <f t="shared" si="2"/>
        <v>2.4074074074074054E-3</v>
      </c>
      <c r="I14" s="85">
        <f t="shared" si="3"/>
        <v>4.8148148148148108E-3</v>
      </c>
      <c r="J14" s="70">
        <f t="shared" si="4"/>
        <v>2.13</v>
      </c>
      <c r="K14" s="74">
        <f t="shared" si="5"/>
        <v>1.0191387559808613</v>
      </c>
      <c r="L14" s="74">
        <f t="shared" si="6"/>
        <v>7.8888888888888883E-2</v>
      </c>
      <c r="M14" s="72">
        <v>49</v>
      </c>
      <c r="N14" s="70">
        <v>15.96</v>
      </c>
      <c r="O14" s="70">
        <v>16.27</v>
      </c>
      <c r="P14" s="70">
        <v>29.35</v>
      </c>
      <c r="Q14" s="70">
        <f t="shared" si="7"/>
        <v>0.30999999999999872</v>
      </c>
      <c r="R14" s="74">
        <f t="shared" si="8"/>
        <v>1.9423558897243027E-2</v>
      </c>
      <c r="S14" s="85">
        <f t="shared" si="9"/>
        <v>1.3963963963963906E-3</v>
      </c>
      <c r="T14" s="85">
        <f t="shared" si="10"/>
        <v>2.0261437908496651E-3</v>
      </c>
      <c r="U14" s="70">
        <f t="shared" si="11"/>
        <v>13.080000000000002</v>
      </c>
      <c r="V14" s="74">
        <f t="shared" si="12"/>
        <v>0.80393362015980341</v>
      </c>
      <c r="W14" s="74">
        <f t="shared" si="13"/>
        <v>8.5490196078431391E-2</v>
      </c>
    </row>
    <row r="15" spans="1:23" ht="15.5">
      <c r="A15" s="58" t="s">
        <v>32</v>
      </c>
      <c r="B15" s="89">
        <v>310</v>
      </c>
      <c r="C15" s="70">
        <v>2</v>
      </c>
      <c r="D15" s="70">
        <v>2.12</v>
      </c>
      <c r="E15" s="70">
        <v>4.32</v>
      </c>
      <c r="F15" s="70">
        <f t="shared" si="0"/>
        <v>0.12000000000000011</v>
      </c>
      <c r="G15" s="74">
        <f t="shared" si="1"/>
        <v>6.0000000000000053E-2</v>
      </c>
      <c r="H15" s="85">
        <f t="shared" si="2"/>
        <v>2.2222222222222244E-3</v>
      </c>
      <c r="I15" s="85">
        <f t="shared" si="3"/>
        <v>4.4444444444444488E-3</v>
      </c>
      <c r="J15" s="70">
        <f t="shared" si="4"/>
        <v>2.2000000000000002</v>
      </c>
      <c r="K15" s="74">
        <f t="shared" si="5"/>
        <v>1.0377358490566038</v>
      </c>
      <c r="L15" s="74">
        <f t="shared" si="6"/>
        <v>8.1481481481481488E-2</v>
      </c>
      <c r="M15" s="72">
        <v>63</v>
      </c>
      <c r="N15" s="70">
        <v>15.72</v>
      </c>
      <c r="O15" s="70">
        <v>16.38</v>
      </c>
      <c r="P15" s="70">
        <v>29.43</v>
      </c>
      <c r="Q15" s="70">
        <f t="shared" si="7"/>
        <v>0.65999999999999837</v>
      </c>
      <c r="R15" s="74">
        <f t="shared" si="8"/>
        <v>4.1984732824427377E-2</v>
      </c>
      <c r="S15" s="85">
        <f t="shared" si="9"/>
        <v>2.9729729729729656E-3</v>
      </c>
      <c r="T15" s="85">
        <f t="shared" si="10"/>
        <v>4.3137254901960678E-3</v>
      </c>
      <c r="U15" s="70">
        <f t="shared" si="11"/>
        <v>13.05</v>
      </c>
      <c r="V15" s="74">
        <f t="shared" si="12"/>
        <v>0.79670329670329676</v>
      </c>
      <c r="W15" s="74">
        <f t="shared" si="13"/>
        <v>8.5294117647058826E-2</v>
      </c>
    </row>
    <row r="16" spans="1:23" ht="15.5">
      <c r="A16" s="58" t="s">
        <v>32</v>
      </c>
      <c r="B16" s="89">
        <v>286</v>
      </c>
      <c r="C16" s="70">
        <v>2.02</v>
      </c>
      <c r="D16" s="70">
        <v>2.19</v>
      </c>
      <c r="E16" s="70">
        <v>4.47</v>
      </c>
      <c r="F16" s="70">
        <f t="shared" si="0"/>
        <v>0.16999999999999993</v>
      </c>
      <c r="G16" s="74">
        <f t="shared" si="1"/>
        <v>8.4158415841584122E-2</v>
      </c>
      <c r="H16" s="85">
        <f t="shared" si="2"/>
        <v>3.1481481481481469E-3</v>
      </c>
      <c r="I16" s="85">
        <f t="shared" si="3"/>
        <v>6.2962962962962938E-3</v>
      </c>
      <c r="J16" s="70">
        <f t="shared" si="4"/>
        <v>2.2799999999999998</v>
      </c>
      <c r="K16" s="74">
        <f t="shared" si="5"/>
        <v>1.0410958904109588</v>
      </c>
      <c r="L16" s="74">
        <f t="shared" si="6"/>
        <v>8.4444444444444433E-2</v>
      </c>
      <c r="M16" s="90">
        <v>18</v>
      </c>
      <c r="N16" s="70">
        <v>19.29</v>
      </c>
      <c r="O16" s="70">
        <v>19.350000000000001</v>
      </c>
      <c r="P16" s="70">
        <v>32.57</v>
      </c>
      <c r="Q16" s="70">
        <f t="shared" si="7"/>
        <v>6.0000000000002274E-2</v>
      </c>
      <c r="R16" s="74">
        <f t="shared" si="8"/>
        <v>3.1104199066875208E-3</v>
      </c>
      <c r="S16" s="85">
        <f t="shared" si="9"/>
        <v>2.7027027027028052E-4</v>
      </c>
      <c r="T16" s="85">
        <f t="shared" si="10"/>
        <v>3.9215686274511288E-4</v>
      </c>
      <c r="U16" s="70">
        <f t="shared" si="11"/>
        <v>13.219999999999999</v>
      </c>
      <c r="V16" s="74">
        <f t="shared" si="12"/>
        <v>0.68320413436692495</v>
      </c>
      <c r="W16" s="74">
        <f t="shared" si="13"/>
        <v>8.640522875816993E-2</v>
      </c>
    </row>
    <row r="17" spans="1:23" ht="15.5">
      <c r="A17" s="58" t="s">
        <v>32</v>
      </c>
      <c r="B17" s="89">
        <v>287</v>
      </c>
      <c r="C17" s="70">
        <v>2.14</v>
      </c>
      <c r="D17" s="70">
        <v>2.31</v>
      </c>
      <c r="E17" s="70">
        <v>4.6500000000000004</v>
      </c>
      <c r="F17" s="70">
        <f t="shared" si="0"/>
        <v>0.16999999999999993</v>
      </c>
      <c r="G17" s="74">
        <f t="shared" si="1"/>
        <v>7.9439252336448565E-2</v>
      </c>
      <c r="H17" s="85">
        <f t="shared" si="2"/>
        <v>3.1481481481481469E-3</v>
      </c>
      <c r="I17" s="85">
        <f t="shared" si="3"/>
        <v>6.2962962962962938E-3</v>
      </c>
      <c r="J17" s="70">
        <f t="shared" si="4"/>
        <v>2.3400000000000003</v>
      </c>
      <c r="K17" s="74">
        <f t="shared" si="5"/>
        <v>1.0129870129870131</v>
      </c>
      <c r="L17" s="74">
        <f t="shared" si="6"/>
        <v>8.6666666666666684E-2</v>
      </c>
      <c r="M17" s="90">
        <v>72</v>
      </c>
      <c r="N17" s="70">
        <v>21.34</v>
      </c>
      <c r="O17" s="70">
        <v>21.39</v>
      </c>
      <c r="P17" s="70">
        <v>33.81</v>
      </c>
      <c r="Q17" s="70">
        <f t="shared" si="7"/>
        <v>5.0000000000000711E-2</v>
      </c>
      <c r="R17" s="74">
        <f t="shared" si="8"/>
        <v>2.3430178069353659E-3</v>
      </c>
      <c r="S17" s="85">
        <f t="shared" si="9"/>
        <v>2.2522522522522843E-4</v>
      </c>
      <c r="T17" s="85">
        <f t="shared" si="10"/>
        <v>3.2679738562091967E-4</v>
      </c>
      <c r="U17" s="70">
        <f t="shared" si="11"/>
        <v>12.420000000000002</v>
      </c>
      <c r="V17" s="74">
        <f t="shared" si="12"/>
        <v>0.58064516129032262</v>
      </c>
      <c r="W17" s="74">
        <f t="shared" si="13"/>
        <v>8.1176470588235308E-2</v>
      </c>
    </row>
    <row r="18" spans="1:23" ht="15.5">
      <c r="A18" s="58" t="s">
        <v>32</v>
      </c>
      <c r="B18" s="89">
        <v>288</v>
      </c>
      <c r="C18" s="70">
        <v>2.1800000000000002</v>
      </c>
      <c r="D18" s="70">
        <v>2.2799999999999998</v>
      </c>
      <c r="E18" s="70">
        <v>4.41</v>
      </c>
      <c r="F18" s="70">
        <f t="shared" si="0"/>
        <v>9.9999999999999645E-2</v>
      </c>
      <c r="G18" s="74">
        <f t="shared" si="1"/>
        <v>4.5871559633027359E-2</v>
      </c>
      <c r="H18" s="85">
        <f t="shared" si="2"/>
        <v>1.8518518518518452E-3</v>
      </c>
      <c r="I18" s="85">
        <f t="shared" si="3"/>
        <v>3.7037037037036904E-3</v>
      </c>
      <c r="J18" s="70">
        <f t="shared" si="4"/>
        <v>2.1300000000000003</v>
      </c>
      <c r="K18" s="74">
        <f t="shared" si="5"/>
        <v>0.93421052631578971</v>
      </c>
      <c r="L18" s="74">
        <f t="shared" si="6"/>
        <v>7.8888888888888897E-2</v>
      </c>
      <c r="M18" s="90">
        <v>36</v>
      </c>
      <c r="N18" s="70">
        <v>20.47</v>
      </c>
      <c r="O18" s="70">
        <v>20.84</v>
      </c>
      <c r="P18" s="70">
        <v>32.89</v>
      </c>
      <c r="Q18" s="70">
        <f t="shared" si="7"/>
        <v>0.37000000000000099</v>
      </c>
      <c r="R18" s="74">
        <f t="shared" si="8"/>
        <v>1.8075232046897947E-2</v>
      </c>
      <c r="S18" s="85">
        <f t="shared" si="9"/>
        <v>1.6666666666666711E-3</v>
      </c>
      <c r="T18" s="85">
        <f t="shared" si="10"/>
        <v>2.4183006535947777E-3</v>
      </c>
      <c r="U18" s="70">
        <f t="shared" si="11"/>
        <v>12.05</v>
      </c>
      <c r="V18" s="74">
        <f t="shared" si="12"/>
        <v>0.57821497120921306</v>
      </c>
      <c r="W18" s="74">
        <f t="shared" si="13"/>
        <v>7.8758169934640521E-2</v>
      </c>
    </row>
    <row r="19" spans="1:23" ht="15.5">
      <c r="A19" s="58" t="s">
        <v>32</v>
      </c>
      <c r="B19" s="89">
        <v>289</v>
      </c>
      <c r="C19" s="70">
        <v>1.99</v>
      </c>
      <c r="D19" s="58">
        <v>2.2200000000000002</v>
      </c>
      <c r="E19" s="70">
        <v>4.4400000000000004</v>
      </c>
      <c r="F19" s="70">
        <f t="shared" si="0"/>
        <v>0.2300000000000002</v>
      </c>
      <c r="G19" s="74">
        <f t="shared" si="1"/>
        <v>0.11557788944723628</v>
      </c>
      <c r="H19" s="85">
        <f t="shared" si="2"/>
        <v>4.259259259259263E-3</v>
      </c>
      <c r="I19" s="85">
        <f t="shared" si="3"/>
        <v>8.518518518518526E-3</v>
      </c>
      <c r="J19" s="70">
        <f t="shared" si="4"/>
        <v>2.2200000000000002</v>
      </c>
      <c r="K19" s="74">
        <f t="shared" si="5"/>
        <v>1</v>
      </c>
      <c r="L19" s="74">
        <f t="shared" si="6"/>
        <v>8.2222222222222224E-2</v>
      </c>
      <c r="M19" s="90">
        <v>123</v>
      </c>
      <c r="N19" s="70">
        <v>22.18</v>
      </c>
      <c r="O19" s="70">
        <v>22.21</v>
      </c>
      <c r="P19" s="70">
        <v>36.46</v>
      </c>
      <c r="Q19" s="70">
        <f t="shared" si="7"/>
        <v>3.0000000000001137E-2</v>
      </c>
      <c r="R19" s="74">
        <f t="shared" si="8"/>
        <v>1.3525698827773281E-3</v>
      </c>
      <c r="S19" s="85">
        <f t="shared" si="9"/>
        <v>1.3513513513514026E-4</v>
      </c>
      <c r="T19" s="85">
        <f t="shared" si="10"/>
        <v>1.9607843137255644E-4</v>
      </c>
      <c r="U19" s="70">
        <f t="shared" si="11"/>
        <v>14.25</v>
      </c>
      <c r="V19" s="74">
        <f t="shared" si="12"/>
        <v>0.64160288158487166</v>
      </c>
      <c r="W19" s="74">
        <f t="shared" si="13"/>
        <v>9.3137254901960786E-2</v>
      </c>
    </row>
    <row r="20" spans="1:23" ht="15.5">
      <c r="A20" s="58" t="s">
        <v>32</v>
      </c>
      <c r="B20" s="89">
        <v>290</v>
      </c>
      <c r="C20" s="70">
        <v>2.19</v>
      </c>
      <c r="D20" s="70">
        <v>2.2200000000000002</v>
      </c>
      <c r="E20" s="70">
        <v>4.16</v>
      </c>
      <c r="F20" s="70">
        <f t="shared" si="0"/>
        <v>3.0000000000000249E-2</v>
      </c>
      <c r="G20" s="74">
        <f t="shared" si="1"/>
        <v>1.3698630136986415E-2</v>
      </c>
      <c r="H20" s="85">
        <f t="shared" si="2"/>
        <v>5.5555555555556011E-4</v>
      </c>
      <c r="I20" s="85">
        <f t="shared" si="3"/>
        <v>1.1111111111111202E-3</v>
      </c>
      <c r="J20" s="70">
        <f t="shared" si="4"/>
        <v>1.94</v>
      </c>
      <c r="K20" s="74">
        <f t="shared" si="5"/>
        <v>0.87387387387387372</v>
      </c>
      <c r="L20" s="74">
        <f t="shared" si="6"/>
        <v>7.1851851851851847E-2</v>
      </c>
      <c r="M20" s="90">
        <v>124</v>
      </c>
      <c r="N20" s="70">
        <v>20.77</v>
      </c>
      <c r="O20" s="70">
        <v>20.73</v>
      </c>
      <c r="P20" s="70">
        <v>34.729999999999997</v>
      </c>
      <c r="Q20" s="70">
        <f t="shared" si="7"/>
        <v>-3.9999999999999147E-2</v>
      </c>
      <c r="R20" s="74">
        <f t="shared" si="8"/>
        <v>-1.9258545979778116E-3</v>
      </c>
      <c r="S20" s="85">
        <f t="shared" si="9"/>
        <v>-1.8018018018017633E-4</v>
      </c>
      <c r="T20" s="85">
        <f t="shared" si="10"/>
        <v>-2.6143790849672647E-4</v>
      </c>
      <c r="U20" s="70">
        <f t="shared" si="11"/>
        <v>13.999999999999996</v>
      </c>
      <c r="V20" s="74">
        <f t="shared" si="12"/>
        <v>0.67534973468403259</v>
      </c>
      <c r="W20" s="74">
        <f t="shared" si="13"/>
        <v>9.1503267973856189E-2</v>
      </c>
    </row>
    <row r="21" spans="1:23" ht="15.75" customHeight="1">
      <c r="A21" s="58" t="s">
        <v>32</v>
      </c>
      <c r="B21" s="89">
        <v>326</v>
      </c>
      <c r="C21" s="70">
        <v>2.21</v>
      </c>
      <c r="D21" s="4">
        <v>2.0299999999999998</v>
      </c>
      <c r="E21" s="70">
        <v>4.29</v>
      </c>
      <c r="F21" s="70">
        <f t="shared" si="0"/>
        <v>-0.18000000000000016</v>
      </c>
      <c r="G21" s="74">
        <f t="shared" si="1"/>
        <v>-8.1447963800905049E-2</v>
      </c>
      <c r="H21" s="85">
        <f t="shared" si="2"/>
        <v>-3.3333333333333361E-3</v>
      </c>
      <c r="I21" s="85">
        <f t="shared" si="3"/>
        <v>-6.6666666666666723E-3</v>
      </c>
      <c r="J21" s="70">
        <f t="shared" si="4"/>
        <v>2.2600000000000002</v>
      </c>
      <c r="K21" s="74">
        <f t="shared" si="5"/>
        <v>1.1133004926108376</v>
      </c>
      <c r="L21" s="74">
        <f t="shared" si="6"/>
        <v>8.3703703703703711E-2</v>
      </c>
      <c r="M21" s="92">
        <v>24</v>
      </c>
      <c r="N21" s="70">
        <v>13.94</v>
      </c>
      <c r="O21" s="70">
        <v>14.29</v>
      </c>
      <c r="P21" s="70">
        <v>27.962</v>
      </c>
      <c r="Q21" s="70">
        <f t="shared" si="7"/>
        <v>0.34999999999999964</v>
      </c>
      <c r="R21" s="74">
        <f t="shared" si="8"/>
        <v>2.5107604017216619E-2</v>
      </c>
      <c r="S21" s="85">
        <f t="shared" si="9"/>
        <v>1.576576576576575E-3</v>
      </c>
      <c r="T21" s="85">
        <f t="shared" si="10"/>
        <v>2.2875816993464027E-3</v>
      </c>
      <c r="U21" s="70">
        <f t="shared" si="11"/>
        <v>13.672000000000001</v>
      </c>
      <c r="V21" s="74">
        <f t="shared" si="12"/>
        <v>0.95675297410776772</v>
      </c>
      <c r="W21" s="74">
        <f t="shared" si="13"/>
        <v>8.9359477124183004E-2</v>
      </c>
    </row>
    <row r="22" spans="1:23" ht="15.75" customHeight="1">
      <c r="A22" s="58" t="s">
        <v>32</v>
      </c>
      <c r="B22" s="89">
        <v>327</v>
      </c>
      <c r="C22" s="70">
        <v>2.2999999999999998</v>
      </c>
      <c r="D22" s="70">
        <v>2.2200000000000002</v>
      </c>
      <c r="E22" s="70">
        <v>4.76</v>
      </c>
      <c r="F22" s="70">
        <f t="shared" si="0"/>
        <v>-7.9999999999999627E-2</v>
      </c>
      <c r="G22" s="74">
        <f t="shared" si="1"/>
        <v>-3.4782608695652015E-2</v>
      </c>
      <c r="H22" s="85">
        <f t="shared" si="2"/>
        <v>-1.4814814814814745E-3</v>
      </c>
      <c r="I22" s="85">
        <f t="shared" si="3"/>
        <v>-2.9629629629629489E-3</v>
      </c>
      <c r="J22" s="70">
        <f t="shared" si="4"/>
        <v>2.5399999999999996</v>
      </c>
      <c r="K22" s="74">
        <f t="shared" si="5"/>
        <v>1.1441441441441438</v>
      </c>
      <c r="L22" s="74">
        <f t="shared" si="6"/>
        <v>9.407407407407406E-2</v>
      </c>
      <c r="M22" s="92">
        <v>30</v>
      </c>
      <c r="N22" s="70">
        <v>12.34</v>
      </c>
      <c r="O22" s="70">
        <v>12.32</v>
      </c>
      <c r="P22" s="70">
        <v>24.6</v>
      </c>
      <c r="Q22" s="70">
        <f t="shared" si="7"/>
        <v>-1.9999999999999574E-2</v>
      </c>
      <c r="R22" s="74">
        <f t="shared" si="8"/>
        <v>-1.6207455429497223E-3</v>
      </c>
      <c r="S22" s="85">
        <f t="shared" si="9"/>
        <v>-9.0090090090088167E-5</v>
      </c>
      <c r="T22" s="85">
        <f t="shared" si="10"/>
        <v>-1.3071895424836323E-4</v>
      </c>
      <c r="U22" s="70">
        <f t="shared" si="11"/>
        <v>12.280000000000001</v>
      </c>
      <c r="V22" s="74">
        <f t="shared" si="12"/>
        <v>0.99675324675324684</v>
      </c>
      <c r="W22" s="74">
        <f t="shared" si="13"/>
        <v>8.0261437908496741E-2</v>
      </c>
    </row>
    <row r="23" spans="1:23" ht="15.75" customHeight="1">
      <c r="A23" s="58" t="s">
        <v>32</v>
      </c>
      <c r="B23" s="89">
        <v>328</v>
      </c>
      <c r="C23" s="70">
        <v>1.96</v>
      </c>
      <c r="D23" s="70">
        <v>2.42</v>
      </c>
      <c r="E23" s="70">
        <v>4.24</v>
      </c>
      <c r="F23" s="70">
        <f t="shared" si="0"/>
        <v>0.45999999999999996</v>
      </c>
      <c r="G23" s="74">
        <f t="shared" si="1"/>
        <v>0.23469387755102039</v>
      </c>
      <c r="H23" s="85">
        <f t="shared" si="2"/>
        <v>8.5185185185185173E-3</v>
      </c>
      <c r="I23" s="85">
        <f t="shared" si="3"/>
        <v>1.7037037037037035E-2</v>
      </c>
      <c r="J23" s="70">
        <f t="shared" si="4"/>
        <v>1.8200000000000003</v>
      </c>
      <c r="K23" s="74">
        <f t="shared" si="5"/>
        <v>0.7520661157024795</v>
      </c>
      <c r="L23" s="74">
        <f t="shared" si="6"/>
        <v>6.7407407407407416E-2</v>
      </c>
      <c r="M23" s="92">
        <v>42</v>
      </c>
      <c r="N23" s="70">
        <v>12.54</v>
      </c>
      <c r="O23" s="70">
        <v>12.52</v>
      </c>
      <c r="P23" s="70">
        <v>25.53</v>
      </c>
      <c r="Q23" s="70">
        <f t="shared" si="7"/>
        <v>-1.9999999999999574E-2</v>
      </c>
      <c r="R23" s="74">
        <f t="shared" si="8"/>
        <v>-1.5948963317384032E-3</v>
      </c>
      <c r="S23" s="85">
        <f t="shared" si="9"/>
        <v>-9.0090090090088167E-5</v>
      </c>
      <c r="T23" s="85">
        <f t="shared" si="10"/>
        <v>-1.3071895424836323E-4</v>
      </c>
      <c r="U23" s="70">
        <f t="shared" si="11"/>
        <v>13.010000000000002</v>
      </c>
      <c r="V23" s="74">
        <f t="shared" si="12"/>
        <v>1.0391373801916934</v>
      </c>
      <c r="W23" s="74">
        <f t="shared" si="13"/>
        <v>8.50326797385621E-2</v>
      </c>
    </row>
    <row r="24" spans="1:23" ht="15.75" customHeight="1">
      <c r="A24" s="58" t="s">
        <v>32</v>
      </c>
      <c r="B24" s="89">
        <v>329</v>
      </c>
      <c r="C24" s="70">
        <v>2.08</v>
      </c>
      <c r="D24" s="70">
        <v>2.1</v>
      </c>
      <c r="E24" s="70">
        <v>4.41</v>
      </c>
      <c r="F24" s="70">
        <f t="shared" si="0"/>
        <v>2.0000000000000018E-2</v>
      </c>
      <c r="G24" s="74">
        <f t="shared" si="1"/>
        <v>9.6153846153846229E-3</v>
      </c>
      <c r="H24" s="85">
        <f t="shared" si="2"/>
        <v>3.7037037037037068E-4</v>
      </c>
      <c r="I24" s="85">
        <f t="shared" si="3"/>
        <v>7.4074074074074135E-4</v>
      </c>
      <c r="J24" s="70">
        <f t="shared" si="4"/>
        <v>2.31</v>
      </c>
      <c r="K24" s="74">
        <f t="shared" si="5"/>
        <v>1.1000000000000001</v>
      </c>
      <c r="L24" s="74">
        <f t="shared" si="6"/>
        <v>8.5555555555555551E-2</v>
      </c>
      <c r="M24" s="92">
        <v>16</v>
      </c>
      <c r="N24" s="70">
        <v>12.59</v>
      </c>
      <c r="O24" s="70"/>
      <c r="P24" s="70"/>
      <c r="Q24" s="70"/>
      <c r="R24" s="74"/>
      <c r="S24" s="85"/>
      <c r="T24" s="85"/>
      <c r="U24" s="70"/>
      <c r="V24" s="74"/>
      <c r="W24" s="74"/>
    </row>
    <row r="25" spans="1:23" ht="15.75" customHeight="1">
      <c r="A25" s="58" t="s">
        <v>32</v>
      </c>
      <c r="B25" s="89">
        <v>330</v>
      </c>
      <c r="C25" s="70">
        <v>2.02</v>
      </c>
      <c r="D25" s="70">
        <v>2.14</v>
      </c>
      <c r="E25" s="70">
        <v>4.1500000000000004</v>
      </c>
      <c r="F25" s="70">
        <f t="shared" si="0"/>
        <v>0.12000000000000011</v>
      </c>
      <c r="G25" s="74">
        <f t="shared" si="1"/>
        <v>5.9405940594059459E-2</v>
      </c>
      <c r="H25" s="85">
        <f t="shared" si="2"/>
        <v>2.2222222222222244E-3</v>
      </c>
      <c r="I25" s="85">
        <f t="shared" si="3"/>
        <v>4.4444444444444488E-3</v>
      </c>
      <c r="J25" s="70">
        <f t="shared" si="4"/>
        <v>2.0100000000000002</v>
      </c>
      <c r="K25" s="74">
        <f t="shared" si="5"/>
        <v>0.93925233644859818</v>
      </c>
      <c r="L25" s="74">
        <f t="shared" si="6"/>
        <v>7.4444444444444452E-2</v>
      </c>
      <c r="M25" s="92">
        <v>98</v>
      </c>
      <c r="N25" s="70">
        <v>13.56</v>
      </c>
      <c r="O25" s="70">
        <v>13.93</v>
      </c>
      <c r="P25" s="70">
        <v>27.45</v>
      </c>
      <c r="Q25" s="70">
        <f>O25-N25</f>
        <v>0.36999999999999922</v>
      </c>
      <c r="R25" s="74">
        <f>Q25/N25</f>
        <v>2.728613569321528E-2</v>
      </c>
      <c r="S25" s="85">
        <f>Q25/(9*2+3*17*4)</f>
        <v>1.6666666666666631E-3</v>
      </c>
      <c r="T25" s="85">
        <f>Q25/153</f>
        <v>2.4183006535947659E-3</v>
      </c>
      <c r="U25" s="70">
        <f>P25-O25</f>
        <v>13.52</v>
      </c>
      <c r="V25" s="74">
        <f>U25/O25</f>
        <v>0.97056712132089018</v>
      </c>
      <c r="W25" s="74">
        <f>U25/153</f>
        <v>8.8366013071895427E-2</v>
      </c>
    </row>
    <row r="26" spans="1:23" ht="15.75" customHeight="1">
      <c r="A26" s="58" t="s">
        <v>33</v>
      </c>
      <c r="B26" s="72">
        <v>206</v>
      </c>
      <c r="C26" s="70">
        <v>2.64</v>
      </c>
      <c r="D26" s="70">
        <v>2.83</v>
      </c>
      <c r="E26" s="70">
        <v>5.22</v>
      </c>
      <c r="F26" s="70">
        <f t="shared" si="0"/>
        <v>0.18999999999999995</v>
      </c>
      <c r="G26" s="74">
        <f t="shared" si="1"/>
        <v>7.1969696969696947E-2</v>
      </c>
      <c r="H26" s="85">
        <f t="shared" si="2"/>
        <v>3.5185185185185176E-3</v>
      </c>
      <c r="I26" s="85">
        <f t="shared" si="3"/>
        <v>7.0370370370370352E-3</v>
      </c>
      <c r="J26" s="70">
        <f t="shared" si="4"/>
        <v>2.3899999999999997</v>
      </c>
      <c r="K26" s="74">
        <f t="shared" si="5"/>
        <v>0.84452296819787975</v>
      </c>
      <c r="L26" s="74">
        <f t="shared" si="6"/>
        <v>8.851851851851851E-2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</row>
    <row r="27" spans="1:23" ht="15.75" customHeight="1">
      <c r="A27" s="58" t="s">
        <v>33</v>
      </c>
      <c r="B27" s="72">
        <v>207</v>
      </c>
      <c r="C27" s="70">
        <v>2.68</v>
      </c>
      <c r="D27" s="4">
        <v>2.89</v>
      </c>
      <c r="E27" s="70">
        <v>5.26</v>
      </c>
      <c r="F27" s="70">
        <f t="shared" si="0"/>
        <v>0.20999999999999996</v>
      </c>
      <c r="G27" s="74">
        <f t="shared" si="1"/>
        <v>7.8358208955223857E-2</v>
      </c>
      <c r="H27" s="85">
        <f t="shared" si="2"/>
        <v>3.8888888888888883E-3</v>
      </c>
      <c r="I27" s="85">
        <f t="shared" si="3"/>
        <v>7.7777777777777767E-3</v>
      </c>
      <c r="J27" s="70">
        <f t="shared" si="4"/>
        <v>2.3699999999999997</v>
      </c>
      <c r="K27" s="74">
        <f t="shared" si="5"/>
        <v>0.82006920415224893</v>
      </c>
      <c r="L27" s="74">
        <f t="shared" si="6"/>
        <v>8.777777777777776E-2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</row>
    <row r="28" spans="1:23" ht="15.75" customHeight="1">
      <c r="A28" s="58" t="s">
        <v>33</v>
      </c>
      <c r="B28" s="72">
        <v>208</v>
      </c>
      <c r="C28" s="70">
        <v>2.7</v>
      </c>
      <c r="D28" s="4">
        <v>2.9</v>
      </c>
      <c r="E28" s="70">
        <v>5.38</v>
      </c>
      <c r="F28" s="70">
        <f t="shared" si="0"/>
        <v>0.19999999999999973</v>
      </c>
      <c r="G28" s="74">
        <f t="shared" si="1"/>
        <v>7.4074074074073973E-2</v>
      </c>
      <c r="H28" s="85">
        <f t="shared" si="2"/>
        <v>3.7037037037036986E-3</v>
      </c>
      <c r="I28" s="85">
        <f t="shared" si="3"/>
        <v>7.4074074074073973E-3</v>
      </c>
      <c r="J28" s="70">
        <f t="shared" si="4"/>
        <v>2.48</v>
      </c>
      <c r="K28" s="74">
        <f t="shared" si="5"/>
        <v>0.85517241379310349</v>
      </c>
      <c r="L28" s="74">
        <f t="shared" si="6"/>
        <v>9.1851851851851851E-2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</row>
    <row r="29" spans="1:23" ht="15.75" customHeight="1">
      <c r="A29" s="58" t="s">
        <v>33</v>
      </c>
      <c r="B29" s="72">
        <v>209</v>
      </c>
      <c r="C29" s="70">
        <v>2.65</v>
      </c>
      <c r="D29" s="70">
        <v>2.88</v>
      </c>
      <c r="E29" s="70">
        <v>5.38</v>
      </c>
      <c r="F29" s="70">
        <f t="shared" si="0"/>
        <v>0.22999999999999998</v>
      </c>
      <c r="G29" s="74">
        <f t="shared" si="1"/>
        <v>8.6792452830188674E-2</v>
      </c>
      <c r="H29" s="85">
        <f t="shared" si="2"/>
        <v>4.2592592592592586E-3</v>
      </c>
      <c r="I29" s="85">
        <f t="shared" si="3"/>
        <v>8.5185185185185173E-3</v>
      </c>
      <c r="J29" s="70">
        <f t="shared" si="4"/>
        <v>2.5</v>
      </c>
      <c r="K29" s="74">
        <f t="shared" si="5"/>
        <v>0.86805555555555558</v>
      </c>
      <c r="L29" s="74">
        <f t="shared" si="6"/>
        <v>9.2592592592592587E-2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</row>
    <row r="30" spans="1:23" ht="15.75" customHeight="1">
      <c r="A30" s="58" t="s">
        <v>33</v>
      </c>
      <c r="B30" s="72">
        <v>210</v>
      </c>
      <c r="C30" s="70">
        <v>2.59</v>
      </c>
      <c r="D30" s="70">
        <v>2.82</v>
      </c>
      <c r="E30" s="70">
        <v>5.21</v>
      </c>
      <c r="F30" s="70">
        <f t="shared" si="0"/>
        <v>0.22999999999999998</v>
      </c>
      <c r="G30" s="74">
        <f t="shared" si="1"/>
        <v>8.8803088803088806E-2</v>
      </c>
      <c r="H30" s="85">
        <f t="shared" si="2"/>
        <v>4.2592592592592586E-3</v>
      </c>
      <c r="I30" s="85">
        <f t="shared" si="3"/>
        <v>8.5185185185185173E-3</v>
      </c>
      <c r="J30" s="70">
        <f t="shared" si="4"/>
        <v>2.39</v>
      </c>
      <c r="K30" s="74">
        <f t="shared" si="5"/>
        <v>0.84751773049645396</v>
      </c>
      <c r="L30" s="74">
        <f t="shared" si="6"/>
        <v>8.8518518518518524E-2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</row>
    <row r="31" spans="1:23" ht="15.75" customHeight="1">
      <c r="A31" s="58" t="s">
        <v>33</v>
      </c>
      <c r="B31" s="72">
        <v>311</v>
      </c>
      <c r="C31" s="70">
        <v>2.73</v>
      </c>
      <c r="D31" s="70">
        <v>2.94</v>
      </c>
      <c r="E31" s="70">
        <v>5.36</v>
      </c>
      <c r="F31" s="70">
        <f t="shared" si="0"/>
        <v>0.20999999999999996</v>
      </c>
      <c r="G31" s="74">
        <f t="shared" si="1"/>
        <v>7.6923076923076913E-2</v>
      </c>
      <c r="H31" s="85">
        <f t="shared" si="2"/>
        <v>3.8888888888888883E-3</v>
      </c>
      <c r="I31" s="85">
        <f t="shared" si="3"/>
        <v>7.7777777777777767E-3</v>
      </c>
      <c r="J31" s="70">
        <f t="shared" si="4"/>
        <v>2.4200000000000004</v>
      </c>
      <c r="K31" s="74">
        <f t="shared" si="5"/>
        <v>0.82312925170068041</v>
      </c>
      <c r="L31" s="74">
        <f t="shared" si="6"/>
        <v>8.9629629629629642E-2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</row>
    <row r="32" spans="1:23" ht="15.75" customHeight="1">
      <c r="A32" s="58" t="s">
        <v>33</v>
      </c>
      <c r="B32" s="72">
        <v>312</v>
      </c>
      <c r="C32" s="70">
        <v>2.66</v>
      </c>
      <c r="D32" s="70">
        <v>2.8</v>
      </c>
      <c r="E32" s="70">
        <v>5.29</v>
      </c>
      <c r="F32" s="70">
        <f t="shared" si="0"/>
        <v>0.13999999999999968</v>
      </c>
      <c r="G32" s="74">
        <f t="shared" si="1"/>
        <v>5.26315789473683E-2</v>
      </c>
      <c r="H32" s="85">
        <f t="shared" si="2"/>
        <v>2.5925925925925869E-3</v>
      </c>
      <c r="I32" s="85">
        <f t="shared" si="3"/>
        <v>5.1851851851851738E-3</v>
      </c>
      <c r="J32" s="70">
        <f t="shared" si="4"/>
        <v>2.4900000000000002</v>
      </c>
      <c r="K32" s="74">
        <f t="shared" si="5"/>
        <v>0.88928571428571446</v>
      </c>
      <c r="L32" s="74">
        <f t="shared" si="6"/>
        <v>9.2222222222222233E-2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</row>
    <row r="33" spans="1:23" ht="15.75" customHeight="1">
      <c r="A33" s="58" t="s">
        <v>33</v>
      </c>
      <c r="B33" s="72">
        <v>313</v>
      </c>
      <c r="C33" s="70">
        <v>2.71</v>
      </c>
      <c r="D33" s="70">
        <v>2.86</v>
      </c>
      <c r="E33" s="70">
        <v>5.31</v>
      </c>
      <c r="F33" s="70">
        <f t="shared" si="0"/>
        <v>0.14999999999999991</v>
      </c>
      <c r="G33" s="74">
        <f t="shared" si="1"/>
        <v>5.535055350553502E-2</v>
      </c>
      <c r="H33" s="85">
        <f t="shared" si="2"/>
        <v>2.7777777777777761E-3</v>
      </c>
      <c r="I33" s="85">
        <f t="shared" si="3"/>
        <v>5.5555555555555523E-3</v>
      </c>
      <c r="J33" s="70">
        <f t="shared" si="4"/>
        <v>2.4499999999999997</v>
      </c>
      <c r="K33" s="74">
        <f t="shared" si="5"/>
        <v>0.85664335664335656</v>
      </c>
      <c r="L33" s="74">
        <f t="shared" si="6"/>
        <v>9.0740740740740733E-2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</row>
    <row r="34" spans="1:23" ht="15.75" customHeight="1">
      <c r="A34" s="58" t="s">
        <v>33</v>
      </c>
      <c r="B34" s="72">
        <v>314</v>
      </c>
      <c r="C34" s="70">
        <v>2.71</v>
      </c>
      <c r="D34" s="70">
        <v>2.86</v>
      </c>
      <c r="E34" s="70">
        <v>5.41</v>
      </c>
      <c r="F34" s="70">
        <f t="shared" si="0"/>
        <v>0.14999999999999991</v>
      </c>
      <c r="G34" s="74">
        <f t="shared" si="1"/>
        <v>5.535055350553502E-2</v>
      </c>
      <c r="H34" s="85">
        <f t="shared" si="2"/>
        <v>2.7777777777777761E-3</v>
      </c>
      <c r="I34" s="85">
        <f t="shared" si="3"/>
        <v>5.5555555555555523E-3</v>
      </c>
      <c r="J34" s="70">
        <f t="shared" si="4"/>
        <v>2.5500000000000003</v>
      </c>
      <c r="K34" s="74">
        <f t="shared" si="5"/>
        <v>0.89160839160839178</v>
      </c>
      <c r="L34" s="74">
        <f t="shared" si="6"/>
        <v>9.4444444444444456E-2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</row>
    <row r="35" spans="1:23" ht="15.75" customHeight="1">
      <c r="A35" s="58" t="s">
        <v>33</v>
      </c>
      <c r="B35" s="72">
        <v>315</v>
      </c>
      <c r="C35" s="70">
        <v>2.72</v>
      </c>
      <c r="D35" s="70">
        <v>2.9</v>
      </c>
      <c r="E35" s="70">
        <v>5.48</v>
      </c>
      <c r="F35" s="70">
        <f t="shared" si="0"/>
        <v>0.17999999999999972</v>
      </c>
      <c r="G35" s="74">
        <f t="shared" si="1"/>
        <v>6.6176470588235184E-2</v>
      </c>
      <c r="H35" s="85">
        <f t="shared" si="2"/>
        <v>3.3333333333333279E-3</v>
      </c>
      <c r="I35" s="85">
        <f t="shared" si="3"/>
        <v>6.6666666666666558E-3</v>
      </c>
      <c r="J35" s="70">
        <f t="shared" si="4"/>
        <v>2.5800000000000005</v>
      </c>
      <c r="K35" s="74">
        <f t="shared" si="5"/>
        <v>0.88965517241379333</v>
      </c>
      <c r="L35" s="74">
        <f t="shared" si="6"/>
        <v>9.5555555555555574E-2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</row>
    <row r="36" spans="1:23" ht="15.75" customHeight="1">
      <c r="A36" s="58" t="s">
        <v>33</v>
      </c>
      <c r="B36" s="72">
        <v>276</v>
      </c>
      <c r="C36" s="70">
        <v>2.72</v>
      </c>
      <c r="D36" s="70">
        <v>2.87</v>
      </c>
      <c r="E36" s="70">
        <v>5.2</v>
      </c>
      <c r="F36" s="70">
        <f t="shared" si="0"/>
        <v>0.14999999999999991</v>
      </c>
      <c r="G36" s="74">
        <f t="shared" si="1"/>
        <v>5.5147058823529375E-2</v>
      </c>
      <c r="H36" s="85">
        <f t="shared" si="2"/>
        <v>2.7777777777777761E-3</v>
      </c>
      <c r="I36" s="85">
        <f t="shared" si="3"/>
        <v>5.5555555555555523E-3</v>
      </c>
      <c r="J36" s="70">
        <f t="shared" si="4"/>
        <v>2.33</v>
      </c>
      <c r="K36" s="74">
        <f t="shared" si="5"/>
        <v>0.81184668989547037</v>
      </c>
      <c r="L36" s="74">
        <f t="shared" si="6"/>
        <v>8.6296296296296301E-2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</row>
    <row r="37" spans="1:23" ht="15.75" customHeight="1">
      <c r="A37" s="58" t="s">
        <v>33</v>
      </c>
      <c r="B37" s="72">
        <v>277</v>
      </c>
      <c r="C37" s="70">
        <v>2.78</v>
      </c>
      <c r="D37" s="70">
        <v>2.94</v>
      </c>
      <c r="E37" s="70">
        <v>5.24</v>
      </c>
      <c r="F37" s="70">
        <f t="shared" si="0"/>
        <v>0.16000000000000014</v>
      </c>
      <c r="G37" s="74">
        <f t="shared" si="1"/>
        <v>5.7553956834532433E-2</v>
      </c>
      <c r="H37" s="85">
        <f t="shared" si="2"/>
        <v>2.9629629629629654E-3</v>
      </c>
      <c r="I37" s="85">
        <f t="shared" si="3"/>
        <v>5.9259259259259308E-3</v>
      </c>
      <c r="J37" s="70">
        <f t="shared" si="4"/>
        <v>2.3000000000000003</v>
      </c>
      <c r="K37" s="74">
        <f t="shared" si="5"/>
        <v>0.78231292517006812</v>
      </c>
      <c r="L37" s="74">
        <f t="shared" si="6"/>
        <v>8.5185185185185197E-2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</row>
    <row r="38" spans="1:23" ht="15.75" customHeight="1">
      <c r="A38" s="58" t="s">
        <v>33</v>
      </c>
      <c r="B38" s="72">
        <v>278</v>
      </c>
      <c r="C38" s="70">
        <v>2.88</v>
      </c>
      <c r="D38" s="70">
        <v>3.05</v>
      </c>
      <c r="E38" s="70">
        <v>5.26</v>
      </c>
      <c r="F38" s="70">
        <f t="shared" si="0"/>
        <v>0.16999999999999993</v>
      </c>
      <c r="G38" s="74">
        <f t="shared" si="1"/>
        <v>5.9027777777777755E-2</v>
      </c>
      <c r="H38" s="85">
        <f t="shared" si="2"/>
        <v>3.1481481481481469E-3</v>
      </c>
      <c r="I38" s="85">
        <f t="shared" si="3"/>
        <v>6.2962962962962938E-3</v>
      </c>
      <c r="J38" s="70">
        <f t="shared" si="4"/>
        <v>2.21</v>
      </c>
      <c r="K38" s="74">
        <f t="shared" si="5"/>
        <v>0.72459016393442621</v>
      </c>
      <c r="L38" s="74">
        <f t="shared" si="6"/>
        <v>8.1851851851851856E-2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</row>
    <row r="39" spans="1:23" ht="15.75" customHeight="1">
      <c r="A39" s="58" t="s">
        <v>33</v>
      </c>
      <c r="B39" s="72">
        <v>279</v>
      </c>
      <c r="C39" s="70">
        <v>2.85</v>
      </c>
      <c r="D39" s="70">
        <v>3.04</v>
      </c>
      <c r="E39" s="70">
        <v>5.46</v>
      </c>
      <c r="F39" s="70">
        <f t="shared" si="0"/>
        <v>0.18999999999999995</v>
      </c>
      <c r="G39" s="74">
        <f t="shared" si="1"/>
        <v>6.6666666666666652E-2</v>
      </c>
      <c r="H39" s="85">
        <f t="shared" si="2"/>
        <v>3.5185185185185176E-3</v>
      </c>
      <c r="I39" s="85">
        <f t="shared" si="3"/>
        <v>7.0370370370370352E-3</v>
      </c>
      <c r="J39" s="70">
        <f t="shared" si="4"/>
        <v>2.42</v>
      </c>
      <c r="K39" s="74">
        <f t="shared" si="5"/>
        <v>0.79605263157894735</v>
      </c>
      <c r="L39" s="74">
        <f t="shared" si="6"/>
        <v>8.9629629629629629E-2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</row>
    <row r="40" spans="1:23" ht="15.75" customHeight="1">
      <c r="A40" s="58" t="s">
        <v>33</v>
      </c>
      <c r="B40" s="72">
        <v>280</v>
      </c>
      <c r="C40" s="70">
        <v>2.5</v>
      </c>
      <c r="D40" s="70">
        <v>3.05</v>
      </c>
      <c r="E40" s="70">
        <v>5.44</v>
      </c>
      <c r="F40" s="70">
        <f t="shared" si="0"/>
        <v>0.54999999999999982</v>
      </c>
      <c r="G40" s="74">
        <f t="shared" si="1"/>
        <v>0.21999999999999992</v>
      </c>
      <c r="H40" s="85">
        <f t="shared" si="2"/>
        <v>1.0185185185185183E-2</v>
      </c>
      <c r="I40" s="85">
        <f t="shared" si="3"/>
        <v>2.0370370370370365E-2</v>
      </c>
      <c r="J40" s="70">
        <f t="shared" si="4"/>
        <v>2.3900000000000006</v>
      </c>
      <c r="K40" s="74">
        <f t="shared" si="5"/>
        <v>0.78360655737704943</v>
      </c>
      <c r="L40" s="74">
        <f t="shared" si="6"/>
        <v>8.8518518518518538E-2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</row>
    <row r="41" spans="1:23" ht="15.75" customHeight="1">
      <c r="A41" s="58" t="s">
        <v>33</v>
      </c>
      <c r="B41" s="72">
        <v>269</v>
      </c>
      <c r="C41" s="70">
        <v>2.77</v>
      </c>
      <c r="D41" s="70">
        <v>2.93</v>
      </c>
      <c r="E41" s="70">
        <v>5.78</v>
      </c>
      <c r="F41" s="70">
        <f t="shared" si="0"/>
        <v>0.16000000000000014</v>
      </c>
      <c r="G41" s="74">
        <f t="shared" si="1"/>
        <v>5.776173285198561E-2</v>
      </c>
      <c r="H41" s="85">
        <f t="shared" si="2"/>
        <v>2.9629629629629654E-3</v>
      </c>
      <c r="I41" s="85">
        <f t="shared" si="3"/>
        <v>5.9259259259259308E-3</v>
      </c>
      <c r="J41" s="70">
        <f t="shared" si="4"/>
        <v>2.85</v>
      </c>
      <c r="K41" s="74">
        <f t="shared" si="5"/>
        <v>0.97269624573378832</v>
      </c>
      <c r="L41" s="74">
        <f t="shared" si="6"/>
        <v>0.10555555555555556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</row>
    <row r="42" spans="1:23" ht="15.75" customHeight="1">
      <c r="A42" s="58" t="s">
        <v>33</v>
      </c>
      <c r="B42" s="72">
        <v>270</v>
      </c>
      <c r="C42" s="70">
        <v>2.69</v>
      </c>
      <c r="D42" s="70">
        <v>2.84</v>
      </c>
      <c r="E42" s="70">
        <v>5.15</v>
      </c>
      <c r="F42" s="70">
        <f t="shared" si="0"/>
        <v>0.14999999999999991</v>
      </c>
      <c r="G42" s="74">
        <f t="shared" si="1"/>
        <v>5.5762081784386588E-2</v>
      </c>
      <c r="H42" s="85">
        <f t="shared" si="2"/>
        <v>2.7777777777777761E-3</v>
      </c>
      <c r="I42" s="85">
        <f t="shared" si="3"/>
        <v>5.5555555555555523E-3</v>
      </c>
      <c r="J42" s="70">
        <f t="shared" si="4"/>
        <v>2.3100000000000005</v>
      </c>
      <c r="K42" s="74">
        <f t="shared" si="5"/>
        <v>0.81338028169014109</v>
      </c>
      <c r="L42" s="74">
        <f t="shared" si="6"/>
        <v>8.5555555555555579E-2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</row>
    <row r="43" spans="1:23" ht="15.75" customHeight="1">
      <c r="A43" s="58" t="s">
        <v>35</v>
      </c>
      <c r="B43" s="90">
        <v>171</v>
      </c>
      <c r="C43" s="70">
        <v>3.35</v>
      </c>
      <c r="D43" s="70">
        <v>3.45</v>
      </c>
      <c r="E43" s="70">
        <v>5.84</v>
      </c>
      <c r="F43" s="70">
        <f t="shared" si="0"/>
        <v>0.10000000000000009</v>
      </c>
      <c r="G43" s="74">
        <f t="shared" si="1"/>
        <v>2.9850746268656744E-2</v>
      </c>
      <c r="H43" s="85">
        <f t="shared" si="2"/>
        <v>1.8518518518518534E-3</v>
      </c>
      <c r="I43" s="85">
        <f t="shared" si="3"/>
        <v>3.7037037037037069E-3</v>
      </c>
      <c r="J43" s="70">
        <f t="shared" si="4"/>
        <v>2.3899999999999997</v>
      </c>
      <c r="K43" s="74">
        <f t="shared" si="5"/>
        <v>0.69275362318840572</v>
      </c>
      <c r="L43" s="74">
        <f t="shared" si="6"/>
        <v>8.851851851851851E-2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</row>
    <row r="44" spans="1:23" ht="15.75" customHeight="1">
      <c r="A44" s="58" t="s">
        <v>35</v>
      </c>
      <c r="B44" s="90">
        <v>172</v>
      </c>
      <c r="C44" s="70">
        <v>3.44</v>
      </c>
      <c r="D44" s="70">
        <v>3.5</v>
      </c>
      <c r="E44" s="70">
        <v>5.84</v>
      </c>
      <c r="F44" s="70">
        <f t="shared" si="0"/>
        <v>6.0000000000000053E-2</v>
      </c>
      <c r="G44" s="74">
        <f t="shared" si="1"/>
        <v>1.7441860465116296E-2</v>
      </c>
      <c r="H44" s="85">
        <f t="shared" si="2"/>
        <v>1.1111111111111122E-3</v>
      </c>
      <c r="I44" s="85">
        <f t="shared" si="3"/>
        <v>2.2222222222222244E-3</v>
      </c>
      <c r="J44" s="70">
        <f t="shared" si="4"/>
        <v>2.34</v>
      </c>
      <c r="K44" s="74">
        <f t="shared" si="5"/>
        <v>0.66857142857142848</v>
      </c>
      <c r="L44" s="74">
        <f t="shared" si="6"/>
        <v>8.6666666666666656E-2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</row>
    <row r="45" spans="1:23" ht="15.75" customHeight="1">
      <c r="A45" s="58" t="s">
        <v>35</v>
      </c>
      <c r="B45" s="90">
        <v>173</v>
      </c>
      <c r="C45" s="70">
        <v>3.46</v>
      </c>
      <c r="D45" s="70">
        <v>3.55</v>
      </c>
      <c r="E45" s="70">
        <v>5.86</v>
      </c>
      <c r="F45" s="70">
        <f t="shared" si="0"/>
        <v>8.9999999999999858E-2</v>
      </c>
      <c r="G45" s="74">
        <f t="shared" si="1"/>
        <v>2.6011560693641578E-2</v>
      </c>
      <c r="H45" s="85">
        <f t="shared" si="2"/>
        <v>1.666666666666664E-3</v>
      </c>
      <c r="I45" s="85">
        <f t="shared" si="3"/>
        <v>3.3333333333333279E-3</v>
      </c>
      <c r="J45" s="70">
        <f t="shared" si="4"/>
        <v>2.3100000000000005</v>
      </c>
      <c r="K45" s="74">
        <f t="shared" si="5"/>
        <v>0.65070422535211281</v>
      </c>
      <c r="L45" s="74">
        <f t="shared" si="6"/>
        <v>8.5555555555555579E-2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</row>
    <row r="46" spans="1:23" ht="15.75" customHeight="1">
      <c r="A46" s="58" t="s">
        <v>35</v>
      </c>
      <c r="B46" s="90">
        <v>174</v>
      </c>
      <c r="C46" s="70">
        <v>3.3</v>
      </c>
      <c r="D46" s="70">
        <v>3.4</v>
      </c>
      <c r="E46" s="70">
        <v>5.66</v>
      </c>
      <c r="F46" s="70">
        <f t="shared" si="0"/>
        <v>0.10000000000000009</v>
      </c>
      <c r="G46" s="74">
        <f t="shared" si="1"/>
        <v>3.0303030303030332E-2</v>
      </c>
      <c r="H46" s="85">
        <f t="shared" si="2"/>
        <v>1.8518518518518534E-3</v>
      </c>
      <c r="I46" s="85">
        <f t="shared" si="3"/>
        <v>3.7037037037037069E-3</v>
      </c>
      <c r="J46" s="70">
        <f t="shared" si="4"/>
        <v>2.2600000000000002</v>
      </c>
      <c r="K46" s="74">
        <f t="shared" si="5"/>
        <v>0.66470588235294126</v>
      </c>
      <c r="L46" s="74">
        <f t="shared" si="6"/>
        <v>8.3703703703703711E-2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</row>
    <row r="47" spans="1:23" ht="15.75" customHeight="1">
      <c r="A47" s="58" t="s">
        <v>35</v>
      </c>
      <c r="B47" s="90">
        <v>175</v>
      </c>
      <c r="C47" s="70">
        <v>3.38</v>
      </c>
      <c r="D47" s="70">
        <v>3.55</v>
      </c>
      <c r="E47" s="70">
        <v>5.83</v>
      </c>
      <c r="F47" s="70">
        <f t="shared" si="0"/>
        <v>0.16999999999999993</v>
      </c>
      <c r="G47" s="74">
        <f t="shared" si="1"/>
        <v>5.029585798816566E-2</v>
      </c>
      <c r="H47" s="85">
        <f t="shared" si="2"/>
        <v>3.1481481481481469E-3</v>
      </c>
      <c r="I47" s="85">
        <f t="shared" si="3"/>
        <v>6.2962962962962938E-3</v>
      </c>
      <c r="J47" s="70">
        <f t="shared" si="4"/>
        <v>2.2800000000000002</v>
      </c>
      <c r="K47" s="74">
        <f t="shared" si="5"/>
        <v>0.64225352112676071</v>
      </c>
      <c r="L47" s="74">
        <f t="shared" si="6"/>
        <v>8.4444444444444447E-2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</row>
    <row r="48" spans="1:23" ht="15.75" customHeight="1">
      <c r="A48" s="58" t="s">
        <v>35</v>
      </c>
      <c r="B48" s="90">
        <v>226</v>
      </c>
      <c r="C48" s="70">
        <v>3.44</v>
      </c>
      <c r="D48" s="70">
        <v>3.47</v>
      </c>
      <c r="E48" s="70">
        <v>5.73</v>
      </c>
      <c r="F48" s="70">
        <f t="shared" si="0"/>
        <v>3.0000000000000249E-2</v>
      </c>
      <c r="G48" s="74">
        <f t="shared" si="1"/>
        <v>8.7209302325582123E-3</v>
      </c>
      <c r="H48" s="85">
        <f t="shared" si="2"/>
        <v>5.5555555555556011E-4</v>
      </c>
      <c r="I48" s="85">
        <f t="shared" si="3"/>
        <v>1.1111111111111202E-3</v>
      </c>
      <c r="J48" s="70">
        <f t="shared" si="4"/>
        <v>2.2600000000000002</v>
      </c>
      <c r="K48" s="74">
        <f t="shared" si="5"/>
        <v>0.65129682997118155</v>
      </c>
      <c r="L48" s="74">
        <f t="shared" si="6"/>
        <v>8.3703703703703711E-2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</row>
    <row r="49" spans="1:23" ht="15.75" customHeight="1">
      <c r="A49" s="58" t="s">
        <v>35</v>
      </c>
      <c r="B49" s="90">
        <v>227</v>
      </c>
      <c r="C49" s="70">
        <v>3.45</v>
      </c>
      <c r="D49" s="70">
        <v>3.56</v>
      </c>
      <c r="E49" s="70">
        <v>5.86</v>
      </c>
      <c r="F49" s="70">
        <f t="shared" si="0"/>
        <v>0.10999999999999988</v>
      </c>
      <c r="G49" s="74">
        <f t="shared" si="1"/>
        <v>3.1884057971014457E-2</v>
      </c>
      <c r="H49" s="85">
        <f t="shared" si="2"/>
        <v>2.0370370370370347E-3</v>
      </c>
      <c r="I49" s="85">
        <f t="shared" si="3"/>
        <v>4.0740740740740694E-3</v>
      </c>
      <c r="J49" s="70">
        <f t="shared" si="4"/>
        <v>2.3000000000000003</v>
      </c>
      <c r="K49" s="74">
        <f t="shared" si="5"/>
        <v>0.6460674157303371</v>
      </c>
      <c r="L49" s="74">
        <f t="shared" si="6"/>
        <v>8.5185185185185197E-2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</row>
    <row r="50" spans="1:23" ht="15.75" customHeight="1">
      <c r="A50" s="58" t="s">
        <v>35</v>
      </c>
      <c r="B50" s="90">
        <v>228</v>
      </c>
      <c r="C50" s="70">
        <v>3.43</v>
      </c>
      <c r="D50" s="70">
        <v>3.54</v>
      </c>
      <c r="E50" s="70">
        <v>5.89</v>
      </c>
      <c r="F50" s="70">
        <f t="shared" si="0"/>
        <v>0.10999999999999988</v>
      </c>
      <c r="G50" s="74">
        <f t="shared" si="1"/>
        <v>3.2069970845481015E-2</v>
      </c>
      <c r="H50" s="85">
        <f t="shared" si="2"/>
        <v>2.0370370370370347E-3</v>
      </c>
      <c r="I50" s="85">
        <f t="shared" si="3"/>
        <v>4.0740740740740694E-3</v>
      </c>
      <c r="J50" s="70">
        <f t="shared" si="4"/>
        <v>2.3499999999999996</v>
      </c>
      <c r="K50" s="74">
        <f t="shared" si="5"/>
        <v>0.66384180790960445</v>
      </c>
      <c r="L50" s="74">
        <f t="shared" si="6"/>
        <v>8.7037037037037024E-2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</row>
    <row r="51" spans="1:23" ht="15.75" customHeight="1">
      <c r="A51" s="58" t="s">
        <v>35</v>
      </c>
      <c r="B51" s="90">
        <v>229</v>
      </c>
      <c r="C51" s="70">
        <v>3.49</v>
      </c>
      <c r="D51" s="70">
        <v>3.57</v>
      </c>
      <c r="E51" s="70">
        <v>5.8</v>
      </c>
      <c r="F51" s="70">
        <f t="shared" si="0"/>
        <v>7.9999999999999627E-2</v>
      </c>
      <c r="G51" s="74">
        <f t="shared" si="1"/>
        <v>2.2922636103151754E-2</v>
      </c>
      <c r="H51" s="85">
        <f t="shared" si="2"/>
        <v>1.4814814814814745E-3</v>
      </c>
      <c r="I51" s="85">
        <f t="shared" si="3"/>
        <v>2.9629629629629489E-3</v>
      </c>
      <c r="J51" s="70">
        <f t="shared" si="4"/>
        <v>2.23</v>
      </c>
      <c r="K51" s="74">
        <f t="shared" si="5"/>
        <v>0.62464985994397759</v>
      </c>
      <c r="L51" s="74">
        <f t="shared" si="6"/>
        <v>8.2592592592592592E-2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</row>
    <row r="52" spans="1:23" ht="15.75" customHeight="1">
      <c r="A52" s="58" t="s">
        <v>35</v>
      </c>
      <c r="B52" s="90">
        <v>230</v>
      </c>
      <c r="C52" s="70">
        <v>3.53</v>
      </c>
      <c r="D52" s="70">
        <v>3.57</v>
      </c>
      <c r="E52" s="70">
        <v>5.65</v>
      </c>
      <c r="F52" s="70">
        <f t="shared" si="0"/>
        <v>4.0000000000000036E-2</v>
      </c>
      <c r="G52" s="74">
        <f t="shared" si="1"/>
        <v>1.133144475920681E-2</v>
      </c>
      <c r="H52" s="85">
        <f t="shared" si="2"/>
        <v>7.4074074074074135E-4</v>
      </c>
      <c r="I52" s="85">
        <f t="shared" si="3"/>
        <v>1.4814814814814827E-3</v>
      </c>
      <c r="J52" s="70">
        <f t="shared" si="4"/>
        <v>2.0800000000000005</v>
      </c>
      <c r="K52" s="74">
        <f t="shared" si="5"/>
        <v>0.58263305322128867</v>
      </c>
      <c r="L52" s="74">
        <f t="shared" si="6"/>
        <v>7.7037037037037057E-2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</row>
    <row r="53" spans="1:23" ht="15.75" customHeight="1">
      <c r="A53" s="58" t="s">
        <v>35</v>
      </c>
      <c r="B53" s="90">
        <v>346</v>
      </c>
      <c r="C53" s="70">
        <v>3.35</v>
      </c>
      <c r="D53" s="70">
        <v>3.6</v>
      </c>
      <c r="E53" s="70">
        <v>5.74</v>
      </c>
      <c r="F53" s="70">
        <f t="shared" si="0"/>
        <v>0.25</v>
      </c>
      <c r="G53" s="74">
        <f t="shared" si="1"/>
        <v>7.4626865671641784E-2</v>
      </c>
      <c r="H53" s="85">
        <f t="shared" si="2"/>
        <v>4.6296296296296294E-3</v>
      </c>
      <c r="I53" s="85">
        <f t="shared" si="3"/>
        <v>9.2592592592592587E-3</v>
      </c>
      <c r="J53" s="70">
        <f t="shared" si="4"/>
        <v>2.14</v>
      </c>
      <c r="K53" s="74">
        <f t="shared" si="5"/>
        <v>0.59444444444444444</v>
      </c>
      <c r="L53" s="74">
        <f t="shared" si="6"/>
        <v>7.9259259259259265E-2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</row>
    <row r="54" spans="1:23" ht="15.75" customHeight="1">
      <c r="A54" s="58" t="s">
        <v>35</v>
      </c>
      <c r="B54" s="90">
        <v>347</v>
      </c>
      <c r="C54" s="70">
        <v>3.476</v>
      </c>
      <c r="D54" s="70">
        <v>3.45</v>
      </c>
      <c r="E54" s="70">
        <v>5.93</v>
      </c>
      <c r="F54" s="70">
        <f t="shared" si="0"/>
        <v>-2.5999999999999801E-2</v>
      </c>
      <c r="G54" s="74">
        <f t="shared" si="1"/>
        <v>-7.4798619102416E-3</v>
      </c>
      <c r="H54" s="85">
        <f t="shared" si="2"/>
        <v>-4.8148148148147781E-4</v>
      </c>
      <c r="I54" s="85">
        <f t="shared" si="3"/>
        <v>-9.6296296296295562E-4</v>
      </c>
      <c r="J54" s="70">
        <f t="shared" si="4"/>
        <v>2.4799999999999995</v>
      </c>
      <c r="K54" s="74">
        <f t="shared" si="5"/>
        <v>0.71884057971014481</v>
      </c>
      <c r="L54" s="74">
        <f t="shared" si="6"/>
        <v>9.1851851851851837E-2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</row>
    <row r="55" spans="1:23" ht="15.75" customHeight="1">
      <c r="A55" s="58" t="s">
        <v>35</v>
      </c>
      <c r="B55" s="90">
        <v>348</v>
      </c>
      <c r="C55" s="70">
        <v>3.57</v>
      </c>
      <c r="D55" s="70">
        <v>3.65</v>
      </c>
      <c r="E55" s="70">
        <v>5.75</v>
      </c>
      <c r="F55" s="70">
        <f t="shared" si="0"/>
        <v>8.0000000000000071E-2</v>
      </c>
      <c r="G55" s="74">
        <f t="shared" si="1"/>
        <v>2.2408963585434195E-2</v>
      </c>
      <c r="H55" s="85">
        <f t="shared" si="2"/>
        <v>1.4814814814814827E-3</v>
      </c>
      <c r="I55" s="85">
        <f t="shared" si="3"/>
        <v>2.9629629629629654E-3</v>
      </c>
      <c r="J55" s="70">
        <f t="shared" si="4"/>
        <v>2.1</v>
      </c>
      <c r="K55" s="74">
        <f t="shared" si="5"/>
        <v>0.57534246575342474</v>
      </c>
      <c r="L55" s="74">
        <f t="shared" si="6"/>
        <v>7.7777777777777779E-2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 spans="1:23" ht="15.75" customHeight="1">
      <c r="A56" s="58" t="s">
        <v>35</v>
      </c>
      <c r="B56" s="90">
        <v>349</v>
      </c>
      <c r="C56" s="70">
        <v>3.57</v>
      </c>
      <c r="D56" s="70">
        <v>3.65</v>
      </c>
      <c r="E56" s="70">
        <v>5.83</v>
      </c>
      <c r="F56" s="70">
        <f t="shared" si="0"/>
        <v>8.0000000000000071E-2</v>
      </c>
      <c r="G56" s="74">
        <f t="shared" si="1"/>
        <v>2.2408963585434195E-2</v>
      </c>
      <c r="H56" s="85">
        <f t="shared" si="2"/>
        <v>1.4814814814814827E-3</v>
      </c>
      <c r="I56" s="85">
        <f t="shared" si="3"/>
        <v>2.9629629629629654E-3</v>
      </c>
      <c r="J56" s="70">
        <f t="shared" si="4"/>
        <v>2.1800000000000002</v>
      </c>
      <c r="K56" s="74">
        <f t="shared" si="5"/>
        <v>0.59726027397260284</v>
      </c>
      <c r="L56" s="74">
        <f t="shared" si="6"/>
        <v>8.0740740740740752E-2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 spans="1:23" ht="15.75" customHeight="1">
      <c r="A57" s="58" t="s">
        <v>35</v>
      </c>
      <c r="B57" s="90">
        <v>350</v>
      </c>
      <c r="C57" s="70">
        <v>3.48</v>
      </c>
      <c r="D57" s="70">
        <v>3.81</v>
      </c>
      <c r="E57" s="70">
        <v>5.59</v>
      </c>
      <c r="F57" s="70">
        <f t="shared" si="0"/>
        <v>0.33000000000000007</v>
      </c>
      <c r="G57" s="74">
        <f t="shared" si="1"/>
        <v>9.4827586206896575E-2</v>
      </c>
      <c r="H57" s="85">
        <f t="shared" si="2"/>
        <v>6.1111111111111123E-3</v>
      </c>
      <c r="I57" s="85">
        <f t="shared" si="3"/>
        <v>1.2222222222222225E-2</v>
      </c>
      <c r="J57" s="70">
        <f t="shared" si="4"/>
        <v>1.7799999999999998</v>
      </c>
      <c r="K57" s="74">
        <f t="shared" si="5"/>
        <v>0.46719160104986873</v>
      </c>
      <c r="L57" s="74">
        <f t="shared" si="6"/>
        <v>6.5925925925925916E-2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 spans="1:23" ht="15.75" customHeight="1">
      <c r="A58" s="58" t="s">
        <v>35</v>
      </c>
      <c r="B58" s="90">
        <v>51</v>
      </c>
      <c r="C58" s="70">
        <v>3.73</v>
      </c>
      <c r="D58" s="70">
        <v>3.56</v>
      </c>
      <c r="E58" s="70">
        <v>6.29</v>
      </c>
      <c r="F58" s="70">
        <f t="shared" si="0"/>
        <v>-0.16999999999999993</v>
      </c>
      <c r="G58" s="74">
        <f t="shared" si="1"/>
        <v>-4.5576407506702395E-2</v>
      </c>
      <c r="H58" s="85">
        <f t="shared" si="2"/>
        <v>-3.1481481481481469E-3</v>
      </c>
      <c r="I58" s="85">
        <f t="shared" si="3"/>
        <v>-6.2962962962962938E-3</v>
      </c>
      <c r="J58" s="70">
        <f t="shared" si="4"/>
        <v>2.73</v>
      </c>
      <c r="K58" s="74">
        <f t="shared" si="5"/>
        <v>0.76685393258426959</v>
      </c>
      <c r="L58" s="74">
        <f t="shared" si="6"/>
        <v>0.10111111111111111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 spans="1:23" ht="15.75" customHeight="1">
      <c r="A59" s="58" t="s">
        <v>35</v>
      </c>
      <c r="B59" s="90">
        <v>52</v>
      </c>
      <c r="C59" s="70">
        <v>3.73</v>
      </c>
      <c r="D59" s="70">
        <v>3.79</v>
      </c>
      <c r="E59" s="70">
        <v>6.31</v>
      </c>
      <c r="F59" s="70">
        <f t="shared" si="0"/>
        <v>6.0000000000000053E-2</v>
      </c>
      <c r="G59" s="74">
        <f t="shared" si="1"/>
        <v>1.6085790884718513E-2</v>
      </c>
      <c r="H59" s="85">
        <f t="shared" si="2"/>
        <v>1.1111111111111122E-3</v>
      </c>
      <c r="I59" s="85">
        <f t="shared" si="3"/>
        <v>2.2222222222222244E-3</v>
      </c>
      <c r="J59" s="70">
        <f t="shared" si="4"/>
        <v>2.5199999999999996</v>
      </c>
      <c r="K59" s="74">
        <f t="shared" si="5"/>
        <v>0.66490765171503941</v>
      </c>
      <c r="L59" s="74">
        <f t="shared" si="6"/>
        <v>9.3333333333333324E-2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</row>
    <row r="60" spans="1:23" ht="15.75" customHeight="1">
      <c r="A60" s="58" t="s">
        <v>35</v>
      </c>
      <c r="B60" s="90">
        <v>53</v>
      </c>
      <c r="C60" s="70">
        <v>3.72</v>
      </c>
      <c r="D60" s="70">
        <v>3.79</v>
      </c>
      <c r="E60" s="70">
        <v>6.24</v>
      </c>
      <c r="F60" s="70">
        <f t="shared" si="0"/>
        <v>6.999999999999984E-2</v>
      </c>
      <c r="G60" s="74">
        <f t="shared" si="1"/>
        <v>1.8817204301075224E-2</v>
      </c>
      <c r="H60" s="85">
        <f t="shared" si="2"/>
        <v>1.2962962962962934E-3</v>
      </c>
      <c r="I60" s="85">
        <f t="shared" si="3"/>
        <v>2.5925925925925869E-3</v>
      </c>
      <c r="J60" s="70">
        <f t="shared" si="4"/>
        <v>2.4500000000000002</v>
      </c>
      <c r="K60" s="74">
        <f t="shared" si="5"/>
        <v>0.64643799472295516</v>
      </c>
      <c r="L60" s="74">
        <f t="shared" si="6"/>
        <v>9.0740740740740747E-2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</row>
    <row r="61" spans="1:23" ht="15.75" customHeight="1">
      <c r="A61" s="58" t="s">
        <v>35</v>
      </c>
      <c r="B61" s="90">
        <v>54</v>
      </c>
      <c r="C61" s="70">
        <v>3.62</v>
      </c>
      <c r="D61" s="70">
        <v>3.78</v>
      </c>
      <c r="E61" s="70">
        <v>6.07</v>
      </c>
      <c r="F61" s="70">
        <f t="shared" si="0"/>
        <v>0.1599999999999997</v>
      </c>
      <c r="G61" s="74">
        <f t="shared" si="1"/>
        <v>4.4198895027624224E-2</v>
      </c>
      <c r="H61" s="85">
        <f t="shared" si="2"/>
        <v>2.9629629629629572E-3</v>
      </c>
      <c r="I61" s="85">
        <f t="shared" si="3"/>
        <v>5.9259259259259144E-3</v>
      </c>
      <c r="J61" s="70">
        <f t="shared" si="4"/>
        <v>2.2900000000000005</v>
      </c>
      <c r="K61" s="74">
        <f t="shared" si="5"/>
        <v>0.60582010582010593</v>
      </c>
      <c r="L61" s="74">
        <f t="shared" si="6"/>
        <v>8.4814814814814829E-2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</row>
    <row r="62" spans="1:23" ht="15.75" customHeight="1">
      <c r="A62" s="58" t="s">
        <v>35</v>
      </c>
      <c r="B62" s="90">
        <v>55</v>
      </c>
      <c r="C62" s="70">
        <v>3.72</v>
      </c>
      <c r="D62" s="70">
        <v>3.65</v>
      </c>
      <c r="E62" s="70">
        <v>6.15</v>
      </c>
      <c r="F62" s="70">
        <f t="shared" si="0"/>
        <v>-7.0000000000000284E-2</v>
      </c>
      <c r="G62" s="74">
        <f t="shared" si="1"/>
        <v>-1.8817204301075346E-2</v>
      </c>
      <c r="H62" s="85">
        <f t="shared" si="2"/>
        <v>-1.2962962962963015E-3</v>
      </c>
      <c r="I62" s="85">
        <f t="shared" si="3"/>
        <v>-2.5925925925926029E-3</v>
      </c>
      <c r="J62" s="70">
        <f t="shared" si="4"/>
        <v>2.5000000000000004</v>
      </c>
      <c r="K62" s="74">
        <f t="shared" si="5"/>
        <v>0.68493150684931525</v>
      </c>
      <c r="L62" s="74">
        <f t="shared" si="6"/>
        <v>9.2592592592592615E-2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</row>
    <row r="63" spans="1:23" ht="15.75" customHeight="1">
      <c r="A63" s="58" t="s">
        <v>36</v>
      </c>
      <c r="B63" s="92">
        <v>191</v>
      </c>
      <c r="C63" s="70">
        <v>2.16</v>
      </c>
      <c r="D63" s="70">
        <v>2.2599999999999998</v>
      </c>
      <c r="E63" s="70">
        <v>4.46</v>
      </c>
      <c r="F63" s="70">
        <f t="shared" si="0"/>
        <v>9.9999999999999645E-2</v>
      </c>
      <c r="G63" s="74">
        <f t="shared" si="1"/>
        <v>4.6296296296296127E-2</v>
      </c>
      <c r="H63" s="85">
        <f t="shared" si="2"/>
        <v>1.8518518518518452E-3</v>
      </c>
      <c r="I63" s="85">
        <f t="shared" si="3"/>
        <v>3.7037037037036904E-3</v>
      </c>
      <c r="J63" s="70">
        <f t="shared" si="4"/>
        <v>2.2000000000000002</v>
      </c>
      <c r="K63" s="74">
        <f t="shared" si="5"/>
        <v>0.9734513274336285</v>
      </c>
      <c r="L63" s="74">
        <f t="shared" si="6"/>
        <v>8.1481481481481488E-2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 spans="1:23" ht="15.75" customHeight="1">
      <c r="A64" s="58" t="s">
        <v>36</v>
      </c>
      <c r="B64" s="92">
        <v>192</v>
      </c>
      <c r="C64" s="70">
        <v>2.19</v>
      </c>
      <c r="D64" s="70">
        <v>2.23</v>
      </c>
      <c r="E64" s="70">
        <v>4.33</v>
      </c>
      <c r="F64" s="70">
        <f t="shared" si="0"/>
        <v>4.0000000000000036E-2</v>
      </c>
      <c r="G64" s="74">
        <f t="shared" si="1"/>
        <v>1.8264840182648418E-2</v>
      </c>
      <c r="H64" s="85">
        <f t="shared" si="2"/>
        <v>7.4074074074074135E-4</v>
      </c>
      <c r="I64" s="85">
        <f t="shared" si="3"/>
        <v>1.4814814814814827E-3</v>
      </c>
      <c r="J64" s="70">
        <f t="shared" si="4"/>
        <v>2.1</v>
      </c>
      <c r="K64" s="74">
        <f t="shared" si="5"/>
        <v>0.94170403587443952</v>
      </c>
      <c r="L64" s="74">
        <f t="shared" si="6"/>
        <v>7.7777777777777779E-2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 spans="1:23" ht="15.75" customHeight="1">
      <c r="A65" s="58" t="s">
        <v>36</v>
      </c>
      <c r="B65" s="92">
        <v>193</v>
      </c>
      <c r="C65" s="70">
        <v>2.34</v>
      </c>
      <c r="D65" s="70">
        <v>2.39</v>
      </c>
      <c r="E65" s="70">
        <v>4.38</v>
      </c>
      <c r="F65" s="70">
        <f t="shared" si="0"/>
        <v>5.0000000000000266E-2</v>
      </c>
      <c r="G65" s="74">
        <f t="shared" si="1"/>
        <v>2.1367521367521482E-2</v>
      </c>
      <c r="H65" s="85">
        <f t="shared" si="2"/>
        <v>9.2592592592593084E-4</v>
      </c>
      <c r="I65" s="85">
        <f t="shared" si="3"/>
        <v>1.8518518518518617E-3</v>
      </c>
      <c r="J65" s="70">
        <f t="shared" si="4"/>
        <v>1.9899999999999998</v>
      </c>
      <c r="K65" s="74">
        <f t="shared" si="5"/>
        <v>0.83263598326359822</v>
      </c>
      <c r="L65" s="74">
        <f t="shared" si="6"/>
        <v>7.3703703703703702E-2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 spans="1:23" ht="15.75" customHeight="1">
      <c r="A66" s="58" t="s">
        <v>36</v>
      </c>
      <c r="B66" s="92">
        <v>194</v>
      </c>
      <c r="C66" s="70">
        <v>2.16</v>
      </c>
      <c r="D66" s="70">
        <v>2.2200000000000002</v>
      </c>
      <c r="E66" s="70">
        <v>4.34</v>
      </c>
      <c r="F66" s="70">
        <f t="shared" si="0"/>
        <v>6.0000000000000053E-2</v>
      </c>
      <c r="G66" s="74">
        <f t="shared" si="1"/>
        <v>2.7777777777777801E-2</v>
      </c>
      <c r="H66" s="85">
        <f t="shared" si="2"/>
        <v>1.1111111111111122E-3</v>
      </c>
      <c r="I66" s="85">
        <f t="shared" si="3"/>
        <v>2.2222222222222244E-3</v>
      </c>
      <c r="J66" s="70">
        <f t="shared" si="4"/>
        <v>2.1199999999999997</v>
      </c>
      <c r="K66" s="74">
        <f t="shared" si="5"/>
        <v>0.95495495495495475</v>
      </c>
      <c r="L66" s="74">
        <f t="shared" si="6"/>
        <v>7.8518518518518501E-2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 spans="1:23" ht="15.75" customHeight="1">
      <c r="A67" s="58" t="s">
        <v>36</v>
      </c>
      <c r="B67" s="92">
        <v>195</v>
      </c>
      <c r="C67" s="70">
        <v>2.11</v>
      </c>
      <c r="D67" s="70">
        <v>2.2000000000000002</v>
      </c>
      <c r="E67" s="70">
        <v>4.28</v>
      </c>
      <c r="F67" s="70">
        <f t="shared" si="0"/>
        <v>9.0000000000000302E-2</v>
      </c>
      <c r="G67" s="74">
        <f t="shared" si="1"/>
        <v>4.2654028436019106E-2</v>
      </c>
      <c r="H67" s="85">
        <f t="shared" si="2"/>
        <v>1.6666666666666722E-3</v>
      </c>
      <c r="I67" s="85">
        <f t="shared" si="3"/>
        <v>3.3333333333333444E-3</v>
      </c>
      <c r="J67" s="70">
        <f t="shared" si="4"/>
        <v>2.08</v>
      </c>
      <c r="K67" s="74">
        <f t="shared" si="5"/>
        <v>0.94545454545454544</v>
      </c>
      <c r="L67" s="74">
        <f t="shared" si="6"/>
        <v>7.7037037037037043E-2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</row>
    <row r="68" spans="1:23" ht="15.75" customHeight="1">
      <c r="A68" s="58" t="s">
        <v>36</v>
      </c>
      <c r="B68" s="92">
        <v>156</v>
      </c>
      <c r="C68" s="70">
        <v>2.33</v>
      </c>
      <c r="D68" s="70">
        <v>2.46</v>
      </c>
      <c r="E68" s="70">
        <v>4.74</v>
      </c>
      <c r="F68" s="70">
        <f t="shared" si="0"/>
        <v>0.12999999999999989</v>
      </c>
      <c r="G68" s="74">
        <f t="shared" si="1"/>
        <v>5.5793991416308968E-2</v>
      </c>
      <c r="H68" s="85">
        <f t="shared" si="2"/>
        <v>2.4074074074074054E-3</v>
      </c>
      <c r="I68" s="85">
        <f t="shared" si="3"/>
        <v>4.8148148148148108E-3</v>
      </c>
      <c r="J68" s="70">
        <f t="shared" si="4"/>
        <v>2.2800000000000002</v>
      </c>
      <c r="K68" s="74">
        <f t="shared" si="5"/>
        <v>0.92682926829268308</v>
      </c>
      <c r="L68" s="74">
        <f t="shared" si="6"/>
        <v>8.4444444444444447E-2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</row>
    <row r="69" spans="1:23" ht="15.75" customHeight="1">
      <c r="A69" s="58" t="s">
        <v>36</v>
      </c>
      <c r="B69" s="92">
        <v>157</v>
      </c>
      <c r="C69" s="70">
        <v>2.37</v>
      </c>
      <c r="D69" s="4">
        <v>2.4700000000000002</v>
      </c>
      <c r="E69" s="70">
        <v>4.7300000000000004</v>
      </c>
      <c r="F69" s="70">
        <f t="shared" si="0"/>
        <v>0.10000000000000009</v>
      </c>
      <c r="G69" s="74">
        <f t="shared" si="1"/>
        <v>4.2194092827004252E-2</v>
      </c>
      <c r="H69" s="85">
        <f t="shared" si="2"/>
        <v>1.8518518518518534E-3</v>
      </c>
      <c r="I69" s="85">
        <f t="shared" si="3"/>
        <v>3.7037037037037069E-3</v>
      </c>
      <c r="J69" s="70">
        <f t="shared" si="4"/>
        <v>2.2600000000000002</v>
      </c>
      <c r="K69" s="74">
        <f t="shared" si="5"/>
        <v>0.91497975708502022</v>
      </c>
      <c r="L69" s="74">
        <f t="shared" si="6"/>
        <v>8.3703703703703711E-2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</row>
    <row r="70" spans="1:23" ht="15.75" customHeight="1">
      <c r="A70" s="58" t="s">
        <v>36</v>
      </c>
      <c r="B70" s="92">
        <v>158</v>
      </c>
      <c r="C70" s="70">
        <v>2.4</v>
      </c>
      <c r="D70" s="4">
        <v>2.54</v>
      </c>
      <c r="E70" s="70">
        <v>4.9000000000000004</v>
      </c>
      <c r="F70" s="70">
        <f t="shared" si="0"/>
        <v>0.14000000000000012</v>
      </c>
      <c r="G70" s="74">
        <f t="shared" si="1"/>
        <v>5.833333333333339E-2</v>
      </c>
      <c r="H70" s="85">
        <f t="shared" si="2"/>
        <v>2.5925925925925947E-3</v>
      </c>
      <c r="I70" s="85">
        <f t="shared" si="3"/>
        <v>5.1851851851851894E-3</v>
      </c>
      <c r="J70" s="70">
        <f t="shared" si="4"/>
        <v>2.3600000000000003</v>
      </c>
      <c r="K70" s="74">
        <f t="shared" si="5"/>
        <v>0.92913385826771666</v>
      </c>
      <c r="L70" s="74">
        <f t="shared" si="6"/>
        <v>8.740740740740742E-2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</row>
    <row r="71" spans="1:23" ht="15.75" customHeight="1">
      <c r="A71" s="58" t="s">
        <v>36</v>
      </c>
      <c r="B71" s="92">
        <v>159</v>
      </c>
      <c r="C71" s="70">
        <v>2.41</v>
      </c>
      <c r="D71" s="70">
        <v>2.4700000000000002</v>
      </c>
      <c r="E71" s="70">
        <v>4.79</v>
      </c>
      <c r="F71" s="70">
        <f t="shared" si="0"/>
        <v>6.0000000000000053E-2</v>
      </c>
      <c r="G71" s="74">
        <f t="shared" si="1"/>
        <v>2.4896265560165994E-2</v>
      </c>
      <c r="H71" s="85">
        <f t="shared" si="2"/>
        <v>1.1111111111111122E-3</v>
      </c>
      <c r="I71" s="85">
        <f t="shared" si="3"/>
        <v>2.2222222222222244E-3</v>
      </c>
      <c r="J71" s="70">
        <f t="shared" si="4"/>
        <v>2.3199999999999998</v>
      </c>
      <c r="K71" s="74">
        <f t="shared" si="5"/>
        <v>0.93927125506072862</v>
      </c>
      <c r="L71" s="74">
        <f t="shared" si="6"/>
        <v>8.5925925925925919E-2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</row>
    <row r="72" spans="1:23" ht="15.75" customHeight="1">
      <c r="A72" s="58" t="s">
        <v>36</v>
      </c>
      <c r="B72" s="92">
        <v>160</v>
      </c>
      <c r="C72" s="70">
        <v>2.33</v>
      </c>
      <c r="D72" s="70">
        <v>2.19</v>
      </c>
      <c r="E72" s="70"/>
      <c r="F72" s="70">
        <f t="shared" si="0"/>
        <v>-0.14000000000000012</v>
      </c>
      <c r="G72" s="74">
        <f t="shared" si="1"/>
        <v>-6.0085836909871293E-2</v>
      </c>
      <c r="H72" s="85">
        <f t="shared" si="2"/>
        <v>-2.5925925925925947E-3</v>
      </c>
      <c r="I72" s="85">
        <f t="shared" si="3"/>
        <v>-5.1851851851851894E-3</v>
      </c>
      <c r="J72" s="70"/>
      <c r="K72" s="74"/>
      <c r="L72" s="74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</row>
    <row r="73" spans="1:23" ht="15.75" customHeight="1">
      <c r="A73" s="58" t="s">
        <v>36</v>
      </c>
      <c r="B73" s="92">
        <v>251</v>
      </c>
      <c r="C73" s="70">
        <v>2.08</v>
      </c>
      <c r="D73" s="70">
        <v>2.36</v>
      </c>
      <c r="E73" s="70">
        <v>4.42</v>
      </c>
      <c r="F73" s="70">
        <f t="shared" si="0"/>
        <v>0.2799999999999998</v>
      </c>
      <c r="G73" s="74">
        <f t="shared" si="1"/>
        <v>0.13461538461538453</v>
      </c>
      <c r="H73" s="85">
        <f t="shared" si="2"/>
        <v>5.1851851851851816E-3</v>
      </c>
      <c r="I73" s="85">
        <f t="shared" si="3"/>
        <v>1.0370370370370363E-2</v>
      </c>
      <c r="J73" s="70">
        <f t="shared" ref="J73:J82" si="14">E73-D73</f>
        <v>2.06</v>
      </c>
      <c r="K73" s="74">
        <f t="shared" ref="K73:K82" si="15">J73/D73</f>
        <v>0.87288135593220351</v>
      </c>
      <c r="L73" s="74">
        <f t="shared" ref="L73:L82" si="16">J73/27</f>
        <v>7.6296296296296293E-2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</row>
    <row r="74" spans="1:23" ht="15.75" customHeight="1">
      <c r="A74" s="58" t="s">
        <v>36</v>
      </c>
      <c r="B74" s="92">
        <v>252</v>
      </c>
      <c r="C74" s="70">
        <v>2.2200000000000002</v>
      </c>
      <c r="D74" s="70">
        <v>2.15</v>
      </c>
      <c r="E74" s="70">
        <v>4.71</v>
      </c>
      <c r="F74" s="70">
        <f t="shared" si="0"/>
        <v>-7.0000000000000284E-2</v>
      </c>
      <c r="G74" s="74">
        <f t="shared" si="1"/>
        <v>-3.1531531531531654E-2</v>
      </c>
      <c r="H74" s="85">
        <f t="shared" si="2"/>
        <v>-1.2962962962963015E-3</v>
      </c>
      <c r="I74" s="85">
        <f t="shared" si="3"/>
        <v>-2.5925925925926029E-3</v>
      </c>
      <c r="J74" s="70">
        <f t="shared" si="14"/>
        <v>2.56</v>
      </c>
      <c r="K74" s="74">
        <f t="shared" si="15"/>
        <v>1.1906976744186046</v>
      </c>
      <c r="L74" s="74">
        <f t="shared" si="16"/>
        <v>9.481481481481481E-2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</row>
    <row r="75" spans="1:23" ht="15.75" customHeight="1">
      <c r="A75" s="58" t="s">
        <v>36</v>
      </c>
      <c r="B75" s="92">
        <v>253</v>
      </c>
      <c r="C75" s="70">
        <v>2.16</v>
      </c>
      <c r="D75" s="70">
        <v>2.09</v>
      </c>
      <c r="E75" s="70">
        <v>4.43</v>
      </c>
      <c r="F75" s="70">
        <f t="shared" si="0"/>
        <v>-7.0000000000000284E-2</v>
      </c>
      <c r="G75" s="74">
        <f t="shared" si="1"/>
        <v>-3.2407407407407537E-2</v>
      </c>
      <c r="H75" s="85">
        <f t="shared" si="2"/>
        <v>-1.2962962962963015E-3</v>
      </c>
      <c r="I75" s="85">
        <f t="shared" si="3"/>
        <v>-2.5925925925926029E-3</v>
      </c>
      <c r="J75" s="70">
        <f t="shared" si="14"/>
        <v>2.34</v>
      </c>
      <c r="K75" s="74">
        <f t="shared" si="15"/>
        <v>1.1196172248803828</v>
      </c>
      <c r="L75" s="74">
        <f t="shared" si="16"/>
        <v>8.6666666666666656E-2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</row>
    <row r="76" spans="1:23" ht="15.75" customHeight="1">
      <c r="A76" s="58" t="s">
        <v>36</v>
      </c>
      <c r="B76" s="92">
        <v>254</v>
      </c>
      <c r="C76" s="70">
        <v>2.06</v>
      </c>
      <c r="D76" s="70">
        <v>1.9</v>
      </c>
      <c r="E76" s="70">
        <v>4.3600000000000003</v>
      </c>
      <c r="F76" s="70">
        <f t="shared" si="0"/>
        <v>-0.16000000000000014</v>
      </c>
      <c r="G76" s="74">
        <f t="shared" si="1"/>
        <v>-7.7669902912621422E-2</v>
      </c>
      <c r="H76" s="85">
        <f t="shared" si="2"/>
        <v>-2.9629629629629654E-3</v>
      </c>
      <c r="I76" s="85">
        <f t="shared" si="3"/>
        <v>-5.9259259259259308E-3</v>
      </c>
      <c r="J76" s="70">
        <f t="shared" si="14"/>
        <v>2.4600000000000004</v>
      </c>
      <c r="K76" s="74">
        <f t="shared" si="15"/>
        <v>1.2947368421052634</v>
      </c>
      <c r="L76" s="74">
        <f t="shared" si="16"/>
        <v>9.1111111111111129E-2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</row>
    <row r="77" spans="1:23" ht="15.75" customHeight="1">
      <c r="A77" s="58" t="s">
        <v>36</v>
      </c>
      <c r="B77" s="92">
        <v>255</v>
      </c>
      <c r="C77" s="4">
        <v>2.0099999999999998</v>
      </c>
      <c r="D77" s="4">
        <v>2.2200000000000002</v>
      </c>
      <c r="E77" s="70">
        <v>4.1100000000000003</v>
      </c>
      <c r="F77" s="70">
        <f t="shared" si="0"/>
        <v>0.21000000000000041</v>
      </c>
      <c r="G77" s="74">
        <f t="shared" si="1"/>
        <v>0.10447761194029873</v>
      </c>
      <c r="H77" s="85">
        <f t="shared" si="2"/>
        <v>3.8888888888888966E-3</v>
      </c>
      <c r="I77" s="85">
        <f t="shared" si="3"/>
        <v>7.7777777777777932E-3</v>
      </c>
      <c r="J77" s="70">
        <f t="shared" si="14"/>
        <v>1.8900000000000001</v>
      </c>
      <c r="K77" s="74">
        <f t="shared" si="15"/>
        <v>0.85135135135135132</v>
      </c>
      <c r="L77" s="74">
        <f t="shared" si="16"/>
        <v>7.0000000000000007E-2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</row>
    <row r="78" spans="1:23" ht="15.75" customHeight="1">
      <c r="A78" s="58" t="s">
        <v>36</v>
      </c>
      <c r="B78" s="92">
        <v>216</v>
      </c>
      <c r="C78" s="70">
        <v>2.23</v>
      </c>
      <c r="D78" s="70">
        <v>2.11</v>
      </c>
      <c r="E78" s="70">
        <v>4.5199999999999996</v>
      </c>
      <c r="F78" s="70">
        <f t="shared" si="0"/>
        <v>-0.12000000000000011</v>
      </c>
      <c r="G78" s="74">
        <f t="shared" si="1"/>
        <v>-5.3811659192825163E-2</v>
      </c>
      <c r="H78" s="85">
        <f t="shared" si="2"/>
        <v>-2.2222222222222244E-3</v>
      </c>
      <c r="I78" s="85">
        <f t="shared" si="3"/>
        <v>-4.4444444444444488E-3</v>
      </c>
      <c r="J78" s="70">
        <f t="shared" si="14"/>
        <v>2.4099999999999997</v>
      </c>
      <c r="K78" s="74">
        <f t="shared" si="15"/>
        <v>1.1421800947867298</v>
      </c>
      <c r="L78" s="74">
        <f t="shared" si="16"/>
        <v>8.9259259259259247E-2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</row>
    <row r="79" spans="1:23" ht="15.75" customHeight="1">
      <c r="A79" s="58" t="s">
        <v>36</v>
      </c>
      <c r="B79" s="92">
        <v>217</v>
      </c>
      <c r="C79" s="70">
        <v>2.16</v>
      </c>
      <c r="D79" s="70">
        <v>2.1800000000000002</v>
      </c>
      <c r="E79" s="70">
        <v>4.34</v>
      </c>
      <c r="F79" s="70">
        <f t="shared" si="0"/>
        <v>2.0000000000000018E-2</v>
      </c>
      <c r="G79" s="74">
        <f t="shared" si="1"/>
        <v>9.2592592592592674E-3</v>
      </c>
      <c r="H79" s="85">
        <f t="shared" si="2"/>
        <v>3.7037037037037068E-4</v>
      </c>
      <c r="I79" s="85">
        <f t="shared" si="3"/>
        <v>7.4074074074074135E-4</v>
      </c>
      <c r="J79" s="70">
        <f t="shared" si="14"/>
        <v>2.1599999999999997</v>
      </c>
      <c r="K79" s="74">
        <f t="shared" si="15"/>
        <v>0.99082568807339433</v>
      </c>
      <c r="L79" s="74">
        <f t="shared" si="16"/>
        <v>7.9999999999999988E-2</v>
      </c>
    </row>
    <row r="80" spans="1:23" ht="15.75" customHeight="1">
      <c r="A80" s="58" t="s">
        <v>36</v>
      </c>
      <c r="B80" s="92">
        <v>218</v>
      </c>
      <c r="C80" s="70">
        <v>2.25</v>
      </c>
      <c r="D80" s="4">
        <v>2.19</v>
      </c>
      <c r="E80" s="70">
        <v>4.1900000000000004</v>
      </c>
      <c r="F80" s="70">
        <f t="shared" si="0"/>
        <v>-6.0000000000000053E-2</v>
      </c>
      <c r="G80" s="74">
        <f t="shared" si="1"/>
        <v>-2.6666666666666689E-2</v>
      </c>
      <c r="H80" s="85">
        <f t="shared" si="2"/>
        <v>-1.1111111111111122E-3</v>
      </c>
      <c r="I80" s="85">
        <f t="shared" si="3"/>
        <v>-2.2222222222222244E-3</v>
      </c>
      <c r="J80" s="70">
        <f t="shared" si="14"/>
        <v>2.0000000000000004</v>
      </c>
      <c r="K80" s="74">
        <f t="shared" si="15"/>
        <v>0.91324200913242026</v>
      </c>
      <c r="L80" s="74">
        <f t="shared" si="16"/>
        <v>7.4074074074074084E-2</v>
      </c>
    </row>
    <row r="81" spans="1:12" ht="15.75" customHeight="1">
      <c r="A81" s="58" t="s">
        <v>36</v>
      </c>
      <c r="B81" s="92">
        <v>219</v>
      </c>
      <c r="C81" s="70">
        <v>2.15</v>
      </c>
      <c r="D81" s="70">
        <v>1.93</v>
      </c>
      <c r="E81" s="70">
        <v>4.4800000000000004</v>
      </c>
      <c r="F81" s="70">
        <f t="shared" si="0"/>
        <v>-0.21999999999999997</v>
      </c>
      <c r="G81" s="74">
        <f t="shared" si="1"/>
        <v>-0.10232558139534884</v>
      </c>
      <c r="H81" s="85">
        <f t="shared" si="2"/>
        <v>-4.0740740740740737E-3</v>
      </c>
      <c r="I81" s="85">
        <f t="shared" si="3"/>
        <v>-8.1481481481481474E-3</v>
      </c>
      <c r="J81" s="70">
        <f t="shared" si="14"/>
        <v>2.5500000000000007</v>
      </c>
      <c r="K81" s="74">
        <f t="shared" si="15"/>
        <v>1.3212435233160627</v>
      </c>
      <c r="L81" s="74">
        <f t="shared" si="16"/>
        <v>9.444444444444447E-2</v>
      </c>
    </row>
    <row r="82" spans="1:12" ht="15.75" customHeight="1">
      <c r="A82" s="58" t="s">
        <v>36</v>
      </c>
      <c r="B82" s="93">
        <v>220</v>
      </c>
      <c r="C82" s="94">
        <v>1.92</v>
      </c>
      <c r="D82" s="94">
        <v>2.15</v>
      </c>
      <c r="E82" s="94">
        <v>4</v>
      </c>
      <c r="F82" s="70">
        <f t="shared" si="0"/>
        <v>0.22999999999999998</v>
      </c>
      <c r="G82" s="74">
        <f t="shared" si="1"/>
        <v>0.11979166666666666</v>
      </c>
      <c r="H82" s="85">
        <f t="shared" si="2"/>
        <v>4.2592592592592586E-3</v>
      </c>
      <c r="I82" s="85">
        <f t="shared" si="3"/>
        <v>8.5185185185185173E-3</v>
      </c>
      <c r="J82" s="70">
        <f t="shared" si="14"/>
        <v>1.85</v>
      </c>
      <c r="K82" s="74">
        <f t="shared" si="15"/>
        <v>0.86046511627906985</v>
      </c>
      <c r="L82" s="74">
        <f t="shared" si="16"/>
        <v>6.851851851851852E-2</v>
      </c>
    </row>
    <row r="83" spans="1:12" ht="15.75" customHeight="1">
      <c r="B83" s="68"/>
      <c r="C83" s="68"/>
      <c r="D83" s="68"/>
      <c r="E83" s="68"/>
      <c r="F83" s="76"/>
      <c r="G83" s="95"/>
      <c r="H83" s="68"/>
      <c r="I83" s="68"/>
      <c r="J83" s="68"/>
    </row>
    <row r="84" spans="1:12" ht="15.75" customHeight="1">
      <c r="B84" s="68"/>
      <c r="C84" s="68"/>
      <c r="D84" s="68"/>
      <c r="E84" s="68"/>
      <c r="F84" s="76"/>
      <c r="G84" s="95"/>
      <c r="H84" s="68"/>
      <c r="I84" s="68"/>
      <c r="J84" s="68"/>
    </row>
    <row r="85" spans="1:12" ht="15.75" customHeight="1"/>
    <row r="86" spans="1:12" ht="15.75" customHeight="1"/>
    <row r="87" spans="1:12" ht="15.75" customHeight="1"/>
    <row r="88" spans="1:12" ht="15.75" customHeight="1"/>
    <row r="89" spans="1:12" ht="15.75" customHeight="1"/>
    <row r="90" spans="1:12" ht="15.75" customHeight="1"/>
    <row r="91" spans="1:12" ht="15.75" customHeight="1"/>
    <row r="92" spans="1:12" ht="15.75" customHeight="1"/>
    <row r="93" spans="1:12" ht="15.75" customHeight="1"/>
    <row r="94" spans="1:12" ht="15.75" customHeight="1"/>
    <row r="95" spans="1:12" ht="15.75" customHeight="1"/>
    <row r="96" spans="1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000"/>
  <sheetViews>
    <sheetView workbookViewId="0"/>
  </sheetViews>
  <sheetFormatPr defaultColWidth="14.453125" defaultRowHeight="15" customHeight="1"/>
  <cols>
    <col min="1" max="1" width="9.08984375" customWidth="1"/>
    <col min="2" max="2" width="14.08984375" customWidth="1"/>
    <col min="3" max="3" width="20" customWidth="1"/>
    <col min="4" max="4" width="18.81640625" customWidth="1"/>
    <col min="5" max="5" width="21.54296875" customWidth="1"/>
    <col min="6" max="8" width="10" customWidth="1"/>
    <col min="9" max="9" width="13" customWidth="1"/>
    <col min="10" max="10" width="15.453125" customWidth="1"/>
    <col min="11" max="11" width="14.453125" customWidth="1"/>
    <col min="12" max="14" width="10" customWidth="1"/>
    <col min="15" max="16" width="15.453125" customWidth="1"/>
    <col min="17" max="17" width="12.453125" customWidth="1"/>
    <col min="18" max="18" width="11.453125" customWidth="1"/>
    <col min="19" max="19" width="12" customWidth="1"/>
    <col min="20" max="20" width="13.26953125" customWidth="1"/>
    <col min="21" max="21" width="11.7265625" customWidth="1"/>
    <col min="22" max="23" width="10" customWidth="1"/>
    <col min="24" max="24" width="15.26953125" customWidth="1"/>
    <col min="25" max="25" width="13.81640625" customWidth="1"/>
    <col min="26" max="26" width="13.54296875" customWidth="1"/>
    <col min="27" max="27" width="12.81640625" customWidth="1"/>
    <col min="28" max="28" width="18.08984375" customWidth="1"/>
    <col min="29" max="29" width="16.453125" customWidth="1"/>
    <col min="30" max="30" width="14" customWidth="1"/>
    <col min="31" max="32" width="10" customWidth="1"/>
  </cols>
  <sheetData>
    <row r="1" spans="1:32" ht="14.5">
      <c r="C1" s="96">
        <v>80</v>
      </c>
      <c r="H1" s="96">
        <v>20</v>
      </c>
      <c r="O1" s="96">
        <v>74</v>
      </c>
      <c r="W1" s="4"/>
      <c r="X1" s="96">
        <v>8</v>
      </c>
      <c r="Y1" s="4"/>
      <c r="Z1" s="4"/>
      <c r="AA1" s="4"/>
      <c r="AB1" s="4"/>
      <c r="AC1" s="4"/>
      <c r="AD1" s="4"/>
      <c r="AE1" s="4"/>
      <c r="AF1" s="4"/>
    </row>
    <row r="2" spans="1:32" ht="14.5">
      <c r="B2" s="97" t="s">
        <v>96</v>
      </c>
      <c r="C2" s="98" t="s">
        <v>97</v>
      </c>
      <c r="H2" s="4" t="s">
        <v>98</v>
      </c>
      <c r="N2" s="97" t="s">
        <v>99</v>
      </c>
      <c r="O2" s="97" t="s">
        <v>100</v>
      </c>
      <c r="W2" s="4"/>
      <c r="X2" s="4" t="s">
        <v>98</v>
      </c>
      <c r="Y2" s="4"/>
      <c r="Z2" s="4"/>
      <c r="AA2" s="4"/>
      <c r="AB2" s="4"/>
      <c r="AC2" s="4"/>
      <c r="AD2" s="4"/>
      <c r="AE2" s="4"/>
      <c r="AF2" s="4"/>
    </row>
    <row r="3" spans="1:32" ht="15.5">
      <c r="B3" s="70" t="s">
        <v>66</v>
      </c>
      <c r="C3" s="70" t="s">
        <v>69</v>
      </c>
      <c r="D3" s="70" t="s">
        <v>70</v>
      </c>
      <c r="E3" s="70" t="s">
        <v>71</v>
      </c>
      <c r="H3" s="70" t="s">
        <v>72</v>
      </c>
      <c r="I3" s="70" t="s">
        <v>69</v>
      </c>
      <c r="J3" s="71" t="s">
        <v>70</v>
      </c>
      <c r="K3" s="70" t="s">
        <v>71</v>
      </c>
      <c r="N3" s="98" t="s">
        <v>66</v>
      </c>
      <c r="O3" s="98" t="s">
        <v>83</v>
      </c>
      <c r="P3" s="98" t="s">
        <v>84</v>
      </c>
      <c r="Q3" s="98" t="s">
        <v>85</v>
      </c>
      <c r="R3" s="98" t="s">
        <v>86</v>
      </c>
      <c r="S3" s="98" t="s">
        <v>69</v>
      </c>
      <c r="T3" s="98" t="s">
        <v>70</v>
      </c>
      <c r="U3" s="98" t="s">
        <v>71</v>
      </c>
      <c r="W3" s="86" t="s">
        <v>72</v>
      </c>
      <c r="X3" s="68" t="s">
        <v>83</v>
      </c>
      <c r="Y3" s="95" t="s">
        <v>84</v>
      </c>
      <c r="Z3" s="99" t="s">
        <v>85</v>
      </c>
      <c r="AA3" s="99" t="s">
        <v>87</v>
      </c>
      <c r="AB3" s="68" t="s">
        <v>69</v>
      </c>
      <c r="AC3" s="95" t="s">
        <v>70</v>
      </c>
      <c r="AD3" s="95" t="s">
        <v>71</v>
      </c>
      <c r="AE3" s="4"/>
      <c r="AF3" s="4"/>
    </row>
    <row r="4" spans="1:32" ht="15.5">
      <c r="A4" s="98" t="s">
        <v>101</v>
      </c>
      <c r="B4" s="98">
        <v>3</v>
      </c>
      <c r="C4" s="100">
        <v>2.62</v>
      </c>
      <c r="D4" s="100">
        <v>0.5822222222222222</v>
      </c>
      <c r="E4" s="100">
        <v>9.7037037037037047E-2</v>
      </c>
      <c r="M4" s="98" t="s">
        <v>9</v>
      </c>
      <c r="N4" s="98">
        <v>1</v>
      </c>
      <c r="O4" s="98">
        <v>0.27999999999999936</v>
      </c>
      <c r="P4" s="98">
        <v>5.8577405857740447E-2</v>
      </c>
      <c r="Q4" s="98">
        <v>5.1851851851851738E-3</v>
      </c>
      <c r="R4" s="98">
        <v>1.0370370370370348E-2</v>
      </c>
      <c r="S4" s="98">
        <v>1.9100000000000001</v>
      </c>
      <c r="T4" s="98">
        <v>0.37747035573122534</v>
      </c>
      <c r="U4" s="98">
        <v>7.0740740740740743E-2</v>
      </c>
      <c r="V4" s="101" t="s">
        <v>9</v>
      </c>
      <c r="W4" s="86">
        <v>2</v>
      </c>
      <c r="X4" s="95">
        <v>0.55999999999999872</v>
      </c>
      <c r="Y4" s="95">
        <v>2.1739130434782556E-2</v>
      </c>
      <c r="Z4" s="95">
        <v>2.5225225225225167E-3</v>
      </c>
      <c r="AA4" s="95">
        <v>3.66013071895424E-3</v>
      </c>
      <c r="AB4" s="95">
        <v>11.71</v>
      </c>
      <c r="AC4" s="95">
        <v>0.44490881458966569</v>
      </c>
      <c r="AD4" s="95">
        <v>7.6535947712418312E-2</v>
      </c>
      <c r="AE4" s="4"/>
      <c r="AF4" s="4"/>
    </row>
    <row r="5" spans="1:32" ht="15.5">
      <c r="B5" s="98">
        <v>4</v>
      </c>
      <c r="C5" s="100">
        <v>2.5700000000000003</v>
      </c>
      <c r="D5" s="100">
        <v>0.55150214592274682</v>
      </c>
      <c r="E5" s="100">
        <v>9.5185185185185192E-2</v>
      </c>
      <c r="G5" s="98" t="s">
        <v>9</v>
      </c>
      <c r="H5" s="98">
        <v>1</v>
      </c>
      <c r="I5" s="100">
        <v>13.650000000000002</v>
      </c>
      <c r="J5" s="100">
        <v>0.5325790089738589</v>
      </c>
      <c r="K5" s="100">
        <v>8.921568627450982E-2</v>
      </c>
      <c r="N5" s="98">
        <v>2</v>
      </c>
      <c r="O5" s="98">
        <v>0.25</v>
      </c>
      <c r="P5" s="98">
        <v>5.7077625570776259E-2</v>
      </c>
      <c r="Q5" s="98">
        <v>4.6296296296296294E-3</v>
      </c>
      <c r="R5" s="98">
        <v>9.2592592592592587E-3</v>
      </c>
      <c r="S5" s="98">
        <v>2.2599999999999998</v>
      </c>
      <c r="T5" s="98">
        <v>0.48812095032397407</v>
      </c>
      <c r="U5" s="98">
        <v>8.3703703703703697E-2</v>
      </c>
      <c r="V5" s="101"/>
      <c r="W5" s="68">
        <v>6</v>
      </c>
      <c r="X5" s="95">
        <v>0.48000000000000043</v>
      </c>
      <c r="Y5" s="95">
        <v>1.8334606569900703E-2</v>
      </c>
      <c r="Z5" s="95">
        <v>2.1621621621621639E-3</v>
      </c>
      <c r="AA5" s="95">
        <v>3.1372549019607872E-3</v>
      </c>
      <c r="AB5" s="95">
        <v>12.629999999999999</v>
      </c>
      <c r="AC5" s="95">
        <v>0.47374343585896472</v>
      </c>
      <c r="AD5" s="95">
        <v>8.2549019607843124E-2</v>
      </c>
      <c r="AE5" s="4"/>
      <c r="AF5" s="4"/>
    </row>
    <row r="6" spans="1:32" ht="14.5">
      <c r="B6" s="98">
        <v>7</v>
      </c>
      <c r="C6" s="100">
        <v>2.6799999999999997</v>
      </c>
      <c r="D6" s="100">
        <v>0.60360360360360343</v>
      </c>
      <c r="E6" s="100">
        <v>9.9259259259259255E-2</v>
      </c>
      <c r="H6" s="98">
        <v>8</v>
      </c>
      <c r="I6" s="100">
        <v>14.649999999999999</v>
      </c>
      <c r="J6" s="100">
        <v>0.58693910256410253</v>
      </c>
      <c r="K6" s="100">
        <v>9.5751633986928097E-2</v>
      </c>
      <c r="N6" s="98">
        <v>5</v>
      </c>
      <c r="O6" s="98">
        <v>0.24000000000000021</v>
      </c>
      <c r="P6" s="98">
        <v>5.3215077605321556E-2</v>
      </c>
      <c r="Q6" s="98">
        <v>4.4444444444444488E-3</v>
      </c>
      <c r="R6" s="98">
        <v>8.8888888888888976E-3</v>
      </c>
      <c r="S6" s="98">
        <v>2.4500000000000002</v>
      </c>
      <c r="T6" s="98">
        <v>0.51578947368421058</v>
      </c>
      <c r="U6" s="98">
        <v>9.0740740740740747E-2</v>
      </c>
      <c r="V6" s="101"/>
      <c r="X6" s="102">
        <f t="shared" ref="X6:AD6" si="0">AVERAGE(X4:X5)</f>
        <v>0.51999999999999957</v>
      </c>
      <c r="Y6" s="102">
        <f t="shared" si="0"/>
        <v>2.0036868502341629E-2</v>
      </c>
      <c r="Z6" s="102">
        <f t="shared" si="0"/>
        <v>2.3423423423423401E-3</v>
      </c>
      <c r="AA6" s="102">
        <f t="shared" si="0"/>
        <v>3.3986928104575136E-3</v>
      </c>
      <c r="AB6" s="102">
        <f t="shared" si="0"/>
        <v>12.17</v>
      </c>
      <c r="AC6" s="102">
        <f t="shared" si="0"/>
        <v>0.45932612522431521</v>
      </c>
      <c r="AD6" s="102">
        <f t="shared" si="0"/>
        <v>7.9542483660130725E-2</v>
      </c>
      <c r="AE6" s="4"/>
      <c r="AF6" s="4"/>
    </row>
    <row r="7" spans="1:32" ht="15.5">
      <c r="B7" s="98">
        <v>8</v>
      </c>
      <c r="C7" s="100">
        <v>2.5499999999999998</v>
      </c>
      <c r="D7" s="100">
        <v>0.56919642857142849</v>
      </c>
      <c r="E7" s="100">
        <v>9.4444444444444442E-2</v>
      </c>
      <c r="H7" s="98">
        <v>58</v>
      </c>
      <c r="I7" s="100">
        <v>12.239999999999998</v>
      </c>
      <c r="J7" s="100">
        <v>0.48842777334397441</v>
      </c>
      <c r="K7" s="100">
        <v>7.9999999999999988E-2</v>
      </c>
      <c r="N7" s="98">
        <v>6</v>
      </c>
      <c r="O7" s="98">
        <v>0.25999999999999979</v>
      </c>
      <c r="P7" s="98">
        <v>5.4968287526427011E-2</v>
      </c>
      <c r="Q7" s="98">
        <v>4.8148148148148108E-3</v>
      </c>
      <c r="R7" s="98">
        <v>9.6296296296296217E-3</v>
      </c>
      <c r="S7" s="98">
        <v>2.2000000000000002</v>
      </c>
      <c r="T7" s="98">
        <v>0.4408817635270541</v>
      </c>
      <c r="U7" s="98">
        <v>8.1481481481481488E-2</v>
      </c>
      <c r="V7" s="101" t="s">
        <v>17</v>
      </c>
      <c r="W7" s="68">
        <v>68</v>
      </c>
      <c r="X7" s="95">
        <v>0.69999999999999929</v>
      </c>
      <c r="Y7" s="95">
        <v>3.7017451084082456E-2</v>
      </c>
      <c r="Z7" s="95">
        <v>3.15315315315315E-3</v>
      </c>
      <c r="AA7" s="95">
        <v>4.5751633986928055E-3</v>
      </c>
      <c r="AB7" s="95">
        <v>14.43</v>
      </c>
      <c r="AC7" s="95">
        <v>0.73584905660377364</v>
      </c>
      <c r="AD7" s="95">
        <v>9.4313725490196079E-2</v>
      </c>
      <c r="AE7" s="4"/>
      <c r="AF7" s="4"/>
    </row>
    <row r="8" spans="1:32" ht="15.5">
      <c r="B8" s="98">
        <v>9</v>
      </c>
      <c r="C8" s="100">
        <v>2.2199999999999998</v>
      </c>
      <c r="D8" s="100">
        <v>0.48051948051948046</v>
      </c>
      <c r="E8" s="100">
        <v>8.222222222222221E-2</v>
      </c>
      <c r="H8" s="98">
        <v>63</v>
      </c>
      <c r="I8" s="100">
        <v>13.460000000000004</v>
      </c>
      <c r="J8" s="100">
        <v>0.54405820533548932</v>
      </c>
      <c r="K8" s="100">
        <v>8.7973856209150353E-2</v>
      </c>
      <c r="N8" s="98">
        <v>10</v>
      </c>
      <c r="O8" s="98">
        <v>0.29999999999999982</v>
      </c>
      <c r="P8" s="98">
        <v>6.3559322033898275E-2</v>
      </c>
      <c r="Q8" s="98">
        <v>5.5555555555555523E-3</v>
      </c>
      <c r="R8" s="98">
        <v>1.1111111111111105E-2</v>
      </c>
      <c r="S8" s="98">
        <v>2.2800000000000002</v>
      </c>
      <c r="T8" s="98">
        <v>0.45418326693227101</v>
      </c>
      <c r="U8" s="98">
        <v>8.4444444444444447E-2</v>
      </c>
      <c r="V8" s="101"/>
      <c r="W8" s="68">
        <v>71</v>
      </c>
      <c r="X8" s="95">
        <v>0.82000000000000028</v>
      </c>
      <c r="Y8" s="95">
        <v>4.3570669500531366E-2</v>
      </c>
      <c r="Z8" s="95">
        <v>3.693693693693695E-3</v>
      </c>
      <c r="AA8" s="95">
        <v>5.3594771241830081E-3</v>
      </c>
      <c r="AB8" s="95">
        <v>15.030000000000001</v>
      </c>
      <c r="AC8" s="95">
        <v>0.76527494908350313</v>
      </c>
      <c r="AD8" s="95">
        <v>9.823529411764706E-2</v>
      </c>
      <c r="AE8" s="4"/>
      <c r="AF8" s="4"/>
    </row>
    <row r="9" spans="1:32" ht="14.5">
      <c r="B9" s="98">
        <v>12</v>
      </c>
      <c r="C9" s="100">
        <v>2.3899999999999997</v>
      </c>
      <c r="D9" s="100">
        <v>0.52643171806167388</v>
      </c>
      <c r="E9" s="100">
        <v>8.851851851851851E-2</v>
      </c>
      <c r="H9" s="98">
        <v>65</v>
      </c>
      <c r="I9" s="100">
        <v>14.630000000000003</v>
      </c>
      <c r="J9" s="100">
        <v>0.60404624277456664</v>
      </c>
      <c r="K9" s="100">
        <v>9.5620915032679749E-2</v>
      </c>
      <c r="N9" s="98">
        <v>11</v>
      </c>
      <c r="O9" s="98">
        <v>0.24000000000000021</v>
      </c>
      <c r="P9" s="98">
        <v>5.0420168067226941E-2</v>
      </c>
      <c r="Q9" s="98">
        <v>4.4444444444444488E-3</v>
      </c>
      <c r="R9" s="98">
        <v>8.8888888888888976E-3</v>
      </c>
      <c r="S9" s="98">
        <v>1.9100000000000001</v>
      </c>
      <c r="T9" s="98">
        <v>0.38200000000000001</v>
      </c>
      <c r="U9" s="98">
        <v>7.0740740740740743E-2</v>
      </c>
      <c r="V9" s="101"/>
      <c r="X9" s="102">
        <f t="shared" ref="X9:AD9" si="1">AVERAGE(X7:X8)</f>
        <v>0.75999999999999979</v>
      </c>
      <c r="Y9" s="102">
        <f t="shared" si="1"/>
        <v>4.0294060292306907E-2</v>
      </c>
      <c r="Z9" s="102">
        <f t="shared" si="1"/>
        <v>3.4234234234234223E-3</v>
      </c>
      <c r="AA9" s="102">
        <f t="shared" si="1"/>
        <v>4.9673202614379068E-3</v>
      </c>
      <c r="AB9" s="102">
        <f t="shared" si="1"/>
        <v>14.73</v>
      </c>
      <c r="AC9" s="102">
        <f t="shared" si="1"/>
        <v>0.75056200284363839</v>
      </c>
      <c r="AD9" s="102">
        <f t="shared" si="1"/>
        <v>9.6274509803921576E-2</v>
      </c>
      <c r="AE9" s="4"/>
      <c r="AF9" s="4"/>
    </row>
    <row r="10" spans="1:32" ht="15.5">
      <c r="B10" s="98">
        <v>13</v>
      </c>
      <c r="C10" s="100">
        <v>2.38</v>
      </c>
      <c r="D10" s="100">
        <v>0.52078774617067825</v>
      </c>
      <c r="E10" s="100">
        <v>8.8148148148148142E-2</v>
      </c>
      <c r="I10" s="102">
        <f t="shared" ref="I10:K10" si="2">AVERAGE(I5:I9)</f>
        <v>13.725999999999999</v>
      </c>
      <c r="J10" s="102">
        <f t="shared" si="2"/>
        <v>0.55121006659839833</v>
      </c>
      <c r="K10" s="102">
        <f t="shared" si="2"/>
        <v>8.9712418300653601E-2</v>
      </c>
      <c r="N10" s="98">
        <v>14</v>
      </c>
      <c r="O10" s="98">
        <v>0.27999999999999936</v>
      </c>
      <c r="P10" s="98">
        <v>6.0215053763440718E-2</v>
      </c>
      <c r="Q10" s="98">
        <v>5.1851851851851738E-3</v>
      </c>
      <c r="R10" s="98">
        <v>1.0370370370370348E-2</v>
      </c>
      <c r="S10" s="98">
        <v>2.2600000000000007</v>
      </c>
      <c r="T10" s="98">
        <v>0.45841784989858031</v>
      </c>
      <c r="U10" s="98">
        <v>8.3703703703703725E-2</v>
      </c>
      <c r="V10" s="101" t="s">
        <v>23</v>
      </c>
      <c r="W10" s="68">
        <v>82</v>
      </c>
      <c r="X10" s="95">
        <v>0.78999999999999915</v>
      </c>
      <c r="Y10" s="95">
        <v>2.8356066044508226E-2</v>
      </c>
      <c r="Z10" s="95">
        <v>3.5585585585585547E-3</v>
      </c>
      <c r="AA10" s="95">
        <v>5.1633986928104518E-3</v>
      </c>
      <c r="AB10" s="95">
        <v>14.14</v>
      </c>
      <c r="AC10" s="95">
        <v>0.49354275741710302</v>
      </c>
      <c r="AD10" s="95">
        <v>9.241830065359477E-2</v>
      </c>
      <c r="AE10" s="4"/>
      <c r="AF10" s="4"/>
    </row>
    <row r="11" spans="1:32" ht="14.5">
      <c r="B11" s="98">
        <v>18</v>
      </c>
      <c r="C11" s="100">
        <v>2.7099999999999991</v>
      </c>
      <c r="D11" s="100">
        <v>0.43993506493506479</v>
      </c>
      <c r="E11" s="100">
        <v>0.10037037037037033</v>
      </c>
      <c r="G11" s="98" t="s">
        <v>17</v>
      </c>
      <c r="H11" s="98">
        <v>11</v>
      </c>
      <c r="I11" s="100">
        <v>13.09</v>
      </c>
      <c r="J11" s="100">
        <v>0.69295923769190049</v>
      </c>
      <c r="K11" s="100">
        <v>8.5555555555555551E-2</v>
      </c>
      <c r="N11" s="98">
        <v>16</v>
      </c>
      <c r="O11" s="98">
        <v>0.20999999999999996</v>
      </c>
      <c r="P11" s="98">
        <v>4.7085201793721963E-2</v>
      </c>
      <c r="Q11" s="98">
        <v>3.8888888888888883E-3</v>
      </c>
      <c r="R11" s="98">
        <v>7.7777777777777767E-3</v>
      </c>
      <c r="S11" s="98">
        <v>1.9900000000000002</v>
      </c>
      <c r="T11" s="98">
        <v>0.42612419700214138</v>
      </c>
      <c r="U11" s="98">
        <v>7.3703703703703716E-2</v>
      </c>
      <c r="V11" s="101"/>
      <c r="W11" s="4">
        <v>85</v>
      </c>
      <c r="X11" s="100">
        <v>0.26999999999999957</v>
      </c>
      <c r="Y11" s="100">
        <v>9.6601073345259237E-3</v>
      </c>
      <c r="Z11" s="100">
        <v>1.2162162162162142E-3</v>
      </c>
      <c r="AA11" s="100">
        <v>1.7647058823529384E-3</v>
      </c>
      <c r="AB11" s="100">
        <v>15.280000000000001</v>
      </c>
      <c r="AC11" s="100">
        <v>0.54145995747696674</v>
      </c>
      <c r="AD11" s="100">
        <v>9.9869281045751643E-2</v>
      </c>
      <c r="AE11" s="4"/>
      <c r="AF11" s="4"/>
    </row>
    <row r="12" spans="1:32" ht="14.5">
      <c r="B12" s="98">
        <v>21</v>
      </c>
      <c r="C12" s="100">
        <v>2.6099999999999994</v>
      </c>
      <c r="D12" s="100">
        <v>0.61556603773584884</v>
      </c>
      <c r="E12" s="100">
        <v>9.6666666666666651E-2</v>
      </c>
      <c r="H12" s="98">
        <v>19</v>
      </c>
      <c r="I12" s="100">
        <v>13.73</v>
      </c>
      <c r="J12" s="100">
        <v>0.70374167093798046</v>
      </c>
      <c r="K12" s="100">
        <v>8.9738562091503271E-2</v>
      </c>
      <c r="N12" s="98">
        <v>17</v>
      </c>
      <c r="O12" s="98">
        <v>0.24000000000000021</v>
      </c>
      <c r="P12" s="98">
        <v>5.5172413793103503E-2</v>
      </c>
      <c r="Q12" s="98">
        <v>4.4444444444444488E-3</v>
      </c>
      <c r="R12" s="98">
        <v>8.8888888888888976E-3</v>
      </c>
      <c r="S12" s="98">
        <v>2.59</v>
      </c>
      <c r="T12" s="98">
        <v>0.56427015250544665</v>
      </c>
      <c r="U12" s="98">
        <v>9.5925925925925914E-2</v>
      </c>
      <c r="V12" s="101"/>
      <c r="X12" s="102">
        <f t="shared" ref="X12:AD12" si="3">AVERAGE(X10:X11)</f>
        <v>0.52999999999999936</v>
      </c>
      <c r="Y12" s="102">
        <f t="shared" si="3"/>
        <v>1.9008086689517076E-2</v>
      </c>
      <c r="Z12" s="102">
        <f t="shared" si="3"/>
        <v>2.3873873873873847E-3</v>
      </c>
      <c r="AA12" s="102">
        <f t="shared" si="3"/>
        <v>3.464052287581695E-3</v>
      </c>
      <c r="AB12" s="102">
        <f t="shared" si="3"/>
        <v>14.71</v>
      </c>
      <c r="AC12" s="102">
        <f t="shared" si="3"/>
        <v>0.51750135744703485</v>
      </c>
      <c r="AD12" s="102">
        <f t="shared" si="3"/>
        <v>9.61437908496732E-2</v>
      </c>
    </row>
    <row r="13" spans="1:32" ht="15.5">
      <c r="B13" s="98">
        <v>22</v>
      </c>
      <c r="C13" s="100">
        <v>2.6500000000000004</v>
      </c>
      <c r="D13" s="100">
        <v>0.62060889929742402</v>
      </c>
      <c r="E13" s="100">
        <v>9.8148148148148165E-2</v>
      </c>
      <c r="H13" s="98">
        <v>69</v>
      </c>
      <c r="I13" s="100">
        <v>14.379999999999999</v>
      </c>
      <c r="J13" s="100">
        <v>0.74662512980269979</v>
      </c>
      <c r="K13" s="100">
        <v>9.3986928104575151E-2</v>
      </c>
      <c r="N13" s="98">
        <v>19</v>
      </c>
      <c r="O13" s="98">
        <v>0.24000000000000021</v>
      </c>
      <c r="P13" s="98">
        <v>5.2401746724890876E-2</v>
      </c>
      <c r="Q13" s="98">
        <v>4.4444444444444488E-3</v>
      </c>
      <c r="R13" s="98">
        <v>8.8888888888888976E-3</v>
      </c>
      <c r="S13" s="98">
        <v>2.4799999999999995</v>
      </c>
      <c r="T13" s="98">
        <v>0.51452282157676332</v>
      </c>
      <c r="U13" s="98">
        <v>9.1851851851851837E-2</v>
      </c>
      <c r="V13" s="101" t="s">
        <v>26</v>
      </c>
      <c r="W13" s="68">
        <v>38</v>
      </c>
      <c r="X13" s="95">
        <v>1.3000000000000007</v>
      </c>
      <c r="Y13" s="95">
        <v>4.744525547445258E-2</v>
      </c>
      <c r="Z13" s="95">
        <v>5.8558558558558594E-3</v>
      </c>
      <c r="AA13" s="95">
        <v>8.4967320261437954E-3</v>
      </c>
      <c r="AB13" s="95">
        <v>15.290000000000003</v>
      </c>
      <c r="AC13" s="95">
        <v>0.53275261324041823</v>
      </c>
      <c r="AD13" s="95">
        <v>9.9934640522875831E-2</v>
      </c>
      <c r="AF13" s="4"/>
    </row>
    <row r="14" spans="1:32" ht="15.5">
      <c r="B14" s="98">
        <v>23</v>
      </c>
      <c r="C14" s="100">
        <v>2.4699999999999998</v>
      </c>
      <c r="D14" s="100">
        <v>0.5639269406392694</v>
      </c>
      <c r="E14" s="100">
        <v>9.1481481481481469E-2</v>
      </c>
      <c r="H14" s="98">
        <v>73</v>
      </c>
      <c r="I14" s="100">
        <v>15.490000000000002</v>
      </c>
      <c r="J14" s="100">
        <v>0.80929989550679216</v>
      </c>
      <c r="K14" s="100">
        <v>0.10124183006535949</v>
      </c>
      <c r="N14" s="98">
        <v>20</v>
      </c>
      <c r="O14" s="98">
        <v>0.24000000000000021</v>
      </c>
      <c r="P14" s="98">
        <v>4.9689440993788865E-2</v>
      </c>
      <c r="Q14" s="98">
        <v>4.4444444444444488E-3</v>
      </c>
      <c r="R14" s="98">
        <v>8.8888888888888976E-3</v>
      </c>
      <c r="S14" s="98">
        <v>1.8999999999999995</v>
      </c>
      <c r="T14" s="98">
        <v>0.37475345167652846</v>
      </c>
      <c r="U14" s="98">
        <v>7.0370370370370347E-2</v>
      </c>
      <c r="W14" s="68">
        <v>45</v>
      </c>
      <c r="X14" s="95">
        <v>0.96999999999999886</v>
      </c>
      <c r="Y14" s="95">
        <v>3.5247093023255772E-2</v>
      </c>
      <c r="Z14" s="95">
        <v>4.3693693693693646E-3</v>
      </c>
      <c r="AA14" s="95">
        <v>6.3398692810457445E-3</v>
      </c>
      <c r="AB14" s="95">
        <v>16.600000000000005</v>
      </c>
      <c r="AC14" s="95">
        <v>0.58266058266058285</v>
      </c>
      <c r="AD14" s="95">
        <v>0.10849673202614382</v>
      </c>
      <c r="AE14" s="4"/>
    </row>
    <row r="15" spans="1:32" ht="14.5">
      <c r="B15" s="98">
        <v>27</v>
      </c>
      <c r="C15" s="100">
        <v>2.6500000000000004</v>
      </c>
      <c r="D15" s="100">
        <v>0.58888888888888902</v>
      </c>
      <c r="E15" s="100">
        <v>9.8148148148148165E-2</v>
      </c>
      <c r="H15" s="98">
        <v>75</v>
      </c>
      <c r="I15" s="100">
        <v>15.610000000000003</v>
      </c>
      <c r="J15" s="100">
        <v>0.8159958180867749</v>
      </c>
      <c r="K15" s="100">
        <v>0.10202614379084969</v>
      </c>
      <c r="N15" s="98">
        <v>24</v>
      </c>
      <c r="O15" s="98">
        <v>0.24000000000000021</v>
      </c>
      <c r="P15" s="98">
        <v>5.5427251732101668E-2</v>
      </c>
      <c r="Q15" s="98">
        <v>4.4444444444444488E-3</v>
      </c>
      <c r="R15" s="98">
        <v>8.8888888888888976E-3</v>
      </c>
      <c r="S15" s="98">
        <v>2.37</v>
      </c>
      <c r="T15" s="98">
        <v>0.51859956236323845</v>
      </c>
      <c r="U15" s="98">
        <v>8.7777777777777788E-2</v>
      </c>
      <c r="X15" s="102">
        <f t="shared" ref="X15:AD15" si="4">AVERAGE(X13:X14)</f>
        <v>1.1349999999999998</v>
      </c>
      <c r="Y15" s="102">
        <f t="shared" si="4"/>
        <v>4.1346174248854173E-2</v>
      </c>
      <c r="Z15" s="102">
        <f t="shared" si="4"/>
        <v>5.1126126126126124E-3</v>
      </c>
      <c r="AA15" s="102">
        <f t="shared" si="4"/>
        <v>7.4183006535947695E-3</v>
      </c>
      <c r="AB15" s="102">
        <f t="shared" si="4"/>
        <v>15.945000000000004</v>
      </c>
      <c r="AC15" s="102">
        <f t="shared" si="4"/>
        <v>0.55770659795050048</v>
      </c>
      <c r="AD15" s="102">
        <f t="shared" si="4"/>
        <v>0.10421568627450983</v>
      </c>
    </row>
    <row r="16" spans="1:32" ht="14.5">
      <c r="B16" s="98">
        <v>28</v>
      </c>
      <c r="C16" s="100">
        <v>2.7</v>
      </c>
      <c r="D16" s="100">
        <v>0.63380281690140849</v>
      </c>
      <c r="E16" s="100">
        <v>0.1</v>
      </c>
      <c r="I16" s="102">
        <f t="shared" ref="I16:K16" si="5">AVERAGE(I11:I15)</f>
        <v>14.460000000000003</v>
      </c>
      <c r="J16" s="102">
        <f t="shared" si="5"/>
        <v>0.75372435040522956</v>
      </c>
      <c r="K16" s="102">
        <f t="shared" si="5"/>
        <v>9.450980392156863E-2</v>
      </c>
      <c r="N16" s="98">
        <v>26</v>
      </c>
      <c r="O16" s="98">
        <v>0.25999999999999979</v>
      </c>
      <c r="P16" s="98">
        <v>5.6644880174291895E-2</v>
      </c>
      <c r="Q16" s="98">
        <v>4.8148148148148108E-3</v>
      </c>
      <c r="R16" s="98">
        <v>9.6296296296296217E-3</v>
      </c>
      <c r="S16" s="98">
        <v>2.5600000000000005</v>
      </c>
      <c r="T16" s="98">
        <v>0.52783505154639188</v>
      </c>
      <c r="U16" s="98">
        <v>9.4814814814814838E-2</v>
      </c>
      <c r="X16" s="103"/>
      <c r="Y16" s="103"/>
      <c r="Z16" s="103"/>
      <c r="AA16" s="103"/>
      <c r="AB16" s="103"/>
      <c r="AC16" s="103"/>
      <c r="AD16" s="103"/>
    </row>
    <row r="17" spans="1:21" ht="14.5">
      <c r="B17" s="98">
        <v>101</v>
      </c>
      <c r="C17" s="100">
        <v>2.8899999999999997</v>
      </c>
      <c r="D17" s="100">
        <v>0.65681818181818175</v>
      </c>
      <c r="E17" s="100">
        <v>0.10703703703703703</v>
      </c>
      <c r="G17" s="98" t="s">
        <v>23</v>
      </c>
      <c r="H17" s="98">
        <v>32</v>
      </c>
      <c r="I17" s="100">
        <v>14.449999999999996</v>
      </c>
      <c r="J17" s="100">
        <v>0.55363984674329481</v>
      </c>
      <c r="K17" s="100">
        <v>9.4444444444444414E-2</v>
      </c>
      <c r="N17" s="98">
        <v>29</v>
      </c>
      <c r="O17" s="98">
        <v>0.25</v>
      </c>
      <c r="P17" s="98">
        <v>5.8139534883720929E-2</v>
      </c>
      <c r="Q17" s="98">
        <v>4.6296296296296294E-3</v>
      </c>
      <c r="R17" s="98">
        <v>9.2592592592592587E-3</v>
      </c>
      <c r="S17" s="98">
        <v>2.1400000000000006</v>
      </c>
      <c r="T17" s="98">
        <v>0.47032967032967049</v>
      </c>
      <c r="U17" s="98">
        <v>7.9259259259259279E-2</v>
      </c>
    </row>
    <row r="18" spans="1:21" ht="14.5">
      <c r="B18" s="98">
        <v>102</v>
      </c>
      <c r="C18" s="100">
        <v>2.75</v>
      </c>
      <c r="D18" s="100">
        <v>0.61247216035634744</v>
      </c>
      <c r="E18" s="100">
        <v>0.10185185185185185</v>
      </c>
      <c r="H18" s="98">
        <v>34</v>
      </c>
      <c r="I18" s="100">
        <v>13.870000000000001</v>
      </c>
      <c r="J18" s="100">
        <v>0.51831091180866962</v>
      </c>
      <c r="K18" s="100">
        <v>9.0653594771241838E-2</v>
      </c>
      <c r="N18" s="98">
        <v>99</v>
      </c>
      <c r="O18" s="98">
        <v>0.37999999999999989</v>
      </c>
      <c r="P18" s="98">
        <v>8.6363636363636337E-2</v>
      </c>
      <c r="Q18" s="98">
        <v>7.0370370370370352E-3</v>
      </c>
      <c r="R18" s="98">
        <v>1.407407407407407E-2</v>
      </c>
      <c r="S18" s="98">
        <v>2.5099999999999998</v>
      </c>
      <c r="T18" s="98">
        <v>0.52510460251046021</v>
      </c>
      <c r="U18" s="98">
        <v>9.2962962962962956E-2</v>
      </c>
    </row>
    <row r="19" spans="1:21" ht="14.5">
      <c r="B19" s="98">
        <v>105</v>
      </c>
      <c r="C19" s="100">
        <v>2.7199999999999998</v>
      </c>
      <c r="D19" s="100">
        <v>0.59388646288209601</v>
      </c>
      <c r="E19" s="100">
        <v>0.10074074074074073</v>
      </c>
      <c r="H19" s="98">
        <v>78</v>
      </c>
      <c r="I19" s="100">
        <v>15.359999999999996</v>
      </c>
      <c r="J19" s="100">
        <v>0.56119839240043823</v>
      </c>
      <c r="K19" s="100">
        <v>0.10039215686274507</v>
      </c>
      <c r="N19" s="98">
        <v>100</v>
      </c>
      <c r="O19" s="98">
        <v>0.5</v>
      </c>
      <c r="P19" s="98">
        <v>0.11210762331838565</v>
      </c>
      <c r="Q19" s="98">
        <v>9.2592592592592587E-3</v>
      </c>
      <c r="R19" s="98">
        <v>1.8518518518518517E-2</v>
      </c>
      <c r="S19" s="98">
        <v>2.21</v>
      </c>
      <c r="T19" s="98">
        <v>0.44556451612903225</v>
      </c>
      <c r="U19" s="98">
        <v>8.1851851851851856E-2</v>
      </c>
    </row>
    <row r="20" spans="1:21" ht="14.5">
      <c r="B20" s="98">
        <v>106</v>
      </c>
      <c r="C20" s="100">
        <v>2.6399999999999997</v>
      </c>
      <c r="D20" s="100">
        <v>0.58928571428571419</v>
      </c>
      <c r="E20" s="100">
        <v>9.7777777777777769E-2</v>
      </c>
      <c r="H20" s="98">
        <v>84</v>
      </c>
      <c r="I20" s="100">
        <v>15.89</v>
      </c>
      <c r="J20" s="100">
        <v>0.58162518301610544</v>
      </c>
      <c r="K20" s="100">
        <v>0.1038562091503268</v>
      </c>
      <c r="N20" s="98">
        <v>104</v>
      </c>
      <c r="O20" s="98">
        <v>0.4399999999999995</v>
      </c>
      <c r="P20" s="98">
        <v>9.6069868995633079E-2</v>
      </c>
      <c r="Q20" s="98">
        <v>8.1481481481481387E-3</v>
      </c>
      <c r="R20" s="98">
        <v>1.6296296296296277E-2</v>
      </c>
      <c r="S20" s="98">
        <v>2.3400000000000007</v>
      </c>
      <c r="T20" s="98">
        <v>0.46613545816733087</v>
      </c>
      <c r="U20" s="98">
        <v>8.6666666666666697E-2</v>
      </c>
    </row>
    <row r="21" spans="1:21" ht="15.75" customHeight="1">
      <c r="B21" s="98">
        <v>111</v>
      </c>
      <c r="C21" s="100">
        <v>2.79</v>
      </c>
      <c r="D21" s="100">
        <v>0.63553530751708431</v>
      </c>
      <c r="E21" s="100">
        <v>0.10333333333333333</v>
      </c>
      <c r="H21" s="98">
        <v>86</v>
      </c>
      <c r="I21" s="100">
        <v>15.810000000000002</v>
      </c>
      <c r="J21" s="100">
        <v>0.56323477021731394</v>
      </c>
      <c r="K21" s="100">
        <v>0.10333333333333335</v>
      </c>
      <c r="N21" s="98">
        <v>107</v>
      </c>
      <c r="O21" s="98">
        <v>0.25999999999999979</v>
      </c>
      <c r="P21" s="98">
        <v>5.8956916099773195E-2</v>
      </c>
      <c r="Q21" s="98">
        <v>4.8148148148148108E-3</v>
      </c>
      <c r="R21" s="98">
        <v>9.6296296296296217E-3</v>
      </c>
      <c r="S21" s="98">
        <v>2.3200000000000003</v>
      </c>
      <c r="T21" s="98">
        <v>0.49678800856531058</v>
      </c>
      <c r="U21" s="98">
        <v>8.5925925925925933E-2</v>
      </c>
    </row>
    <row r="22" spans="1:21" ht="15.75" customHeight="1">
      <c r="B22" s="98">
        <v>113</v>
      </c>
      <c r="C22" s="100">
        <v>2.46</v>
      </c>
      <c r="D22" s="100">
        <v>0.57476635514018692</v>
      </c>
      <c r="E22" s="100">
        <v>9.1111111111111115E-2</v>
      </c>
      <c r="I22" s="102">
        <f t="shared" ref="I22:K22" si="6">AVERAGE(I17:I21)</f>
        <v>15.075999999999999</v>
      </c>
      <c r="J22" s="102">
        <f t="shared" si="6"/>
        <v>0.55560182083716447</v>
      </c>
      <c r="K22" s="102">
        <f t="shared" si="6"/>
        <v>9.8535947712418276E-2</v>
      </c>
      <c r="N22" s="98">
        <v>116</v>
      </c>
      <c r="O22" s="98">
        <v>0.1800000000000006</v>
      </c>
      <c r="P22" s="98">
        <v>4.3062200956937947E-2</v>
      </c>
      <c r="Q22" s="98">
        <v>3.3333333333333444E-3</v>
      </c>
      <c r="R22" s="98">
        <v>6.6666666666666888E-3</v>
      </c>
      <c r="S22" s="98">
        <v>2.1899999999999995</v>
      </c>
      <c r="T22" s="98">
        <v>0.5022935779816512</v>
      </c>
      <c r="U22" s="98">
        <v>8.1111111111111092E-2</v>
      </c>
    </row>
    <row r="23" spans="1:21" ht="15.75" customHeight="1">
      <c r="B23" s="98">
        <v>115</v>
      </c>
      <c r="C23" s="100">
        <v>2.9299999999999997</v>
      </c>
      <c r="D23" s="100">
        <v>0.66894977168949765</v>
      </c>
      <c r="E23" s="100">
        <v>0.10851851851851851</v>
      </c>
      <c r="G23" s="98" t="s">
        <v>26</v>
      </c>
      <c r="H23" s="98">
        <v>37</v>
      </c>
      <c r="I23" s="100">
        <v>15.649999999999999</v>
      </c>
      <c r="J23" s="100">
        <v>0.57431192660550456</v>
      </c>
      <c r="K23" s="100">
        <v>0.1022875816993464</v>
      </c>
      <c r="N23" s="98">
        <v>117</v>
      </c>
      <c r="O23" s="98">
        <v>0.25999999999999979</v>
      </c>
      <c r="P23" s="98">
        <v>5.9907834101382444E-2</v>
      </c>
      <c r="Q23" s="98">
        <v>4.8148148148148108E-3</v>
      </c>
      <c r="R23" s="98">
        <v>9.6296296296296217E-3</v>
      </c>
      <c r="S23" s="98">
        <v>2.2000000000000002</v>
      </c>
      <c r="T23" s="98">
        <v>0.47826086956521746</v>
      </c>
      <c r="U23" s="98">
        <v>8.1481481481481488E-2</v>
      </c>
    </row>
    <row r="24" spans="1:21" ht="15.75" customHeight="1">
      <c r="B24" s="96">
        <v>20</v>
      </c>
      <c r="C24" s="102">
        <f t="shared" ref="C24:E24" si="7">AVERAGE(C4:C23)</f>
        <v>2.6189999999999998</v>
      </c>
      <c r="D24" s="102">
        <f t="shared" si="7"/>
        <v>0.5814352973579423</v>
      </c>
      <c r="E24" s="102">
        <f t="shared" si="7"/>
        <v>9.7000000000000003E-2</v>
      </c>
      <c r="H24" s="98">
        <v>43</v>
      </c>
      <c r="I24" s="100">
        <v>16.46</v>
      </c>
      <c r="J24" s="100">
        <v>0.61717285339332584</v>
      </c>
      <c r="K24" s="100">
        <v>0.10758169934640524</v>
      </c>
      <c r="N24" s="96">
        <v>20</v>
      </c>
      <c r="O24" s="102">
        <f t="shared" ref="O24:U24" si="8">AVERAGE(O4:O23)</f>
        <v>0.27749999999999997</v>
      </c>
      <c r="P24" s="102">
        <f t="shared" si="8"/>
        <v>6.1453074517809972E-2</v>
      </c>
      <c r="Q24" s="102">
        <f t="shared" si="8"/>
        <v>5.1388888888888882E-3</v>
      </c>
      <c r="R24" s="102">
        <f t="shared" si="8"/>
        <v>1.0277777777777776E-2</v>
      </c>
      <c r="S24" s="102">
        <f t="shared" si="8"/>
        <v>2.2535000000000003</v>
      </c>
      <c r="T24" s="102">
        <f t="shared" si="8"/>
        <v>0.47137228000082487</v>
      </c>
      <c r="U24" s="102">
        <f t="shared" si="8"/>
        <v>8.3462962962962975E-2</v>
      </c>
    </row>
    <row r="25" spans="1:21" ht="15.75" customHeight="1">
      <c r="A25" s="98" t="s">
        <v>17</v>
      </c>
      <c r="B25" s="98">
        <v>33</v>
      </c>
      <c r="C25" s="100">
        <v>2.74</v>
      </c>
      <c r="D25" s="100">
        <v>0.84307692307692317</v>
      </c>
      <c r="E25" s="100">
        <v>0.10148148148148149</v>
      </c>
      <c r="H25" s="98">
        <v>88</v>
      </c>
      <c r="I25" s="100">
        <v>19.029999999999998</v>
      </c>
      <c r="J25" s="100">
        <v>0.74598196785574267</v>
      </c>
      <c r="K25" s="100">
        <v>0.12437908496732025</v>
      </c>
      <c r="M25" s="98" t="s">
        <v>17</v>
      </c>
      <c r="N25" s="98">
        <v>31</v>
      </c>
      <c r="O25" s="98">
        <v>0.28000000000000025</v>
      </c>
      <c r="P25" s="98">
        <v>8.1871345029239845E-2</v>
      </c>
      <c r="Q25" s="98">
        <v>5.1851851851851894E-3</v>
      </c>
      <c r="R25" s="98">
        <v>1.0370370370370379E-2</v>
      </c>
      <c r="S25" s="98">
        <v>2.2299999999999995</v>
      </c>
      <c r="T25" s="98">
        <v>0.60270270270270254</v>
      </c>
      <c r="U25" s="98">
        <v>8.2592592592592579E-2</v>
      </c>
    </row>
    <row r="26" spans="1:21" ht="15.75" customHeight="1">
      <c r="B26" s="98">
        <v>34</v>
      </c>
      <c r="C26" s="100">
        <v>2.77</v>
      </c>
      <c r="D26" s="100">
        <v>0.87106918238993702</v>
      </c>
      <c r="E26" s="100">
        <v>0.1025925925925926</v>
      </c>
      <c r="H26" s="98">
        <v>90</v>
      </c>
      <c r="I26" s="100">
        <v>17.720000000000002</v>
      </c>
      <c r="J26" s="100">
        <v>0.69818754925137916</v>
      </c>
      <c r="K26" s="100">
        <v>0.1158169934640523</v>
      </c>
      <c r="N26" s="98">
        <v>32</v>
      </c>
      <c r="O26" s="98">
        <v>0.2799999999999998</v>
      </c>
      <c r="P26" s="98">
        <v>8.2111436950146569E-2</v>
      </c>
      <c r="Q26" s="98">
        <v>5.1851851851851816E-3</v>
      </c>
      <c r="R26" s="98">
        <v>1.0370370370370363E-2</v>
      </c>
      <c r="S26" s="98">
        <v>2.44</v>
      </c>
      <c r="T26" s="98">
        <v>0.66124661246612471</v>
      </c>
      <c r="U26" s="98">
        <v>9.0370370370370365E-2</v>
      </c>
    </row>
    <row r="27" spans="1:21" ht="15.75" customHeight="1">
      <c r="B27" s="98">
        <v>38</v>
      </c>
      <c r="C27" s="100">
        <v>2.65</v>
      </c>
      <c r="D27" s="100">
        <v>0.82043343653250767</v>
      </c>
      <c r="E27" s="100">
        <v>9.8148148148148151E-2</v>
      </c>
      <c r="H27" s="98">
        <v>94</v>
      </c>
      <c r="I27" s="100">
        <v>16.29</v>
      </c>
      <c r="J27" s="100">
        <v>0.6098839385997753</v>
      </c>
      <c r="K27" s="100">
        <v>0.10647058823529411</v>
      </c>
      <c r="N27" s="98">
        <v>35</v>
      </c>
      <c r="O27" s="98">
        <v>0.29000000000000004</v>
      </c>
      <c r="P27" s="98">
        <v>8.454810495626823E-2</v>
      </c>
      <c r="Q27" s="98">
        <v>5.3703703703703708E-3</v>
      </c>
      <c r="R27" s="98">
        <v>1.0740740740740742E-2</v>
      </c>
      <c r="S27" s="98">
        <v>2.3199999999999998</v>
      </c>
      <c r="T27" s="98">
        <v>0.62365591397849451</v>
      </c>
      <c r="U27" s="98">
        <v>8.5925925925925919E-2</v>
      </c>
    </row>
    <row r="28" spans="1:21" ht="15.75" customHeight="1">
      <c r="B28" s="98">
        <v>39</v>
      </c>
      <c r="C28" s="100">
        <v>3.62</v>
      </c>
      <c r="D28" s="100">
        <v>1.608888888888889</v>
      </c>
      <c r="E28" s="100">
        <v>0.13407407407407407</v>
      </c>
      <c r="I28" s="102">
        <f t="shared" ref="I28:K28" si="9">AVERAGE(I23:I27)</f>
        <v>17.03</v>
      </c>
      <c r="J28" s="102">
        <f t="shared" si="9"/>
        <v>0.64910764714114544</v>
      </c>
      <c r="K28" s="102">
        <f t="shared" si="9"/>
        <v>0.11130718954248367</v>
      </c>
      <c r="N28" s="98">
        <v>37</v>
      </c>
      <c r="O28" s="98">
        <v>0.25999999999999979</v>
      </c>
      <c r="P28" s="98">
        <v>7.9999999999999932E-2</v>
      </c>
      <c r="Q28" s="98">
        <v>4.8148148148148108E-3</v>
      </c>
      <c r="R28" s="98">
        <v>9.6296296296296217E-3</v>
      </c>
      <c r="S28" s="98">
        <v>2.16</v>
      </c>
      <c r="T28" s="98">
        <v>0.61538461538461542</v>
      </c>
      <c r="U28" s="98">
        <v>0.08</v>
      </c>
    </row>
    <row r="29" spans="1:21" ht="15.75" customHeight="1">
      <c r="B29" s="98">
        <v>40</v>
      </c>
      <c r="C29" s="100">
        <v>2.7600000000000002</v>
      </c>
      <c r="D29" s="100">
        <v>0.83383685800604235</v>
      </c>
      <c r="E29" s="100">
        <v>0.10222222222222223</v>
      </c>
      <c r="N29" s="98">
        <v>44</v>
      </c>
      <c r="O29" s="98">
        <v>0.29999999999999982</v>
      </c>
      <c r="P29" s="98">
        <v>9.2307692307692257E-2</v>
      </c>
      <c r="Q29" s="98">
        <v>5.5555555555555523E-3</v>
      </c>
      <c r="R29" s="98">
        <v>1.1111111111111105E-2</v>
      </c>
      <c r="S29" s="98">
        <v>2.4000000000000004</v>
      </c>
      <c r="T29" s="98">
        <v>0.67605633802816911</v>
      </c>
      <c r="U29" s="98">
        <v>8.8888888888888906E-2</v>
      </c>
    </row>
    <row r="30" spans="1:21" ht="15.75" customHeight="1">
      <c r="B30" s="98">
        <v>41</v>
      </c>
      <c r="C30" s="100">
        <v>2.7100000000000004</v>
      </c>
      <c r="D30" s="100">
        <v>0.81626506024096401</v>
      </c>
      <c r="E30" s="100">
        <v>0.10037037037037039</v>
      </c>
      <c r="N30" s="98">
        <v>47</v>
      </c>
      <c r="O30" s="98">
        <v>0.35000000000000009</v>
      </c>
      <c r="P30" s="98">
        <v>0.10542168674698799</v>
      </c>
      <c r="Q30" s="98">
        <v>6.481481481481483E-3</v>
      </c>
      <c r="R30" s="98">
        <v>1.2962962962962966E-2</v>
      </c>
      <c r="S30" s="98">
        <v>2.4800000000000004</v>
      </c>
      <c r="T30" s="98">
        <v>0.67574931880109002</v>
      </c>
      <c r="U30" s="98">
        <v>9.1851851851851865E-2</v>
      </c>
    </row>
    <row r="31" spans="1:21" ht="15.75" customHeight="1">
      <c r="B31" s="98">
        <v>45</v>
      </c>
      <c r="C31" s="100">
        <v>2.61</v>
      </c>
      <c r="D31" s="100">
        <v>0.78614457831325302</v>
      </c>
      <c r="E31" s="100">
        <v>9.6666666666666665E-2</v>
      </c>
      <c r="N31" s="98">
        <v>49</v>
      </c>
      <c r="O31" s="98">
        <v>0.54</v>
      </c>
      <c r="P31" s="98">
        <v>0.16718266253869971</v>
      </c>
      <c r="Q31" s="98">
        <v>0.01</v>
      </c>
      <c r="R31" s="98">
        <v>0.02</v>
      </c>
      <c r="S31" s="98">
        <v>2.35</v>
      </c>
      <c r="T31" s="98">
        <v>0.62334217506631306</v>
      </c>
      <c r="U31" s="98">
        <v>8.7037037037037038E-2</v>
      </c>
    </row>
    <row r="32" spans="1:21" ht="15.75" customHeight="1">
      <c r="B32" s="98">
        <v>46</v>
      </c>
      <c r="C32" s="100">
        <v>2.71</v>
      </c>
      <c r="D32" s="100">
        <v>0.80177514792899407</v>
      </c>
      <c r="E32" s="100">
        <v>0.10037037037037037</v>
      </c>
      <c r="N32" s="98">
        <v>50</v>
      </c>
      <c r="O32" s="98">
        <v>0.48</v>
      </c>
      <c r="P32" s="98">
        <v>0.14501510574018125</v>
      </c>
      <c r="Q32" s="98">
        <v>8.8888888888888889E-3</v>
      </c>
      <c r="R32" s="98">
        <v>1.7777777777777778E-2</v>
      </c>
      <c r="S32" s="98">
        <v>2.3600000000000003</v>
      </c>
      <c r="T32" s="98">
        <v>0.62269129287598957</v>
      </c>
      <c r="U32" s="98">
        <v>8.740740740740742E-2</v>
      </c>
    </row>
    <row r="33" spans="1:21" ht="15.75" customHeight="1">
      <c r="B33" s="98">
        <v>51</v>
      </c>
      <c r="C33" s="100">
        <v>2.7399999999999998</v>
      </c>
      <c r="D33" s="100">
        <v>0.78735632183908044</v>
      </c>
      <c r="E33" s="100">
        <v>0.10148148148148148</v>
      </c>
      <c r="N33" s="98">
        <v>53</v>
      </c>
      <c r="O33" s="98">
        <v>0.54999999999999982</v>
      </c>
      <c r="P33" s="98">
        <v>0.16320474777448066</v>
      </c>
      <c r="Q33" s="98">
        <v>1.0185185185185183E-2</v>
      </c>
      <c r="R33" s="98">
        <v>2.0370370370370365E-2</v>
      </c>
      <c r="S33" s="98">
        <v>2.25</v>
      </c>
      <c r="T33" s="98">
        <v>0.57397959183673475</v>
      </c>
      <c r="U33" s="98">
        <v>8.3333333333333329E-2</v>
      </c>
    </row>
    <row r="34" spans="1:21" ht="15.75" customHeight="1">
      <c r="B34" s="98">
        <v>52</v>
      </c>
      <c r="C34" s="100">
        <v>2.71</v>
      </c>
      <c r="D34" s="100">
        <v>0.80177514792899407</v>
      </c>
      <c r="E34" s="100">
        <v>0.10037037037037037</v>
      </c>
      <c r="N34" s="98">
        <v>57</v>
      </c>
      <c r="O34" s="98">
        <v>0.52</v>
      </c>
      <c r="P34" s="98">
        <v>0.15249266862170088</v>
      </c>
      <c r="Q34" s="98">
        <v>9.6296296296296303E-3</v>
      </c>
      <c r="R34" s="98">
        <v>1.9259259259259261E-2</v>
      </c>
      <c r="S34" s="98">
        <v>2.36</v>
      </c>
      <c r="T34" s="98">
        <v>0.60050890585241723</v>
      </c>
      <c r="U34" s="98">
        <v>8.7407407407407406E-2</v>
      </c>
    </row>
    <row r="35" spans="1:21" ht="15.75" customHeight="1">
      <c r="B35" s="98">
        <v>55</v>
      </c>
      <c r="C35" s="100">
        <v>2.6399999999999997</v>
      </c>
      <c r="D35" s="100">
        <v>0.76521739130434774</v>
      </c>
      <c r="E35" s="100">
        <v>9.7777777777777769E-2</v>
      </c>
      <c r="N35" s="98">
        <v>59</v>
      </c>
      <c r="O35" s="98">
        <v>0.88999999999999968</v>
      </c>
      <c r="P35" s="98">
        <v>0.27725856697819307</v>
      </c>
      <c r="Q35" s="98">
        <v>1.6481481481481475E-2</v>
      </c>
      <c r="R35" s="98">
        <v>3.2962962962962951E-2</v>
      </c>
      <c r="S35" s="98">
        <v>2.0700000000000003</v>
      </c>
      <c r="T35" s="98">
        <v>0.50487804878048792</v>
      </c>
      <c r="U35" s="98">
        <v>7.6666666666666675E-2</v>
      </c>
    </row>
    <row r="36" spans="1:21" ht="15.75" customHeight="1">
      <c r="B36" s="98">
        <v>56</v>
      </c>
      <c r="C36" s="100">
        <v>2.5299999999999998</v>
      </c>
      <c r="D36" s="100">
        <v>0.71067415730337069</v>
      </c>
      <c r="E36" s="100">
        <v>9.3703703703703692E-2</v>
      </c>
      <c r="N36" s="98">
        <v>62</v>
      </c>
      <c r="O36" s="98">
        <v>0.5</v>
      </c>
      <c r="P36" s="98">
        <v>0.15625</v>
      </c>
      <c r="Q36" s="98">
        <v>9.2592592592592587E-3</v>
      </c>
      <c r="R36" s="98">
        <v>1.8518518518518517E-2</v>
      </c>
      <c r="S36" s="98">
        <v>2.2599999999999998</v>
      </c>
      <c r="T36" s="98">
        <v>0.61081081081081068</v>
      </c>
      <c r="U36" s="98">
        <v>8.3703703703703697E-2</v>
      </c>
    </row>
    <row r="37" spans="1:21" ht="15.75" customHeight="1">
      <c r="B37" s="98">
        <v>60</v>
      </c>
      <c r="C37" s="100">
        <v>2.5399999999999996</v>
      </c>
      <c r="D37" s="100">
        <v>0.76737160120845904</v>
      </c>
      <c r="E37" s="100">
        <v>9.407407407407406E-2</v>
      </c>
      <c r="N37" s="98">
        <v>120</v>
      </c>
      <c r="O37" s="98">
        <v>0.24000000000000021</v>
      </c>
      <c r="P37" s="98">
        <v>6.8965517241379379E-2</v>
      </c>
      <c r="Q37" s="98">
        <v>4.4444444444444488E-3</v>
      </c>
      <c r="R37" s="98">
        <v>8.8888888888888976E-3</v>
      </c>
      <c r="S37" s="98">
        <v>2.3399999999999994</v>
      </c>
      <c r="T37" s="98">
        <v>0.6290322580645159</v>
      </c>
      <c r="U37" s="98">
        <v>8.6666666666666642E-2</v>
      </c>
    </row>
    <row r="38" spans="1:21" ht="15.75" customHeight="1">
      <c r="B38" s="98">
        <v>61</v>
      </c>
      <c r="C38" s="100">
        <v>2.6399999999999997</v>
      </c>
      <c r="D38" s="100">
        <v>0.76300578034682076</v>
      </c>
      <c r="E38" s="100">
        <v>9.7777777777777769E-2</v>
      </c>
      <c r="N38" s="98">
        <v>123</v>
      </c>
      <c r="O38" s="98">
        <v>0.26000000000000023</v>
      </c>
      <c r="P38" s="98">
        <v>8.0495356037151772E-2</v>
      </c>
      <c r="Q38" s="98">
        <v>4.8148148148148195E-3</v>
      </c>
      <c r="R38" s="98">
        <v>9.629629629629639E-3</v>
      </c>
      <c r="S38" s="98">
        <v>2.5099999999999998</v>
      </c>
      <c r="T38" s="98">
        <v>0.71919770773638958</v>
      </c>
      <c r="U38" s="98">
        <v>9.2962962962962956E-2</v>
      </c>
    </row>
    <row r="39" spans="1:21" ht="15.75" customHeight="1">
      <c r="B39" s="98">
        <v>121</v>
      </c>
      <c r="C39" s="100">
        <v>2.76</v>
      </c>
      <c r="D39" s="100">
        <v>0.79999999999999993</v>
      </c>
      <c r="E39" s="100">
        <v>0.10222222222222221</v>
      </c>
      <c r="N39" s="98">
        <v>124</v>
      </c>
      <c r="O39" s="98">
        <v>0.20999999999999996</v>
      </c>
      <c r="P39" s="98">
        <v>6.5420560747663545E-2</v>
      </c>
      <c r="Q39" s="98">
        <v>3.8888888888888883E-3</v>
      </c>
      <c r="R39" s="98">
        <v>7.7777777777777767E-3</v>
      </c>
      <c r="S39" s="98">
        <v>2.42</v>
      </c>
      <c r="T39" s="98">
        <v>0.70760233918128657</v>
      </c>
      <c r="U39" s="98">
        <v>8.9629629629629629E-2</v>
      </c>
    </row>
    <row r="40" spans="1:21" ht="15.75" customHeight="1">
      <c r="B40" s="98">
        <v>122</v>
      </c>
      <c r="C40" s="100">
        <v>2.9</v>
      </c>
      <c r="D40" s="100">
        <v>0.88414634146341464</v>
      </c>
      <c r="E40" s="100">
        <v>0.10740740740740741</v>
      </c>
      <c r="N40" s="98">
        <v>126</v>
      </c>
      <c r="O40" s="98">
        <v>0.20999999999999996</v>
      </c>
      <c r="P40" s="98">
        <v>6.2874251497005984E-2</v>
      </c>
      <c r="Q40" s="98">
        <v>3.8888888888888883E-3</v>
      </c>
      <c r="R40" s="98">
        <v>7.7777777777777767E-3</v>
      </c>
      <c r="S40" s="98">
        <v>2.2599999999999998</v>
      </c>
      <c r="T40" s="98">
        <v>0.63661971830985908</v>
      </c>
      <c r="U40" s="98">
        <v>8.3703703703703697E-2</v>
      </c>
    </row>
    <row r="41" spans="1:21" ht="15.75" customHeight="1">
      <c r="B41" s="98">
        <v>125</v>
      </c>
      <c r="C41" s="100">
        <v>2.83</v>
      </c>
      <c r="D41" s="100">
        <v>0.84730538922155696</v>
      </c>
      <c r="E41" s="100">
        <v>0.10481481481481482</v>
      </c>
      <c r="N41" s="98">
        <v>127</v>
      </c>
      <c r="O41" s="98">
        <v>0.25999999999999979</v>
      </c>
      <c r="P41" s="98">
        <v>7.7611940298507404E-2</v>
      </c>
      <c r="Q41" s="98">
        <v>4.8148148148148108E-3</v>
      </c>
      <c r="R41" s="98">
        <v>9.6296296296296217E-3</v>
      </c>
      <c r="S41" s="98">
        <v>2.36</v>
      </c>
      <c r="T41" s="98">
        <v>0.65373961218836563</v>
      </c>
      <c r="U41" s="98">
        <v>8.7407407407407406E-2</v>
      </c>
    </row>
    <row r="42" spans="1:21" ht="15.75" customHeight="1">
      <c r="B42" s="98">
        <v>131</v>
      </c>
      <c r="C42" s="100">
        <v>2.82</v>
      </c>
      <c r="D42" s="100">
        <v>0.8392857142857143</v>
      </c>
      <c r="E42" s="100">
        <v>0.10444444444444444</v>
      </c>
      <c r="N42" s="98">
        <v>130</v>
      </c>
      <c r="O42" s="98">
        <v>0.23999999999999977</v>
      </c>
      <c r="P42" s="98">
        <v>7.079646017699108E-2</v>
      </c>
      <c r="Q42" s="98">
        <v>4.4444444444444401E-3</v>
      </c>
      <c r="R42" s="98">
        <v>8.8888888888888802E-3</v>
      </c>
      <c r="S42" s="98">
        <v>2.2599999999999998</v>
      </c>
      <c r="T42" s="98">
        <v>0.62258953168044073</v>
      </c>
      <c r="U42" s="98">
        <v>8.3703703703703697E-2</v>
      </c>
    </row>
    <row r="43" spans="1:21" ht="15.75" customHeight="1">
      <c r="B43" s="98">
        <v>132</v>
      </c>
      <c r="C43" s="100">
        <v>2.71</v>
      </c>
      <c r="D43" s="100">
        <v>0.77650429799426923</v>
      </c>
      <c r="E43" s="100">
        <v>0.10037037037037037</v>
      </c>
      <c r="N43" s="98">
        <v>134</v>
      </c>
      <c r="O43" s="98">
        <v>0.19999999999999973</v>
      </c>
      <c r="P43" s="98">
        <v>5.9701492537313348E-2</v>
      </c>
      <c r="Q43" s="98">
        <v>3.7037037037036986E-3</v>
      </c>
      <c r="R43" s="98">
        <v>7.4074074074073973E-3</v>
      </c>
      <c r="S43" s="98">
        <v>2.3500000000000005</v>
      </c>
      <c r="T43" s="98">
        <v>0.66197183098591572</v>
      </c>
      <c r="U43" s="98">
        <v>8.7037037037037052E-2</v>
      </c>
    </row>
    <row r="44" spans="1:21" ht="15.75" customHeight="1">
      <c r="B44" s="98">
        <v>136</v>
      </c>
      <c r="C44" s="100">
        <v>2.8699999999999997</v>
      </c>
      <c r="D44" s="100">
        <v>0.82708933717579236</v>
      </c>
      <c r="E44" s="100">
        <v>0.10629629629629628</v>
      </c>
      <c r="N44" s="98">
        <v>135</v>
      </c>
      <c r="O44" s="98">
        <v>0.19999999999999973</v>
      </c>
      <c r="P44" s="98">
        <v>5.8997050147492541E-2</v>
      </c>
      <c r="Q44" s="98">
        <v>3.7037037037036986E-3</v>
      </c>
      <c r="R44" s="98">
        <v>7.4074074074073973E-3</v>
      </c>
      <c r="S44" s="98">
        <v>2.5200000000000005</v>
      </c>
      <c r="T44" s="98">
        <v>0.70194986072423415</v>
      </c>
      <c r="U44" s="98">
        <v>9.3333333333333351E-2</v>
      </c>
    </row>
    <row r="45" spans="1:21" ht="15.75" customHeight="1">
      <c r="B45" s="96">
        <v>20</v>
      </c>
      <c r="C45" s="102">
        <f t="shared" ref="C45:E45" si="10">AVERAGE(C25:C44)</f>
        <v>2.7629999999999995</v>
      </c>
      <c r="D45" s="102">
        <f t="shared" si="10"/>
        <v>0.8475610777724667</v>
      </c>
      <c r="E45" s="102">
        <f t="shared" si="10"/>
        <v>0.10233333333333332</v>
      </c>
      <c r="N45" s="96">
        <v>20</v>
      </c>
      <c r="O45" s="102">
        <f t="shared" ref="O45:U45" si="11">AVERAGE(O25:O44)</f>
        <v>0.35299999999999992</v>
      </c>
      <c r="P45" s="102">
        <f t="shared" si="11"/>
        <v>0.10662633231635477</v>
      </c>
      <c r="Q45" s="102">
        <f t="shared" si="11"/>
        <v>6.5370370370370356E-3</v>
      </c>
      <c r="R45" s="102">
        <f t="shared" si="11"/>
        <v>1.3074074074074071E-2</v>
      </c>
      <c r="S45" s="102">
        <f t="shared" si="11"/>
        <v>2.335</v>
      </c>
      <c r="T45" s="102">
        <f t="shared" si="11"/>
        <v>0.63618545927274794</v>
      </c>
      <c r="U45" s="102">
        <f t="shared" si="11"/>
        <v>8.6481481481481465E-2</v>
      </c>
    </row>
    <row r="46" spans="1:21" ht="15.75" customHeight="1">
      <c r="A46" s="98" t="s">
        <v>23</v>
      </c>
      <c r="B46" s="98">
        <v>65</v>
      </c>
      <c r="C46" s="100">
        <v>2.7800000000000002</v>
      </c>
      <c r="D46" s="100">
        <v>0.62471910112359552</v>
      </c>
      <c r="E46" s="100">
        <v>0.10296296296296298</v>
      </c>
      <c r="M46" s="98" t="s">
        <v>23</v>
      </c>
      <c r="N46" s="98">
        <v>64</v>
      </c>
      <c r="O46" s="98">
        <v>0.32000000000000028</v>
      </c>
      <c r="P46" s="98">
        <v>7.0953436807095413E-2</v>
      </c>
      <c r="Q46" s="98">
        <v>5.9259259259259308E-3</v>
      </c>
      <c r="R46" s="98">
        <v>1.1851851851851862E-2</v>
      </c>
      <c r="S46" s="98">
        <v>2.3200000000000003</v>
      </c>
      <c r="T46" s="98">
        <v>0.48033126293995865</v>
      </c>
      <c r="U46" s="98">
        <v>8.5925925925925933E-2</v>
      </c>
    </row>
    <row r="47" spans="1:21" ht="15.75" customHeight="1">
      <c r="B47" s="98">
        <v>66</v>
      </c>
      <c r="C47" s="100">
        <v>2.7299999999999995</v>
      </c>
      <c r="D47" s="100">
        <v>0.61348314606741561</v>
      </c>
      <c r="E47" s="100">
        <v>0.1011111111111111</v>
      </c>
      <c r="N47" s="98">
        <v>68</v>
      </c>
      <c r="O47" s="98">
        <v>0.33999999999999986</v>
      </c>
      <c r="P47" s="98">
        <v>7.4889867841409663E-2</v>
      </c>
      <c r="Q47" s="98">
        <v>6.2962962962962938E-3</v>
      </c>
      <c r="R47" s="98">
        <v>1.2592592592592588E-2</v>
      </c>
      <c r="S47" s="98">
        <v>2.2999999999999998</v>
      </c>
      <c r="T47" s="98">
        <v>0.47131147540983603</v>
      </c>
      <c r="U47" s="98">
        <v>8.5185185185185183E-2</v>
      </c>
    </row>
    <row r="48" spans="1:21" ht="15.75" customHeight="1">
      <c r="B48" s="98">
        <v>67</v>
      </c>
      <c r="C48" s="100">
        <v>2.62</v>
      </c>
      <c r="D48" s="100">
        <v>0.57456140350877205</v>
      </c>
      <c r="E48" s="100">
        <v>9.7037037037037047E-2</v>
      </c>
      <c r="N48" s="98">
        <v>73</v>
      </c>
      <c r="O48" s="98">
        <v>0.41000000000000014</v>
      </c>
      <c r="P48" s="98">
        <v>8.6134453781512632E-2</v>
      </c>
      <c r="Q48" s="98">
        <v>7.5925925925925952E-3</v>
      </c>
      <c r="R48" s="98">
        <v>1.518518518518519E-2</v>
      </c>
      <c r="S48" s="98">
        <v>2.25</v>
      </c>
      <c r="T48" s="98">
        <v>0.43520309477756286</v>
      </c>
      <c r="U48" s="98">
        <v>8.3333333333333329E-2</v>
      </c>
    </row>
    <row r="49" spans="2:21" ht="15.75" customHeight="1">
      <c r="B49" s="98">
        <v>69</v>
      </c>
      <c r="C49" s="100">
        <v>2.59</v>
      </c>
      <c r="D49" s="100">
        <v>0.55939524838012955</v>
      </c>
      <c r="E49" s="100">
        <v>9.5925925925925914E-2</v>
      </c>
      <c r="N49" s="98">
        <v>139</v>
      </c>
      <c r="O49" s="98">
        <v>0.16999999999999993</v>
      </c>
      <c r="P49" s="98">
        <v>3.6559139784946217E-2</v>
      </c>
      <c r="Q49" s="98">
        <v>3.1481481481481469E-3</v>
      </c>
      <c r="R49" s="98">
        <v>6.2962962962962938E-3</v>
      </c>
      <c r="S49" s="98">
        <v>2.46</v>
      </c>
      <c r="T49" s="98">
        <v>0.51037344398340245</v>
      </c>
      <c r="U49" s="98">
        <v>9.1111111111111115E-2</v>
      </c>
    </row>
    <row r="50" spans="2:21" ht="15.75" customHeight="1">
      <c r="B50" s="98">
        <v>70</v>
      </c>
      <c r="C50" s="100">
        <v>2.67</v>
      </c>
      <c r="D50" s="100">
        <v>0.59865470852017932</v>
      </c>
      <c r="E50" s="100">
        <v>9.8888888888888887E-2</v>
      </c>
      <c r="N50" s="98">
        <v>143</v>
      </c>
      <c r="O50" s="98">
        <v>0.33999999999999986</v>
      </c>
      <c r="P50" s="98">
        <v>7.280513918629547E-2</v>
      </c>
      <c r="Q50" s="98">
        <v>6.2962962962962938E-3</v>
      </c>
      <c r="R50" s="98">
        <v>1.2592592592592588E-2</v>
      </c>
      <c r="S50" s="98">
        <v>2.3100000000000005</v>
      </c>
      <c r="T50" s="98">
        <v>0.46107784431137738</v>
      </c>
      <c r="U50" s="98">
        <v>8.5555555555555579E-2</v>
      </c>
    </row>
    <row r="51" spans="2:21" ht="15.75" customHeight="1">
      <c r="B51" s="98">
        <v>71</v>
      </c>
      <c r="C51" s="100">
        <v>2.8</v>
      </c>
      <c r="D51" s="100">
        <v>0.61538461538461542</v>
      </c>
      <c r="E51" s="100">
        <v>0.1037037037037037</v>
      </c>
      <c r="N51" s="98">
        <v>148</v>
      </c>
      <c r="O51" s="98">
        <v>0.16999999999999993</v>
      </c>
      <c r="P51" s="98">
        <v>3.4482758620689641E-2</v>
      </c>
      <c r="Q51" s="98">
        <v>3.1481481481481469E-3</v>
      </c>
      <c r="R51" s="98">
        <v>6.2962962962962938E-3</v>
      </c>
      <c r="S51" s="98">
        <v>2.4500000000000002</v>
      </c>
      <c r="T51" s="98">
        <v>0.48039215686274517</v>
      </c>
      <c r="U51" s="98">
        <v>9.0740740740740747E-2</v>
      </c>
    </row>
    <row r="52" spans="2:21" ht="15.75" customHeight="1">
      <c r="B52" s="98">
        <v>72</v>
      </c>
      <c r="C52" s="100">
        <v>2.7</v>
      </c>
      <c r="D52" s="100">
        <v>0.56722689075630262</v>
      </c>
      <c r="E52" s="100">
        <v>0.1</v>
      </c>
      <c r="N52" s="98">
        <v>150</v>
      </c>
      <c r="O52" s="98">
        <v>0.32000000000000028</v>
      </c>
      <c r="P52" s="98">
        <v>6.6528066528066587E-2</v>
      </c>
      <c r="Q52" s="98">
        <v>5.9259259259259308E-3</v>
      </c>
      <c r="R52" s="98">
        <v>1.1851851851851862E-2</v>
      </c>
      <c r="S52" s="98">
        <v>2.41</v>
      </c>
      <c r="T52" s="98">
        <v>0.46978557504873297</v>
      </c>
      <c r="U52" s="98">
        <v>8.925925925925926E-2</v>
      </c>
    </row>
    <row r="53" spans="2:21" ht="15.75" customHeight="1">
      <c r="B53" s="98">
        <v>140</v>
      </c>
      <c r="C53" s="100">
        <v>2.76</v>
      </c>
      <c r="D53" s="100">
        <v>0.57620041753653439</v>
      </c>
      <c r="E53" s="100">
        <v>0.10222222222222221</v>
      </c>
      <c r="N53" s="98">
        <v>187</v>
      </c>
      <c r="O53" s="98">
        <v>0.23000000000000043</v>
      </c>
      <c r="P53" s="98">
        <v>5.2511415525114256E-2</v>
      </c>
      <c r="Q53" s="98">
        <v>4.2592592592592673E-3</v>
      </c>
      <c r="R53" s="98">
        <v>8.5185185185185346E-3</v>
      </c>
      <c r="S53" s="98">
        <v>2.3899999999999997</v>
      </c>
      <c r="T53" s="98">
        <v>0.51843817787418645</v>
      </c>
      <c r="U53" s="98">
        <v>8.851851851851851E-2</v>
      </c>
    </row>
    <row r="54" spans="2:21" ht="15.75" customHeight="1">
      <c r="B54" s="98">
        <v>141</v>
      </c>
      <c r="C54" s="100">
        <v>2.87</v>
      </c>
      <c r="D54" s="100">
        <v>0.59916492693110646</v>
      </c>
      <c r="E54" s="100">
        <v>0.10629629629629631</v>
      </c>
      <c r="N54" s="98">
        <v>188</v>
      </c>
      <c r="O54" s="98">
        <v>0.45000000000000018</v>
      </c>
      <c r="P54" s="98">
        <v>0.10158013544018063</v>
      </c>
      <c r="Q54" s="98">
        <v>8.3333333333333367E-3</v>
      </c>
      <c r="R54" s="98">
        <v>1.6666666666666673E-2</v>
      </c>
      <c r="S54" s="98">
        <v>2.75</v>
      </c>
      <c r="T54" s="98">
        <v>0.56352459016393441</v>
      </c>
      <c r="U54" s="98">
        <v>0.10185185185185185</v>
      </c>
    </row>
    <row r="55" spans="2:21" ht="15.75" customHeight="1">
      <c r="B55" s="98">
        <v>142</v>
      </c>
      <c r="C55" s="100">
        <v>2.8100000000000005</v>
      </c>
      <c r="D55" s="100">
        <v>0.58909853249475908</v>
      </c>
      <c r="E55" s="100">
        <v>0.1040740740740741</v>
      </c>
      <c r="N55" s="98">
        <v>189</v>
      </c>
      <c r="O55" s="98">
        <v>0.15999999999999925</v>
      </c>
      <c r="P55" s="98">
        <v>3.6036036036035862E-2</v>
      </c>
      <c r="Q55" s="98">
        <v>2.9629629629629489E-3</v>
      </c>
      <c r="R55" s="98">
        <v>5.9259259259258979E-3</v>
      </c>
      <c r="S55" s="98">
        <v>2.5500000000000007</v>
      </c>
      <c r="T55" s="98">
        <v>0.55434782608695676</v>
      </c>
      <c r="U55" s="98">
        <v>9.444444444444447E-2</v>
      </c>
    </row>
    <row r="56" spans="2:21" ht="15.75" customHeight="1">
      <c r="B56" s="98">
        <v>144</v>
      </c>
      <c r="C56" s="100">
        <v>2.79</v>
      </c>
      <c r="D56" s="100">
        <v>0.5728952772073922</v>
      </c>
      <c r="E56" s="100">
        <v>0.10333333333333333</v>
      </c>
      <c r="N56" s="98">
        <v>190</v>
      </c>
      <c r="O56" s="98">
        <v>0.23000000000000043</v>
      </c>
      <c r="P56" s="98">
        <v>5.2511415525114256E-2</v>
      </c>
      <c r="Q56" s="98">
        <v>4.2592592592592673E-3</v>
      </c>
      <c r="R56" s="98">
        <v>8.5185185185185346E-3</v>
      </c>
      <c r="S56" s="98">
        <v>2.46</v>
      </c>
      <c r="T56" s="98">
        <v>0.53362255965292837</v>
      </c>
      <c r="U56" s="98">
        <v>9.1111111111111115E-2</v>
      </c>
    </row>
    <row r="57" spans="2:21" ht="15.75" customHeight="1">
      <c r="B57" s="98">
        <v>145</v>
      </c>
      <c r="C57" s="100">
        <v>2.75</v>
      </c>
      <c r="D57" s="100">
        <v>0.55443548387096775</v>
      </c>
      <c r="E57" s="100">
        <v>0.10185185185185185</v>
      </c>
      <c r="N57" s="98">
        <v>191</v>
      </c>
      <c r="O57" s="98">
        <v>0.36000000000000032</v>
      </c>
      <c r="P57" s="98">
        <v>8.1264108352144551E-2</v>
      </c>
      <c r="Q57" s="98">
        <v>6.6666666666666723E-3</v>
      </c>
      <c r="R57" s="98">
        <v>1.3333333333333345E-2</v>
      </c>
      <c r="S57" s="98">
        <v>2.4400000000000004</v>
      </c>
      <c r="T57" s="98">
        <v>0.50939457202505223</v>
      </c>
      <c r="U57" s="98">
        <v>9.0370370370370379E-2</v>
      </c>
    </row>
    <row r="58" spans="2:21" ht="15.75" customHeight="1">
      <c r="B58" s="98">
        <v>146</v>
      </c>
      <c r="C58" s="100">
        <v>2.7199999999999998</v>
      </c>
      <c r="D58" s="100">
        <v>0.56903765690376562</v>
      </c>
      <c r="E58" s="100">
        <v>0.10074074074074073</v>
      </c>
      <c r="N58" s="98">
        <v>192</v>
      </c>
      <c r="O58" s="98">
        <v>0.26999999999999957</v>
      </c>
      <c r="P58" s="98">
        <v>6.081081081081071E-2</v>
      </c>
      <c r="Q58" s="98">
        <v>4.9999999999999923E-3</v>
      </c>
      <c r="R58" s="98">
        <v>9.9999999999999846E-3</v>
      </c>
      <c r="S58" s="98">
        <v>2.4800000000000004</v>
      </c>
      <c r="T58" s="98">
        <v>0.52653927813163492</v>
      </c>
      <c r="U58" s="98">
        <v>9.1851851851851865E-2</v>
      </c>
    </row>
    <row r="59" spans="2:21" ht="15.75" customHeight="1">
      <c r="B59" s="98">
        <v>147</v>
      </c>
      <c r="C59" s="100">
        <v>2.7199999999999998</v>
      </c>
      <c r="D59" s="100">
        <v>0.57749469214437366</v>
      </c>
      <c r="E59" s="100">
        <v>0.10074074074074073</v>
      </c>
      <c r="N59" s="98">
        <v>193</v>
      </c>
      <c r="O59" s="98">
        <v>0.25999999999999979</v>
      </c>
      <c r="P59" s="98">
        <v>5.7906458797327344E-2</v>
      </c>
      <c r="Q59" s="98">
        <v>4.8148148148148108E-3</v>
      </c>
      <c r="R59" s="98">
        <v>9.6296296296296217E-3</v>
      </c>
      <c r="S59" s="98">
        <v>2.2300000000000004</v>
      </c>
      <c r="T59" s="98">
        <v>0.46947368421052643</v>
      </c>
      <c r="U59" s="98">
        <v>8.2592592592592606E-2</v>
      </c>
    </row>
    <row r="60" spans="2:21" ht="15.75" customHeight="1">
      <c r="B60" s="98">
        <v>149</v>
      </c>
      <c r="C60" s="100">
        <v>2.7700000000000005</v>
      </c>
      <c r="D60" s="100">
        <v>0.57588357588357597</v>
      </c>
      <c r="E60" s="100">
        <v>0.10259259259259261</v>
      </c>
      <c r="N60" s="98">
        <v>194</v>
      </c>
      <c r="O60" s="98">
        <v>0.17999999999999972</v>
      </c>
      <c r="P60" s="98">
        <v>4.1189931350114353E-2</v>
      </c>
      <c r="Q60" s="98">
        <v>3.3333333333333279E-3</v>
      </c>
      <c r="R60" s="98">
        <v>6.6666666666666558E-3</v>
      </c>
      <c r="S60" s="98">
        <v>2.67</v>
      </c>
      <c r="T60" s="98">
        <v>0.58681318681318684</v>
      </c>
      <c r="U60" s="98">
        <v>9.8888888888888887E-2</v>
      </c>
    </row>
    <row r="61" spans="2:21" ht="15.75" customHeight="1">
      <c r="B61" s="98">
        <v>151</v>
      </c>
      <c r="C61" s="100">
        <v>2.92</v>
      </c>
      <c r="D61" s="100">
        <v>0.62393162393162394</v>
      </c>
      <c r="E61" s="100">
        <v>0.10814814814814815</v>
      </c>
      <c r="N61" s="96">
        <v>15</v>
      </c>
      <c r="O61" s="102">
        <f t="shared" ref="O61:U61" si="12">AVERAGE(O46:O60)</f>
        <v>0.28066666666666668</v>
      </c>
      <c r="P61" s="102">
        <f t="shared" si="12"/>
        <v>6.1744211625790517E-2</v>
      </c>
      <c r="Q61" s="102">
        <f t="shared" si="12"/>
        <v>5.1975308641975309E-3</v>
      </c>
      <c r="R61" s="102">
        <f t="shared" si="12"/>
        <v>1.0395061728395062E-2</v>
      </c>
      <c r="S61" s="102">
        <f t="shared" si="12"/>
        <v>2.4313333333333338</v>
      </c>
      <c r="T61" s="102">
        <f t="shared" si="12"/>
        <v>0.50470858188613488</v>
      </c>
      <c r="U61" s="102">
        <f t="shared" si="12"/>
        <v>9.0049382716049384E-2</v>
      </c>
    </row>
    <row r="62" spans="2:21" ht="15.75" customHeight="1">
      <c r="B62" s="98">
        <v>152</v>
      </c>
      <c r="C62" s="100">
        <v>2.8400000000000007</v>
      </c>
      <c r="D62" s="100">
        <v>0.55686274509803935</v>
      </c>
      <c r="E62" s="100">
        <v>0.10518518518518521</v>
      </c>
      <c r="M62" s="98" t="s">
        <v>26</v>
      </c>
      <c r="N62" s="98">
        <v>74</v>
      </c>
      <c r="O62" s="98">
        <v>0.70000000000000018</v>
      </c>
      <c r="P62" s="98">
        <v>0.14675052410901473</v>
      </c>
      <c r="Q62" s="98">
        <v>1.2962962962962966E-2</v>
      </c>
      <c r="R62" s="98">
        <v>2.5925925925925932E-2</v>
      </c>
      <c r="S62" s="98">
        <v>2.38</v>
      </c>
      <c r="T62" s="98">
        <v>0.43510054844606949</v>
      </c>
      <c r="U62" s="98">
        <v>8.8148148148148142E-2</v>
      </c>
    </row>
    <row r="63" spans="2:21" ht="15.75" customHeight="1">
      <c r="B63" s="97">
        <v>153</v>
      </c>
      <c r="C63" s="100">
        <v>2.7800000000000002</v>
      </c>
      <c r="D63" s="100">
        <v>0.60566448801742923</v>
      </c>
      <c r="E63" s="100">
        <v>0.10296296296296298</v>
      </c>
      <c r="N63" s="98">
        <v>78</v>
      </c>
      <c r="O63" s="98">
        <v>0.32999999999999918</v>
      </c>
      <c r="P63" s="98">
        <v>6.9767441860464935E-2</v>
      </c>
      <c r="Q63" s="98">
        <v>6.1111111111110958E-3</v>
      </c>
      <c r="R63" s="98">
        <v>1.2222222222222192E-2</v>
      </c>
      <c r="S63" s="98">
        <v>2.7</v>
      </c>
      <c r="T63" s="98">
        <v>0.53359683794466406</v>
      </c>
      <c r="U63" s="98">
        <v>0.1</v>
      </c>
    </row>
    <row r="64" spans="2:21" ht="15.75" customHeight="1">
      <c r="B64" s="96">
        <v>18</v>
      </c>
      <c r="C64" s="102">
        <f t="shared" ref="C64:E64" si="13">AVERAGE(C46:C63)</f>
        <v>2.7566666666666668</v>
      </c>
      <c r="D64" s="102">
        <f t="shared" si="13"/>
        <v>0.58633858520892101</v>
      </c>
      <c r="E64" s="102">
        <f t="shared" si="13"/>
        <v>0.10209876543209878</v>
      </c>
      <c r="N64" s="98">
        <v>79</v>
      </c>
      <c r="O64" s="98">
        <v>0.42999999999999972</v>
      </c>
      <c r="P64" s="98">
        <v>9.0526315789473621E-2</v>
      </c>
      <c r="Q64" s="98">
        <v>7.9629629629629581E-3</v>
      </c>
      <c r="R64" s="98">
        <v>1.5925925925925916E-2</v>
      </c>
      <c r="S64" s="98">
        <v>2.63</v>
      </c>
      <c r="T64" s="98">
        <v>0.50772200772200771</v>
      </c>
      <c r="U64" s="98">
        <v>9.7407407407407401E-2</v>
      </c>
    </row>
    <row r="65" spans="1:21" ht="15.75" customHeight="1">
      <c r="A65" s="98" t="s">
        <v>26</v>
      </c>
      <c r="B65" s="98">
        <v>75</v>
      </c>
      <c r="C65" s="100">
        <v>2.8200000000000003</v>
      </c>
      <c r="D65" s="100">
        <v>0.59368421052631581</v>
      </c>
      <c r="E65" s="100">
        <v>0.10444444444444445</v>
      </c>
      <c r="N65" s="98">
        <v>84</v>
      </c>
      <c r="O65" s="98">
        <v>0.29999999999999982</v>
      </c>
      <c r="P65" s="98">
        <v>6.1983471074380132E-2</v>
      </c>
      <c r="Q65" s="98">
        <v>5.5555555555555523E-3</v>
      </c>
      <c r="R65" s="98">
        <v>1.1111111111111105E-2</v>
      </c>
      <c r="S65" s="98">
        <v>2.62</v>
      </c>
      <c r="T65" s="98">
        <v>0.50972762645914405</v>
      </c>
      <c r="U65" s="98">
        <v>9.7037037037037047E-2</v>
      </c>
    </row>
    <row r="66" spans="1:21" ht="15.75" customHeight="1">
      <c r="B66" s="98">
        <v>76</v>
      </c>
      <c r="C66" s="100">
        <v>2.7300000000000004</v>
      </c>
      <c r="D66" s="100">
        <v>0.55942622950819687</v>
      </c>
      <c r="E66" s="100">
        <v>0.10111111111111112</v>
      </c>
      <c r="N66" s="98">
        <v>87</v>
      </c>
      <c r="O66" s="98">
        <v>0.35000000000000053</v>
      </c>
      <c r="P66" s="98">
        <v>7.0993914807302341E-2</v>
      </c>
      <c r="Q66" s="98">
        <v>6.4814814814814917E-3</v>
      </c>
      <c r="R66" s="98">
        <v>1.2962962962962983E-2</v>
      </c>
      <c r="S66" s="98">
        <v>2.6099999999999994</v>
      </c>
      <c r="T66" s="98">
        <v>0.49431818181818171</v>
      </c>
      <c r="U66" s="98">
        <v>9.6666666666666651E-2</v>
      </c>
    </row>
    <row r="67" spans="1:21" ht="15.75" customHeight="1">
      <c r="B67" s="98">
        <v>77</v>
      </c>
      <c r="C67" s="100">
        <v>2.87</v>
      </c>
      <c r="D67" s="100">
        <v>0.61587982832618027</v>
      </c>
      <c r="E67" s="100">
        <v>0.10629629629629631</v>
      </c>
      <c r="N67" s="98">
        <v>88</v>
      </c>
      <c r="O67" s="98">
        <v>0.28000000000000025</v>
      </c>
      <c r="P67" s="98">
        <v>5.5009823182711248E-2</v>
      </c>
      <c r="Q67" s="98">
        <v>5.1851851851851894E-3</v>
      </c>
      <c r="R67" s="98">
        <v>1.0370370370370379E-2</v>
      </c>
      <c r="S67" s="98">
        <v>2.8</v>
      </c>
      <c r="T67" s="98">
        <v>0.52141527001862198</v>
      </c>
      <c r="U67" s="98">
        <v>0.1037037037037037</v>
      </c>
    </row>
    <row r="68" spans="1:21" ht="15.75" customHeight="1">
      <c r="B68" s="98">
        <v>80</v>
      </c>
      <c r="C68" s="100">
        <v>2.95</v>
      </c>
      <c r="D68" s="100">
        <v>0.61076604554865432</v>
      </c>
      <c r="E68" s="100">
        <v>0.10925925925925926</v>
      </c>
      <c r="N68" s="98">
        <v>89</v>
      </c>
      <c r="O68" s="98">
        <v>0.30999999999999961</v>
      </c>
      <c r="P68" s="98">
        <v>6.1630218687872683E-2</v>
      </c>
      <c r="Q68" s="98">
        <v>5.7407407407407338E-3</v>
      </c>
      <c r="R68" s="98">
        <v>1.1481481481481468E-2</v>
      </c>
      <c r="S68" s="98">
        <v>2.870000000000001</v>
      </c>
      <c r="T68" s="98">
        <v>0.53745318352059945</v>
      </c>
      <c r="U68" s="98">
        <v>0.10629629629629633</v>
      </c>
    </row>
    <row r="69" spans="1:21" ht="15.75" customHeight="1">
      <c r="B69" s="98">
        <v>81</v>
      </c>
      <c r="C69" s="100">
        <v>2.83</v>
      </c>
      <c r="D69" s="100">
        <v>0.59205020920502094</v>
      </c>
      <c r="E69" s="100">
        <v>0.10481481481481482</v>
      </c>
      <c r="N69" s="98">
        <v>93</v>
      </c>
      <c r="O69" s="98">
        <v>0.47000000000000064</v>
      </c>
      <c r="P69" s="98">
        <v>0.10217391304347841</v>
      </c>
      <c r="Q69" s="98">
        <v>8.7037037037037152E-3</v>
      </c>
      <c r="R69" s="98">
        <v>1.740740740740743E-2</v>
      </c>
      <c r="S69" s="98">
        <v>2.6899999999999995</v>
      </c>
      <c r="T69" s="98">
        <v>0.53057199211045347</v>
      </c>
      <c r="U69" s="98">
        <v>9.962962962962961E-2</v>
      </c>
    </row>
    <row r="70" spans="1:21" ht="15.75" customHeight="1">
      <c r="B70" s="98">
        <v>82</v>
      </c>
      <c r="C70" s="100">
        <v>2.9700000000000006</v>
      </c>
      <c r="D70" s="100">
        <v>0.60243407707910768</v>
      </c>
      <c r="E70" s="100">
        <v>0.11000000000000003</v>
      </c>
      <c r="N70" s="98">
        <v>94</v>
      </c>
      <c r="O70" s="98">
        <v>0.57000000000000028</v>
      </c>
      <c r="P70" s="98">
        <v>0.12179487179487186</v>
      </c>
      <c r="Q70" s="98">
        <v>1.0555555555555561E-2</v>
      </c>
      <c r="R70" s="98">
        <v>2.1111111111111122E-2</v>
      </c>
      <c r="S70" s="98">
        <v>2.5700000000000003</v>
      </c>
      <c r="T70" s="98">
        <v>0.48952380952380958</v>
      </c>
      <c r="U70" s="98">
        <v>9.5185185185185192E-2</v>
      </c>
    </row>
    <row r="71" spans="1:21" ht="15.75" customHeight="1">
      <c r="B71" s="98">
        <v>83</v>
      </c>
      <c r="C71" s="100">
        <v>2.9399999999999995</v>
      </c>
      <c r="D71" s="100">
        <v>0.60493827160493818</v>
      </c>
      <c r="E71" s="100">
        <v>0.10888888888888887</v>
      </c>
      <c r="N71" s="98">
        <v>98</v>
      </c>
      <c r="O71" s="98">
        <v>0.20999999999999996</v>
      </c>
      <c r="P71" s="98">
        <v>4.4303797468354424E-2</v>
      </c>
      <c r="Q71" s="98">
        <v>3.8888888888888883E-3</v>
      </c>
      <c r="R71" s="98">
        <v>7.7777777777777767E-3</v>
      </c>
      <c r="S71" s="98">
        <v>2.83</v>
      </c>
      <c r="T71" s="98">
        <v>0.57171717171717173</v>
      </c>
      <c r="U71" s="98">
        <v>0.10481481481481482</v>
      </c>
    </row>
    <row r="72" spans="1:21" ht="15.75" customHeight="1">
      <c r="B72" s="98">
        <v>85</v>
      </c>
      <c r="C72" s="100">
        <v>2.9800000000000004</v>
      </c>
      <c r="D72" s="100">
        <v>0.64362850971922259</v>
      </c>
      <c r="E72" s="100">
        <v>0.11037037037037038</v>
      </c>
      <c r="N72" s="98">
        <v>155</v>
      </c>
      <c r="O72" s="98">
        <v>1.92</v>
      </c>
      <c r="P72" s="98">
        <v>0.4324324324324324</v>
      </c>
      <c r="Q72" s="98">
        <v>3.5555555555555556E-2</v>
      </c>
      <c r="R72" s="98">
        <v>7.1111111111111111E-2</v>
      </c>
      <c r="S72" s="98">
        <v>1.5499999999999998</v>
      </c>
      <c r="T72" s="98">
        <v>0.24371069182389934</v>
      </c>
      <c r="U72" s="98">
        <v>5.74074074074074E-2</v>
      </c>
    </row>
    <row r="73" spans="1:21" ht="15.75" customHeight="1">
      <c r="B73" s="98">
        <v>86</v>
      </c>
      <c r="C73" s="100">
        <v>2.92</v>
      </c>
      <c r="D73" s="100">
        <v>0.60580912863070535</v>
      </c>
      <c r="E73" s="100">
        <v>0.10814814814814815</v>
      </c>
      <c r="N73" s="98">
        <v>157</v>
      </c>
      <c r="O73" s="98">
        <v>0.12999999999999989</v>
      </c>
      <c r="P73" s="98">
        <v>2.8322440087145948E-2</v>
      </c>
      <c r="Q73" s="98">
        <v>2.4074074074074054E-3</v>
      </c>
      <c r="R73" s="98">
        <v>4.8148148148148108E-3</v>
      </c>
      <c r="S73" s="98">
        <v>2.8900000000000006</v>
      </c>
      <c r="T73" s="98">
        <v>0.61228813559322048</v>
      </c>
      <c r="U73" s="98">
        <v>0.10703703703703706</v>
      </c>
    </row>
    <row r="74" spans="1:21" ht="15.75" customHeight="1">
      <c r="B74" s="98">
        <v>90</v>
      </c>
      <c r="C74" s="100">
        <v>3.1900000000000013</v>
      </c>
      <c r="D74" s="100">
        <v>0.63545816733067761</v>
      </c>
      <c r="E74" s="100">
        <v>0.1181481481481482</v>
      </c>
      <c r="N74" s="98">
        <v>158</v>
      </c>
      <c r="O74" s="98">
        <v>0.25999999999999979</v>
      </c>
      <c r="P74" s="98">
        <v>5.8035714285714232E-2</v>
      </c>
      <c r="Q74" s="98">
        <v>4.8148148148148108E-3</v>
      </c>
      <c r="R74" s="98">
        <v>9.6296296296296217E-3</v>
      </c>
      <c r="S74" s="98">
        <v>2.8</v>
      </c>
      <c r="T74" s="98">
        <v>0.59071729957805896</v>
      </c>
      <c r="U74" s="98">
        <v>0.1037037037037037</v>
      </c>
    </row>
    <row r="75" spans="1:21" ht="15.75" customHeight="1">
      <c r="B75" s="98">
        <v>91</v>
      </c>
      <c r="C75" s="100">
        <v>3.0700000000000003</v>
      </c>
      <c r="D75" s="100">
        <v>0.64631578947368429</v>
      </c>
      <c r="E75" s="100">
        <v>0.11370370370370371</v>
      </c>
      <c r="N75" s="98">
        <v>161</v>
      </c>
      <c r="O75" s="98">
        <v>0.30999999999999961</v>
      </c>
      <c r="P75" s="98">
        <v>7.2429906542055986E-2</v>
      </c>
      <c r="Q75" s="98">
        <v>5.7407407407407338E-3</v>
      </c>
      <c r="R75" s="98">
        <v>1.1481481481481468E-2</v>
      </c>
      <c r="S75" s="98">
        <v>2.83</v>
      </c>
      <c r="T75" s="98">
        <v>0.6165577342047931</v>
      </c>
      <c r="U75" s="98">
        <v>0.10481481481481482</v>
      </c>
    </row>
    <row r="76" spans="1:21" ht="15.75" customHeight="1">
      <c r="B76" s="98">
        <v>92</v>
      </c>
      <c r="C76" s="100">
        <v>3.08</v>
      </c>
      <c r="D76" s="100">
        <v>0.66236559139784945</v>
      </c>
      <c r="E76" s="100">
        <v>0.11407407407407408</v>
      </c>
      <c r="N76" s="98">
        <v>165</v>
      </c>
      <c r="O76" s="98">
        <v>0.28000000000000025</v>
      </c>
      <c r="P76" s="98">
        <v>6.0085836909871293E-2</v>
      </c>
      <c r="Q76" s="98">
        <v>5.1851851851851894E-3</v>
      </c>
      <c r="R76" s="98">
        <v>1.0370370370370379E-2</v>
      </c>
      <c r="S76" s="98">
        <v>2.76</v>
      </c>
      <c r="T76" s="98">
        <v>0.55870445344129549</v>
      </c>
      <c r="U76" s="98">
        <v>0.10222222222222221</v>
      </c>
    </row>
    <row r="77" spans="1:21" ht="15.75" customHeight="1">
      <c r="B77" s="98">
        <v>95</v>
      </c>
      <c r="C77" s="100">
        <v>3.1599999999999993</v>
      </c>
      <c r="D77" s="100">
        <v>0.6737739872068228</v>
      </c>
      <c r="E77" s="100">
        <v>0.11703703703703701</v>
      </c>
      <c r="N77" s="98">
        <v>167</v>
      </c>
      <c r="O77" s="98">
        <v>0.5</v>
      </c>
      <c r="P77" s="98">
        <v>0.1075268817204301</v>
      </c>
      <c r="Q77" s="98">
        <v>9.2592592592592587E-3</v>
      </c>
      <c r="R77" s="98">
        <v>1.8518518518518517E-2</v>
      </c>
      <c r="S77" s="98">
        <v>2.59</v>
      </c>
      <c r="T77" s="98">
        <v>0.50291262135922321</v>
      </c>
      <c r="U77" s="98">
        <v>9.5925925925925914E-2</v>
      </c>
    </row>
    <row r="78" spans="1:21" ht="15.75" customHeight="1">
      <c r="B78" s="98">
        <v>96</v>
      </c>
      <c r="C78" s="100">
        <v>3.1800000000000006</v>
      </c>
      <c r="D78" s="100">
        <v>0.65163934426229519</v>
      </c>
      <c r="E78" s="100">
        <v>0.1177777777777778</v>
      </c>
      <c r="N78" s="98">
        <v>168</v>
      </c>
      <c r="O78" s="98">
        <v>0.21999999999999975</v>
      </c>
      <c r="P78" s="98">
        <v>4.8997772828507737E-2</v>
      </c>
      <c r="Q78" s="98">
        <v>4.0740740740740694E-3</v>
      </c>
      <c r="R78" s="98">
        <v>8.1481481481481387E-3</v>
      </c>
      <c r="S78" s="98">
        <v>2.3499999999999996</v>
      </c>
      <c r="T78" s="98">
        <v>0.49893842887473455</v>
      </c>
      <c r="U78" s="98">
        <v>8.7037037037037024E-2</v>
      </c>
    </row>
    <row r="79" spans="1:21" ht="15.75" customHeight="1">
      <c r="B79" s="98">
        <v>97</v>
      </c>
      <c r="C79" s="100">
        <v>3.16</v>
      </c>
      <c r="D79" s="100">
        <v>0.65970772442588732</v>
      </c>
      <c r="E79" s="100">
        <v>0.11703703703703704</v>
      </c>
      <c r="N79" s="98">
        <v>169</v>
      </c>
      <c r="O79" s="98">
        <v>0.53000000000000025</v>
      </c>
      <c r="P79" s="98">
        <v>0.1132478632478633</v>
      </c>
      <c r="Q79" s="98">
        <v>9.8148148148148196E-3</v>
      </c>
      <c r="R79" s="98">
        <v>1.9629629629629639E-2</v>
      </c>
      <c r="S79" s="98">
        <v>2.6500000000000004</v>
      </c>
      <c r="T79" s="98">
        <v>0.50863723608445299</v>
      </c>
      <c r="U79" s="98">
        <v>9.8148148148148165E-2</v>
      </c>
    </row>
    <row r="80" spans="1:21" ht="15.75" customHeight="1">
      <c r="B80" s="97">
        <v>154</v>
      </c>
      <c r="C80" s="100">
        <v>3.1399999999999997</v>
      </c>
      <c r="D80" s="100">
        <v>0.68708971553610487</v>
      </c>
      <c r="E80" s="100">
        <v>0.11629629629629629</v>
      </c>
      <c r="N80" s="98">
        <v>174</v>
      </c>
      <c r="O80" s="98">
        <v>0.54</v>
      </c>
      <c r="P80" s="98">
        <v>0.11946902654867259</v>
      </c>
      <c r="Q80" s="98">
        <v>0.01</v>
      </c>
      <c r="R80" s="98">
        <v>0.02</v>
      </c>
      <c r="S80" s="98">
        <v>2.5100000000000007</v>
      </c>
      <c r="T80" s="98">
        <v>0.49604743083003972</v>
      </c>
      <c r="U80" s="98">
        <v>9.2962962962962983E-2</v>
      </c>
    </row>
    <row r="81" spans="2:21" ht="15.75" customHeight="1">
      <c r="B81" s="98">
        <v>156</v>
      </c>
      <c r="C81" s="100">
        <v>3.0300000000000002</v>
      </c>
      <c r="D81" s="100">
        <v>0.68552036199095034</v>
      </c>
      <c r="E81" s="100">
        <v>0.11222222222222224</v>
      </c>
      <c r="N81" s="96">
        <v>19</v>
      </c>
      <c r="O81" s="102">
        <f t="shared" ref="O81:U81" si="14">AVERAGE(O62:O80)</f>
        <v>0.45473684210526316</v>
      </c>
      <c r="P81" s="102">
        <f t="shared" si="14"/>
        <v>9.8183271916874634E-2</v>
      </c>
      <c r="Q81" s="102">
        <f t="shared" si="14"/>
        <v>8.4210526315789454E-3</v>
      </c>
      <c r="R81" s="102">
        <f t="shared" si="14"/>
        <v>1.6842105263157891E-2</v>
      </c>
      <c r="S81" s="102">
        <f t="shared" si="14"/>
        <v>2.6121052631578943</v>
      </c>
      <c r="T81" s="102">
        <f t="shared" si="14"/>
        <v>0.51366635058265475</v>
      </c>
      <c r="U81" s="102">
        <f t="shared" si="14"/>
        <v>9.6744639376218314E-2</v>
      </c>
    </row>
    <row r="82" spans="2:21" ht="15.75" customHeight="1">
      <c r="B82" s="98">
        <v>160</v>
      </c>
      <c r="C82" s="100">
        <v>3.0999999999999996</v>
      </c>
      <c r="D82" s="100">
        <v>0.71100917431192645</v>
      </c>
      <c r="E82" s="100">
        <v>0.1148148148148148</v>
      </c>
    </row>
    <row r="83" spans="2:21" ht="15.75" customHeight="1">
      <c r="B83" s="98">
        <v>166</v>
      </c>
      <c r="C83" s="100">
        <v>3.08</v>
      </c>
      <c r="D83" s="100">
        <v>0.67248908296943233</v>
      </c>
      <c r="E83" s="100">
        <v>0.11407407407407408</v>
      </c>
    </row>
    <row r="84" spans="2:21" ht="15.75" customHeight="1">
      <c r="B84" s="98">
        <v>171</v>
      </c>
      <c r="C84" s="100">
        <v>3.1100000000000003</v>
      </c>
      <c r="D84" s="100">
        <v>0.69574944071588374</v>
      </c>
      <c r="E84" s="100">
        <v>0.1151851851851852</v>
      </c>
    </row>
    <row r="85" spans="2:21" ht="15.75" customHeight="1">
      <c r="B85" s="98">
        <v>172</v>
      </c>
      <c r="C85" s="100">
        <v>3.12</v>
      </c>
      <c r="D85" s="100">
        <v>0.67678958785249455</v>
      </c>
      <c r="E85" s="100">
        <v>0.11555555555555556</v>
      </c>
    </row>
    <row r="86" spans="2:21" ht="15.75" customHeight="1">
      <c r="B86" s="98">
        <v>175</v>
      </c>
      <c r="C86" s="100">
        <v>3.0600000000000005</v>
      </c>
      <c r="D86" s="100">
        <v>0.69074492099322815</v>
      </c>
      <c r="E86" s="100">
        <v>0.11333333333333336</v>
      </c>
    </row>
    <row r="87" spans="2:21" ht="15.75" customHeight="1">
      <c r="B87" s="96">
        <v>22</v>
      </c>
      <c r="C87" s="102">
        <f t="shared" ref="C87:E87" si="15">AVERAGE(C65:C86)</f>
        <v>3.022272727272727</v>
      </c>
      <c r="D87" s="102">
        <f t="shared" si="15"/>
        <v>0.64442133630070819</v>
      </c>
      <c r="E87" s="102">
        <f t="shared" si="15"/>
        <v>0.11193602693602692</v>
      </c>
    </row>
    <row r="88" spans="2:21" ht="15.75" customHeight="1"/>
    <row r="89" spans="2:21" ht="15.75" customHeight="1"/>
    <row r="90" spans="2:21" ht="15.75" customHeight="1"/>
    <row r="91" spans="2:21" ht="15.75" customHeight="1"/>
    <row r="92" spans="2:21" ht="15.75" customHeight="1"/>
    <row r="93" spans="2:21" ht="15.75" customHeight="1"/>
    <row r="94" spans="2:21" ht="15.75" customHeight="1"/>
    <row r="95" spans="2:21" ht="15.75" customHeight="1"/>
    <row r="96" spans="2:2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75"/>
  <sheetViews>
    <sheetView workbookViewId="0"/>
  </sheetViews>
  <sheetFormatPr defaultColWidth="14.453125" defaultRowHeight="15" customHeight="1"/>
  <cols>
    <col min="1" max="4" width="10" customWidth="1"/>
    <col min="5" max="5" width="11.7265625" customWidth="1"/>
    <col min="6" max="6" width="12.08984375" customWidth="1"/>
    <col min="7" max="7" width="13.08984375" customWidth="1"/>
    <col min="8" max="8" width="10" customWidth="1"/>
    <col min="9" max="26" width="14" customWidth="1"/>
  </cols>
  <sheetData>
    <row r="1" spans="1:8" ht="14.5">
      <c r="A1" s="1" t="s">
        <v>102</v>
      </c>
      <c r="B1" s="2" t="s">
        <v>103</v>
      </c>
      <c r="C1" s="37" t="s">
        <v>3</v>
      </c>
      <c r="D1" s="37" t="s">
        <v>104</v>
      </c>
      <c r="E1" s="37" t="s">
        <v>105</v>
      </c>
      <c r="F1" s="37" t="s">
        <v>106</v>
      </c>
      <c r="G1" s="104" t="s">
        <v>107</v>
      </c>
      <c r="H1" s="35"/>
    </row>
    <row r="2" spans="1:8" ht="15.5">
      <c r="A2" s="6" t="s">
        <v>108</v>
      </c>
      <c r="B2" s="6" t="s">
        <v>9</v>
      </c>
      <c r="C2" s="105">
        <v>2</v>
      </c>
      <c r="D2" s="8">
        <v>40</v>
      </c>
      <c r="E2" s="8">
        <v>169</v>
      </c>
      <c r="F2" s="8">
        <v>30.29</v>
      </c>
      <c r="G2" s="8">
        <v>30.4</v>
      </c>
      <c r="H2" s="80"/>
    </row>
    <row r="3" spans="1:8" ht="15.5">
      <c r="A3" s="6"/>
      <c r="B3" s="8"/>
      <c r="C3" s="72">
        <v>6</v>
      </c>
      <c r="D3" s="10">
        <v>41.3</v>
      </c>
      <c r="E3" s="10">
        <v>168</v>
      </c>
      <c r="F3" s="10">
        <v>30.72</v>
      </c>
      <c r="G3" s="10">
        <v>30.81</v>
      </c>
      <c r="H3" s="81"/>
    </row>
    <row r="4" spans="1:8" ht="15.5">
      <c r="A4" s="6"/>
      <c r="B4" s="98" t="s">
        <v>26</v>
      </c>
      <c r="C4" s="79">
        <v>38</v>
      </c>
      <c r="D4" s="10">
        <v>46</v>
      </c>
      <c r="E4" s="10">
        <v>168</v>
      </c>
      <c r="F4" s="10">
        <v>31.1</v>
      </c>
      <c r="G4" s="10">
        <v>30.75</v>
      </c>
      <c r="H4" s="11"/>
    </row>
    <row r="5" spans="1:8" ht="15.5">
      <c r="A5" s="6"/>
      <c r="C5" s="79">
        <v>45</v>
      </c>
      <c r="D5" s="10">
        <v>47.1</v>
      </c>
      <c r="E5" s="10">
        <v>168</v>
      </c>
      <c r="F5" s="10">
        <v>30.55</v>
      </c>
      <c r="G5" s="10">
        <v>32.799999999999997</v>
      </c>
      <c r="H5" s="82"/>
    </row>
    <row r="6" spans="1:8" ht="15.5">
      <c r="A6" s="6"/>
      <c r="B6" s="13" t="s">
        <v>17</v>
      </c>
      <c r="C6" s="77">
        <v>68</v>
      </c>
      <c r="D6" s="10">
        <v>35.5</v>
      </c>
      <c r="E6" s="10">
        <v>170</v>
      </c>
      <c r="F6" s="10">
        <v>30.74</v>
      </c>
      <c r="G6" s="10">
        <v>31.06</v>
      </c>
    </row>
    <row r="7" spans="1:8" ht="15.5">
      <c r="A7" s="6"/>
      <c r="B7" s="8"/>
      <c r="C7" s="77">
        <v>71</v>
      </c>
      <c r="D7" s="10">
        <v>36.1</v>
      </c>
      <c r="E7" s="10">
        <v>169</v>
      </c>
      <c r="F7" s="10">
        <v>30.89</v>
      </c>
      <c r="G7" s="10">
        <v>31.19</v>
      </c>
    </row>
    <row r="8" spans="1:8" ht="15.5">
      <c r="A8" s="6"/>
      <c r="B8" s="13" t="s">
        <v>23</v>
      </c>
      <c r="C8" s="78">
        <v>82</v>
      </c>
      <c r="D8" s="10">
        <v>44.8</v>
      </c>
      <c r="E8" s="10">
        <v>168</v>
      </c>
      <c r="F8" s="10">
        <v>30.75</v>
      </c>
      <c r="G8" s="10">
        <v>30.7</v>
      </c>
    </row>
    <row r="9" spans="1:8" ht="15.5">
      <c r="A9" s="8"/>
      <c r="B9" s="8"/>
      <c r="C9" s="78">
        <v>85</v>
      </c>
      <c r="D9" s="10">
        <v>45.6</v>
      </c>
      <c r="E9" s="10">
        <v>169</v>
      </c>
      <c r="F9" s="10">
        <v>30.85</v>
      </c>
      <c r="G9" s="10">
        <v>31.4</v>
      </c>
    </row>
    <row r="10" spans="1:8" ht="15.5">
      <c r="A10" s="13" t="s">
        <v>43</v>
      </c>
      <c r="B10" s="19" t="s">
        <v>9</v>
      </c>
      <c r="C10" s="106">
        <v>1</v>
      </c>
      <c r="D10" s="10">
        <v>41.1</v>
      </c>
      <c r="E10" s="10">
        <v>169</v>
      </c>
      <c r="F10" s="10">
        <v>30.45</v>
      </c>
      <c r="G10" s="10">
        <v>30.71</v>
      </c>
    </row>
    <row r="11" spans="1:8" ht="15.5">
      <c r="A11" s="6"/>
      <c r="B11" s="20"/>
      <c r="C11" s="106">
        <v>8</v>
      </c>
      <c r="D11" s="10">
        <v>41.3</v>
      </c>
      <c r="E11" s="10">
        <v>170</v>
      </c>
      <c r="F11" s="10">
        <v>30.71</v>
      </c>
      <c r="G11" s="10">
        <v>31.27</v>
      </c>
    </row>
    <row r="12" spans="1:8" ht="15.5">
      <c r="A12" s="6"/>
      <c r="B12" s="20"/>
      <c r="C12" s="106">
        <v>58</v>
      </c>
      <c r="D12" s="10">
        <v>39</v>
      </c>
      <c r="E12" s="10">
        <v>170</v>
      </c>
      <c r="F12" s="10">
        <v>38.07</v>
      </c>
      <c r="G12" s="10">
        <v>30.93</v>
      </c>
    </row>
    <row r="13" spans="1:8" ht="15.5">
      <c r="A13" s="6"/>
      <c r="B13" s="20"/>
      <c r="C13" s="106">
        <v>63</v>
      </c>
      <c r="D13" s="10">
        <v>39.9</v>
      </c>
      <c r="E13" s="10">
        <v>170</v>
      </c>
      <c r="F13" s="10">
        <v>31.1</v>
      </c>
      <c r="G13" s="10">
        <v>31</v>
      </c>
    </row>
    <row r="14" spans="1:8" ht="15.5">
      <c r="A14" s="6"/>
      <c r="B14" s="21"/>
      <c r="C14" s="106">
        <v>65</v>
      </c>
      <c r="D14" s="10">
        <v>40.5</v>
      </c>
      <c r="E14" s="10">
        <v>170</v>
      </c>
      <c r="F14" s="10">
        <v>30.58</v>
      </c>
      <c r="G14" s="10">
        <v>30.27</v>
      </c>
    </row>
    <row r="15" spans="1:8" ht="15.5">
      <c r="A15" s="6"/>
      <c r="B15" s="19" t="s">
        <v>17</v>
      </c>
      <c r="C15" s="107">
        <v>11</v>
      </c>
      <c r="D15" s="10">
        <v>33.4</v>
      </c>
      <c r="E15" s="10">
        <v>170</v>
      </c>
      <c r="F15" s="10">
        <v>30.66</v>
      </c>
      <c r="G15" s="10">
        <v>30.11</v>
      </c>
    </row>
    <row r="16" spans="1:8" ht="15.5">
      <c r="A16" s="6"/>
      <c r="B16" s="20"/>
      <c r="C16" s="107">
        <v>19</v>
      </c>
      <c r="D16" s="10">
        <v>34.6</v>
      </c>
      <c r="E16" s="10">
        <v>169</v>
      </c>
      <c r="F16" s="10">
        <v>30.61</v>
      </c>
      <c r="G16" s="10">
        <v>31.7</v>
      </c>
    </row>
    <row r="17" spans="1:7" ht="15.5">
      <c r="A17" s="6"/>
      <c r="B17" s="20"/>
      <c r="C17" s="107">
        <v>69</v>
      </c>
      <c r="D17" s="108">
        <v>35</v>
      </c>
      <c r="E17" s="10">
        <v>169</v>
      </c>
      <c r="F17" s="10">
        <v>31.09</v>
      </c>
      <c r="G17" s="10">
        <v>31.22</v>
      </c>
    </row>
    <row r="18" spans="1:7" ht="15.5">
      <c r="A18" s="6"/>
      <c r="B18" s="20"/>
      <c r="C18" s="107">
        <v>73</v>
      </c>
      <c r="D18" s="108">
        <v>36</v>
      </c>
      <c r="E18" s="10">
        <v>169</v>
      </c>
      <c r="F18" s="10">
        <v>31.15</v>
      </c>
      <c r="G18" s="10">
        <v>31.53</v>
      </c>
    </row>
    <row r="19" spans="1:7" ht="15.5">
      <c r="A19" s="6"/>
      <c r="B19" s="21"/>
      <c r="C19" s="107">
        <v>75</v>
      </c>
      <c r="D19" s="10">
        <v>36.1</v>
      </c>
      <c r="E19" s="10">
        <v>170</v>
      </c>
      <c r="F19" s="10">
        <v>31.17</v>
      </c>
      <c r="G19" s="10">
        <v>31.67</v>
      </c>
    </row>
    <row r="20" spans="1:7" ht="15.5">
      <c r="A20" s="6"/>
      <c r="B20" s="19" t="s">
        <v>23</v>
      </c>
      <c r="C20" s="109">
        <v>32</v>
      </c>
      <c r="D20" s="10">
        <v>42.3</v>
      </c>
      <c r="E20" s="10">
        <v>169</v>
      </c>
      <c r="F20" s="10">
        <v>30.9</v>
      </c>
      <c r="G20" s="10">
        <v>31.64</v>
      </c>
    </row>
    <row r="21" spans="1:7" ht="15.75" customHeight="1">
      <c r="A21" s="6"/>
      <c r="B21" s="20"/>
      <c r="C21" s="109">
        <v>34</v>
      </c>
      <c r="D21" s="10">
        <v>42.5</v>
      </c>
      <c r="E21" s="10">
        <v>170</v>
      </c>
      <c r="F21" s="10">
        <v>31.11</v>
      </c>
      <c r="G21" s="10">
        <v>31.98</v>
      </c>
    </row>
    <row r="22" spans="1:7" ht="15.75" customHeight="1">
      <c r="A22" s="6"/>
      <c r="B22" s="20"/>
      <c r="C22" s="109">
        <v>78</v>
      </c>
      <c r="D22" s="10">
        <v>44.5</v>
      </c>
      <c r="E22" s="10">
        <v>169</v>
      </c>
      <c r="F22" s="10">
        <v>30.95</v>
      </c>
      <c r="G22" s="10">
        <v>31.68</v>
      </c>
    </row>
    <row r="23" spans="1:7" ht="15.75" customHeight="1">
      <c r="A23" s="6"/>
      <c r="B23" s="20"/>
      <c r="C23" s="109">
        <v>84</v>
      </c>
      <c r="D23" s="10">
        <v>45</v>
      </c>
      <c r="E23" s="10">
        <v>169</v>
      </c>
      <c r="F23" s="10">
        <v>30.79</v>
      </c>
      <c r="G23" s="10">
        <v>31.43</v>
      </c>
    </row>
    <row r="24" spans="1:7" ht="15.75" customHeight="1">
      <c r="A24" s="6"/>
      <c r="B24" s="21"/>
      <c r="C24" s="109">
        <v>86</v>
      </c>
      <c r="D24" s="10">
        <v>45.7</v>
      </c>
      <c r="E24" s="10">
        <v>169</v>
      </c>
      <c r="F24" s="10">
        <v>30.69</v>
      </c>
      <c r="G24" s="10">
        <v>31.9</v>
      </c>
    </row>
    <row r="25" spans="1:7" ht="15.75" customHeight="1">
      <c r="A25" s="6"/>
      <c r="B25" s="13" t="s">
        <v>26</v>
      </c>
      <c r="C25" s="110">
        <v>37</v>
      </c>
      <c r="D25" s="10">
        <v>44.5</v>
      </c>
      <c r="E25" s="10">
        <v>170</v>
      </c>
      <c r="F25" s="10">
        <v>30.97</v>
      </c>
      <c r="G25" s="10">
        <v>31.29</v>
      </c>
    </row>
    <row r="26" spans="1:7" ht="15.75" customHeight="1">
      <c r="A26" s="6"/>
      <c r="B26" s="6"/>
      <c r="C26" s="110">
        <v>43</v>
      </c>
      <c r="D26" s="10">
        <v>44.7</v>
      </c>
      <c r="E26" s="98" t="s">
        <v>109</v>
      </c>
      <c r="F26" s="10" t="s">
        <v>109</v>
      </c>
      <c r="G26" s="10" t="s">
        <v>109</v>
      </c>
    </row>
    <row r="27" spans="1:7" ht="15.75" customHeight="1">
      <c r="A27" s="6"/>
      <c r="B27" s="6"/>
      <c r="C27" s="110">
        <v>88</v>
      </c>
      <c r="D27" s="10">
        <v>46.2</v>
      </c>
      <c r="E27" s="10">
        <v>171</v>
      </c>
      <c r="F27" s="10">
        <v>31.12</v>
      </c>
      <c r="G27" s="10">
        <v>31.69</v>
      </c>
    </row>
    <row r="28" spans="1:7" ht="15.75" customHeight="1">
      <c r="A28" s="6"/>
      <c r="B28" s="6"/>
      <c r="C28" s="110">
        <v>90</v>
      </c>
      <c r="D28" s="10">
        <v>44.7</v>
      </c>
      <c r="E28" s="10">
        <v>170</v>
      </c>
      <c r="F28" s="10">
        <v>31.09</v>
      </c>
      <c r="G28" s="10">
        <v>31.67</v>
      </c>
    </row>
    <row r="29" spans="1:7" ht="15.75" customHeight="1">
      <c r="A29" s="8"/>
      <c r="B29" s="8"/>
      <c r="C29" s="110">
        <v>94</v>
      </c>
      <c r="D29" s="10">
        <v>44.6</v>
      </c>
      <c r="E29" s="10">
        <v>169</v>
      </c>
      <c r="F29" s="10">
        <v>31.12</v>
      </c>
      <c r="G29" s="10">
        <v>30.87</v>
      </c>
    </row>
    <row r="30" spans="1:7" ht="15.75" customHeight="1">
      <c r="A30" s="13" t="s">
        <v>110</v>
      </c>
      <c r="B30" s="13" t="s">
        <v>17</v>
      </c>
      <c r="C30" s="111">
        <v>13</v>
      </c>
      <c r="D30" s="10">
        <v>21.3</v>
      </c>
      <c r="E30" s="10">
        <v>169</v>
      </c>
      <c r="F30" s="10">
        <v>30.3</v>
      </c>
      <c r="G30" s="112">
        <v>30.4</v>
      </c>
    </row>
    <row r="31" spans="1:7" ht="15.75" customHeight="1">
      <c r="A31" s="6"/>
      <c r="B31" s="6"/>
      <c r="C31" s="111">
        <v>17</v>
      </c>
      <c r="D31" s="10">
        <v>21.9</v>
      </c>
      <c r="E31" s="10">
        <v>168</v>
      </c>
      <c r="F31" s="10">
        <v>30.94</v>
      </c>
      <c r="G31" s="10">
        <v>31.76</v>
      </c>
    </row>
    <row r="32" spans="1:7" ht="15.75" customHeight="1">
      <c r="A32" s="6"/>
      <c r="B32" s="8"/>
      <c r="C32" s="111">
        <v>74</v>
      </c>
      <c r="D32" s="10">
        <v>21.7</v>
      </c>
      <c r="E32" s="10">
        <v>169</v>
      </c>
      <c r="F32" s="10">
        <v>30.84</v>
      </c>
      <c r="G32" s="10">
        <v>30.6</v>
      </c>
    </row>
    <row r="33" spans="1:7" ht="15.75" customHeight="1">
      <c r="A33" s="6"/>
      <c r="B33" s="13" t="s">
        <v>9</v>
      </c>
      <c r="C33" s="111">
        <v>59</v>
      </c>
      <c r="D33" s="10">
        <v>29.1</v>
      </c>
      <c r="E33" s="10">
        <v>170</v>
      </c>
      <c r="F33" s="10">
        <v>30.52</v>
      </c>
      <c r="G33" s="10">
        <v>29.6</v>
      </c>
    </row>
    <row r="34" spans="1:7" ht="15.75" customHeight="1">
      <c r="A34" s="6"/>
      <c r="B34" s="6"/>
      <c r="C34" s="111">
        <v>61</v>
      </c>
      <c r="D34" s="10">
        <v>28.5</v>
      </c>
      <c r="E34" s="10">
        <v>169</v>
      </c>
      <c r="F34" s="10">
        <v>30.52</v>
      </c>
      <c r="G34" s="10">
        <v>29.3</v>
      </c>
    </row>
    <row r="35" spans="1:7" ht="15.75" customHeight="1">
      <c r="A35" s="6"/>
      <c r="B35" s="8"/>
      <c r="C35" s="111">
        <v>67</v>
      </c>
      <c r="D35" s="10">
        <v>27.3</v>
      </c>
      <c r="E35" s="10">
        <v>171</v>
      </c>
      <c r="F35" s="10">
        <v>30.79</v>
      </c>
      <c r="G35" s="10">
        <v>29.71</v>
      </c>
    </row>
    <row r="36" spans="1:7" ht="15.75" customHeight="1">
      <c r="A36" s="6"/>
      <c r="B36" s="13" t="s">
        <v>23</v>
      </c>
      <c r="C36" s="111">
        <v>33</v>
      </c>
      <c r="D36" s="10">
        <v>28.6</v>
      </c>
      <c r="E36" s="10">
        <v>169</v>
      </c>
      <c r="F36" s="10">
        <v>30.51</v>
      </c>
      <c r="G36" s="10">
        <v>30.84</v>
      </c>
    </row>
    <row r="37" spans="1:7" ht="15.75" customHeight="1">
      <c r="A37" s="6"/>
      <c r="B37" s="6"/>
      <c r="C37" s="111">
        <v>79</v>
      </c>
      <c r="D37" s="10">
        <v>30.4</v>
      </c>
      <c r="E37" s="10">
        <v>169</v>
      </c>
      <c r="F37" s="10">
        <v>30.68</v>
      </c>
      <c r="G37" s="10">
        <v>31.08</v>
      </c>
    </row>
    <row r="38" spans="1:7" ht="15.75" customHeight="1">
      <c r="A38" s="6"/>
      <c r="B38" s="8"/>
      <c r="C38" s="111">
        <v>87</v>
      </c>
      <c r="D38" s="10">
        <v>30.8</v>
      </c>
      <c r="E38" s="10">
        <v>168</v>
      </c>
      <c r="F38" s="10">
        <v>30.97</v>
      </c>
      <c r="G38" s="10">
        <v>30.54</v>
      </c>
    </row>
    <row r="39" spans="1:7" ht="15.75" customHeight="1">
      <c r="A39" s="6"/>
      <c r="B39" s="13" t="s">
        <v>26</v>
      </c>
      <c r="C39" s="111">
        <v>89</v>
      </c>
      <c r="D39" s="10">
        <v>27.6</v>
      </c>
      <c r="E39" s="10">
        <v>168</v>
      </c>
      <c r="F39" s="10">
        <v>30.63</v>
      </c>
      <c r="G39" s="10">
        <v>29.12</v>
      </c>
    </row>
    <row r="40" spans="1:7" ht="15.75" customHeight="1">
      <c r="A40" s="8"/>
      <c r="B40" s="6"/>
      <c r="C40" s="111">
        <v>93</v>
      </c>
      <c r="D40" s="10">
        <v>28.6</v>
      </c>
      <c r="E40" s="10">
        <v>169</v>
      </c>
      <c r="F40" s="10">
        <v>30.53</v>
      </c>
      <c r="G40" s="10">
        <v>30.38</v>
      </c>
    </row>
    <row r="41" spans="1:7" ht="15.75" customHeight="1">
      <c r="A41" s="18" t="s">
        <v>111</v>
      </c>
      <c r="B41" s="13" t="s">
        <v>29</v>
      </c>
      <c r="C41" s="113">
        <v>48</v>
      </c>
      <c r="D41" s="10">
        <v>30.1</v>
      </c>
      <c r="E41" s="10">
        <v>170</v>
      </c>
      <c r="F41" s="10">
        <v>30.33</v>
      </c>
      <c r="G41" s="10">
        <v>30.84</v>
      </c>
    </row>
    <row r="42" spans="1:7" ht="15" customHeight="1">
      <c r="A42" s="5"/>
      <c r="B42" s="6"/>
      <c r="C42" s="113">
        <v>49</v>
      </c>
      <c r="D42" s="10">
        <v>28.8</v>
      </c>
      <c r="E42" s="10">
        <v>171</v>
      </c>
      <c r="F42" s="10">
        <v>30.4</v>
      </c>
      <c r="G42" s="10">
        <v>30.81</v>
      </c>
    </row>
    <row r="43" spans="1:7" ht="15.75" customHeight="1">
      <c r="A43" s="5"/>
      <c r="B43" s="114"/>
      <c r="C43" s="115">
        <v>52</v>
      </c>
      <c r="D43" s="10">
        <v>29.1</v>
      </c>
      <c r="E43" s="10">
        <v>171</v>
      </c>
      <c r="F43" s="10">
        <v>30.32</v>
      </c>
      <c r="G43" s="10">
        <v>31</v>
      </c>
    </row>
    <row r="44" spans="1:7" ht="15.75" customHeight="1">
      <c r="A44" s="5"/>
      <c r="B44" s="13" t="s">
        <v>30</v>
      </c>
      <c r="C44" s="113">
        <v>58</v>
      </c>
      <c r="D44" s="98">
        <v>22.1</v>
      </c>
      <c r="E44" s="10">
        <v>169</v>
      </c>
      <c r="F44" s="10">
        <v>30.43</v>
      </c>
      <c r="G44" s="10">
        <v>30.73</v>
      </c>
    </row>
    <row r="45" spans="1:7" ht="15.75" customHeight="1">
      <c r="A45" s="5"/>
      <c r="B45" s="6"/>
      <c r="C45" s="113">
        <v>59</v>
      </c>
      <c r="D45" s="10">
        <v>21.6</v>
      </c>
      <c r="E45" s="10">
        <v>170</v>
      </c>
      <c r="F45" s="10">
        <v>30.15</v>
      </c>
      <c r="G45" s="10">
        <v>30.2</v>
      </c>
    </row>
    <row r="46" spans="1:7" ht="15.75" customHeight="1">
      <c r="A46" s="5"/>
      <c r="B46" s="6"/>
      <c r="C46" s="113">
        <v>60</v>
      </c>
      <c r="D46" s="10">
        <v>21.1</v>
      </c>
      <c r="E46" s="10">
        <v>170</v>
      </c>
      <c r="F46" s="10">
        <v>30.2</v>
      </c>
      <c r="G46" s="10">
        <v>30.42</v>
      </c>
    </row>
    <row r="47" spans="1:7" ht="15.75" customHeight="1">
      <c r="A47" s="5"/>
      <c r="B47" s="6"/>
      <c r="C47" s="113">
        <v>61</v>
      </c>
      <c r="D47" s="10">
        <v>20.5</v>
      </c>
      <c r="E47" s="10">
        <v>170</v>
      </c>
      <c r="F47" s="10">
        <v>30.45</v>
      </c>
      <c r="G47" s="10">
        <v>30.15</v>
      </c>
    </row>
    <row r="48" spans="1:7" ht="15.75" customHeight="1">
      <c r="A48" s="5"/>
      <c r="B48" s="6"/>
      <c r="C48" s="113">
        <v>62</v>
      </c>
      <c r="D48" s="10">
        <v>21.2</v>
      </c>
      <c r="E48" s="10">
        <v>170</v>
      </c>
      <c r="F48" s="10">
        <v>30.37</v>
      </c>
      <c r="G48" s="10">
        <v>29.73</v>
      </c>
    </row>
    <row r="49" spans="1:7" ht="15.75" customHeight="1">
      <c r="A49" s="5"/>
      <c r="B49" s="116"/>
      <c r="C49" s="113">
        <v>63</v>
      </c>
      <c r="D49" s="10">
        <v>21.4</v>
      </c>
      <c r="E49" s="10">
        <v>169</v>
      </c>
      <c r="F49" s="10">
        <v>28.8</v>
      </c>
      <c r="G49" s="10">
        <v>30.75</v>
      </c>
    </row>
    <row r="50" spans="1:7" ht="15.75" customHeight="1">
      <c r="A50" s="6"/>
      <c r="B50" s="20" t="s">
        <v>31</v>
      </c>
      <c r="C50" s="113">
        <v>56</v>
      </c>
      <c r="D50" s="10">
        <v>29.3</v>
      </c>
      <c r="E50" s="10">
        <v>171</v>
      </c>
      <c r="F50" s="10">
        <v>29.36</v>
      </c>
      <c r="G50" s="10">
        <v>31.45</v>
      </c>
    </row>
    <row r="51" spans="1:7" ht="15.75" customHeight="1">
      <c r="A51" s="116"/>
      <c r="B51" s="117"/>
      <c r="C51" s="113">
        <v>57</v>
      </c>
      <c r="D51" s="10">
        <v>29.7</v>
      </c>
      <c r="E51" s="118">
        <v>170</v>
      </c>
      <c r="F51" s="118">
        <v>28.7</v>
      </c>
      <c r="G51" s="118">
        <v>31.48</v>
      </c>
    </row>
    <row r="52" spans="1:7" ht="15.75" customHeight="1">
      <c r="A52" s="119" t="s">
        <v>112</v>
      </c>
      <c r="B52" s="119" t="s">
        <v>113</v>
      </c>
      <c r="C52" s="41">
        <v>69</v>
      </c>
      <c r="D52" s="41">
        <v>27.7</v>
      </c>
      <c r="E52" s="41">
        <v>169</v>
      </c>
      <c r="F52" s="41">
        <v>29.95</v>
      </c>
      <c r="G52" s="41">
        <v>30.15</v>
      </c>
    </row>
    <row r="53" spans="1:7" ht="15.75" customHeight="1">
      <c r="A53" s="120" t="s">
        <v>112</v>
      </c>
      <c r="B53" s="121" t="s">
        <v>113</v>
      </c>
      <c r="C53" s="41">
        <v>59</v>
      </c>
      <c r="D53" s="41">
        <v>28.2</v>
      </c>
      <c r="E53" s="41">
        <v>168</v>
      </c>
      <c r="F53" s="41">
        <v>30.98</v>
      </c>
      <c r="G53" s="41">
        <v>30.16</v>
      </c>
    </row>
    <row r="54" spans="1:7" ht="15.75" customHeight="1">
      <c r="A54" s="120" t="s">
        <v>112</v>
      </c>
      <c r="B54" s="119" t="s">
        <v>114</v>
      </c>
      <c r="C54" s="41">
        <v>63</v>
      </c>
      <c r="D54" s="41">
        <v>30.1</v>
      </c>
      <c r="E54" s="41">
        <v>167</v>
      </c>
      <c r="F54" s="41">
        <v>30.64</v>
      </c>
      <c r="G54" s="41">
        <v>30.5</v>
      </c>
    </row>
    <row r="55" spans="1:7" ht="15.75" customHeight="1">
      <c r="A55" s="120" t="s">
        <v>112</v>
      </c>
      <c r="B55" s="120" t="s">
        <v>114</v>
      </c>
      <c r="C55" s="41">
        <v>49</v>
      </c>
      <c r="D55" s="41">
        <v>30</v>
      </c>
      <c r="E55" s="41">
        <v>169</v>
      </c>
      <c r="F55" s="41">
        <v>31.14</v>
      </c>
      <c r="G55" s="41">
        <v>30.9</v>
      </c>
    </row>
    <row r="56" spans="1:7" ht="15.75" customHeight="1">
      <c r="A56" s="120" t="s">
        <v>112</v>
      </c>
      <c r="B56" s="120" t="s">
        <v>114</v>
      </c>
      <c r="C56" s="41">
        <v>46</v>
      </c>
      <c r="D56" s="41">
        <v>31</v>
      </c>
      <c r="E56" s="41">
        <v>167</v>
      </c>
      <c r="F56" s="41">
        <v>31.9</v>
      </c>
      <c r="G56" s="41">
        <v>30.66</v>
      </c>
    </row>
    <row r="57" spans="1:7" ht="15.75" customHeight="1">
      <c r="A57" s="120" t="s">
        <v>112</v>
      </c>
      <c r="B57" s="120" t="s">
        <v>114</v>
      </c>
      <c r="C57" s="41">
        <v>40</v>
      </c>
      <c r="D57" s="41">
        <v>30.7</v>
      </c>
      <c r="E57" s="41">
        <v>168</v>
      </c>
      <c r="F57" s="41">
        <v>31.7</v>
      </c>
      <c r="G57" s="41">
        <v>30.49</v>
      </c>
    </row>
    <row r="58" spans="1:7" ht="15.75" customHeight="1">
      <c r="A58" s="120" t="s">
        <v>112</v>
      </c>
      <c r="B58" s="121" t="s">
        <v>114</v>
      </c>
      <c r="C58" s="41">
        <v>7</v>
      </c>
      <c r="D58" s="41">
        <v>30.3</v>
      </c>
      <c r="E58" s="41">
        <v>168</v>
      </c>
      <c r="F58" s="41">
        <v>30.73</v>
      </c>
      <c r="G58" s="41">
        <v>30.75</v>
      </c>
    </row>
    <row r="59" spans="1:7" ht="15.75" customHeight="1">
      <c r="A59" s="120" t="s">
        <v>112</v>
      </c>
      <c r="B59" s="119" t="s">
        <v>115</v>
      </c>
      <c r="C59" s="41">
        <v>124</v>
      </c>
      <c r="D59" s="41">
        <v>35.799999999999997</v>
      </c>
      <c r="E59" s="41">
        <v>168</v>
      </c>
      <c r="F59" s="41">
        <v>32.39</v>
      </c>
      <c r="G59" s="41">
        <v>30.12</v>
      </c>
    </row>
    <row r="60" spans="1:7" ht="15.75" customHeight="1">
      <c r="A60" s="120" t="s">
        <v>112</v>
      </c>
      <c r="B60" s="120" t="s">
        <v>115</v>
      </c>
      <c r="C60" s="41">
        <v>123</v>
      </c>
      <c r="D60" s="41">
        <v>37.700000000000003</v>
      </c>
      <c r="E60" s="41">
        <v>169</v>
      </c>
      <c r="F60" s="41">
        <v>33.549999999999997</v>
      </c>
      <c r="G60" s="41">
        <v>30.11</v>
      </c>
    </row>
    <row r="61" spans="1:7" ht="15.75" customHeight="1">
      <c r="A61" s="120" t="s">
        <v>112</v>
      </c>
      <c r="B61" s="120" t="s">
        <v>115</v>
      </c>
      <c r="C61" s="41">
        <v>36</v>
      </c>
      <c r="D61" s="41">
        <v>33.9</v>
      </c>
      <c r="E61" s="41">
        <v>168</v>
      </c>
      <c r="F61" s="41">
        <v>30.91</v>
      </c>
      <c r="G61" s="41">
        <v>30.93</v>
      </c>
    </row>
    <row r="62" spans="1:7" ht="15.75" customHeight="1">
      <c r="A62" s="120" t="s">
        <v>112</v>
      </c>
      <c r="B62" s="120" t="s">
        <v>115</v>
      </c>
      <c r="C62" s="41">
        <v>72</v>
      </c>
      <c r="D62" s="41">
        <v>34.6</v>
      </c>
      <c r="E62" s="41">
        <v>168</v>
      </c>
      <c r="F62" s="41">
        <v>31.92</v>
      </c>
      <c r="G62" s="41">
        <v>30.21</v>
      </c>
    </row>
    <row r="63" spans="1:7" ht="15.75" customHeight="1">
      <c r="A63" s="120" t="s">
        <v>112</v>
      </c>
      <c r="B63" s="121" t="s">
        <v>115</v>
      </c>
      <c r="C63" s="41">
        <v>18</v>
      </c>
      <c r="D63" s="41">
        <v>33.299999999999997</v>
      </c>
      <c r="E63" s="41">
        <v>168</v>
      </c>
      <c r="F63" s="41">
        <v>31.37</v>
      </c>
      <c r="G63" s="41">
        <v>30.28</v>
      </c>
    </row>
    <row r="64" spans="1:7" ht="15.75" customHeight="1">
      <c r="A64" s="120" t="s">
        <v>112</v>
      </c>
      <c r="B64" s="119" t="s">
        <v>116</v>
      </c>
      <c r="C64" s="41">
        <v>98</v>
      </c>
      <c r="D64" s="41">
        <v>28.3</v>
      </c>
      <c r="E64" s="41">
        <v>168</v>
      </c>
      <c r="F64" s="41">
        <v>31.39</v>
      </c>
      <c r="G64" s="41">
        <v>29.83</v>
      </c>
    </row>
    <row r="65" spans="1:7" ht="15.75" customHeight="1">
      <c r="A65" s="120" t="s">
        <v>112</v>
      </c>
      <c r="B65" s="120" t="s">
        <v>116</v>
      </c>
      <c r="C65" s="41">
        <v>38</v>
      </c>
      <c r="D65" s="41">
        <v>25.2</v>
      </c>
      <c r="E65" s="41">
        <v>168</v>
      </c>
      <c r="F65" s="41">
        <v>29.19</v>
      </c>
      <c r="G65" s="41">
        <v>30.86</v>
      </c>
    </row>
    <row r="66" spans="1:7" ht="15.75" customHeight="1">
      <c r="A66" s="120" t="s">
        <v>112</v>
      </c>
      <c r="B66" s="120" t="s">
        <v>116</v>
      </c>
      <c r="C66" s="41">
        <v>42</v>
      </c>
      <c r="D66" s="41">
        <v>26.1</v>
      </c>
      <c r="E66" s="41">
        <v>168</v>
      </c>
      <c r="F66" s="41">
        <v>29.83</v>
      </c>
      <c r="G66" s="41">
        <v>31.48</v>
      </c>
    </row>
    <row r="67" spans="1:7" ht="15.75" customHeight="1">
      <c r="A67" s="121" t="s">
        <v>112</v>
      </c>
      <c r="B67" s="121" t="s">
        <v>116</v>
      </c>
      <c r="C67" s="41">
        <v>24</v>
      </c>
      <c r="D67" s="41">
        <v>28.7</v>
      </c>
      <c r="E67" s="41">
        <v>168</v>
      </c>
      <c r="F67" s="41">
        <v>30.82</v>
      </c>
      <c r="G67" s="41">
        <v>30.35</v>
      </c>
    </row>
    <row r="68" spans="1:7" ht="15.75" customHeight="1">
      <c r="A68" s="119" t="s">
        <v>43</v>
      </c>
      <c r="B68" s="119" t="s">
        <v>113</v>
      </c>
      <c r="C68" s="41">
        <v>57</v>
      </c>
      <c r="D68" s="41">
        <v>25.7</v>
      </c>
      <c r="E68" s="41">
        <v>172</v>
      </c>
      <c r="F68" s="41">
        <v>30.3</v>
      </c>
      <c r="G68" s="41">
        <v>29.79</v>
      </c>
    </row>
    <row r="69" spans="1:7" ht="15.75" customHeight="1">
      <c r="A69" s="120" t="s">
        <v>43</v>
      </c>
      <c r="B69" s="121" t="s">
        <v>113</v>
      </c>
      <c r="C69" s="41">
        <v>1</v>
      </c>
      <c r="D69" s="41">
        <v>25</v>
      </c>
      <c r="E69" s="41">
        <v>168</v>
      </c>
      <c r="F69" s="41">
        <v>29.42</v>
      </c>
      <c r="G69" s="41">
        <v>30.44</v>
      </c>
    </row>
    <row r="70" spans="1:7" ht="15.75" customHeight="1">
      <c r="A70" s="120" t="s">
        <v>43</v>
      </c>
      <c r="B70" s="119" t="s">
        <v>114</v>
      </c>
      <c r="C70" s="41">
        <v>62</v>
      </c>
      <c r="D70" s="41">
        <v>29.2</v>
      </c>
      <c r="E70" s="41">
        <v>168</v>
      </c>
      <c r="F70" s="41">
        <v>31.22</v>
      </c>
      <c r="G70" s="41">
        <v>30.51</v>
      </c>
    </row>
    <row r="71" spans="1:7" ht="15.75" customHeight="1">
      <c r="A71" s="120" t="s">
        <v>43</v>
      </c>
      <c r="B71" s="120" t="s">
        <v>114</v>
      </c>
      <c r="C71" s="41">
        <v>48</v>
      </c>
      <c r="D71" s="41">
        <v>30.1</v>
      </c>
      <c r="E71" s="41">
        <v>168</v>
      </c>
      <c r="F71" s="41">
        <v>31.95</v>
      </c>
      <c r="G71" s="41">
        <v>30.22</v>
      </c>
    </row>
    <row r="72" spans="1:7" ht="15.75" customHeight="1">
      <c r="A72" s="120" t="s">
        <v>43</v>
      </c>
      <c r="B72" s="120" t="s">
        <v>114</v>
      </c>
      <c r="C72" s="41">
        <v>45</v>
      </c>
      <c r="D72" s="41">
        <v>30.6</v>
      </c>
      <c r="E72" s="41">
        <v>169</v>
      </c>
      <c r="F72" s="41">
        <v>32.03</v>
      </c>
      <c r="G72" s="41">
        <v>30.57</v>
      </c>
    </row>
    <row r="73" spans="1:7" ht="15.75" customHeight="1">
      <c r="A73" s="120" t="s">
        <v>43</v>
      </c>
      <c r="B73" s="120" t="s">
        <v>114</v>
      </c>
      <c r="C73" s="41">
        <v>9</v>
      </c>
      <c r="D73" s="41">
        <v>29.9</v>
      </c>
      <c r="E73" s="41">
        <v>168</v>
      </c>
      <c r="F73" s="41">
        <v>32.159999999999997</v>
      </c>
      <c r="G73" s="41">
        <v>30.68</v>
      </c>
    </row>
    <row r="74" spans="1:7" ht="15.75" customHeight="1">
      <c r="A74" s="120" t="s">
        <v>43</v>
      </c>
      <c r="B74" s="121" t="s">
        <v>114</v>
      </c>
      <c r="C74" s="41">
        <v>6</v>
      </c>
      <c r="D74" s="41">
        <v>28.8</v>
      </c>
      <c r="E74" s="41">
        <v>169</v>
      </c>
      <c r="F74" s="41">
        <v>30.82</v>
      </c>
      <c r="G74" s="41">
        <v>30.76</v>
      </c>
    </row>
    <row r="75" spans="1:7" ht="15.75" customHeight="1">
      <c r="A75" s="120" t="s">
        <v>43</v>
      </c>
      <c r="B75" s="119" t="s">
        <v>115</v>
      </c>
      <c r="C75" s="41">
        <v>128</v>
      </c>
      <c r="D75" s="41">
        <v>35.799999999999997</v>
      </c>
      <c r="E75" s="41">
        <v>168</v>
      </c>
      <c r="F75" s="41">
        <v>32.26</v>
      </c>
      <c r="G75" s="41">
        <v>30.52</v>
      </c>
    </row>
    <row r="76" spans="1:7" ht="15.75" customHeight="1">
      <c r="A76" s="120" t="s">
        <v>43</v>
      </c>
      <c r="B76" s="120" t="s">
        <v>115</v>
      </c>
      <c r="C76" s="41">
        <v>121</v>
      </c>
      <c r="D76" s="41">
        <v>34.4</v>
      </c>
      <c r="E76" s="41">
        <v>169</v>
      </c>
      <c r="F76" s="41">
        <v>31.84</v>
      </c>
      <c r="G76" s="41">
        <v>30.31</v>
      </c>
    </row>
    <row r="77" spans="1:7" ht="15.75" customHeight="1">
      <c r="A77" s="120" t="s">
        <v>43</v>
      </c>
      <c r="B77" s="120" t="s">
        <v>115</v>
      </c>
      <c r="C77" s="41">
        <v>35</v>
      </c>
      <c r="D77" s="41">
        <v>32.6</v>
      </c>
      <c r="E77" s="41">
        <v>169</v>
      </c>
      <c r="F77" s="41">
        <v>30.24</v>
      </c>
      <c r="G77" s="41">
        <v>30.39</v>
      </c>
    </row>
    <row r="78" spans="1:7" ht="15.75" customHeight="1">
      <c r="A78" s="120" t="s">
        <v>43</v>
      </c>
      <c r="B78" s="120" t="s">
        <v>115</v>
      </c>
      <c r="C78" s="41">
        <v>71</v>
      </c>
      <c r="D78" s="41">
        <v>35.799999999999997</v>
      </c>
      <c r="E78" s="41">
        <v>168</v>
      </c>
      <c r="F78" s="41">
        <v>32.450000000000003</v>
      </c>
      <c r="G78" s="41">
        <v>30.43</v>
      </c>
    </row>
    <row r="79" spans="1:7" ht="15.75" customHeight="1">
      <c r="A79" s="120" t="s">
        <v>43</v>
      </c>
      <c r="B79" s="121" t="s">
        <v>115</v>
      </c>
      <c r="C79" s="41">
        <v>17</v>
      </c>
      <c r="D79" s="41">
        <v>32.5</v>
      </c>
      <c r="E79" s="41">
        <v>168</v>
      </c>
      <c r="F79" s="41">
        <v>30.84</v>
      </c>
      <c r="G79" s="41">
        <v>30.52</v>
      </c>
    </row>
    <row r="80" spans="1:7" ht="15.75" customHeight="1">
      <c r="A80" s="120" t="s">
        <v>43</v>
      </c>
      <c r="B80" s="119" t="s">
        <v>116</v>
      </c>
      <c r="C80" s="41">
        <v>23</v>
      </c>
      <c r="D80" s="41">
        <v>28.8</v>
      </c>
      <c r="E80" s="41">
        <v>167</v>
      </c>
      <c r="F80" s="41">
        <v>30.47</v>
      </c>
      <c r="G80" s="41">
        <v>30.21</v>
      </c>
    </row>
    <row r="81" spans="1:7" ht="15.75" customHeight="1">
      <c r="A81" s="120" t="s">
        <v>43</v>
      </c>
      <c r="B81" s="120" t="s">
        <v>116</v>
      </c>
      <c r="C81" s="41">
        <v>15</v>
      </c>
      <c r="D81" s="41">
        <v>26.4</v>
      </c>
      <c r="E81" s="41">
        <v>167</v>
      </c>
      <c r="F81" s="41">
        <v>28.98</v>
      </c>
      <c r="G81" s="41">
        <v>28.84</v>
      </c>
    </row>
    <row r="82" spans="1:7" ht="15.75" customHeight="1">
      <c r="A82" s="120" t="s">
        <v>43</v>
      </c>
      <c r="B82" s="120" t="s">
        <v>116</v>
      </c>
      <c r="C82" s="41">
        <v>41</v>
      </c>
      <c r="D82" s="41">
        <v>26.6</v>
      </c>
      <c r="E82" s="41">
        <v>170</v>
      </c>
      <c r="F82" s="41">
        <v>29.17</v>
      </c>
      <c r="G82" s="41">
        <v>29.03</v>
      </c>
    </row>
    <row r="83" spans="1:7" ht="15.75" customHeight="1">
      <c r="A83" s="120" t="s">
        <v>43</v>
      </c>
      <c r="B83" s="120" t="s">
        <v>116</v>
      </c>
      <c r="C83" s="41">
        <v>112</v>
      </c>
      <c r="D83" s="41">
        <v>24.8</v>
      </c>
      <c r="E83" s="41">
        <v>169</v>
      </c>
      <c r="F83" s="41">
        <v>30.29</v>
      </c>
      <c r="G83" s="41">
        <v>28.83</v>
      </c>
    </row>
    <row r="84" spans="1:7" ht="15.75" customHeight="1">
      <c r="A84" s="121" t="s">
        <v>43</v>
      </c>
      <c r="B84" s="121" t="s">
        <v>116</v>
      </c>
      <c r="C84" s="41">
        <v>29</v>
      </c>
      <c r="D84" s="41">
        <v>26.8</v>
      </c>
      <c r="E84" s="41">
        <v>167</v>
      </c>
      <c r="F84" s="41">
        <v>27.72</v>
      </c>
      <c r="G84" s="41">
        <v>29.44</v>
      </c>
    </row>
    <row r="85" spans="1:7" ht="15.75" customHeight="1"/>
    <row r="86" spans="1:7" ht="15.75" customHeight="1"/>
    <row r="87" spans="1:7" ht="15.75" customHeight="1"/>
    <row r="88" spans="1:7" ht="15.75" customHeight="1"/>
    <row r="89" spans="1:7" ht="15.75" customHeight="1"/>
    <row r="90" spans="1:7" ht="15.75" customHeight="1"/>
    <row r="91" spans="1:7" ht="15.75" customHeight="1"/>
    <row r="92" spans="1:7" ht="15.75" customHeight="1"/>
    <row r="93" spans="1:7" ht="15.75" customHeight="1"/>
    <row r="94" spans="1:7" ht="15.75" customHeight="1"/>
    <row r="95" spans="1:7" ht="15.75" customHeight="1"/>
    <row r="96" spans="1:7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89"/>
  <sheetViews>
    <sheetView workbookViewId="0"/>
  </sheetViews>
  <sheetFormatPr defaultColWidth="14.453125" defaultRowHeight="15" customHeight="1"/>
  <cols>
    <col min="1" max="1" width="12.26953125" customWidth="1"/>
    <col min="2" max="4" width="10" customWidth="1"/>
    <col min="5" max="5" width="11.54296875" customWidth="1"/>
    <col min="6" max="6" width="11.7265625" customWidth="1"/>
    <col min="7" max="7" width="13" customWidth="1"/>
    <col min="8" max="9" width="10" customWidth="1"/>
    <col min="10" max="26" width="14" customWidth="1"/>
  </cols>
  <sheetData>
    <row r="1" spans="1:9" ht="14.5">
      <c r="A1" s="1" t="s">
        <v>102</v>
      </c>
      <c r="B1" s="122" t="s">
        <v>103</v>
      </c>
      <c r="C1" s="37" t="s">
        <v>3</v>
      </c>
      <c r="D1" s="123" t="s">
        <v>104</v>
      </c>
      <c r="E1" s="123" t="s">
        <v>105</v>
      </c>
      <c r="F1" s="123" t="s">
        <v>106</v>
      </c>
      <c r="G1" s="124" t="s">
        <v>107</v>
      </c>
    </row>
    <row r="2" spans="1:9" ht="15.5">
      <c r="A2" s="4" t="s">
        <v>43</v>
      </c>
      <c r="B2" s="13" t="s">
        <v>9</v>
      </c>
      <c r="C2" s="106">
        <v>3</v>
      </c>
      <c r="D2" s="10">
        <v>7.5</v>
      </c>
      <c r="E2" s="10">
        <v>30.22</v>
      </c>
      <c r="F2" s="10">
        <v>30.23</v>
      </c>
      <c r="G2" s="10">
        <v>30.49</v>
      </c>
      <c r="I2" s="80" t="s">
        <v>9</v>
      </c>
    </row>
    <row r="3" spans="1:9" ht="15.5">
      <c r="B3" s="6"/>
      <c r="C3" s="106">
        <v>22</v>
      </c>
      <c r="D3" s="10">
        <v>7.3</v>
      </c>
      <c r="E3" s="10">
        <v>30.93</v>
      </c>
      <c r="F3" s="10">
        <v>30.55</v>
      </c>
      <c r="G3" s="10">
        <v>30.67</v>
      </c>
      <c r="I3" s="81" t="s">
        <v>17</v>
      </c>
    </row>
    <row r="4" spans="1:9" ht="15.5">
      <c r="B4" s="6"/>
      <c r="C4" s="106">
        <v>101</v>
      </c>
      <c r="D4" s="10">
        <v>7.6</v>
      </c>
      <c r="E4" s="10">
        <v>30.76</v>
      </c>
      <c r="F4" s="10">
        <v>30.42</v>
      </c>
      <c r="G4" s="10">
        <v>29.53</v>
      </c>
      <c r="I4" s="11" t="s">
        <v>23</v>
      </c>
    </row>
    <row r="5" spans="1:9" ht="15.5">
      <c r="B5" s="6"/>
      <c r="C5" s="106">
        <v>111</v>
      </c>
      <c r="D5" s="10">
        <v>7.5</v>
      </c>
      <c r="E5" s="10">
        <v>30.89</v>
      </c>
      <c r="F5" s="10">
        <v>30.27</v>
      </c>
      <c r="G5" s="10">
        <v>30.63</v>
      </c>
      <c r="I5" s="82" t="s">
        <v>26</v>
      </c>
    </row>
    <row r="6" spans="1:9" ht="15.5">
      <c r="B6" s="8"/>
      <c r="C6" s="106">
        <v>115</v>
      </c>
      <c r="D6" s="10">
        <v>7.6</v>
      </c>
      <c r="E6" s="10">
        <v>30.02</v>
      </c>
      <c r="F6" s="10">
        <v>31.03</v>
      </c>
      <c r="G6" s="10">
        <v>30.44</v>
      </c>
    </row>
    <row r="7" spans="1:9" ht="15.5">
      <c r="B7" s="13" t="s">
        <v>17</v>
      </c>
      <c r="C7" s="107">
        <v>33</v>
      </c>
      <c r="D7" s="10">
        <v>6.2</v>
      </c>
      <c r="E7" s="10">
        <v>30.68</v>
      </c>
      <c r="F7" s="10">
        <v>31.23</v>
      </c>
      <c r="G7" s="10">
        <v>31.46</v>
      </c>
    </row>
    <row r="8" spans="1:9" ht="15.5">
      <c r="B8" s="6"/>
      <c r="C8" s="107">
        <v>45</v>
      </c>
      <c r="D8" s="10">
        <v>6.1</v>
      </c>
      <c r="E8" s="10">
        <v>30.62</v>
      </c>
      <c r="F8" s="10">
        <v>30.62</v>
      </c>
      <c r="G8" s="10">
        <v>30.59</v>
      </c>
    </row>
    <row r="9" spans="1:9" ht="15.5">
      <c r="B9" s="6"/>
      <c r="C9" s="107">
        <v>56</v>
      </c>
      <c r="D9" s="10">
        <v>6.3</v>
      </c>
      <c r="E9" s="10">
        <v>30.63</v>
      </c>
      <c r="F9" s="10">
        <v>30.45</v>
      </c>
      <c r="G9" s="10">
        <v>31.64</v>
      </c>
    </row>
    <row r="10" spans="1:9" ht="15.5">
      <c r="B10" s="6"/>
      <c r="C10" s="107">
        <v>125</v>
      </c>
      <c r="D10" s="10">
        <v>6.3</v>
      </c>
      <c r="E10" s="10">
        <v>31.13</v>
      </c>
      <c r="F10" s="10">
        <v>30.69</v>
      </c>
      <c r="G10" s="10">
        <v>31.04</v>
      </c>
    </row>
    <row r="11" spans="1:9" ht="15.5">
      <c r="B11" s="8"/>
      <c r="C11" s="107">
        <v>132</v>
      </c>
      <c r="D11" s="10">
        <v>6.4</v>
      </c>
      <c r="E11" s="10">
        <v>31.03</v>
      </c>
      <c r="F11" s="10">
        <v>30.54</v>
      </c>
      <c r="G11" s="10">
        <v>30.31</v>
      </c>
    </row>
    <row r="12" spans="1:9" ht="15.5">
      <c r="B12" s="13" t="s">
        <v>23</v>
      </c>
      <c r="C12" s="109">
        <v>65</v>
      </c>
      <c r="D12" s="10">
        <v>7.5</v>
      </c>
      <c r="E12" s="10">
        <v>30.17</v>
      </c>
      <c r="F12" s="10">
        <v>30.69</v>
      </c>
      <c r="G12" s="10">
        <v>31.2</v>
      </c>
    </row>
    <row r="13" spans="1:9" ht="15.5">
      <c r="B13" s="6"/>
      <c r="C13" s="109">
        <v>70</v>
      </c>
      <c r="D13" s="10">
        <v>7.4</v>
      </c>
      <c r="E13" s="10">
        <v>30.78</v>
      </c>
      <c r="F13" s="10">
        <v>30.7</v>
      </c>
      <c r="G13" s="10">
        <v>31.49</v>
      </c>
    </row>
    <row r="14" spans="1:9" ht="15.5">
      <c r="B14" s="6"/>
      <c r="C14" s="109">
        <v>140</v>
      </c>
      <c r="D14" s="10">
        <v>7.8</v>
      </c>
      <c r="E14" s="10">
        <v>31.15</v>
      </c>
      <c r="F14" s="10">
        <v>30.77</v>
      </c>
      <c r="G14" s="112">
        <v>32</v>
      </c>
    </row>
    <row r="15" spans="1:9" ht="15.5">
      <c r="B15" s="6"/>
      <c r="C15" s="109">
        <v>146</v>
      </c>
      <c r="D15" s="10">
        <v>7.8</v>
      </c>
      <c r="E15" s="10">
        <v>30.51</v>
      </c>
      <c r="F15" s="10">
        <v>30.63</v>
      </c>
      <c r="G15" s="10">
        <v>30.95</v>
      </c>
    </row>
    <row r="16" spans="1:9" ht="15.5">
      <c r="B16" s="8"/>
      <c r="C16" s="109">
        <v>151</v>
      </c>
      <c r="D16" s="10">
        <v>7.9</v>
      </c>
      <c r="E16" s="10">
        <v>31.09</v>
      </c>
      <c r="F16" s="10">
        <v>30.67</v>
      </c>
      <c r="G16" s="10">
        <v>31.75</v>
      </c>
    </row>
    <row r="17" spans="1:7" ht="15.5">
      <c r="B17" s="13" t="s">
        <v>26</v>
      </c>
      <c r="C17" s="110">
        <v>76</v>
      </c>
      <c r="D17" s="10">
        <v>7.9</v>
      </c>
      <c r="E17" s="10">
        <v>31.07</v>
      </c>
      <c r="F17" s="10">
        <v>30.63</v>
      </c>
      <c r="G17" s="10">
        <v>30.76</v>
      </c>
    </row>
    <row r="18" spans="1:7" ht="15.5">
      <c r="B18" s="6"/>
      <c r="C18" s="110">
        <v>86</v>
      </c>
      <c r="D18" s="10">
        <v>8</v>
      </c>
      <c r="E18" s="10">
        <v>30.79</v>
      </c>
      <c r="F18" s="10">
        <v>30.46</v>
      </c>
      <c r="G18" s="10">
        <v>31.22</v>
      </c>
    </row>
    <row r="19" spans="1:7" ht="15.5">
      <c r="B19" s="6"/>
      <c r="C19" s="110">
        <v>92</v>
      </c>
      <c r="D19" s="10">
        <v>8</v>
      </c>
      <c r="E19" s="10">
        <v>30.98</v>
      </c>
      <c r="F19" s="10">
        <v>30.87</v>
      </c>
      <c r="G19" s="10">
        <v>32.53</v>
      </c>
    </row>
    <row r="20" spans="1:7" ht="15.5">
      <c r="B20" s="6"/>
      <c r="C20" s="110">
        <v>156</v>
      </c>
      <c r="D20" s="10">
        <v>7.7</v>
      </c>
      <c r="E20" s="10">
        <v>31.22</v>
      </c>
      <c r="F20" s="10">
        <v>30.62</v>
      </c>
      <c r="G20" s="10">
        <v>31.59</v>
      </c>
    </row>
    <row r="21" spans="1:7" ht="15.75" customHeight="1">
      <c r="B21" s="8"/>
      <c r="C21" s="125">
        <v>172</v>
      </c>
      <c r="D21" s="10">
        <v>7.9</v>
      </c>
      <c r="E21" s="10">
        <v>30.86</v>
      </c>
      <c r="F21" s="10">
        <v>31.26</v>
      </c>
      <c r="G21" s="10">
        <v>31.22</v>
      </c>
    </row>
    <row r="22" spans="1:7" ht="15.75" customHeight="1">
      <c r="A22" s="13" t="s">
        <v>117</v>
      </c>
      <c r="B22" s="13" t="s">
        <v>9</v>
      </c>
      <c r="C22" s="106">
        <v>1</v>
      </c>
      <c r="D22" s="10">
        <v>7.3</v>
      </c>
      <c r="E22" s="10">
        <v>30.15</v>
      </c>
      <c r="F22" s="10">
        <v>30.37</v>
      </c>
      <c r="G22" s="10">
        <v>30.26</v>
      </c>
    </row>
    <row r="23" spans="1:7" ht="15.75" customHeight="1">
      <c r="A23" s="6"/>
      <c r="B23" s="6"/>
      <c r="C23" s="106">
        <v>14</v>
      </c>
      <c r="D23" s="10">
        <v>7.6</v>
      </c>
      <c r="E23" s="10">
        <v>30.66</v>
      </c>
      <c r="F23" s="10">
        <v>30.28</v>
      </c>
      <c r="G23" s="10">
        <v>31.06</v>
      </c>
    </row>
    <row r="24" spans="1:7" ht="15.75" customHeight="1">
      <c r="A24" s="6"/>
      <c r="B24" s="6"/>
      <c r="C24" s="106">
        <v>19</v>
      </c>
      <c r="D24" s="10">
        <v>7.7</v>
      </c>
      <c r="E24" s="10">
        <v>30.38</v>
      </c>
      <c r="F24" s="10">
        <v>30.6</v>
      </c>
      <c r="G24" s="10">
        <v>31.94</v>
      </c>
    </row>
    <row r="25" spans="1:7" ht="15.75" customHeight="1">
      <c r="A25" s="6"/>
      <c r="B25" s="6"/>
      <c r="C25" s="106">
        <v>100</v>
      </c>
      <c r="D25" s="10">
        <v>7.5</v>
      </c>
      <c r="E25" s="10">
        <v>30.4</v>
      </c>
      <c r="F25" s="10">
        <v>30.06</v>
      </c>
      <c r="G25" s="10">
        <v>29.53</v>
      </c>
    </row>
    <row r="26" spans="1:7" ht="15.75" customHeight="1">
      <c r="A26" s="6"/>
      <c r="B26" s="8"/>
      <c r="C26" s="106">
        <v>116</v>
      </c>
      <c r="D26" s="10">
        <v>6.8</v>
      </c>
      <c r="E26" s="10">
        <v>30.14</v>
      </c>
      <c r="F26" s="10">
        <v>30.01</v>
      </c>
      <c r="G26" s="10">
        <v>30.03</v>
      </c>
    </row>
    <row r="27" spans="1:7" ht="15.75" customHeight="1">
      <c r="A27" s="6"/>
      <c r="B27" s="13" t="s">
        <v>17</v>
      </c>
      <c r="C27" s="107">
        <v>32</v>
      </c>
      <c r="D27" s="10">
        <v>6.4</v>
      </c>
      <c r="E27" s="10">
        <v>30.92</v>
      </c>
      <c r="F27" s="10">
        <v>30.68</v>
      </c>
      <c r="G27" s="10">
        <v>30.43</v>
      </c>
    </row>
    <row r="28" spans="1:7" ht="15.75" customHeight="1">
      <c r="A28" s="6"/>
      <c r="B28" s="6"/>
      <c r="C28" s="107">
        <v>44</v>
      </c>
      <c r="D28" s="10">
        <v>6.2</v>
      </c>
      <c r="E28" s="10">
        <v>30.34</v>
      </c>
      <c r="F28" s="10">
        <v>30.64</v>
      </c>
      <c r="G28" s="10">
        <v>29.85</v>
      </c>
    </row>
    <row r="29" spans="1:7" ht="15.75" customHeight="1">
      <c r="A29" s="6"/>
      <c r="B29" s="6"/>
      <c r="C29" s="107">
        <v>120</v>
      </c>
      <c r="D29" s="10">
        <v>6.3</v>
      </c>
      <c r="E29" s="10">
        <v>30.86</v>
      </c>
      <c r="F29" s="10">
        <v>30.54</v>
      </c>
      <c r="G29" s="10">
        <v>30.91</v>
      </c>
    </row>
    <row r="30" spans="1:7" ht="15.75" customHeight="1">
      <c r="A30" s="6"/>
      <c r="B30" s="6"/>
      <c r="C30" s="107">
        <v>126</v>
      </c>
      <c r="D30" s="10">
        <v>6.1</v>
      </c>
      <c r="E30" s="10">
        <v>30.33</v>
      </c>
      <c r="F30" s="10">
        <v>30.98</v>
      </c>
      <c r="G30" s="112">
        <v>30.7</v>
      </c>
    </row>
    <row r="31" spans="1:7" ht="15.75" customHeight="1">
      <c r="A31" s="6"/>
      <c r="B31" s="8"/>
      <c r="C31" s="107">
        <v>135</v>
      </c>
      <c r="D31" s="10">
        <v>6.4</v>
      </c>
      <c r="E31" s="10">
        <v>30.63</v>
      </c>
      <c r="F31" s="10">
        <v>30.66</v>
      </c>
      <c r="G31" s="10">
        <v>31.12</v>
      </c>
    </row>
    <row r="32" spans="1:7" ht="15.75" customHeight="1">
      <c r="A32" s="6"/>
      <c r="B32" s="13" t="s">
        <v>23</v>
      </c>
      <c r="C32" s="109">
        <v>64</v>
      </c>
      <c r="D32" s="10">
        <v>7.5</v>
      </c>
      <c r="E32" s="10">
        <v>30.97</v>
      </c>
      <c r="F32" s="10">
        <v>30.82</v>
      </c>
      <c r="G32" s="10">
        <v>30.76</v>
      </c>
    </row>
    <row r="33" spans="1:7" ht="15.75" customHeight="1">
      <c r="A33" s="6"/>
      <c r="B33" s="6"/>
      <c r="C33" s="109">
        <v>73</v>
      </c>
      <c r="D33" s="10">
        <v>7.8</v>
      </c>
      <c r="E33" s="10">
        <v>30.84</v>
      </c>
      <c r="F33" s="10">
        <v>30.5</v>
      </c>
      <c r="G33" s="10">
        <v>31.09</v>
      </c>
    </row>
    <row r="34" spans="1:7" ht="15.75" customHeight="1">
      <c r="A34" s="6"/>
      <c r="B34" s="6"/>
      <c r="C34" s="109">
        <v>139</v>
      </c>
      <c r="D34" s="10">
        <v>7.6</v>
      </c>
      <c r="E34" s="10">
        <v>30.6</v>
      </c>
      <c r="F34" s="10">
        <v>30.32</v>
      </c>
      <c r="G34" s="10">
        <v>30.6</v>
      </c>
    </row>
    <row r="35" spans="1:7" ht="15.75" customHeight="1">
      <c r="A35" s="6"/>
      <c r="B35" s="6"/>
      <c r="C35" s="126">
        <v>148</v>
      </c>
      <c r="D35" s="10">
        <v>7.9</v>
      </c>
      <c r="E35" s="10">
        <v>31.02</v>
      </c>
      <c r="F35" s="10">
        <v>30.06</v>
      </c>
      <c r="G35" s="10">
        <v>30.34</v>
      </c>
    </row>
    <row r="36" spans="1:7" ht="15.75" customHeight="1">
      <c r="A36" s="6"/>
      <c r="B36" s="8"/>
      <c r="C36" s="109">
        <v>150</v>
      </c>
      <c r="D36" s="10">
        <v>7.9</v>
      </c>
      <c r="E36" s="10">
        <v>30.31</v>
      </c>
      <c r="F36" s="10">
        <v>31.17</v>
      </c>
      <c r="G36" s="10">
        <v>31.11</v>
      </c>
    </row>
    <row r="37" spans="1:7" ht="15.75" customHeight="1">
      <c r="A37" s="6"/>
      <c r="B37" s="13" t="s">
        <v>26</v>
      </c>
      <c r="C37" s="110">
        <v>74</v>
      </c>
      <c r="D37" s="10">
        <v>8.1999999999999993</v>
      </c>
      <c r="E37" s="10">
        <v>30.05</v>
      </c>
      <c r="F37" s="10">
        <v>31.02</v>
      </c>
      <c r="G37" s="10">
        <v>31.29</v>
      </c>
    </row>
    <row r="38" spans="1:7" ht="15.75" customHeight="1">
      <c r="A38" s="6"/>
      <c r="B38" s="6"/>
      <c r="C38" s="110">
        <v>87</v>
      </c>
      <c r="D38" s="10">
        <v>8.1999999999999993</v>
      </c>
      <c r="E38" s="10">
        <v>30.66</v>
      </c>
      <c r="F38" s="10">
        <v>30.48</v>
      </c>
      <c r="G38" s="10">
        <v>31.55</v>
      </c>
    </row>
    <row r="39" spans="1:7" ht="15.75" customHeight="1">
      <c r="A39" s="6"/>
      <c r="B39" s="6"/>
      <c r="C39" s="110">
        <v>93</v>
      </c>
      <c r="D39" s="10">
        <v>8.1</v>
      </c>
      <c r="E39" s="10">
        <v>31.99</v>
      </c>
      <c r="F39" s="10">
        <v>30.55</v>
      </c>
      <c r="G39" s="10">
        <v>30.47</v>
      </c>
    </row>
    <row r="40" spans="1:7" ht="15.75" customHeight="1">
      <c r="A40" s="6"/>
      <c r="B40" s="6"/>
      <c r="C40" s="110">
        <v>161</v>
      </c>
      <c r="D40" s="10">
        <v>7.7</v>
      </c>
      <c r="E40" s="10">
        <v>30.91</v>
      </c>
      <c r="F40" s="10">
        <v>30.47</v>
      </c>
      <c r="G40" s="10">
        <v>31.38</v>
      </c>
    </row>
    <row r="41" spans="1:7" ht="15.75" customHeight="1">
      <c r="A41" s="8"/>
      <c r="B41" s="8"/>
      <c r="C41" s="110">
        <v>167</v>
      </c>
      <c r="D41" s="10">
        <v>8.1</v>
      </c>
      <c r="E41" s="10">
        <v>30.73</v>
      </c>
      <c r="F41" s="10">
        <v>31.37</v>
      </c>
      <c r="G41" s="10">
        <v>30.27</v>
      </c>
    </row>
    <row r="42" spans="1:7" ht="15.75" customHeight="1">
      <c r="A42" s="13" t="s">
        <v>43</v>
      </c>
      <c r="B42" s="13" t="s">
        <v>113</v>
      </c>
      <c r="C42" s="127">
        <v>101</v>
      </c>
      <c r="D42" s="41">
        <v>3.8</v>
      </c>
      <c r="E42" s="41">
        <v>30.46</v>
      </c>
      <c r="F42" s="41">
        <v>30.16</v>
      </c>
      <c r="G42" s="118">
        <v>28.6</v>
      </c>
    </row>
    <row r="43" spans="1:7" ht="15.75" customHeight="1">
      <c r="A43" s="6"/>
      <c r="B43" s="6"/>
      <c r="C43" s="127">
        <v>102</v>
      </c>
      <c r="D43" s="41">
        <v>3.9</v>
      </c>
      <c r="E43" s="41">
        <v>30.61</v>
      </c>
      <c r="F43" s="41">
        <v>30.42</v>
      </c>
      <c r="G43" s="118">
        <v>28.8</v>
      </c>
    </row>
    <row r="44" spans="1:7" ht="15.75" customHeight="1">
      <c r="A44" s="6"/>
      <c r="B44" s="6"/>
      <c r="C44" s="127">
        <v>103</v>
      </c>
      <c r="D44" s="41">
        <v>4.0999999999999996</v>
      </c>
      <c r="E44" s="41">
        <v>30.47</v>
      </c>
      <c r="F44" s="41">
        <v>29.31</v>
      </c>
      <c r="G44" s="118">
        <v>29.42</v>
      </c>
    </row>
    <row r="45" spans="1:7" ht="15.75" customHeight="1">
      <c r="A45" s="6"/>
      <c r="B45" s="6"/>
      <c r="C45" s="127">
        <v>104</v>
      </c>
      <c r="D45" s="41">
        <v>4</v>
      </c>
      <c r="E45" s="41">
        <v>30.97</v>
      </c>
      <c r="F45" s="41">
        <v>30.06</v>
      </c>
      <c r="G45" s="118">
        <v>28.94</v>
      </c>
    </row>
    <row r="46" spans="1:7" ht="15.75" customHeight="1">
      <c r="A46" s="6"/>
      <c r="B46" s="8"/>
      <c r="C46" s="127">
        <v>105</v>
      </c>
      <c r="D46" s="41">
        <v>4.2</v>
      </c>
      <c r="E46" s="41">
        <v>30.38</v>
      </c>
      <c r="F46" s="41">
        <v>30.76</v>
      </c>
      <c r="G46" s="118">
        <v>29.48</v>
      </c>
    </row>
    <row r="47" spans="1:7" ht="15.75" customHeight="1">
      <c r="A47" s="6"/>
      <c r="B47" s="13" t="s">
        <v>114</v>
      </c>
      <c r="C47" s="128">
        <v>201</v>
      </c>
      <c r="D47" s="41">
        <v>5.2</v>
      </c>
      <c r="E47" s="41">
        <v>30.48</v>
      </c>
      <c r="F47" s="41">
        <v>31.05</v>
      </c>
      <c r="G47" s="118">
        <v>31.46</v>
      </c>
    </row>
    <row r="48" spans="1:7" ht="15.75" customHeight="1">
      <c r="A48" s="6"/>
      <c r="B48" s="6"/>
      <c r="C48" s="128">
        <v>202</v>
      </c>
      <c r="D48" s="41">
        <v>5.0999999999999996</v>
      </c>
      <c r="E48" s="41">
        <v>30.86</v>
      </c>
      <c r="F48" s="41">
        <v>31.95</v>
      </c>
      <c r="G48" s="118">
        <v>31.46</v>
      </c>
    </row>
    <row r="49" spans="1:7" ht="15.75" customHeight="1">
      <c r="A49" s="6"/>
      <c r="B49" s="6"/>
      <c r="C49" s="128">
        <v>203</v>
      </c>
      <c r="D49" s="41">
        <v>5.2</v>
      </c>
      <c r="E49" s="41">
        <v>30.97</v>
      </c>
      <c r="F49" s="41">
        <v>30.42</v>
      </c>
      <c r="G49" s="118">
        <v>31.46</v>
      </c>
    </row>
    <row r="50" spans="1:7" ht="15.75" customHeight="1">
      <c r="A50" s="6"/>
      <c r="B50" s="6"/>
      <c r="C50" s="128">
        <v>204</v>
      </c>
      <c r="D50" s="41">
        <v>5.0999999999999996</v>
      </c>
      <c r="E50" s="41">
        <v>32.43</v>
      </c>
      <c r="F50" s="41">
        <v>30.72</v>
      </c>
      <c r="G50" s="118">
        <v>30.82</v>
      </c>
    </row>
    <row r="51" spans="1:7" ht="15.75" customHeight="1">
      <c r="A51" s="6"/>
      <c r="B51" s="8"/>
      <c r="C51" s="128">
        <v>205</v>
      </c>
      <c r="D51" s="41">
        <v>5</v>
      </c>
      <c r="E51" s="41">
        <v>30.8</v>
      </c>
      <c r="F51" s="41">
        <v>30.41</v>
      </c>
      <c r="G51" s="118">
        <v>31.68</v>
      </c>
    </row>
    <row r="52" spans="1:7" ht="15.75" customHeight="1">
      <c r="A52" s="6"/>
      <c r="B52" s="13" t="s">
        <v>115</v>
      </c>
      <c r="C52" s="129">
        <v>166</v>
      </c>
      <c r="D52" s="41">
        <v>5.6</v>
      </c>
      <c r="E52" s="41">
        <v>30.92</v>
      </c>
      <c r="F52" s="41">
        <v>30.35</v>
      </c>
      <c r="G52" s="118">
        <v>31.8</v>
      </c>
    </row>
    <row r="53" spans="1:7" ht="15.75" customHeight="1">
      <c r="A53" s="6"/>
      <c r="B53" s="6"/>
      <c r="C53" s="129">
        <v>167</v>
      </c>
      <c r="D53" s="41">
        <v>5.8</v>
      </c>
      <c r="E53" s="41">
        <v>31.36</v>
      </c>
      <c r="F53" s="41">
        <v>30.37</v>
      </c>
      <c r="G53" s="118">
        <v>31.8</v>
      </c>
    </row>
    <row r="54" spans="1:7" ht="15.75" customHeight="1">
      <c r="A54" s="6"/>
      <c r="B54" s="6"/>
      <c r="C54" s="129">
        <v>168</v>
      </c>
      <c r="D54" s="41">
        <v>5.7</v>
      </c>
      <c r="E54" s="41">
        <v>30.07</v>
      </c>
      <c r="F54" s="41">
        <v>30.8</v>
      </c>
      <c r="G54" s="118">
        <v>31.11</v>
      </c>
    </row>
    <row r="55" spans="1:7" ht="15.75" customHeight="1">
      <c r="A55" s="6"/>
      <c r="B55" s="6"/>
      <c r="C55" s="129">
        <v>169</v>
      </c>
      <c r="D55" s="41">
        <v>5.8</v>
      </c>
      <c r="E55" s="41">
        <v>31.33</v>
      </c>
      <c r="F55" s="41">
        <v>30.16</v>
      </c>
      <c r="G55" s="118">
        <v>31.31</v>
      </c>
    </row>
    <row r="56" spans="1:7" ht="15.75" customHeight="1">
      <c r="A56" s="6"/>
      <c r="B56" s="8"/>
      <c r="C56" s="129">
        <v>170</v>
      </c>
      <c r="D56" s="41">
        <v>5.7</v>
      </c>
      <c r="E56" s="41">
        <v>31.2</v>
      </c>
      <c r="F56" s="41">
        <v>31</v>
      </c>
      <c r="G56" s="118">
        <v>30.96</v>
      </c>
    </row>
    <row r="57" spans="1:7" ht="15.75" customHeight="1">
      <c r="A57" s="6"/>
      <c r="B57" s="13" t="s">
        <v>116</v>
      </c>
      <c r="C57" s="130">
        <v>186</v>
      </c>
      <c r="D57" s="41">
        <v>4.3</v>
      </c>
      <c r="E57" s="41">
        <v>30.6</v>
      </c>
      <c r="F57" s="41">
        <v>30.35</v>
      </c>
      <c r="G57" s="118">
        <v>28.89</v>
      </c>
    </row>
    <row r="58" spans="1:7" ht="15.75" customHeight="1">
      <c r="A58" s="6"/>
      <c r="B58" s="6"/>
      <c r="C58" s="130">
        <v>187</v>
      </c>
      <c r="D58" s="41">
        <v>4.0999999999999996</v>
      </c>
      <c r="E58" s="41">
        <v>30.59</v>
      </c>
      <c r="F58" s="41">
        <v>30.1</v>
      </c>
      <c r="G58" s="118">
        <v>29.04</v>
      </c>
    </row>
    <row r="59" spans="1:7" ht="15.75" customHeight="1">
      <c r="A59" s="6"/>
      <c r="B59" s="6"/>
      <c r="C59" s="130">
        <v>188</v>
      </c>
      <c r="D59" s="41">
        <v>4</v>
      </c>
      <c r="E59" s="41">
        <v>30.67</v>
      </c>
      <c r="F59" s="41">
        <v>30.59</v>
      </c>
      <c r="G59" s="118">
        <v>27.85</v>
      </c>
    </row>
    <row r="60" spans="1:7" ht="15.75" customHeight="1">
      <c r="A60" s="6"/>
      <c r="B60" s="6"/>
      <c r="C60" s="130">
        <v>189</v>
      </c>
      <c r="D60" s="41">
        <v>4.2</v>
      </c>
      <c r="E60" s="41">
        <v>31.2</v>
      </c>
      <c r="F60" s="41">
        <v>30.74</v>
      </c>
      <c r="G60" s="118">
        <v>29.82</v>
      </c>
    </row>
    <row r="61" spans="1:7" ht="15.75" customHeight="1">
      <c r="A61" s="8"/>
      <c r="B61" s="8"/>
      <c r="C61" s="130">
        <v>190</v>
      </c>
      <c r="D61" s="41">
        <v>4</v>
      </c>
      <c r="E61" s="41">
        <v>29.88</v>
      </c>
      <c r="F61" s="41">
        <v>29.74</v>
      </c>
      <c r="G61" s="118">
        <v>29.16</v>
      </c>
    </row>
    <row r="62" spans="1:7" ht="15.75" customHeight="1">
      <c r="A62" s="119" t="s">
        <v>112</v>
      </c>
      <c r="B62" s="13" t="s">
        <v>113</v>
      </c>
      <c r="C62" s="10">
        <v>107</v>
      </c>
      <c r="D62" s="41">
        <v>3.7</v>
      </c>
      <c r="E62" s="41">
        <v>25.13</v>
      </c>
      <c r="F62" s="41">
        <v>30.52</v>
      </c>
      <c r="G62" s="41">
        <v>30.24</v>
      </c>
    </row>
    <row r="63" spans="1:7" ht="15.75" customHeight="1">
      <c r="A63" s="120"/>
      <c r="B63" s="6"/>
      <c r="C63" s="10">
        <v>306</v>
      </c>
      <c r="D63" s="41">
        <v>5</v>
      </c>
      <c r="E63" s="41">
        <v>31.79</v>
      </c>
      <c r="F63" s="41">
        <v>30.31</v>
      </c>
      <c r="G63" s="41">
        <v>29.48</v>
      </c>
    </row>
    <row r="64" spans="1:7" ht="15.75" customHeight="1">
      <c r="A64" s="120"/>
      <c r="B64" s="6"/>
      <c r="C64" s="10">
        <v>309</v>
      </c>
      <c r="D64" s="41">
        <v>4.5999999999999996</v>
      </c>
      <c r="E64" s="41">
        <v>29.33</v>
      </c>
      <c r="F64" s="41">
        <v>30.02</v>
      </c>
      <c r="G64" s="41">
        <v>30.88</v>
      </c>
    </row>
    <row r="65" spans="1:7" ht="15.75" customHeight="1">
      <c r="A65" s="120"/>
      <c r="B65" s="6"/>
      <c r="C65" s="10">
        <v>290</v>
      </c>
      <c r="D65" s="41">
        <v>4.0999999999999996</v>
      </c>
      <c r="E65" s="41">
        <v>27.94</v>
      </c>
      <c r="F65" s="41">
        <v>29.98</v>
      </c>
      <c r="G65" s="41">
        <v>29.88</v>
      </c>
    </row>
    <row r="66" spans="1:7" ht="15.75" customHeight="1">
      <c r="A66" s="120"/>
      <c r="B66" s="8"/>
      <c r="C66" s="10">
        <v>327</v>
      </c>
      <c r="D66" s="41">
        <v>4.8</v>
      </c>
      <c r="E66" s="41">
        <v>31.45</v>
      </c>
      <c r="F66" s="41">
        <v>29.61</v>
      </c>
      <c r="G66" s="41">
        <v>30.65</v>
      </c>
    </row>
    <row r="67" spans="1:7" ht="15.75" customHeight="1">
      <c r="A67" s="120"/>
      <c r="B67" s="13" t="s">
        <v>114</v>
      </c>
      <c r="C67" s="10">
        <v>208</v>
      </c>
      <c r="D67" s="41">
        <v>5.4</v>
      </c>
      <c r="E67" s="41">
        <v>32.020000000000003</v>
      </c>
      <c r="F67" s="41">
        <v>30.25</v>
      </c>
      <c r="G67" s="41">
        <v>30.46</v>
      </c>
    </row>
    <row r="68" spans="1:7" ht="15.75" customHeight="1">
      <c r="A68" s="120"/>
      <c r="B68" s="6"/>
      <c r="C68" s="10">
        <v>311</v>
      </c>
      <c r="D68" s="41">
        <v>5.4</v>
      </c>
      <c r="E68" s="41">
        <v>30.72</v>
      </c>
      <c r="F68" s="41">
        <v>30.52</v>
      </c>
      <c r="G68" s="41">
        <v>30.84</v>
      </c>
    </row>
    <row r="69" spans="1:7" ht="15.75" customHeight="1">
      <c r="A69" s="120"/>
      <c r="B69" s="6"/>
      <c r="C69" s="10">
        <v>277</v>
      </c>
      <c r="D69" s="41">
        <v>5.3</v>
      </c>
      <c r="E69" s="41">
        <v>31.36</v>
      </c>
      <c r="F69" s="41">
        <v>30.62</v>
      </c>
      <c r="G69" s="41">
        <v>31.14</v>
      </c>
    </row>
    <row r="70" spans="1:7" ht="15.75" customHeight="1">
      <c r="A70" s="120"/>
      <c r="B70" s="6"/>
      <c r="C70" s="10">
        <v>279</v>
      </c>
      <c r="D70" s="41">
        <v>5.6</v>
      </c>
      <c r="E70" s="41">
        <v>32.72</v>
      </c>
      <c r="F70" s="41">
        <v>31.35</v>
      </c>
      <c r="G70" s="41">
        <v>31.02</v>
      </c>
    </row>
    <row r="71" spans="1:7" ht="15.75" customHeight="1">
      <c r="A71" s="120"/>
      <c r="B71" s="8"/>
      <c r="C71" s="10">
        <v>270</v>
      </c>
      <c r="D71" s="41">
        <v>5.3</v>
      </c>
      <c r="E71" s="41">
        <v>31.79</v>
      </c>
      <c r="F71" s="41">
        <v>30.31</v>
      </c>
      <c r="G71" s="41">
        <v>29.48</v>
      </c>
    </row>
    <row r="72" spans="1:7" ht="15.75" customHeight="1">
      <c r="A72" s="120"/>
      <c r="B72" s="13" t="s">
        <v>115</v>
      </c>
      <c r="C72" s="10">
        <v>173</v>
      </c>
      <c r="D72" s="41">
        <v>6</v>
      </c>
      <c r="E72" s="41">
        <v>30.44</v>
      </c>
      <c r="F72" s="41">
        <v>30.37</v>
      </c>
      <c r="G72" s="41">
        <v>30.87</v>
      </c>
    </row>
    <row r="73" spans="1:7" ht="15.75" customHeight="1">
      <c r="A73" s="120"/>
      <c r="B73" s="6"/>
      <c r="C73" s="10">
        <v>226</v>
      </c>
      <c r="D73" s="41">
        <v>5.9</v>
      </c>
      <c r="E73" s="41">
        <v>29.65</v>
      </c>
      <c r="F73" s="41">
        <v>30.45</v>
      </c>
      <c r="G73" s="41">
        <v>30.25</v>
      </c>
    </row>
    <row r="74" spans="1:7" ht="15.75" customHeight="1">
      <c r="A74" s="120"/>
      <c r="B74" s="6"/>
      <c r="C74" s="10">
        <v>230</v>
      </c>
      <c r="D74" s="41">
        <v>5.8</v>
      </c>
      <c r="E74" s="41">
        <v>30.18</v>
      </c>
      <c r="F74" s="41">
        <v>30.54</v>
      </c>
      <c r="G74" s="41">
        <v>30.59</v>
      </c>
    </row>
    <row r="75" spans="1:7" ht="15.75" customHeight="1">
      <c r="A75" s="120"/>
      <c r="B75" s="6"/>
      <c r="C75" s="10">
        <v>347</v>
      </c>
      <c r="D75" s="41">
        <v>6.2</v>
      </c>
      <c r="E75" s="41">
        <v>30.59</v>
      </c>
      <c r="F75" s="41">
        <v>30.35</v>
      </c>
      <c r="G75" s="41">
        <v>31.25</v>
      </c>
    </row>
    <row r="76" spans="1:7" ht="15.75" customHeight="1">
      <c r="A76" s="120"/>
      <c r="B76" s="8"/>
      <c r="C76" s="10">
        <v>52</v>
      </c>
      <c r="D76" s="41">
        <v>6.5</v>
      </c>
      <c r="E76" s="41">
        <v>33.020000000000003</v>
      </c>
      <c r="F76" s="41">
        <v>30.62</v>
      </c>
      <c r="G76" s="41">
        <v>30.28</v>
      </c>
    </row>
    <row r="77" spans="1:7" ht="15.75" customHeight="1">
      <c r="A77" s="120"/>
      <c r="B77" s="13" t="s">
        <v>116</v>
      </c>
      <c r="C77" s="10">
        <v>195</v>
      </c>
      <c r="D77" s="41">
        <v>4.5</v>
      </c>
      <c r="E77" s="41">
        <v>28.38</v>
      </c>
      <c r="F77" s="41">
        <v>28.46</v>
      </c>
      <c r="G77" s="41">
        <v>30.55</v>
      </c>
    </row>
    <row r="78" spans="1:7" ht="15.75" customHeight="1">
      <c r="A78" s="120"/>
      <c r="B78" s="6"/>
      <c r="C78" s="10">
        <v>156</v>
      </c>
      <c r="D78" s="41">
        <v>4.8</v>
      </c>
      <c r="E78" s="41">
        <v>30.3</v>
      </c>
      <c r="F78" s="41">
        <v>29.78</v>
      </c>
      <c r="G78" s="41">
        <v>30.69</v>
      </c>
    </row>
    <row r="79" spans="1:7" ht="15.75" customHeight="1">
      <c r="A79" s="120"/>
      <c r="B79" s="6"/>
      <c r="C79" s="10">
        <v>252</v>
      </c>
      <c r="D79" s="41">
        <v>4.8</v>
      </c>
      <c r="E79" s="41">
        <v>30.5</v>
      </c>
      <c r="F79" s="41">
        <v>29.82</v>
      </c>
      <c r="G79" s="41">
        <v>30.09</v>
      </c>
    </row>
    <row r="80" spans="1:7" ht="15.75" customHeight="1">
      <c r="A80" s="120"/>
      <c r="B80" s="6"/>
      <c r="C80" s="10">
        <v>217</v>
      </c>
      <c r="D80" s="41">
        <v>4.4000000000000004</v>
      </c>
      <c r="E80" s="41">
        <v>28.27</v>
      </c>
      <c r="F80" s="41">
        <v>28.95</v>
      </c>
      <c r="G80" s="41">
        <v>29.78</v>
      </c>
    </row>
    <row r="81" spans="1:7" ht="15.75" customHeight="1">
      <c r="A81" s="121"/>
      <c r="B81" s="8"/>
      <c r="C81" s="10">
        <v>220</v>
      </c>
      <c r="D81" s="41">
        <v>4.0999999999999996</v>
      </c>
      <c r="E81" s="41">
        <v>24.98</v>
      </c>
      <c r="F81" s="41">
        <v>31.68</v>
      </c>
      <c r="G81" s="41">
        <v>28.34</v>
      </c>
    </row>
    <row r="82" spans="1:7" ht="15.75" customHeight="1">
      <c r="A82" s="5"/>
      <c r="B82" s="4"/>
      <c r="C82" s="68"/>
      <c r="D82" s="98"/>
    </row>
    <row r="83" spans="1:7" ht="15.75" customHeight="1">
      <c r="A83" s="4"/>
      <c r="B83" s="4"/>
      <c r="C83" s="68"/>
      <c r="D83" s="98" t="s">
        <v>118</v>
      </c>
    </row>
    <row r="84" spans="1:7" ht="15.75" customHeight="1">
      <c r="A84" s="4"/>
      <c r="B84" s="4"/>
      <c r="C84" s="68"/>
      <c r="D84" s="98" t="s">
        <v>118</v>
      </c>
    </row>
    <row r="85" spans="1:7" ht="15.75" customHeight="1">
      <c r="D85" s="98" t="s">
        <v>118</v>
      </c>
    </row>
    <row r="86" spans="1:7" ht="15.75" customHeight="1">
      <c r="D86" s="98" t="s">
        <v>118</v>
      </c>
    </row>
    <row r="87" spans="1:7" ht="15.75" customHeight="1">
      <c r="D87" s="98" t="s">
        <v>118</v>
      </c>
    </row>
    <row r="88" spans="1:7" ht="15.75" customHeight="1">
      <c r="D88" s="98" t="s">
        <v>118</v>
      </c>
    </row>
    <row r="89" spans="1:7" ht="15.75" customHeight="1">
      <c r="D89" s="98" t="s">
        <v>118</v>
      </c>
    </row>
    <row r="90" spans="1:7" ht="15.75" customHeight="1">
      <c r="D90" s="98" t="s">
        <v>118</v>
      </c>
    </row>
    <row r="91" spans="1:7" ht="15.75" customHeight="1">
      <c r="D91" s="98" t="s">
        <v>118</v>
      </c>
    </row>
    <row r="92" spans="1:7" ht="15.75" customHeight="1">
      <c r="D92" s="98" t="s">
        <v>118</v>
      </c>
    </row>
    <row r="93" spans="1:7" ht="15.75" customHeight="1">
      <c r="D93" s="98" t="s">
        <v>118</v>
      </c>
    </row>
    <row r="94" spans="1:7" ht="15.75" customHeight="1">
      <c r="D94" s="98" t="s">
        <v>118</v>
      </c>
    </row>
    <row r="95" spans="1:7" ht="15.75" customHeight="1">
      <c r="D95" s="98" t="s">
        <v>118</v>
      </c>
    </row>
    <row r="96" spans="1:7" ht="15.75" customHeight="1">
      <c r="D96" s="98" t="s">
        <v>118</v>
      </c>
    </row>
    <row r="97" spans="4:4" ht="15.75" customHeight="1">
      <c r="D97" s="98" t="s">
        <v>118</v>
      </c>
    </row>
    <row r="98" spans="4:4" ht="15.75" customHeight="1">
      <c r="D98" s="98" t="s">
        <v>118</v>
      </c>
    </row>
    <row r="99" spans="4:4" ht="15.75" customHeight="1">
      <c r="D99" s="98" t="s">
        <v>118</v>
      </c>
    </row>
    <row r="100" spans="4:4" ht="15.75" customHeight="1">
      <c r="D100" s="98" t="s">
        <v>118</v>
      </c>
    </row>
    <row r="101" spans="4:4" ht="15.75" customHeight="1">
      <c r="D101" s="98" t="s">
        <v>118</v>
      </c>
    </row>
    <row r="102" spans="4:4" ht="15.75" customHeight="1">
      <c r="D102" s="98" t="s">
        <v>118</v>
      </c>
    </row>
    <row r="103" spans="4:4" ht="15.75" customHeight="1">
      <c r="D103" s="98" t="s">
        <v>118</v>
      </c>
    </row>
    <row r="104" spans="4:4" ht="15.75" customHeight="1">
      <c r="D104" s="98" t="s">
        <v>118</v>
      </c>
    </row>
    <row r="105" spans="4:4" ht="15.75" customHeight="1">
      <c r="D105" s="98" t="s">
        <v>118</v>
      </c>
    </row>
    <row r="106" spans="4:4" ht="15.75" customHeight="1">
      <c r="D106" s="98" t="s">
        <v>118</v>
      </c>
    </row>
    <row r="107" spans="4:4" ht="15.75" customHeight="1">
      <c r="D107" s="98" t="s">
        <v>118</v>
      </c>
    </row>
    <row r="108" spans="4:4" ht="15.75" customHeight="1">
      <c r="D108" s="98" t="s">
        <v>118</v>
      </c>
    </row>
    <row r="109" spans="4:4" ht="15.75" customHeight="1">
      <c r="D109" s="98" t="s">
        <v>118</v>
      </c>
    </row>
    <row r="110" spans="4:4" ht="15.75" customHeight="1">
      <c r="D110" s="98" t="s">
        <v>118</v>
      </c>
    </row>
    <row r="111" spans="4:4" ht="15.75" customHeight="1">
      <c r="D111" s="98" t="s">
        <v>118</v>
      </c>
    </row>
    <row r="112" spans="4:4" ht="15.75" customHeight="1">
      <c r="D112" s="98" t="s">
        <v>118</v>
      </c>
    </row>
    <row r="113" spans="4:4" ht="15.75" customHeight="1">
      <c r="D113" s="98" t="s">
        <v>118</v>
      </c>
    </row>
    <row r="114" spans="4:4" ht="15.75" customHeight="1">
      <c r="D114" s="98" t="s">
        <v>118</v>
      </c>
    </row>
    <row r="115" spans="4:4" ht="15.75" customHeight="1">
      <c r="D115" s="98" t="s">
        <v>118</v>
      </c>
    </row>
    <row r="116" spans="4:4" ht="15.75" customHeight="1">
      <c r="D116" s="98" t="s">
        <v>118</v>
      </c>
    </row>
    <row r="117" spans="4:4" ht="15.75" customHeight="1">
      <c r="D117" s="98" t="s">
        <v>118</v>
      </c>
    </row>
    <row r="118" spans="4:4" ht="15.75" customHeight="1">
      <c r="D118" s="98" t="s">
        <v>118</v>
      </c>
    </row>
    <row r="119" spans="4:4" ht="15.75" customHeight="1">
      <c r="D119" s="98" t="s">
        <v>118</v>
      </c>
    </row>
    <row r="120" spans="4:4" ht="15.75" customHeight="1">
      <c r="D120" s="98" t="s">
        <v>118</v>
      </c>
    </row>
    <row r="121" spans="4:4" ht="15.75" customHeight="1">
      <c r="D121" s="98" t="s">
        <v>118</v>
      </c>
    </row>
    <row r="122" spans="4:4" ht="15.75" customHeight="1">
      <c r="D122" s="98" t="s">
        <v>118</v>
      </c>
    </row>
    <row r="123" spans="4:4" ht="15.75" customHeight="1">
      <c r="D123" s="98" t="s">
        <v>118</v>
      </c>
    </row>
    <row r="124" spans="4:4" ht="15.75" customHeight="1">
      <c r="D124" s="98" t="s">
        <v>118</v>
      </c>
    </row>
    <row r="125" spans="4:4" ht="15.75" customHeight="1">
      <c r="D125" s="98" t="s">
        <v>118</v>
      </c>
    </row>
    <row r="126" spans="4:4" ht="15.75" customHeight="1">
      <c r="D126" s="98" t="s">
        <v>118</v>
      </c>
    </row>
    <row r="127" spans="4:4" ht="15.75" customHeight="1">
      <c r="D127" s="98" t="s">
        <v>118</v>
      </c>
    </row>
    <row r="128" spans="4:4" ht="15.75" customHeight="1">
      <c r="D128" s="98" t="s">
        <v>118</v>
      </c>
    </row>
    <row r="129" spans="4:4" ht="15.75" customHeight="1">
      <c r="D129" s="98" t="s">
        <v>118</v>
      </c>
    </row>
    <row r="130" spans="4:4" ht="15.75" customHeight="1">
      <c r="D130" s="98" t="s">
        <v>118</v>
      </c>
    </row>
    <row r="131" spans="4:4" ht="15.75" customHeight="1">
      <c r="D131" s="98" t="s">
        <v>118</v>
      </c>
    </row>
    <row r="132" spans="4:4" ht="15.75" customHeight="1">
      <c r="D132" s="98" t="s">
        <v>118</v>
      </c>
    </row>
    <row r="133" spans="4:4" ht="15.75" customHeight="1">
      <c r="D133" s="98" t="s">
        <v>118</v>
      </c>
    </row>
    <row r="134" spans="4:4" ht="15.75" customHeight="1">
      <c r="D134" s="98" t="s">
        <v>118</v>
      </c>
    </row>
    <row r="135" spans="4:4" ht="15.75" customHeight="1">
      <c r="D135" s="98" t="s">
        <v>118</v>
      </c>
    </row>
    <row r="136" spans="4:4" ht="15.75" customHeight="1">
      <c r="D136" s="98" t="s">
        <v>118</v>
      </c>
    </row>
    <row r="137" spans="4:4" ht="15.75" customHeight="1">
      <c r="D137" s="98" t="s">
        <v>118</v>
      </c>
    </row>
    <row r="138" spans="4:4" ht="15.75" customHeight="1">
      <c r="D138" s="98" t="s">
        <v>118</v>
      </c>
    </row>
    <row r="139" spans="4:4" ht="15.75" customHeight="1">
      <c r="D139" s="98" t="s">
        <v>118</v>
      </c>
    </row>
    <row r="140" spans="4:4" ht="15.75" customHeight="1">
      <c r="D140" s="98" t="s">
        <v>118</v>
      </c>
    </row>
    <row r="141" spans="4:4" ht="15.75" customHeight="1">
      <c r="D141" s="98" t="s">
        <v>118</v>
      </c>
    </row>
    <row r="142" spans="4:4" ht="15.75" customHeight="1">
      <c r="D142" s="98" t="s">
        <v>118</v>
      </c>
    </row>
    <row r="143" spans="4:4" ht="15.75" customHeight="1">
      <c r="D143" s="98" t="s">
        <v>118</v>
      </c>
    </row>
    <row r="144" spans="4:4" ht="15.75" customHeight="1">
      <c r="D144" s="98" t="s">
        <v>118</v>
      </c>
    </row>
    <row r="145" spans="3:4" ht="15.75" customHeight="1">
      <c r="D145" s="98" t="s">
        <v>118</v>
      </c>
    </row>
    <row r="146" spans="3:4" ht="15.75" customHeight="1">
      <c r="D146" s="98" t="s">
        <v>118</v>
      </c>
    </row>
    <row r="147" spans="3:4" ht="15.75" customHeight="1">
      <c r="C147" s="4"/>
      <c r="D147" s="98" t="s">
        <v>118</v>
      </c>
    </row>
    <row r="148" spans="3:4" ht="15.75" customHeight="1">
      <c r="C148" s="4"/>
      <c r="D148" s="98" t="s">
        <v>118</v>
      </c>
    </row>
    <row r="149" spans="3:4" ht="15.75" customHeight="1">
      <c r="D149" s="98" t="s">
        <v>118</v>
      </c>
    </row>
    <row r="150" spans="3:4" ht="15.75" customHeight="1">
      <c r="D150" s="98" t="s">
        <v>118</v>
      </c>
    </row>
    <row r="151" spans="3:4" ht="15.75" customHeight="1">
      <c r="D151" s="98" t="s">
        <v>118</v>
      </c>
    </row>
    <row r="152" spans="3:4" ht="15.75" customHeight="1">
      <c r="D152" s="98" t="s">
        <v>118</v>
      </c>
    </row>
    <row r="153" spans="3:4" ht="15.75" customHeight="1">
      <c r="C153" s="4"/>
      <c r="D153" s="98" t="s">
        <v>118</v>
      </c>
    </row>
    <row r="154" spans="3:4" ht="15.75" customHeight="1">
      <c r="C154" s="4"/>
      <c r="D154" s="98" t="s">
        <v>118</v>
      </c>
    </row>
    <row r="155" spans="3:4" ht="15.75" customHeight="1">
      <c r="D155" s="98" t="s">
        <v>118</v>
      </c>
    </row>
    <row r="156" spans="3:4" ht="15.75" customHeight="1">
      <c r="D156" s="98" t="s">
        <v>118</v>
      </c>
    </row>
    <row r="157" spans="3:4" ht="15.75" customHeight="1">
      <c r="D157" s="98" t="s">
        <v>118</v>
      </c>
    </row>
    <row r="158" spans="3:4" ht="15.75" customHeight="1">
      <c r="D158" s="98" t="s">
        <v>118</v>
      </c>
    </row>
    <row r="159" spans="3:4" ht="15.75" customHeight="1">
      <c r="D159" s="98" t="s">
        <v>118</v>
      </c>
    </row>
    <row r="160" spans="3:4" ht="15.75" customHeight="1">
      <c r="D160" s="98" t="s">
        <v>118</v>
      </c>
    </row>
    <row r="161" spans="3:4" ht="15.75" customHeight="1">
      <c r="D161" s="98" t="s">
        <v>118</v>
      </c>
    </row>
    <row r="162" spans="3:4" ht="15.75" customHeight="1">
      <c r="C162" s="4"/>
      <c r="D162" s="98" t="s">
        <v>118</v>
      </c>
    </row>
    <row r="163" spans="3:4" ht="15.75" customHeight="1">
      <c r="D163" s="98" t="s">
        <v>118</v>
      </c>
    </row>
    <row r="164" spans="3:4" ht="15.75" customHeight="1">
      <c r="D164" s="98" t="s">
        <v>118</v>
      </c>
    </row>
    <row r="165" spans="3:4" ht="15.75" customHeight="1">
      <c r="D165" s="98" t="s">
        <v>118</v>
      </c>
    </row>
    <row r="166" spans="3:4" ht="15.75" customHeight="1">
      <c r="D166" s="98" t="s">
        <v>118</v>
      </c>
    </row>
    <row r="167" spans="3:4" ht="15.75" customHeight="1">
      <c r="C167" s="4"/>
      <c r="D167" s="98" t="s">
        <v>118</v>
      </c>
    </row>
    <row r="168" spans="3:4" ht="15.75" customHeight="1">
      <c r="D168" s="98" t="s">
        <v>118</v>
      </c>
    </row>
    <row r="169" spans="3:4" ht="15.75" customHeight="1">
      <c r="D169" s="98" t="s">
        <v>118</v>
      </c>
    </row>
    <row r="170" spans="3:4" ht="15.75" customHeight="1">
      <c r="D170" s="98" t="s">
        <v>118</v>
      </c>
    </row>
    <row r="171" spans="3:4" ht="15.75" customHeight="1">
      <c r="D171" s="98" t="s">
        <v>118</v>
      </c>
    </row>
    <row r="172" spans="3:4" ht="15.75" customHeight="1">
      <c r="D172" s="98" t="s">
        <v>118</v>
      </c>
    </row>
    <row r="173" spans="3:4" ht="15.75" customHeight="1">
      <c r="C173" s="4"/>
      <c r="D173" s="98" t="s">
        <v>118</v>
      </c>
    </row>
    <row r="174" spans="3:4" ht="15.75" customHeight="1">
      <c r="D174" s="98" t="s">
        <v>118</v>
      </c>
    </row>
    <row r="175" spans="3:4" ht="15.75" customHeight="1">
      <c r="D175" s="98" t="s">
        <v>118</v>
      </c>
    </row>
    <row r="176" spans="3:4" ht="15.75" customHeight="1">
      <c r="D176" s="98" t="s">
        <v>118</v>
      </c>
    </row>
    <row r="177" spans="3:4" ht="15.75" customHeight="1">
      <c r="D177" s="98" t="s">
        <v>118</v>
      </c>
    </row>
    <row r="178" spans="3:4" ht="15.75" customHeight="1">
      <c r="C178" s="4"/>
      <c r="D178" s="98" t="s">
        <v>118</v>
      </c>
    </row>
    <row r="179" spans="3:4" ht="15.75" customHeight="1">
      <c r="C179" s="98" t="s">
        <v>118</v>
      </c>
    </row>
    <row r="180" spans="3:4" ht="15.75" customHeight="1">
      <c r="C180" s="98" t="s">
        <v>118</v>
      </c>
    </row>
    <row r="181" spans="3:4" ht="15.75" customHeight="1">
      <c r="C181" s="98" t="s">
        <v>118</v>
      </c>
    </row>
    <row r="182" spans="3:4" ht="15.75" customHeight="1">
      <c r="C182" s="98" t="s">
        <v>118</v>
      </c>
    </row>
    <row r="183" spans="3:4" ht="15.75" customHeight="1">
      <c r="C183" s="98" t="s">
        <v>118</v>
      </c>
    </row>
    <row r="184" spans="3:4" ht="15.75" customHeight="1">
      <c r="C184" s="98" t="s">
        <v>118</v>
      </c>
    </row>
    <row r="185" spans="3:4" ht="15.75" customHeight="1">
      <c r="C185" s="98" t="s">
        <v>118</v>
      </c>
    </row>
    <row r="186" spans="3:4" ht="15.75" customHeight="1">
      <c r="C186" s="98" t="s">
        <v>118</v>
      </c>
    </row>
    <row r="187" spans="3:4" ht="15.75" customHeight="1">
      <c r="C187" s="98" t="s">
        <v>118</v>
      </c>
    </row>
    <row r="188" spans="3:4" ht="15.75" customHeight="1">
      <c r="C188" s="98" t="s">
        <v>118</v>
      </c>
    </row>
    <row r="189" spans="3:4" ht="15.75" customHeight="1">
      <c r="C189" s="98" t="s">
        <v>118</v>
      </c>
    </row>
    <row r="190" spans="3:4" ht="15.75" customHeight="1">
      <c r="C190" s="98" t="s">
        <v>118</v>
      </c>
    </row>
    <row r="191" spans="3:4" ht="15.75" customHeight="1">
      <c r="C191" s="98" t="s">
        <v>118</v>
      </c>
    </row>
    <row r="192" spans="3:4" ht="15.75" customHeight="1">
      <c r="C192" s="98" t="s">
        <v>118</v>
      </c>
    </row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zoomScale="55" zoomScaleNormal="55" workbookViewId="0">
      <selection activeCell="C3" sqref="C3:C43"/>
    </sheetView>
  </sheetViews>
  <sheetFormatPr defaultColWidth="14.453125" defaultRowHeight="15" customHeight="1"/>
  <cols>
    <col min="1" max="1" width="14.26953125" customWidth="1"/>
    <col min="2" max="2" width="12.7265625" customWidth="1"/>
    <col min="3" max="3" width="10" customWidth="1"/>
    <col min="4" max="4" width="14.81640625" customWidth="1"/>
    <col min="5" max="5" width="16" customWidth="1"/>
    <col min="6" max="6" width="16.7265625" customWidth="1"/>
    <col min="7" max="7" width="19.08984375" customWidth="1"/>
    <col min="8" max="8" width="14.81640625" customWidth="1"/>
    <col min="9" max="9" width="16" customWidth="1"/>
    <col min="10" max="10" width="16.7265625" customWidth="1"/>
    <col min="11" max="11" width="19.08984375" customWidth="1"/>
    <col min="12" max="12" width="14.81640625" customWidth="1"/>
    <col min="13" max="13" width="16" customWidth="1"/>
    <col min="14" max="14" width="16.7265625" customWidth="1"/>
    <col min="15" max="15" width="19.08984375" customWidth="1"/>
    <col min="16" max="16" width="10" customWidth="1"/>
    <col min="17" max="17" width="25.26953125" customWidth="1"/>
    <col min="18" max="19" width="10" customWidth="1"/>
    <col min="20" max="20" width="22.26953125" customWidth="1"/>
    <col min="21" max="21" width="10" customWidth="1"/>
    <col min="22" max="22" width="21.453125" customWidth="1"/>
    <col min="23" max="23" width="10" customWidth="1"/>
    <col min="24" max="26" width="14" customWidth="1"/>
  </cols>
  <sheetData>
    <row r="1" spans="1:26" ht="21.5">
      <c r="D1" s="131" t="s">
        <v>119</v>
      </c>
      <c r="E1" s="132"/>
      <c r="F1" s="132"/>
      <c r="G1" s="133"/>
      <c r="H1" s="131" t="s">
        <v>120</v>
      </c>
      <c r="I1" s="132"/>
      <c r="J1" s="132"/>
      <c r="K1" s="133"/>
      <c r="L1" s="131" t="s">
        <v>121</v>
      </c>
      <c r="M1" s="134"/>
      <c r="N1" s="134"/>
      <c r="O1" s="132"/>
      <c r="P1" s="295" t="s">
        <v>122</v>
      </c>
      <c r="Q1" s="296"/>
      <c r="R1" s="295" t="s">
        <v>123</v>
      </c>
      <c r="S1" s="297"/>
      <c r="T1" s="296"/>
      <c r="U1" s="295" t="s">
        <v>124</v>
      </c>
      <c r="V1" s="296"/>
    </row>
    <row r="2" spans="1:26" ht="14.5">
      <c r="A2" s="1" t="s">
        <v>102</v>
      </c>
      <c r="B2" s="2" t="s">
        <v>103</v>
      </c>
      <c r="C2" s="104" t="s">
        <v>3</v>
      </c>
      <c r="D2" s="36" t="s">
        <v>104</v>
      </c>
      <c r="E2" s="37" t="s">
        <v>105</v>
      </c>
      <c r="F2" s="37" t="s">
        <v>106</v>
      </c>
      <c r="G2" s="135" t="s">
        <v>107</v>
      </c>
      <c r="H2" s="36" t="s">
        <v>104</v>
      </c>
      <c r="I2" s="37" t="s">
        <v>105</v>
      </c>
      <c r="J2" s="37" t="s">
        <v>106</v>
      </c>
      <c r="K2" s="135" t="s">
        <v>107</v>
      </c>
      <c r="L2" s="36" t="s">
        <v>104</v>
      </c>
      <c r="M2" s="37" t="s">
        <v>105</v>
      </c>
      <c r="N2" s="37" t="s">
        <v>106</v>
      </c>
      <c r="O2" s="104" t="s">
        <v>107</v>
      </c>
      <c r="P2" s="136" t="s">
        <v>125</v>
      </c>
      <c r="Q2" s="137" t="s">
        <v>126</v>
      </c>
      <c r="R2" s="136" t="s">
        <v>127</v>
      </c>
      <c r="S2" s="138" t="s">
        <v>125</v>
      </c>
      <c r="T2" s="137" t="s">
        <v>126</v>
      </c>
      <c r="U2" s="136" t="s">
        <v>125</v>
      </c>
      <c r="V2" s="137" t="s">
        <v>126</v>
      </c>
      <c r="W2" s="139"/>
    </row>
    <row r="3" spans="1:26" ht="15.5">
      <c r="A3" s="140" t="s">
        <v>43</v>
      </c>
      <c r="B3" s="141" t="s">
        <v>9</v>
      </c>
      <c r="C3" s="105">
        <v>7</v>
      </c>
      <c r="D3" s="142">
        <v>7.5</v>
      </c>
      <c r="E3" s="143">
        <v>30.44</v>
      </c>
      <c r="F3" s="143">
        <v>30.36</v>
      </c>
      <c r="G3" s="144">
        <v>29.79</v>
      </c>
      <c r="H3" s="145">
        <v>27.8</v>
      </c>
      <c r="I3" s="143">
        <v>30.85</v>
      </c>
      <c r="J3" s="143">
        <v>30.54</v>
      </c>
      <c r="K3" s="144">
        <v>30.75</v>
      </c>
      <c r="L3" s="145">
        <v>28.9</v>
      </c>
      <c r="M3" s="143">
        <v>30.92</v>
      </c>
      <c r="N3" s="143">
        <v>30.83</v>
      </c>
      <c r="O3" s="146">
        <v>30.86</v>
      </c>
      <c r="P3" s="147">
        <f t="shared" ref="P3:P43" si="0">(H3-D3)/D3*100</f>
        <v>270.66666666666663</v>
      </c>
      <c r="Q3" s="148">
        <f t="shared" ref="Q3:Q43" si="1">(L3-D3)/D3*100</f>
        <v>285.33333333333331</v>
      </c>
      <c r="R3" s="147">
        <f t="shared" ref="R3:R43" si="2">E3*F3*G3/1000</f>
        <v>27.530678736000002</v>
      </c>
      <c r="S3" s="149">
        <f t="shared" ref="S3:S43" si="3">I3*J3*K3/1000</f>
        <v>28.971389250000001</v>
      </c>
      <c r="T3" s="148">
        <f t="shared" ref="T3:T43" si="4">M3*N3*O3/1000</f>
        <v>29.417714695999997</v>
      </c>
      <c r="U3" s="147">
        <f t="shared" ref="U3:V3" si="5">(S3-R3)/R3*100</f>
        <v>5.2331093171200305</v>
      </c>
      <c r="V3" s="148">
        <f t="shared" si="5"/>
        <v>1.540573157015575</v>
      </c>
      <c r="W3" s="150"/>
      <c r="X3" s="151"/>
      <c r="Y3" s="151"/>
      <c r="Z3" s="151"/>
    </row>
    <row r="4" spans="1:26" ht="15.5">
      <c r="A4" s="151"/>
      <c r="B4" s="141"/>
      <c r="C4" s="72">
        <v>13</v>
      </c>
      <c r="D4" s="152">
        <v>7.3</v>
      </c>
      <c r="E4" s="153">
        <v>30.5</v>
      </c>
      <c r="F4" s="153">
        <v>30.52</v>
      </c>
      <c r="G4" s="154">
        <v>30.3</v>
      </c>
      <c r="H4" s="155">
        <v>28.4</v>
      </c>
      <c r="I4" s="153">
        <v>30.87</v>
      </c>
      <c r="J4" s="153">
        <v>30.88</v>
      </c>
      <c r="K4" s="154">
        <v>30.51</v>
      </c>
      <c r="L4" s="155">
        <v>29</v>
      </c>
      <c r="M4" s="153">
        <v>30.79</v>
      </c>
      <c r="N4" s="153">
        <v>30.84</v>
      </c>
      <c r="O4" s="156">
        <v>30.63</v>
      </c>
      <c r="P4" s="147">
        <f t="shared" si="0"/>
        <v>289.04109589041093</v>
      </c>
      <c r="Q4" s="148">
        <f t="shared" si="1"/>
        <v>297.2602739726027</v>
      </c>
      <c r="R4" s="147">
        <f t="shared" si="2"/>
        <v>28.205058000000001</v>
      </c>
      <c r="S4" s="149">
        <f t="shared" si="3"/>
        <v>29.084133456</v>
      </c>
      <c r="T4" s="148">
        <f t="shared" si="4"/>
        <v>29.085133067999998</v>
      </c>
      <c r="U4" s="147">
        <f t="shared" ref="U4:V4" si="6">(S4-R4)/R4*100</f>
        <v>3.1167298290966072</v>
      </c>
      <c r="V4" s="148">
        <f t="shared" si="6"/>
        <v>3.436966762340731E-3</v>
      </c>
      <c r="W4" s="150"/>
      <c r="X4" s="151"/>
      <c r="Y4" s="151"/>
      <c r="Z4" s="151"/>
    </row>
    <row r="5" spans="1:26" ht="14.25" customHeight="1">
      <c r="A5" s="151"/>
      <c r="B5" s="141"/>
      <c r="C5" s="72">
        <v>18</v>
      </c>
      <c r="D5" s="152">
        <v>9.1999999999999993</v>
      </c>
      <c r="E5" s="153">
        <v>30.83</v>
      </c>
      <c r="F5" s="153">
        <v>30.97</v>
      </c>
      <c r="G5" s="154">
        <v>31.49</v>
      </c>
      <c r="H5" s="155">
        <v>30.7</v>
      </c>
      <c r="I5" s="153">
        <v>31.46</v>
      </c>
      <c r="J5" s="153">
        <v>31.22</v>
      </c>
      <c r="K5" s="154">
        <v>32.07</v>
      </c>
      <c r="L5" s="155">
        <v>31.4</v>
      </c>
      <c r="M5" s="153">
        <v>31.19</v>
      </c>
      <c r="N5" s="153">
        <v>31.08</v>
      </c>
      <c r="O5" s="156">
        <v>32.24</v>
      </c>
      <c r="P5" s="147">
        <f t="shared" si="0"/>
        <v>233.69565217391309</v>
      </c>
      <c r="Q5" s="148">
        <f t="shared" si="1"/>
        <v>241.30434782608697</v>
      </c>
      <c r="R5" s="147">
        <f t="shared" si="2"/>
        <v>30.066812598999999</v>
      </c>
      <c r="S5" s="149">
        <f t="shared" si="3"/>
        <v>31.498551083999999</v>
      </c>
      <c r="T5" s="148">
        <f t="shared" si="4"/>
        <v>31.252978847999998</v>
      </c>
      <c r="U5" s="147">
        <f t="shared" ref="U5:V5" si="7">(S5-R5)/R5*100</f>
        <v>4.7618565495952137</v>
      </c>
      <c r="V5" s="148">
        <f t="shared" si="7"/>
        <v>-0.77963026091299126</v>
      </c>
      <c r="W5" s="150"/>
      <c r="X5" s="151"/>
      <c r="Y5" s="151"/>
      <c r="Z5" s="151"/>
    </row>
    <row r="6" spans="1:26" ht="15.5">
      <c r="A6" s="151"/>
      <c r="B6" s="141"/>
      <c r="C6" s="72">
        <v>105</v>
      </c>
      <c r="D6" s="152">
        <v>7.6</v>
      </c>
      <c r="E6" s="153">
        <v>30.58</v>
      </c>
      <c r="F6" s="153">
        <v>30.35</v>
      </c>
      <c r="G6" s="154">
        <v>29.8</v>
      </c>
      <c r="H6" s="155">
        <v>27.8</v>
      </c>
      <c r="I6" s="153">
        <v>31.03</v>
      </c>
      <c r="J6" s="153">
        <v>30.69</v>
      </c>
      <c r="K6" s="154">
        <v>30.65</v>
      </c>
      <c r="L6" s="155">
        <v>28.6</v>
      </c>
      <c r="M6" s="153">
        <v>31.07</v>
      </c>
      <c r="N6" s="153">
        <v>30.75</v>
      </c>
      <c r="O6" s="156">
        <v>30.66</v>
      </c>
      <c r="P6" s="147">
        <f t="shared" si="0"/>
        <v>265.78947368421058</v>
      </c>
      <c r="Q6" s="148">
        <f t="shared" si="1"/>
        <v>276.31578947368422</v>
      </c>
      <c r="R6" s="147">
        <f t="shared" si="2"/>
        <v>27.657469399999997</v>
      </c>
      <c r="S6" s="149">
        <f t="shared" si="3"/>
        <v>29.188322955000004</v>
      </c>
      <c r="T6" s="148">
        <f t="shared" si="4"/>
        <v>29.292640650000003</v>
      </c>
      <c r="U6" s="147">
        <f t="shared" ref="U6:V6" si="8">(S6-R6)/R6*100</f>
        <v>5.5350456430406734</v>
      </c>
      <c r="V6" s="148">
        <f t="shared" si="8"/>
        <v>0.35739530208990339</v>
      </c>
      <c r="W6" s="150"/>
      <c r="X6" s="151"/>
      <c r="Y6" s="151"/>
      <c r="Z6" s="151"/>
    </row>
    <row r="7" spans="1:26" ht="15.5">
      <c r="A7" s="151"/>
      <c r="B7" s="141"/>
      <c r="C7" s="72">
        <v>113</v>
      </c>
      <c r="D7" s="152">
        <v>7</v>
      </c>
      <c r="E7" s="153">
        <v>30.62</v>
      </c>
      <c r="F7" s="153">
        <v>30.3</v>
      </c>
      <c r="G7" s="154">
        <v>30.03</v>
      </c>
      <c r="H7" s="155">
        <v>28.1</v>
      </c>
      <c r="I7" s="153">
        <v>31.21</v>
      </c>
      <c r="J7" s="153">
        <v>30.74</v>
      </c>
      <c r="K7" s="157">
        <v>30.3</v>
      </c>
      <c r="L7" s="155">
        <v>29</v>
      </c>
      <c r="M7" s="153">
        <v>31.05</v>
      </c>
      <c r="N7" s="153">
        <v>30.44</v>
      </c>
      <c r="O7" s="156">
        <v>30.55</v>
      </c>
      <c r="P7" s="147">
        <f t="shared" si="0"/>
        <v>301.42857142857144</v>
      </c>
      <c r="Q7" s="148">
        <f t="shared" si="1"/>
        <v>314.28571428571428</v>
      </c>
      <c r="R7" s="147">
        <f t="shared" si="2"/>
        <v>27.861413580000004</v>
      </c>
      <c r="S7" s="149">
        <f t="shared" si="3"/>
        <v>29.06968062</v>
      </c>
      <c r="T7" s="148">
        <f t="shared" si="4"/>
        <v>28.874699100000001</v>
      </c>
      <c r="U7" s="147">
        <f t="shared" ref="U7:V7" si="9">(S7-R7)/R7*100</f>
        <v>4.3367040101200613</v>
      </c>
      <c r="V7" s="148">
        <f t="shared" si="9"/>
        <v>-0.67073843207569062</v>
      </c>
      <c r="W7" s="150"/>
      <c r="X7" s="151"/>
      <c r="Y7" s="151"/>
      <c r="Z7" s="151"/>
    </row>
    <row r="8" spans="1:26" ht="15.5">
      <c r="A8" s="158"/>
      <c r="B8" s="159" t="s">
        <v>17</v>
      </c>
      <c r="C8" s="77">
        <v>34</v>
      </c>
      <c r="D8" s="160">
        <v>6.2</v>
      </c>
      <c r="E8" s="9">
        <v>30.35</v>
      </c>
      <c r="F8" s="9">
        <v>30.5</v>
      </c>
      <c r="G8" s="161">
        <v>30.36</v>
      </c>
      <c r="H8" s="162">
        <v>25.4</v>
      </c>
      <c r="I8" s="9">
        <v>30.89</v>
      </c>
      <c r="J8" s="9">
        <v>30.59</v>
      </c>
      <c r="K8" s="161">
        <v>30.93</v>
      </c>
      <c r="L8" s="162">
        <v>26.3</v>
      </c>
      <c r="M8" s="9">
        <v>30.61</v>
      </c>
      <c r="N8" s="9">
        <v>30.46</v>
      </c>
      <c r="O8" s="163">
        <v>30.93</v>
      </c>
      <c r="P8" s="164">
        <f t="shared" si="0"/>
        <v>309.67741935483872</v>
      </c>
      <c r="Q8" s="165">
        <f t="shared" si="1"/>
        <v>324.19354838709683</v>
      </c>
      <c r="R8" s="164">
        <f t="shared" si="2"/>
        <v>28.103493000000004</v>
      </c>
      <c r="S8" s="166">
        <f t="shared" si="3"/>
        <v>29.226533343000003</v>
      </c>
      <c r="T8" s="165">
        <f t="shared" si="4"/>
        <v>28.838531958000001</v>
      </c>
      <c r="U8" s="164">
        <f t="shared" ref="U8:V8" si="10">(S8-R8)/R8*100</f>
        <v>3.9960881126057868</v>
      </c>
      <c r="V8" s="165">
        <f t="shared" si="10"/>
        <v>-1.3275655393215908</v>
      </c>
      <c r="W8" s="167"/>
      <c r="X8" s="158"/>
      <c r="Y8" s="158"/>
      <c r="Z8" s="158"/>
    </row>
    <row r="9" spans="1:26" ht="15.5">
      <c r="A9" s="158"/>
      <c r="B9" s="168"/>
      <c r="C9" s="77">
        <v>40</v>
      </c>
      <c r="D9" s="160">
        <v>6.3</v>
      </c>
      <c r="E9" s="9">
        <v>30.66</v>
      </c>
      <c r="F9" s="9">
        <v>30.51</v>
      </c>
      <c r="G9" s="161">
        <v>30.78</v>
      </c>
      <c r="H9" s="162">
        <v>26.3</v>
      </c>
      <c r="I9" s="9">
        <v>31.2</v>
      </c>
      <c r="J9" s="9">
        <v>30.5</v>
      </c>
      <c r="K9" s="161">
        <v>31.73</v>
      </c>
      <c r="L9" s="162">
        <v>26.8</v>
      </c>
      <c r="M9" s="9">
        <v>31.13</v>
      </c>
      <c r="N9" s="9">
        <v>30.32</v>
      </c>
      <c r="O9" s="163">
        <v>31.64</v>
      </c>
      <c r="P9" s="164">
        <f t="shared" si="0"/>
        <v>317.46031746031747</v>
      </c>
      <c r="Q9" s="165">
        <f t="shared" si="1"/>
        <v>325.39682539682542</v>
      </c>
      <c r="R9" s="164">
        <f t="shared" si="2"/>
        <v>28.792738548000003</v>
      </c>
      <c r="S9" s="166">
        <f t="shared" si="3"/>
        <v>30.194268000000001</v>
      </c>
      <c r="T9" s="165">
        <f t="shared" si="4"/>
        <v>29.863781024000001</v>
      </c>
      <c r="U9" s="164">
        <f t="shared" ref="U9:V9" si="11">(S9-R9)/R9*100</f>
        <v>4.8676490069311278</v>
      </c>
      <c r="V9" s="165">
        <f t="shared" si="11"/>
        <v>-1.0945354793830389</v>
      </c>
      <c r="W9" s="167"/>
      <c r="X9" s="158"/>
      <c r="Y9" s="158"/>
      <c r="Z9" s="158"/>
    </row>
    <row r="10" spans="1:26" ht="15.5">
      <c r="A10" s="158"/>
      <c r="B10" s="168"/>
      <c r="C10" s="77">
        <v>52</v>
      </c>
      <c r="D10" s="160">
        <v>6.3</v>
      </c>
      <c r="E10" s="9">
        <v>30.72</v>
      </c>
      <c r="F10" s="9">
        <v>30.47</v>
      </c>
      <c r="G10" s="161">
        <v>31.51</v>
      </c>
      <c r="H10" s="162">
        <v>26.3</v>
      </c>
      <c r="I10" s="9">
        <v>30.47</v>
      </c>
      <c r="J10" s="9">
        <v>30.32</v>
      </c>
      <c r="K10" s="161">
        <v>32.119999999999997</v>
      </c>
      <c r="L10" s="162">
        <v>27</v>
      </c>
      <c r="M10" s="9">
        <v>30.62</v>
      </c>
      <c r="N10" s="9">
        <v>30.41</v>
      </c>
      <c r="O10" s="163">
        <v>32.04</v>
      </c>
      <c r="P10" s="164">
        <f t="shared" si="0"/>
        <v>317.46031746031747</v>
      </c>
      <c r="Q10" s="165">
        <f t="shared" si="1"/>
        <v>328.57142857142856</v>
      </c>
      <c r="R10" s="164">
        <f t="shared" si="2"/>
        <v>29.494569983999998</v>
      </c>
      <c r="S10" s="166">
        <f t="shared" si="3"/>
        <v>29.674074847999997</v>
      </c>
      <c r="T10" s="165">
        <f t="shared" si="4"/>
        <v>29.834180568000001</v>
      </c>
      <c r="U10" s="164">
        <f t="shared" ref="U10:V10" si="12">(S10-R10)/R10*100</f>
        <v>0.60860308896645998</v>
      </c>
      <c r="V10" s="169">
        <f t="shared" si="12"/>
        <v>0.53954746970248069</v>
      </c>
      <c r="W10" s="167"/>
      <c r="X10" s="158"/>
      <c r="Y10" s="158"/>
      <c r="Z10" s="158"/>
    </row>
    <row r="11" spans="1:26" ht="15.5">
      <c r="A11" s="158"/>
      <c r="B11" s="168"/>
      <c r="C11" s="77">
        <v>121</v>
      </c>
      <c r="D11" s="160">
        <v>6.4</v>
      </c>
      <c r="E11" s="170">
        <v>30.8</v>
      </c>
      <c r="F11" s="9">
        <v>30.34</v>
      </c>
      <c r="G11" s="161">
        <v>31.42</v>
      </c>
      <c r="H11" s="162">
        <v>26.2</v>
      </c>
      <c r="I11" s="9">
        <v>30.64</v>
      </c>
      <c r="J11" s="9">
        <v>30.18</v>
      </c>
      <c r="K11" s="161">
        <v>31.72</v>
      </c>
      <c r="L11" s="162">
        <v>26.6</v>
      </c>
      <c r="M11" s="9">
        <v>30.86</v>
      </c>
      <c r="N11" s="9">
        <v>30.32</v>
      </c>
      <c r="O11" s="163">
        <v>32.119999999999997</v>
      </c>
      <c r="P11" s="164">
        <f t="shared" si="0"/>
        <v>309.37499999999994</v>
      </c>
      <c r="Q11" s="165">
        <f t="shared" si="1"/>
        <v>315.62500000000006</v>
      </c>
      <c r="R11" s="164">
        <f t="shared" si="2"/>
        <v>29.361110240000002</v>
      </c>
      <c r="S11" s="166">
        <f t="shared" si="3"/>
        <v>29.331966143999999</v>
      </c>
      <c r="T11" s="165">
        <f t="shared" si="4"/>
        <v>30.053887423999996</v>
      </c>
      <c r="U11" s="164">
        <f t="shared" ref="U11:V11" si="13">(S11-R11)/R11*100</f>
        <v>-9.9260878630872629E-2</v>
      </c>
      <c r="V11" s="169">
        <f t="shared" si="13"/>
        <v>2.4612099865922872</v>
      </c>
      <c r="W11" s="167"/>
      <c r="X11" s="158"/>
      <c r="Y11" s="158"/>
      <c r="Z11" s="158"/>
    </row>
    <row r="12" spans="1:26" ht="15.5">
      <c r="A12" s="158"/>
      <c r="B12" s="168"/>
      <c r="C12" s="77">
        <v>136</v>
      </c>
      <c r="D12" s="160">
        <v>6.6</v>
      </c>
      <c r="E12" s="9">
        <v>30.84</v>
      </c>
      <c r="F12" s="9">
        <v>30.24</v>
      </c>
      <c r="G12" s="161">
        <v>31.8</v>
      </c>
      <c r="H12" s="162">
        <v>26.3</v>
      </c>
      <c r="I12" s="9">
        <v>30.68</v>
      </c>
      <c r="J12" s="9">
        <v>30.47</v>
      </c>
      <c r="K12" s="161">
        <v>32.19</v>
      </c>
      <c r="L12" s="162">
        <v>26.9</v>
      </c>
      <c r="M12" s="9">
        <v>30.64</v>
      </c>
      <c r="N12" s="9">
        <v>30.32</v>
      </c>
      <c r="O12" s="163">
        <v>32.03</v>
      </c>
      <c r="P12" s="164">
        <f t="shared" si="0"/>
        <v>298.48484848484856</v>
      </c>
      <c r="Q12" s="165">
        <f t="shared" si="1"/>
        <v>307.57575757575756</v>
      </c>
      <c r="R12" s="164">
        <f t="shared" si="2"/>
        <v>29.656730879999998</v>
      </c>
      <c r="S12" s="166">
        <f t="shared" si="3"/>
        <v>30.091842923999998</v>
      </c>
      <c r="T12" s="165">
        <f t="shared" si="4"/>
        <v>29.756023744</v>
      </c>
      <c r="U12" s="164">
        <f t="shared" ref="U12:V12" si="14">(S12-R12)/R12*100</f>
        <v>1.4671611842876198</v>
      </c>
      <c r="V12" s="171">
        <f t="shared" si="14"/>
        <v>-1.1159807687689427</v>
      </c>
      <c r="W12" s="167"/>
      <c r="X12" s="158"/>
      <c r="Y12" s="158"/>
      <c r="Z12" s="158"/>
    </row>
    <row r="13" spans="1:26" ht="15.5">
      <c r="A13" s="172"/>
      <c r="B13" s="173" t="s">
        <v>23</v>
      </c>
      <c r="C13" s="78">
        <v>67</v>
      </c>
      <c r="D13" s="174">
        <v>7.5</v>
      </c>
      <c r="E13" s="15">
        <v>30.15</v>
      </c>
      <c r="F13" s="15">
        <v>30.89</v>
      </c>
      <c r="G13" s="175">
        <v>31.06</v>
      </c>
      <c r="H13" s="176">
        <v>27.6</v>
      </c>
      <c r="I13" s="15">
        <v>30.44</v>
      </c>
      <c r="J13" s="15">
        <v>30.92</v>
      </c>
      <c r="K13" s="175">
        <v>31.4</v>
      </c>
      <c r="L13" s="176">
        <v>28.3</v>
      </c>
      <c r="M13" s="15">
        <v>30.45</v>
      </c>
      <c r="N13" s="15">
        <v>31</v>
      </c>
      <c r="O13" s="177">
        <v>31.57</v>
      </c>
      <c r="P13" s="178">
        <f t="shared" si="0"/>
        <v>268</v>
      </c>
      <c r="Q13" s="179">
        <f t="shared" si="1"/>
        <v>277.33333333333337</v>
      </c>
      <c r="R13" s="178">
        <f t="shared" si="2"/>
        <v>28.927218509999999</v>
      </c>
      <c r="S13" s="180">
        <f t="shared" si="3"/>
        <v>29.553830720000001</v>
      </c>
      <c r="T13" s="179">
        <f t="shared" si="4"/>
        <v>29.800501499999999</v>
      </c>
      <c r="U13" s="178">
        <f t="shared" ref="U13:V13" si="15">(S13-R13)/R13*100</f>
        <v>2.1661682051573132</v>
      </c>
      <c r="V13" s="169">
        <f t="shared" si="15"/>
        <v>0.83464909282663302</v>
      </c>
      <c r="W13" s="181"/>
      <c r="X13" s="172"/>
      <c r="Y13" s="172"/>
      <c r="Z13" s="172"/>
    </row>
    <row r="14" spans="1:26" ht="15.5">
      <c r="A14" s="172"/>
      <c r="B14" s="182"/>
      <c r="C14" s="78">
        <v>71</v>
      </c>
      <c r="D14" s="174">
        <v>7.6</v>
      </c>
      <c r="E14" s="15">
        <v>30.58</v>
      </c>
      <c r="F14" s="183">
        <v>30.4</v>
      </c>
      <c r="G14" s="175">
        <v>31.41</v>
      </c>
      <c r="H14" s="176">
        <v>28.3</v>
      </c>
      <c r="I14" s="15">
        <v>31.11</v>
      </c>
      <c r="J14" s="15">
        <v>30.77</v>
      </c>
      <c r="K14" s="175">
        <v>31.68</v>
      </c>
      <c r="L14" s="176">
        <v>29.2</v>
      </c>
      <c r="M14" s="15">
        <v>31.12</v>
      </c>
      <c r="N14" s="15">
        <v>30.77</v>
      </c>
      <c r="O14" s="177">
        <v>31.53</v>
      </c>
      <c r="P14" s="178">
        <f t="shared" si="0"/>
        <v>272.36842105263162</v>
      </c>
      <c r="Q14" s="179">
        <f t="shared" si="1"/>
        <v>284.21052631578954</v>
      </c>
      <c r="R14" s="178">
        <f t="shared" si="2"/>
        <v>29.199741119999999</v>
      </c>
      <c r="S14" s="180">
        <f t="shared" si="3"/>
        <v>30.325828895999997</v>
      </c>
      <c r="T14" s="179">
        <f t="shared" si="4"/>
        <v>30.191942472000001</v>
      </c>
      <c r="U14" s="178">
        <f t="shared" ref="U14:V14" si="16">(S14-R14)/R14*100</f>
        <v>3.8564991770721515</v>
      </c>
      <c r="V14" s="169">
        <f t="shared" si="16"/>
        <v>-0.4414930403358443</v>
      </c>
      <c r="W14" s="181"/>
      <c r="X14" s="172"/>
      <c r="Y14" s="172"/>
      <c r="Z14" s="172"/>
    </row>
    <row r="15" spans="1:26" ht="15.5">
      <c r="A15" s="172"/>
      <c r="B15" s="182"/>
      <c r="C15" s="78">
        <v>141</v>
      </c>
      <c r="D15" s="174">
        <v>8</v>
      </c>
      <c r="E15" s="183">
        <v>30.5</v>
      </c>
      <c r="F15" s="15">
        <v>30.35</v>
      </c>
      <c r="G15" s="184">
        <v>31.35</v>
      </c>
      <c r="H15" s="176">
        <v>28</v>
      </c>
      <c r="I15" s="15">
        <v>30.87</v>
      </c>
      <c r="J15" s="183">
        <v>30.6</v>
      </c>
      <c r="K15" s="184">
        <v>31.92</v>
      </c>
      <c r="L15" s="176">
        <v>28</v>
      </c>
      <c r="M15" s="183">
        <v>30.8</v>
      </c>
      <c r="N15" s="15">
        <v>30.62</v>
      </c>
      <c r="O15" s="185">
        <v>31.64</v>
      </c>
      <c r="P15" s="178">
        <f t="shared" si="0"/>
        <v>250</v>
      </c>
      <c r="Q15" s="179">
        <f t="shared" si="1"/>
        <v>250</v>
      </c>
      <c r="R15" s="178">
        <f t="shared" si="2"/>
        <v>29.019911250000003</v>
      </c>
      <c r="S15" s="180">
        <f t="shared" si="3"/>
        <v>30.152334240000005</v>
      </c>
      <c r="T15" s="179">
        <f t="shared" si="4"/>
        <v>29.83955744</v>
      </c>
      <c r="U15" s="178">
        <f t="shared" ref="U15:V15" si="17">(S15-R15)/R15*100</f>
        <v>3.9022276127739772</v>
      </c>
      <c r="V15" s="179">
        <f t="shared" si="17"/>
        <v>-1.0373220113256654</v>
      </c>
      <c r="W15" s="181"/>
      <c r="X15" s="172"/>
      <c r="Y15" s="172"/>
      <c r="Z15" s="172"/>
    </row>
    <row r="16" spans="1:26" ht="15.5">
      <c r="A16" s="172"/>
      <c r="B16" s="182"/>
      <c r="C16" s="78">
        <v>145</v>
      </c>
      <c r="D16" s="174">
        <v>8</v>
      </c>
      <c r="E16" s="15">
        <v>30.58</v>
      </c>
      <c r="F16" s="15">
        <v>30.33</v>
      </c>
      <c r="G16" s="175">
        <v>31.94</v>
      </c>
      <c r="H16" s="176">
        <v>26.9</v>
      </c>
      <c r="I16" s="15">
        <v>30.72</v>
      </c>
      <c r="J16" s="15">
        <v>30.42</v>
      </c>
      <c r="K16" s="175">
        <v>31.47</v>
      </c>
      <c r="L16" s="176">
        <v>27.6</v>
      </c>
      <c r="M16" s="15">
        <v>30.8</v>
      </c>
      <c r="N16" s="15">
        <v>30.06</v>
      </c>
      <c r="O16" s="177">
        <v>31.48</v>
      </c>
      <c r="P16" s="178">
        <f t="shared" si="0"/>
        <v>236.24999999999997</v>
      </c>
      <c r="Q16" s="179">
        <f t="shared" si="1"/>
        <v>245.00000000000003</v>
      </c>
      <c r="R16" s="178">
        <f t="shared" si="2"/>
        <v>29.624075315999999</v>
      </c>
      <c r="S16" s="180">
        <f t="shared" si="3"/>
        <v>29.408790527999997</v>
      </c>
      <c r="T16" s="179">
        <f t="shared" si="4"/>
        <v>29.14569504</v>
      </c>
      <c r="U16" s="178">
        <f t="shared" ref="U16:V16" si="18">(S16-R16)/R16*100</f>
        <v>-0.72672238948746581</v>
      </c>
      <c r="V16" s="179">
        <f t="shared" si="18"/>
        <v>-0.89461512451355452</v>
      </c>
      <c r="W16" s="181"/>
      <c r="X16" s="172"/>
      <c r="Y16" s="172"/>
      <c r="Z16" s="172"/>
    </row>
    <row r="17" spans="1:26" ht="15.5">
      <c r="A17" s="172"/>
      <c r="B17" s="182"/>
      <c r="C17" s="78">
        <v>152</v>
      </c>
      <c r="D17" s="174">
        <v>8.1999999999999993</v>
      </c>
      <c r="E17" s="15">
        <v>30.92</v>
      </c>
      <c r="F17" s="15">
        <v>30.25</v>
      </c>
      <c r="G17" s="175">
        <v>31.87</v>
      </c>
      <c r="H17" s="176">
        <v>28.3</v>
      </c>
      <c r="I17" s="15">
        <v>31.51</v>
      </c>
      <c r="J17" s="15">
        <v>30.59</v>
      </c>
      <c r="K17" s="175">
        <v>31.6</v>
      </c>
      <c r="L17" s="176">
        <v>28.8</v>
      </c>
      <c r="M17" s="15">
        <v>31.12</v>
      </c>
      <c r="N17" s="15">
        <v>30.22</v>
      </c>
      <c r="O17" s="177">
        <v>31.62</v>
      </c>
      <c r="P17" s="178">
        <f t="shared" si="0"/>
        <v>245.12195121951223</v>
      </c>
      <c r="Q17" s="179">
        <f t="shared" si="1"/>
        <v>251.21951219512201</v>
      </c>
      <c r="R17" s="178">
        <f t="shared" si="2"/>
        <v>29.8089671</v>
      </c>
      <c r="S17" s="180">
        <f t="shared" si="3"/>
        <v>30.458952440000001</v>
      </c>
      <c r="T17" s="179">
        <f t="shared" si="4"/>
        <v>29.736915168000003</v>
      </c>
      <c r="U17" s="178">
        <f t="shared" ref="U17:V17" si="19">(S17-R17)/R17*100</f>
        <v>2.1805027253024161</v>
      </c>
      <c r="V17" s="179">
        <f t="shared" si="19"/>
        <v>-2.3705256227124463</v>
      </c>
      <c r="W17" s="181"/>
      <c r="X17" s="172"/>
      <c r="Y17" s="172"/>
      <c r="Z17" s="172"/>
    </row>
    <row r="18" spans="1:26" ht="15.5">
      <c r="A18" s="172"/>
      <c r="B18" s="186"/>
      <c r="C18" s="78">
        <v>153</v>
      </c>
      <c r="D18" s="174">
        <v>7.7</v>
      </c>
      <c r="E18" s="15">
        <v>30.81</v>
      </c>
      <c r="F18" s="15">
        <v>29.84</v>
      </c>
      <c r="G18" s="175">
        <v>31</v>
      </c>
      <c r="H18" s="176">
        <v>27.7</v>
      </c>
      <c r="I18" s="15">
        <v>31.06</v>
      </c>
      <c r="J18" s="15">
        <v>30.81</v>
      </c>
      <c r="K18" s="175">
        <v>31.08</v>
      </c>
      <c r="L18" s="176">
        <v>28.4</v>
      </c>
      <c r="M18" s="15">
        <v>30.86</v>
      </c>
      <c r="N18" s="15">
        <v>30.27</v>
      </c>
      <c r="O18" s="177">
        <v>31.09</v>
      </c>
      <c r="P18" s="178">
        <f t="shared" si="0"/>
        <v>259.74025974025972</v>
      </c>
      <c r="Q18" s="179">
        <f t="shared" si="1"/>
        <v>268.83116883116884</v>
      </c>
      <c r="R18" s="178">
        <f t="shared" si="2"/>
        <v>28.500482399999996</v>
      </c>
      <c r="S18" s="180">
        <f t="shared" si="3"/>
        <v>29.742273287999996</v>
      </c>
      <c r="T18" s="179">
        <f t="shared" si="4"/>
        <v>29.042170098</v>
      </c>
      <c r="U18" s="178">
        <f t="shared" ref="U18:V18" si="20">(S18-R18)/R18*100</f>
        <v>4.3570872610914151</v>
      </c>
      <c r="V18" s="179">
        <f t="shared" si="20"/>
        <v>-2.3538993916865949</v>
      </c>
      <c r="W18" s="181"/>
      <c r="X18" s="172"/>
      <c r="Y18" s="172"/>
      <c r="Z18" s="172"/>
    </row>
    <row r="19" spans="1:26" ht="15.5">
      <c r="B19" s="6" t="s">
        <v>26</v>
      </c>
      <c r="C19" s="187">
        <v>80</v>
      </c>
      <c r="D19" s="188">
        <v>8.1</v>
      </c>
      <c r="E19" s="8">
        <v>31.13</v>
      </c>
      <c r="F19" s="10">
        <v>30.38</v>
      </c>
      <c r="G19" s="189">
        <v>31.42</v>
      </c>
      <c r="H19" s="190">
        <v>29.2</v>
      </c>
      <c r="I19" s="10">
        <v>31.65</v>
      </c>
      <c r="J19" s="10">
        <v>30.79</v>
      </c>
      <c r="K19" s="189">
        <v>31.2</v>
      </c>
      <c r="L19" s="190">
        <v>29.5</v>
      </c>
      <c r="M19" s="10">
        <v>31.73</v>
      </c>
      <c r="N19" s="10">
        <v>30.49</v>
      </c>
      <c r="O19" s="191">
        <v>30.75</v>
      </c>
      <c r="P19" s="192">
        <f t="shared" si="0"/>
        <v>260.49382716049388</v>
      </c>
      <c r="Q19" s="171">
        <f t="shared" si="1"/>
        <v>264.19753086419752</v>
      </c>
      <c r="R19" s="192">
        <f t="shared" si="2"/>
        <v>29.714817748000002</v>
      </c>
      <c r="S19" s="193">
        <f t="shared" si="3"/>
        <v>30.404509199999996</v>
      </c>
      <c r="T19" s="171">
        <f t="shared" si="4"/>
        <v>29.749016774999998</v>
      </c>
      <c r="U19" s="192">
        <f t="shared" ref="U19:V19" si="21">(S19-R19)/R19*100</f>
        <v>2.3210354438280723</v>
      </c>
      <c r="V19" s="171">
        <f t="shared" si="21"/>
        <v>-2.1559052990731997</v>
      </c>
      <c r="W19" s="194"/>
    </row>
    <row r="20" spans="1:26" ht="15.5">
      <c r="B20" s="6"/>
      <c r="C20" s="195">
        <v>85</v>
      </c>
      <c r="D20" s="190">
        <v>7.9</v>
      </c>
      <c r="E20" s="10">
        <v>30.79</v>
      </c>
      <c r="F20" s="10">
        <v>30.48</v>
      </c>
      <c r="G20" s="189">
        <v>30.5</v>
      </c>
      <c r="H20" s="190">
        <v>28.9</v>
      </c>
      <c r="I20" s="10">
        <v>31.05</v>
      </c>
      <c r="J20" s="10">
        <v>31.09</v>
      </c>
      <c r="K20" s="189">
        <v>30.87</v>
      </c>
      <c r="L20" s="190">
        <v>29.3</v>
      </c>
      <c r="M20" s="10">
        <v>31.29</v>
      </c>
      <c r="N20" s="10">
        <v>31.18</v>
      </c>
      <c r="O20" s="191">
        <v>30.88</v>
      </c>
      <c r="P20" s="192">
        <f t="shared" si="0"/>
        <v>265.82278481012656</v>
      </c>
      <c r="Q20" s="171">
        <f t="shared" si="1"/>
        <v>270.88607594936707</v>
      </c>
      <c r="R20" s="192">
        <f t="shared" si="2"/>
        <v>28.623615600000001</v>
      </c>
      <c r="S20" s="193">
        <f t="shared" si="3"/>
        <v>29.800184715000004</v>
      </c>
      <c r="T20" s="171">
        <f t="shared" si="4"/>
        <v>30.127213535999999</v>
      </c>
      <c r="U20" s="192">
        <f t="shared" ref="U20:V20" si="22">(S20-R20)/R20*100</f>
        <v>4.1104839145478289</v>
      </c>
      <c r="V20" s="169">
        <f t="shared" si="22"/>
        <v>1.0974053487506894</v>
      </c>
      <c r="W20" s="194"/>
    </row>
    <row r="21" spans="1:26" ht="15.75" customHeight="1">
      <c r="B21" s="6"/>
      <c r="C21" s="195">
        <v>95</v>
      </c>
      <c r="D21" s="190">
        <v>8.1</v>
      </c>
      <c r="E21" s="10">
        <v>30.13</v>
      </c>
      <c r="F21" s="10">
        <v>30.86</v>
      </c>
      <c r="G21" s="189">
        <v>32.619999999999997</v>
      </c>
      <c r="H21" s="190">
        <v>30</v>
      </c>
      <c r="I21" s="10">
        <v>30</v>
      </c>
      <c r="J21" s="10">
        <v>31.59</v>
      </c>
      <c r="K21" s="196">
        <v>32.6</v>
      </c>
      <c r="L21" s="190">
        <v>30.6</v>
      </c>
      <c r="M21" s="10">
        <v>30.29</v>
      </c>
      <c r="N21" s="10">
        <v>31.34</v>
      </c>
      <c r="O21" s="191">
        <v>33.07</v>
      </c>
      <c r="P21" s="192">
        <f t="shared" si="0"/>
        <v>270.37037037037038</v>
      </c>
      <c r="Q21" s="171">
        <f t="shared" si="1"/>
        <v>277.77777777777777</v>
      </c>
      <c r="R21" s="192">
        <f t="shared" si="2"/>
        <v>30.330460915999996</v>
      </c>
      <c r="S21" s="193">
        <f t="shared" si="3"/>
        <v>30.895020000000002</v>
      </c>
      <c r="T21" s="171">
        <f t="shared" si="4"/>
        <v>31.392974001999999</v>
      </c>
      <c r="U21" s="192">
        <f t="shared" ref="U21:V21" si="23">(S21-R21)/R21*100</f>
        <v>1.8613600550402072</v>
      </c>
      <c r="V21" s="169">
        <f t="shared" si="23"/>
        <v>1.6117613841971832</v>
      </c>
      <c r="W21" s="194"/>
    </row>
    <row r="22" spans="1:26" ht="15.75" customHeight="1">
      <c r="B22" s="6"/>
      <c r="C22" s="195">
        <v>160</v>
      </c>
      <c r="D22" s="190">
        <v>7.7</v>
      </c>
      <c r="E22" s="10">
        <v>31.26</v>
      </c>
      <c r="F22" s="10">
        <v>30.8</v>
      </c>
      <c r="G22" s="189">
        <v>31.01</v>
      </c>
      <c r="H22" s="190">
        <v>29.1</v>
      </c>
      <c r="I22" s="10">
        <v>30.42</v>
      </c>
      <c r="J22" s="10">
        <v>30.54</v>
      </c>
      <c r="K22" s="189">
        <v>31.32</v>
      </c>
      <c r="L22" s="190">
        <v>29.9</v>
      </c>
      <c r="M22" s="10">
        <v>30.59</v>
      </c>
      <c r="N22" s="10">
        <v>30.27</v>
      </c>
      <c r="O22" s="191">
        <v>31.5</v>
      </c>
      <c r="P22" s="192">
        <f t="shared" si="0"/>
        <v>277.92207792207796</v>
      </c>
      <c r="Q22" s="171">
        <f t="shared" si="1"/>
        <v>288.31168831168827</v>
      </c>
      <c r="R22" s="192">
        <f t="shared" si="2"/>
        <v>29.856676080000003</v>
      </c>
      <c r="S22" s="193">
        <f t="shared" si="3"/>
        <v>29.097119375999998</v>
      </c>
      <c r="T22" s="171">
        <f t="shared" si="4"/>
        <v>29.16771795</v>
      </c>
      <c r="U22" s="192">
        <f t="shared" ref="U22:V22" si="24">(S22-R22)/R22*100</f>
        <v>-2.5440095942522105</v>
      </c>
      <c r="V22" s="169">
        <f t="shared" si="24"/>
        <v>0.24263080165328352</v>
      </c>
      <c r="W22" s="194"/>
    </row>
    <row r="23" spans="1:26" ht="15.75" customHeight="1">
      <c r="B23" s="8"/>
      <c r="C23" s="195">
        <v>166</v>
      </c>
      <c r="D23" s="190">
        <v>7.9</v>
      </c>
      <c r="E23" s="10">
        <v>30.94</v>
      </c>
      <c r="F23" s="10">
        <v>31.89</v>
      </c>
      <c r="G23" s="189">
        <v>30.6</v>
      </c>
      <c r="H23" s="190">
        <v>29.3</v>
      </c>
      <c r="I23" s="10">
        <v>30.77</v>
      </c>
      <c r="J23" s="10">
        <v>32.020000000000003</v>
      </c>
      <c r="K23" s="189">
        <v>30.24</v>
      </c>
      <c r="L23" s="190">
        <v>29.5</v>
      </c>
      <c r="M23" s="10">
        <v>30.91</v>
      </c>
      <c r="N23" s="10">
        <v>31.8</v>
      </c>
      <c r="O23" s="191">
        <v>30.03</v>
      </c>
      <c r="P23" s="192">
        <f t="shared" si="0"/>
        <v>270.88607594936707</v>
      </c>
      <c r="Q23" s="171">
        <f t="shared" si="1"/>
        <v>273.41772151898732</v>
      </c>
      <c r="R23" s="192">
        <f t="shared" si="2"/>
        <v>30.19230396</v>
      </c>
      <c r="S23" s="193">
        <f t="shared" si="3"/>
        <v>29.794123296000002</v>
      </c>
      <c r="T23" s="171">
        <f t="shared" si="4"/>
        <v>29.517628139999999</v>
      </c>
      <c r="U23" s="192">
        <f t="shared" ref="U23:V23" si="25">(S23-R23)/R23*100</f>
        <v>-1.3188151011182323</v>
      </c>
      <c r="V23" s="171">
        <f t="shared" si="25"/>
        <v>-0.92801910381140029</v>
      </c>
      <c r="W23" s="194"/>
    </row>
    <row r="24" spans="1:26" ht="15.75" customHeight="1">
      <c r="A24" s="197" t="s">
        <v>117</v>
      </c>
      <c r="B24" s="141" t="s">
        <v>9</v>
      </c>
      <c r="C24" s="86">
        <v>2</v>
      </c>
      <c r="D24" s="155">
        <v>7.3</v>
      </c>
      <c r="E24" s="153">
        <v>30.42</v>
      </c>
      <c r="F24" s="153">
        <v>30.33</v>
      </c>
      <c r="G24" s="154">
        <v>30.24</v>
      </c>
      <c r="H24" s="155">
        <v>26.7</v>
      </c>
      <c r="I24" s="153">
        <v>30.58</v>
      </c>
      <c r="J24" s="153">
        <v>30.41</v>
      </c>
      <c r="K24" s="154">
        <v>30.85</v>
      </c>
      <c r="L24" s="155">
        <v>28.2</v>
      </c>
      <c r="M24" s="153">
        <v>30.52</v>
      </c>
      <c r="N24" s="198">
        <v>30.6</v>
      </c>
      <c r="O24" s="156">
        <v>30.58</v>
      </c>
      <c r="P24" s="147">
        <f t="shared" si="0"/>
        <v>265.75342465753425</v>
      </c>
      <c r="Q24" s="148">
        <f t="shared" si="1"/>
        <v>286.30136986301369</v>
      </c>
      <c r="R24" s="147">
        <f t="shared" si="2"/>
        <v>27.900591263999999</v>
      </c>
      <c r="S24" s="149">
        <f t="shared" si="3"/>
        <v>28.688581129999999</v>
      </c>
      <c r="T24" s="148">
        <f t="shared" si="4"/>
        <v>28.559028959999999</v>
      </c>
      <c r="U24" s="147">
        <f t="shared" ref="U24:V24" si="26">(S24-R24)/R24*100</f>
        <v>2.8242765844777624</v>
      </c>
      <c r="V24" s="169">
        <f t="shared" si="26"/>
        <v>-0.4515809597307896</v>
      </c>
      <c r="W24" s="150"/>
      <c r="X24" s="151"/>
      <c r="Y24" s="151"/>
      <c r="Z24" s="151"/>
    </row>
    <row r="25" spans="1:26" ht="15.75" customHeight="1">
      <c r="A25" s="141"/>
      <c r="B25" s="141"/>
      <c r="C25" s="86">
        <v>6</v>
      </c>
      <c r="D25" s="155">
        <v>7.5</v>
      </c>
      <c r="E25" s="198">
        <v>30.3</v>
      </c>
      <c r="F25" s="153">
        <v>30.06</v>
      </c>
      <c r="G25" s="154">
        <v>30.54</v>
      </c>
      <c r="H25" s="155">
        <v>27.7</v>
      </c>
      <c r="I25" s="153">
        <v>30.69</v>
      </c>
      <c r="J25" s="153">
        <v>30.54</v>
      </c>
      <c r="K25" s="154">
        <v>30.65</v>
      </c>
      <c r="L25" s="155">
        <v>28.6</v>
      </c>
      <c r="M25" s="153">
        <v>30.83</v>
      </c>
      <c r="N25" s="153">
        <v>30.45</v>
      </c>
      <c r="O25" s="156">
        <v>30.43</v>
      </c>
      <c r="P25" s="147">
        <f t="shared" si="0"/>
        <v>269.33333333333331</v>
      </c>
      <c r="Q25" s="148">
        <f t="shared" si="1"/>
        <v>281.33333333333337</v>
      </c>
      <c r="R25" s="147">
        <f t="shared" si="2"/>
        <v>27.816381719999999</v>
      </c>
      <c r="S25" s="149">
        <f t="shared" si="3"/>
        <v>28.727405189999999</v>
      </c>
      <c r="T25" s="148">
        <f t="shared" si="4"/>
        <v>28.566877604999998</v>
      </c>
      <c r="U25" s="147">
        <f t="shared" ref="U25:V25" si="27">(S25-R25)/R25*100</f>
        <v>3.2751329025118077</v>
      </c>
      <c r="V25" s="148">
        <f t="shared" si="27"/>
        <v>-0.55879597874673392</v>
      </c>
      <c r="W25" s="150"/>
      <c r="X25" s="151"/>
      <c r="Y25" s="151"/>
      <c r="Z25" s="151"/>
    </row>
    <row r="26" spans="1:26" ht="15.75" customHeight="1">
      <c r="A26" s="141"/>
      <c r="B26" s="141"/>
      <c r="C26" s="72">
        <v>16</v>
      </c>
      <c r="D26" s="155">
        <v>7</v>
      </c>
      <c r="E26" s="153">
        <v>30.74</v>
      </c>
      <c r="F26" s="153">
        <v>30.19</v>
      </c>
      <c r="G26" s="154">
        <v>31.12</v>
      </c>
      <c r="H26" s="155">
        <v>27.9</v>
      </c>
      <c r="I26" s="153">
        <v>31.26</v>
      </c>
      <c r="J26" s="153">
        <v>30.85</v>
      </c>
      <c r="K26" s="154">
        <v>31.51</v>
      </c>
      <c r="L26" s="155">
        <v>29</v>
      </c>
      <c r="M26" s="153">
        <v>31.19</v>
      </c>
      <c r="N26" s="153">
        <v>30.59</v>
      </c>
      <c r="O26" s="156">
        <v>31.21</v>
      </c>
      <c r="P26" s="147">
        <f t="shared" si="0"/>
        <v>298.57142857142856</v>
      </c>
      <c r="Q26" s="148">
        <f t="shared" si="1"/>
        <v>314.28571428571428</v>
      </c>
      <c r="R26" s="147">
        <f t="shared" si="2"/>
        <v>28.880623472000003</v>
      </c>
      <c r="S26" s="149">
        <f t="shared" si="3"/>
        <v>30.387330210000005</v>
      </c>
      <c r="T26" s="148">
        <f t="shared" si="4"/>
        <v>29.777526541000004</v>
      </c>
      <c r="U26" s="147">
        <f t="shared" ref="U26:V26" si="28">(S26-R26)/R26*100</f>
        <v>5.2170159673345218</v>
      </c>
      <c r="V26" s="148">
        <f t="shared" si="28"/>
        <v>-2.0067694818392585</v>
      </c>
      <c r="W26" s="150"/>
      <c r="X26" s="151"/>
      <c r="Y26" s="151"/>
      <c r="Z26" s="151"/>
    </row>
    <row r="27" spans="1:26" ht="15.75" customHeight="1">
      <c r="A27" s="141"/>
      <c r="B27" s="141"/>
      <c r="C27" s="72">
        <v>29</v>
      </c>
      <c r="D27" s="155">
        <v>7</v>
      </c>
      <c r="E27" s="153">
        <v>30.77</v>
      </c>
      <c r="F27" s="153">
        <v>30.13</v>
      </c>
      <c r="G27" s="154">
        <v>30.52</v>
      </c>
      <c r="H27" s="155">
        <v>26.7</v>
      </c>
      <c r="I27" s="153">
        <v>30.83</v>
      </c>
      <c r="J27" s="153">
        <v>30.34</v>
      </c>
      <c r="K27" s="154">
        <v>30.78</v>
      </c>
      <c r="L27" s="199">
        <v>28</v>
      </c>
      <c r="M27" s="153">
        <v>30.85</v>
      </c>
      <c r="N27" s="153">
        <v>30.22</v>
      </c>
      <c r="O27" s="156">
        <v>31.11</v>
      </c>
      <c r="P27" s="147">
        <f t="shared" si="0"/>
        <v>281.42857142857139</v>
      </c>
      <c r="Q27" s="148">
        <f t="shared" si="1"/>
        <v>300</v>
      </c>
      <c r="R27" s="147">
        <f t="shared" si="2"/>
        <v>28.295095052000001</v>
      </c>
      <c r="S27" s="149">
        <f t="shared" si="3"/>
        <v>28.791064115999998</v>
      </c>
      <c r="T27" s="148">
        <f t="shared" si="4"/>
        <v>29.00344857</v>
      </c>
      <c r="U27" s="147">
        <f t="shared" ref="U27:V27" si="29">(S27-R27)/R27*100</f>
        <v>1.7528446647325897</v>
      </c>
      <c r="V27" s="169">
        <f t="shared" si="29"/>
        <v>0.73767490199146268</v>
      </c>
      <c r="W27" s="150"/>
      <c r="X27" s="151"/>
      <c r="Y27" s="151"/>
      <c r="Z27" s="151"/>
    </row>
    <row r="28" spans="1:26" ht="15.75" customHeight="1">
      <c r="A28" s="141"/>
      <c r="B28" s="143"/>
      <c r="C28" s="72">
        <v>117</v>
      </c>
      <c r="D28" s="155">
        <v>7.1</v>
      </c>
      <c r="E28" s="153">
        <v>30.06</v>
      </c>
      <c r="F28" s="153">
        <v>30.82</v>
      </c>
      <c r="G28" s="154">
        <v>29.86</v>
      </c>
      <c r="H28" s="155">
        <v>27.3</v>
      </c>
      <c r="I28" s="153">
        <v>30.26</v>
      </c>
      <c r="J28" s="153">
        <v>31.13</v>
      </c>
      <c r="K28" s="154">
        <v>30.33</v>
      </c>
      <c r="L28" s="155">
        <v>28</v>
      </c>
      <c r="M28" s="153">
        <v>30.24</v>
      </c>
      <c r="N28" s="153">
        <v>30.81</v>
      </c>
      <c r="O28" s="156">
        <v>29.94</v>
      </c>
      <c r="P28" s="147">
        <f t="shared" si="0"/>
        <v>284.50704225352121</v>
      </c>
      <c r="Q28" s="148">
        <f t="shared" si="1"/>
        <v>294.36619718309862</v>
      </c>
      <c r="R28" s="147">
        <f t="shared" si="2"/>
        <v>27.663773111999998</v>
      </c>
      <c r="S28" s="149">
        <f t="shared" si="3"/>
        <v>28.570671953999998</v>
      </c>
      <c r="T28" s="148">
        <f t="shared" si="4"/>
        <v>27.894930335999998</v>
      </c>
      <c r="U28" s="147">
        <f t="shared" ref="U28:V28" si="30">(S28-R28)/R28*100</f>
        <v>3.2782904860024518</v>
      </c>
      <c r="V28" s="148">
        <f t="shared" si="30"/>
        <v>-2.3651582961995885</v>
      </c>
      <c r="W28" s="150"/>
      <c r="X28" s="151"/>
      <c r="Y28" s="151"/>
      <c r="Z28" s="151"/>
    </row>
    <row r="29" spans="1:26" ht="15.75" customHeight="1">
      <c r="A29" s="168"/>
      <c r="B29" s="159" t="s">
        <v>17</v>
      </c>
      <c r="C29" s="77">
        <v>35</v>
      </c>
      <c r="D29" s="162">
        <v>6.4</v>
      </c>
      <c r="E29" s="9">
        <v>30.73</v>
      </c>
      <c r="F29" s="9">
        <v>30.27</v>
      </c>
      <c r="G29" s="161">
        <v>30.02</v>
      </c>
      <c r="H29" s="162">
        <v>25.2</v>
      </c>
      <c r="I29" s="9">
        <v>30.63</v>
      </c>
      <c r="J29" s="9">
        <v>30.48</v>
      </c>
      <c r="K29" s="200">
        <v>30.3</v>
      </c>
      <c r="L29" s="162">
        <v>26</v>
      </c>
      <c r="M29" s="9">
        <v>30.59</v>
      </c>
      <c r="N29" s="9">
        <v>30.42</v>
      </c>
      <c r="O29" s="163">
        <v>30.13</v>
      </c>
      <c r="P29" s="164">
        <f t="shared" si="0"/>
        <v>293.74999999999994</v>
      </c>
      <c r="Q29" s="165">
        <f t="shared" si="1"/>
        <v>306.25</v>
      </c>
      <c r="R29" s="164">
        <f t="shared" si="2"/>
        <v>27.924516941999997</v>
      </c>
      <c r="S29" s="166">
        <f t="shared" si="3"/>
        <v>28.288152720000003</v>
      </c>
      <c r="T29" s="165">
        <f t="shared" si="4"/>
        <v>28.037405214000003</v>
      </c>
      <c r="U29" s="164">
        <f t="shared" ref="U29:V29" si="31">(S29-R29)/R29*100</f>
        <v>1.302209734747741</v>
      </c>
      <c r="V29" s="165">
        <f t="shared" si="31"/>
        <v>-0.88640466728928091</v>
      </c>
      <c r="W29" s="167"/>
      <c r="X29" s="158"/>
      <c r="Y29" s="158"/>
      <c r="Z29" s="158"/>
    </row>
    <row r="30" spans="1:26" ht="15.75" customHeight="1">
      <c r="A30" s="168"/>
      <c r="B30" s="168"/>
      <c r="C30" s="77">
        <v>49</v>
      </c>
      <c r="D30" s="162">
        <v>6.4</v>
      </c>
      <c r="E30" s="9">
        <v>30.61</v>
      </c>
      <c r="F30" s="9">
        <v>30.99</v>
      </c>
      <c r="G30" s="161">
        <v>30.92</v>
      </c>
      <c r="H30" s="162">
        <v>25.6</v>
      </c>
      <c r="I30" s="9">
        <v>30.93</v>
      </c>
      <c r="J30" s="9">
        <v>30.33</v>
      </c>
      <c r="K30" s="161">
        <v>31.43</v>
      </c>
      <c r="L30" s="162">
        <v>26.8</v>
      </c>
      <c r="M30" s="170">
        <v>30.6</v>
      </c>
      <c r="N30" s="9">
        <v>31.16</v>
      </c>
      <c r="O30" s="163">
        <v>31.44</v>
      </c>
      <c r="P30" s="164">
        <f t="shared" si="0"/>
        <v>300.00000000000006</v>
      </c>
      <c r="Q30" s="165">
        <f t="shared" si="1"/>
        <v>318.74999999999994</v>
      </c>
      <c r="R30" s="164">
        <f t="shared" si="2"/>
        <v>29.330832588</v>
      </c>
      <c r="S30" s="166">
        <f t="shared" si="3"/>
        <v>29.484699866999996</v>
      </c>
      <c r="T30" s="165">
        <f t="shared" si="4"/>
        <v>29.977914240000004</v>
      </c>
      <c r="U30" s="164">
        <f t="shared" ref="U30:V30" si="32">(S30-R30)/R30*100</f>
        <v>0.5245922649428898</v>
      </c>
      <c r="V30" s="169">
        <f t="shared" si="32"/>
        <v>1.6727807141493936</v>
      </c>
      <c r="W30" s="167"/>
      <c r="X30" s="158"/>
      <c r="Y30" s="158"/>
      <c r="Z30" s="158"/>
    </row>
    <row r="31" spans="1:26" ht="15.75" customHeight="1">
      <c r="A31" s="168"/>
      <c r="B31" s="168"/>
      <c r="C31" s="77">
        <v>59</v>
      </c>
      <c r="D31" s="162">
        <v>6.4</v>
      </c>
      <c r="E31" s="9">
        <v>30.67</v>
      </c>
      <c r="F31" s="9">
        <v>30.28</v>
      </c>
      <c r="G31" s="161">
        <v>30.84</v>
      </c>
      <c r="H31" s="162">
        <v>25.3</v>
      </c>
      <c r="I31" s="9">
        <v>30.51</v>
      </c>
      <c r="J31" s="9">
        <v>30.68</v>
      </c>
      <c r="K31" s="161">
        <v>30.79</v>
      </c>
      <c r="L31" s="162">
        <v>26.5</v>
      </c>
      <c r="M31" s="9">
        <v>30.36</v>
      </c>
      <c r="N31" s="9">
        <v>30.68</v>
      </c>
      <c r="O31" s="163">
        <v>30.58</v>
      </c>
      <c r="P31" s="164">
        <f t="shared" si="0"/>
        <v>295.31249999999994</v>
      </c>
      <c r="Q31" s="165">
        <f t="shared" si="1"/>
        <v>314.0625</v>
      </c>
      <c r="R31" s="164">
        <f t="shared" si="2"/>
        <v>28.640725584000002</v>
      </c>
      <c r="S31" s="166">
        <f t="shared" si="3"/>
        <v>28.820880972000001</v>
      </c>
      <c r="T31" s="165">
        <f t="shared" si="4"/>
        <v>28.483581983999997</v>
      </c>
      <c r="U31" s="164">
        <f t="shared" ref="U31:V31" si="33">(S31-R31)/R31*100</f>
        <v>0.62901824002895446</v>
      </c>
      <c r="V31" s="165">
        <f t="shared" si="33"/>
        <v>-1.1703285139954469</v>
      </c>
      <c r="W31" s="167"/>
      <c r="X31" s="158"/>
      <c r="Y31" s="158"/>
      <c r="Z31" s="158"/>
    </row>
    <row r="32" spans="1:26" ht="15.75" customHeight="1">
      <c r="A32" s="168"/>
      <c r="B32" s="168"/>
      <c r="C32" s="77">
        <v>123</v>
      </c>
      <c r="D32" s="162">
        <v>6.2</v>
      </c>
      <c r="E32" s="9">
        <v>30.8</v>
      </c>
      <c r="F32" s="9">
        <v>30.14</v>
      </c>
      <c r="G32" s="200">
        <v>31.38</v>
      </c>
      <c r="H32" s="162">
        <v>26.2</v>
      </c>
      <c r="I32" s="9">
        <v>31.33</v>
      </c>
      <c r="J32" s="9">
        <v>30.4</v>
      </c>
      <c r="K32" s="200">
        <v>31.85</v>
      </c>
      <c r="L32" s="162">
        <v>26.7</v>
      </c>
      <c r="M32" s="9">
        <v>30.9</v>
      </c>
      <c r="N32" s="9">
        <v>30.24</v>
      </c>
      <c r="O32" s="201">
        <v>31.96</v>
      </c>
      <c r="P32" s="164">
        <f t="shared" si="0"/>
        <v>322.58064516129031</v>
      </c>
      <c r="Q32" s="165">
        <f t="shared" si="1"/>
        <v>330.64516129032256</v>
      </c>
      <c r="R32" s="164">
        <f t="shared" si="2"/>
        <v>29.130430560000001</v>
      </c>
      <c r="S32" s="166">
        <f t="shared" si="3"/>
        <v>30.334959199999997</v>
      </c>
      <c r="T32" s="165">
        <f t="shared" si="4"/>
        <v>29.863935359999999</v>
      </c>
      <c r="U32" s="164">
        <f t="shared" ref="U32:V32" si="34">(S32-R32)/R32*100</f>
        <v>4.1349496620691077</v>
      </c>
      <c r="V32" s="165">
        <f t="shared" si="34"/>
        <v>-1.5527426191494509</v>
      </c>
      <c r="W32" s="167"/>
      <c r="X32" s="158"/>
      <c r="Y32" s="158"/>
      <c r="Z32" s="158"/>
    </row>
    <row r="33" spans="1:26" ht="15.75" customHeight="1">
      <c r="A33" s="168"/>
      <c r="B33" s="168"/>
      <c r="C33" s="202">
        <v>130</v>
      </c>
      <c r="D33" s="203">
        <v>6.1</v>
      </c>
      <c r="E33" s="159">
        <v>31.06</v>
      </c>
      <c r="F33" s="159">
        <v>30.36</v>
      </c>
      <c r="G33" s="204">
        <v>30.64</v>
      </c>
      <c r="H33" s="203">
        <v>26</v>
      </c>
      <c r="I33" s="159">
        <v>30.74</v>
      </c>
      <c r="J33" s="159">
        <v>30.54</v>
      </c>
      <c r="K33" s="204">
        <v>31.03</v>
      </c>
      <c r="L33" s="203">
        <v>27</v>
      </c>
      <c r="M33" s="159">
        <v>30.93</v>
      </c>
      <c r="N33" s="159">
        <v>30.45</v>
      </c>
      <c r="O33" s="205">
        <v>30.98</v>
      </c>
      <c r="P33" s="164">
        <f t="shared" si="0"/>
        <v>326.22950819672127</v>
      </c>
      <c r="Q33" s="165">
        <f t="shared" si="1"/>
        <v>342.62295081967216</v>
      </c>
      <c r="R33" s="164">
        <f t="shared" si="2"/>
        <v>28.892956223999999</v>
      </c>
      <c r="S33" s="166">
        <f t="shared" si="3"/>
        <v>29.130951587999999</v>
      </c>
      <c r="T33" s="165">
        <f t="shared" si="4"/>
        <v>29.177537130000001</v>
      </c>
      <c r="U33" s="164">
        <f t="shared" ref="U33:V33" si="35">(S33-R33)/R33*100</f>
        <v>0.82371413348942213</v>
      </c>
      <c r="V33" s="169">
        <f t="shared" si="35"/>
        <v>0.1599176802009882</v>
      </c>
      <c r="W33" s="167"/>
      <c r="X33" s="158"/>
      <c r="Y33" s="158"/>
      <c r="Z33" s="158"/>
    </row>
    <row r="34" spans="1:26" ht="15.75" customHeight="1">
      <c r="A34" s="172"/>
      <c r="B34" s="206" t="s">
        <v>23</v>
      </c>
      <c r="C34" s="174">
        <v>168</v>
      </c>
      <c r="D34" s="174">
        <v>7.4</v>
      </c>
      <c r="E34" s="174">
        <v>30.3</v>
      </c>
      <c r="F34" s="174">
        <v>30.38</v>
      </c>
      <c r="G34" s="174">
        <v>29.85</v>
      </c>
      <c r="H34" s="174">
        <v>25.2</v>
      </c>
      <c r="I34" s="174">
        <v>30.95</v>
      </c>
      <c r="J34" s="174">
        <v>30.36</v>
      </c>
      <c r="K34" s="174">
        <v>30.48</v>
      </c>
      <c r="L34" s="174">
        <v>26.1</v>
      </c>
      <c r="M34" s="174">
        <v>30.39</v>
      </c>
      <c r="N34" s="174">
        <v>30.25</v>
      </c>
      <c r="O34" s="207">
        <v>30.13</v>
      </c>
      <c r="P34" s="178">
        <f t="shared" si="0"/>
        <v>240.54054054054049</v>
      </c>
      <c r="Q34" s="179">
        <f t="shared" si="1"/>
        <v>252.70270270270271</v>
      </c>
      <c r="R34" s="178">
        <f t="shared" si="2"/>
        <v>27.477342900000004</v>
      </c>
      <c r="S34" s="180">
        <f t="shared" si="3"/>
        <v>28.640288160000001</v>
      </c>
      <c r="T34" s="179">
        <f t="shared" si="4"/>
        <v>27.698433675</v>
      </c>
      <c r="U34" s="178">
        <f t="shared" ref="U34:V34" si="36">(S34-R34)/R34*100</f>
        <v>4.2323788884259148</v>
      </c>
      <c r="V34" s="179">
        <f t="shared" si="36"/>
        <v>-3.2885649744105101</v>
      </c>
      <c r="W34" s="181"/>
      <c r="X34" s="172"/>
      <c r="Y34" s="172"/>
      <c r="Z34" s="172"/>
    </row>
    <row r="35" spans="1:26" ht="15.75" customHeight="1">
      <c r="A35" s="208"/>
      <c r="B35" s="182"/>
      <c r="C35" s="209">
        <v>187</v>
      </c>
      <c r="D35" s="210">
        <v>7.3</v>
      </c>
      <c r="E35" s="7">
        <v>30.32</v>
      </c>
      <c r="F35" s="7">
        <v>30.98</v>
      </c>
      <c r="G35" s="211">
        <v>30.46</v>
      </c>
      <c r="H35" s="210">
        <v>26</v>
      </c>
      <c r="I35" s="7">
        <v>30.16</v>
      </c>
      <c r="J35" s="7">
        <v>30.78</v>
      </c>
      <c r="K35" s="211">
        <v>30.45</v>
      </c>
      <c r="L35" s="210">
        <v>26.9</v>
      </c>
      <c r="M35" s="7">
        <v>29.61</v>
      </c>
      <c r="N35" s="7">
        <v>30.5</v>
      </c>
      <c r="O35" s="212">
        <v>30.08</v>
      </c>
      <c r="P35" s="178">
        <f t="shared" si="0"/>
        <v>256.16438356164383</v>
      </c>
      <c r="Q35" s="179">
        <f t="shared" si="1"/>
        <v>268.49315068493149</v>
      </c>
      <c r="R35" s="178">
        <f t="shared" si="2"/>
        <v>28.611492256000002</v>
      </c>
      <c r="S35" s="180">
        <f t="shared" si="3"/>
        <v>28.267490159999998</v>
      </c>
      <c r="T35" s="179">
        <f t="shared" si="4"/>
        <v>27.165398399999997</v>
      </c>
      <c r="U35" s="178">
        <f t="shared" ref="U35:V35" si="37">(S35-R35)/R35*100</f>
        <v>-1.2023214061051457</v>
      </c>
      <c r="V35" s="179">
        <f t="shared" si="37"/>
        <v>-3.8987959446060718</v>
      </c>
      <c r="W35" s="181"/>
      <c r="X35" s="172"/>
      <c r="Y35" s="172"/>
      <c r="Z35" s="172"/>
    </row>
    <row r="36" spans="1:26" ht="15.75" customHeight="1">
      <c r="A36" s="208"/>
      <c r="B36" s="182"/>
      <c r="C36" s="213">
        <v>189</v>
      </c>
      <c r="D36" s="176">
        <v>7.5</v>
      </c>
      <c r="E36" s="15">
        <v>30.43</v>
      </c>
      <c r="F36" s="15">
        <v>30.58</v>
      </c>
      <c r="G36" s="175">
        <v>30.21</v>
      </c>
      <c r="H36" s="176">
        <v>25.3</v>
      </c>
      <c r="I36" s="15">
        <v>30.06</v>
      </c>
      <c r="J36" s="15">
        <v>30.29</v>
      </c>
      <c r="K36" s="175">
        <v>30.39</v>
      </c>
      <c r="L36" s="176">
        <v>26.2</v>
      </c>
      <c r="M36" s="15">
        <v>29.63</v>
      </c>
      <c r="N36" s="15">
        <v>30.32</v>
      </c>
      <c r="O36" s="177">
        <v>30.51</v>
      </c>
      <c r="P36" s="178">
        <f t="shared" si="0"/>
        <v>237.33333333333334</v>
      </c>
      <c r="Q36" s="179">
        <f t="shared" si="1"/>
        <v>249.33333333333331</v>
      </c>
      <c r="R36" s="178">
        <f t="shared" si="2"/>
        <v>28.111897374000002</v>
      </c>
      <c r="S36" s="180">
        <f t="shared" si="3"/>
        <v>27.670623786</v>
      </c>
      <c r="T36" s="179">
        <f t="shared" si="4"/>
        <v>27.409622616</v>
      </c>
      <c r="U36" s="178">
        <f t="shared" ref="U36:V36" si="38">(S36-R36)/R36*100</f>
        <v>-1.5697040371530537</v>
      </c>
      <c r="V36" s="169">
        <f t="shared" si="38"/>
        <v>-0.94324281237221019</v>
      </c>
      <c r="W36" s="181"/>
      <c r="X36" s="172"/>
      <c r="Y36" s="172"/>
      <c r="Z36" s="172"/>
    </row>
    <row r="37" spans="1:26" ht="15.75" customHeight="1">
      <c r="A37" s="208"/>
      <c r="B37" s="182"/>
      <c r="C37" s="213">
        <v>191</v>
      </c>
      <c r="D37" s="176">
        <v>7.6</v>
      </c>
      <c r="E37" s="15">
        <v>29.99</v>
      </c>
      <c r="F37" s="15">
        <v>30.93</v>
      </c>
      <c r="G37" s="175">
        <v>30.88</v>
      </c>
      <c r="H37" s="176">
        <v>26</v>
      </c>
      <c r="I37" s="15">
        <v>30.09</v>
      </c>
      <c r="J37" s="15">
        <v>30.87</v>
      </c>
      <c r="K37" s="175">
        <v>30.54</v>
      </c>
      <c r="L37" s="176">
        <v>26.7</v>
      </c>
      <c r="M37" s="15">
        <v>30.15</v>
      </c>
      <c r="N37" s="15">
        <v>30.74</v>
      </c>
      <c r="O37" s="177">
        <v>30.15</v>
      </c>
      <c r="P37" s="178">
        <f t="shared" si="0"/>
        <v>242.10526315789474</v>
      </c>
      <c r="Q37" s="179">
        <f t="shared" si="1"/>
        <v>251.31578947368425</v>
      </c>
      <c r="R37" s="178">
        <f t="shared" si="2"/>
        <v>28.644000815999998</v>
      </c>
      <c r="S37" s="180">
        <f t="shared" si="3"/>
        <v>28.367943281999999</v>
      </c>
      <c r="T37" s="179">
        <f t="shared" si="4"/>
        <v>27.943351649999997</v>
      </c>
      <c r="U37" s="178">
        <f t="shared" ref="U37:V37" si="39">(S37-R37)/R37*100</f>
        <v>-0.96375340781934016</v>
      </c>
      <c r="V37" s="179">
        <f t="shared" si="39"/>
        <v>-1.4967304036786253</v>
      </c>
      <c r="W37" s="181"/>
      <c r="X37" s="172"/>
      <c r="Y37" s="172"/>
      <c r="Z37" s="172"/>
    </row>
    <row r="38" spans="1:26" ht="15.75" customHeight="1">
      <c r="A38" s="208"/>
      <c r="B38" s="7"/>
      <c r="C38" s="213">
        <v>193</v>
      </c>
      <c r="D38" s="176">
        <v>7.6</v>
      </c>
      <c r="E38" s="15">
        <v>30.09</v>
      </c>
      <c r="F38" s="15">
        <v>30.42</v>
      </c>
      <c r="G38" s="175">
        <v>29.65</v>
      </c>
      <c r="H38" s="176">
        <v>25.9</v>
      </c>
      <c r="I38" s="15">
        <v>30.17</v>
      </c>
      <c r="J38" s="15">
        <v>30.23</v>
      </c>
      <c r="K38" s="175">
        <v>30.13</v>
      </c>
      <c r="L38" s="176">
        <v>26.3</v>
      </c>
      <c r="M38" s="15">
        <v>30.23</v>
      </c>
      <c r="N38" s="15">
        <v>30.37</v>
      </c>
      <c r="O38" s="177">
        <v>30.09</v>
      </c>
      <c r="P38" s="178">
        <f t="shared" si="0"/>
        <v>240.78947368421049</v>
      </c>
      <c r="Q38" s="179">
        <f t="shared" si="1"/>
        <v>246.05263157894743</v>
      </c>
      <c r="R38" s="178">
        <f t="shared" si="2"/>
        <v>27.139765769999997</v>
      </c>
      <c r="S38" s="180">
        <f t="shared" si="3"/>
        <v>27.479738083000001</v>
      </c>
      <c r="T38" s="179">
        <f t="shared" si="4"/>
        <v>27.625180659000002</v>
      </c>
      <c r="U38" s="178">
        <f t="shared" ref="U38:V38" si="40">(S38-R38)/R38*100</f>
        <v>1.2526722444148939</v>
      </c>
      <c r="V38" s="169">
        <f t="shared" si="40"/>
        <v>0.52927206060226939</v>
      </c>
      <c r="W38" s="181"/>
      <c r="X38" s="172"/>
      <c r="Y38" s="172"/>
      <c r="Z38" s="172"/>
    </row>
    <row r="39" spans="1:26" ht="15.75" customHeight="1">
      <c r="A39" s="6"/>
      <c r="B39" s="6" t="s">
        <v>26</v>
      </c>
      <c r="C39" s="79">
        <v>78</v>
      </c>
      <c r="D39" s="190">
        <v>8.1</v>
      </c>
      <c r="E39" s="10">
        <v>31.37</v>
      </c>
      <c r="F39" s="10">
        <v>30.78</v>
      </c>
      <c r="G39" s="189">
        <v>30.9</v>
      </c>
      <c r="H39" s="190">
        <v>28.2</v>
      </c>
      <c r="I39" s="10">
        <v>31.43</v>
      </c>
      <c r="J39" s="10">
        <v>30.71</v>
      </c>
      <c r="K39" s="196">
        <v>30.9</v>
      </c>
      <c r="L39" s="190">
        <v>29.2</v>
      </c>
      <c r="M39" s="10">
        <v>31.9</v>
      </c>
      <c r="N39" s="10">
        <v>30.77</v>
      </c>
      <c r="O39" s="191">
        <v>30.55</v>
      </c>
      <c r="P39" s="192">
        <f t="shared" si="0"/>
        <v>248.14814814814818</v>
      </c>
      <c r="Q39" s="171">
        <f t="shared" si="1"/>
        <v>260.49382716049388</v>
      </c>
      <c r="R39" s="192">
        <f t="shared" si="2"/>
        <v>29.836069739999999</v>
      </c>
      <c r="S39" s="193">
        <f t="shared" si="3"/>
        <v>29.825152769999999</v>
      </c>
      <c r="T39" s="171">
        <f t="shared" si="4"/>
        <v>29.98674965</v>
      </c>
      <c r="U39" s="192">
        <f t="shared" ref="U39:V39" si="41">(S39-R39)/R39*100</f>
        <v>-3.6589839396186666E-2</v>
      </c>
      <c r="V39" s="171">
        <f t="shared" si="41"/>
        <v>0.54181408975898149</v>
      </c>
      <c r="W39" s="194"/>
    </row>
    <row r="40" spans="1:26" ht="15.75" customHeight="1">
      <c r="A40" s="6"/>
      <c r="B40" s="6"/>
      <c r="C40" s="79">
        <v>89</v>
      </c>
      <c r="D40" s="190">
        <v>8.6</v>
      </c>
      <c r="E40" s="112">
        <v>30.6</v>
      </c>
      <c r="F40" s="10">
        <v>30.62</v>
      </c>
      <c r="G40" s="189">
        <v>33.14</v>
      </c>
      <c r="H40" s="190">
        <v>29.4</v>
      </c>
      <c r="I40" s="10">
        <v>30.37</v>
      </c>
      <c r="J40" s="10">
        <v>30.81</v>
      </c>
      <c r="K40" s="189">
        <v>33.630000000000003</v>
      </c>
      <c r="L40" s="190">
        <v>30.1</v>
      </c>
      <c r="M40" s="10">
        <v>30.34</v>
      </c>
      <c r="N40" s="10">
        <v>30.68</v>
      </c>
      <c r="O40" s="191">
        <v>33.67</v>
      </c>
      <c r="P40" s="192">
        <f t="shared" si="0"/>
        <v>241.86046511627904</v>
      </c>
      <c r="Q40" s="171">
        <f t="shared" si="1"/>
        <v>250</v>
      </c>
      <c r="R40" s="192">
        <f t="shared" si="2"/>
        <v>31.051252080000001</v>
      </c>
      <c r="S40" s="193">
        <f t="shared" si="3"/>
        <v>31.467580911000002</v>
      </c>
      <c r="T40" s="171">
        <f t="shared" si="4"/>
        <v>31.341086504</v>
      </c>
      <c r="U40" s="192">
        <f t="shared" ref="U40:V40" si="42">(S40-R40)/R40*100</f>
        <v>1.3407795277542356</v>
      </c>
      <c r="V40" s="171">
        <f t="shared" si="42"/>
        <v>-0.40198325812768315</v>
      </c>
      <c r="W40" s="194"/>
    </row>
    <row r="41" spans="1:26" ht="15.75" customHeight="1">
      <c r="A41" s="6"/>
      <c r="B41" s="6"/>
      <c r="C41" s="79">
        <v>94</v>
      </c>
      <c r="D41" s="190">
        <v>8.1</v>
      </c>
      <c r="E41" s="10">
        <v>30.45</v>
      </c>
      <c r="F41" s="10">
        <v>32.9</v>
      </c>
      <c r="G41" s="189">
        <v>30.92</v>
      </c>
      <c r="H41" s="190">
        <v>26.6</v>
      </c>
      <c r="I41" s="10">
        <v>30.6</v>
      </c>
      <c r="J41" s="10">
        <v>32.86</v>
      </c>
      <c r="K41" s="189">
        <v>30.88</v>
      </c>
      <c r="L41" s="190">
        <v>28.8</v>
      </c>
      <c r="M41" s="10">
        <v>30.86</v>
      </c>
      <c r="N41" s="10">
        <v>33.369999999999997</v>
      </c>
      <c r="O41" s="191">
        <v>30.68</v>
      </c>
      <c r="P41" s="192">
        <f t="shared" si="0"/>
        <v>228.39506172839506</v>
      </c>
      <c r="Q41" s="171">
        <f t="shared" si="1"/>
        <v>255.55555555555557</v>
      </c>
      <c r="R41" s="192">
        <f t="shared" si="2"/>
        <v>30.975810599999999</v>
      </c>
      <c r="S41" s="193">
        <f t="shared" si="3"/>
        <v>31.050334079999999</v>
      </c>
      <c r="T41" s="171">
        <f t="shared" si="4"/>
        <v>31.594208775999999</v>
      </c>
      <c r="U41" s="192">
        <f t="shared" ref="U41:V41" si="43">(S41-R41)/R41*100</f>
        <v>0.24058605265361438</v>
      </c>
      <c r="V41" s="171">
        <f t="shared" si="43"/>
        <v>1.7515904807939495</v>
      </c>
      <c r="W41" s="194"/>
    </row>
    <row r="42" spans="1:26" ht="15.75" customHeight="1">
      <c r="A42" s="6"/>
      <c r="B42" s="6"/>
      <c r="C42" s="79">
        <v>155</v>
      </c>
      <c r="D42" s="190">
        <v>8.1999999999999993</v>
      </c>
      <c r="E42" s="10">
        <v>30.8</v>
      </c>
      <c r="F42" s="10">
        <v>30.32</v>
      </c>
      <c r="G42" s="189">
        <v>31.65</v>
      </c>
      <c r="H42" s="190">
        <v>28.5</v>
      </c>
      <c r="I42" s="10">
        <v>30.82</v>
      </c>
      <c r="J42" s="10">
        <v>30.44</v>
      </c>
      <c r="K42" s="189">
        <v>31.49</v>
      </c>
      <c r="L42" s="190">
        <v>29.1</v>
      </c>
      <c r="M42" s="10">
        <v>30.91</v>
      </c>
      <c r="N42" s="10">
        <v>30.65</v>
      </c>
      <c r="O42" s="191">
        <v>31.66</v>
      </c>
      <c r="P42" s="192">
        <f t="shared" si="0"/>
        <v>247.56097560975613</v>
      </c>
      <c r="Q42" s="171">
        <f t="shared" si="1"/>
        <v>254.87804878048786</v>
      </c>
      <c r="R42" s="192">
        <f t="shared" si="2"/>
        <v>29.556542399999998</v>
      </c>
      <c r="S42" s="193">
        <f t="shared" si="3"/>
        <v>29.542683591999996</v>
      </c>
      <c r="T42" s="171">
        <f t="shared" si="4"/>
        <v>29.994414890000002</v>
      </c>
      <c r="U42" s="192">
        <f t="shared" ref="U42:V42" si="44">(S42-R42)/R42*100</f>
        <v>-4.6889138155760547E-2</v>
      </c>
      <c r="V42" s="171">
        <f t="shared" si="44"/>
        <v>1.5290801074088345</v>
      </c>
      <c r="W42" s="194"/>
    </row>
    <row r="43" spans="1:26" ht="15.75" customHeight="1">
      <c r="A43" s="8"/>
      <c r="B43" s="8"/>
      <c r="C43" s="79">
        <v>165</v>
      </c>
      <c r="D43" s="214">
        <v>8</v>
      </c>
      <c r="E43" s="215">
        <v>30.64</v>
      </c>
      <c r="F43" s="215">
        <v>30.6</v>
      </c>
      <c r="G43" s="216">
        <v>31.19</v>
      </c>
      <c r="H43" s="214">
        <v>28.6</v>
      </c>
      <c r="I43" s="215">
        <v>30.7</v>
      </c>
      <c r="J43" s="215">
        <v>30.3</v>
      </c>
      <c r="K43" s="216">
        <v>31.31</v>
      </c>
      <c r="L43" s="214">
        <v>29.5</v>
      </c>
      <c r="M43" s="215">
        <v>30.92</v>
      </c>
      <c r="N43" s="215">
        <v>30.04</v>
      </c>
      <c r="O43" s="217">
        <v>31.6</v>
      </c>
      <c r="P43" s="218">
        <f t="shared" si="0"/>
        <v>257.5</v>
      </c>
      <c r="Q43" s="219">
        <f t="shared" si="1"/>
        <v>268.75</v>
      </c>
      <c r="R43" s="218">
        <f t="shared" si="2"/>
        <v>29.243244960000002</v>
      </c>
      <c r="S43" s="220">
        <f t="shared" si="3"/>
        <v>29.124875100000001</v>
      </c>
      <c r="T43" s="219">
        <f t="shared" si="4"/>
        <v>29.351242880000001</v>
      </c>
      <c r="U43" s="218">
        <f t="shared" ref="U43:V43" si="45">(S43-R43)/R43*100</f>
        <v>-0.40477676181939481</v>
      </c>
      <c r="V43" s="219">
        <f t="shared" si="45"/>
        <v>0.77723176227458002</v>
      </c>
      <c r="W43" s="194"/>
    </row>
    <row r="44" spans="1:26" ht="15.75" customHeight="1">
      <c r="A44" s="5"/>
      <c r="B44" s="4"/>
      <c r="C44" s="68"/>
      <c r="D44" s="98" t="s">
        <v>118</v>
      </c>
      <c r="H44" s="98" t="s">
        <v>118</v>
      </c>
      <c r="L44" s="98" t="s">
        <v>118</v>
      </c>
      <c r="R44" s="68"/>
      <c r="S44" s="68"/>
    </row>
    <row r="45" spans="1:26" ht="15.75" customHeight="1">
      <c r="A45" s="5"/>
      <c r="B45" s="4"/>
      <c r="C45" s="68"/>
      <c r="D45" s="98" t="s">
        <v>118</v>
      </c>
      <c r="H45" s="98" t="s">
        <v>118</v>
      </c>
      <c r="L45" s="98" t="s">
        <v>118</v>
      </c>
      <c r="R45" s="68"/>
      <c r="S45" s="68"/>
    </row>
    <row r="46" spans="1:26" ht="15.75" customHeight="1">
      <c r="A46" s="5"/>
      <c r="B46" s="4"/>
      <c r="C46" s="68"/>
      <c r="D46" s="98" t="s">
        <v>118</v>
      </c>
      <c r="H46" s="98" t="s">
        <v>118</v>
      </c>
      <c r="L46" s="98" t="s">
        <v>118</v>
      </c>
      <c r="R46" s="68"/>
      <c r="S46" s="68"/>
    </row>
    <row r="47" spans="1:26" ht="15.75" customHeight="1">
      <c r="A47" s="5"/>
      <c r="B47" s="4"/>
      <c r="C47" s="68"/>
      <c r="D47" s="98" t="s">
        <v>118</v>
      </c>
      <c r="H47" s="98" t="s">
        <v>118</v>
      </c>
      <c r="L47" s="98" t="s">
        <v>118</v>
      </c>
      <c r="R47" s="68"/>
      <c r="S47" s="68"/>
    </row>
    <row r="48" spans="1:26" ht="15.75" customHeight="1">
      <c r="A48" s="5"/>
      <c r="B48" s="4"/>
      <c r="C48" s="68"/>
      <c r="D48" s="98" t="s">
        <v>118</v>
      </c>
      <c r="H48" s="98" t="s">
        <v>118</v>
      </c>
      <c r="L48" s="98" t="s">
        <v>118</v>
      </c>
      <c r="R48" s="68"/>
      <c r="S48" s="68"/>
    </row>
    <row r="49" spans="1:19" ht="15.75" customHeight="1">
      <c r="A49" s="5"/>
      <c r="B49" s="4"/>
      <c r="C49" s="68"/>
      <c r="D49" s="98" t="s">
        <v>118</v>
      </c>
      <c r="H49" s="98" t="s">
        <v>118</v>
      </c>
      <c r="L49" s="98" t="s">
        <v>118</v>
      </c>
      <c r="R49" s="68"/>
      <c r="S49" s="68"/>
    </row>
    <row r="50" spans="1:19" ht="15.75" customHeight="1">
      <c r="A50" s="5"/>
      <c r="B50" s="4"/>
      <c r="C50" s="68"/>
      <c r="D50" s="98" t="s">
        <v>118</v>
      </c>
      <c r="H50" s="98" t="s">
        <v>118</v>
      </c>
      <c r="L50" s="98" t="s">
        <v>118</v>
      </c>
      <c r="R50" s="68"/>
      <c r="S50" s="68"/>
    </row>
    <row r="51" spans="1:19" ht="15.75" customHeight="1">
      <c r="A51" s="5"/>
      <c r="B51" s="4"/>
      <c r="C51" s="68"/>
      <c r="D51" s="98" t="s">
        <v>118</v>
      </c>
      <c r="H51" s="98" t="s">
        <v>118</v>
      </c>
      <c r="L51" s="98" t="s">
        <v>118</v>
      </c>
      <c r="R51" s="68"/>
      <c r="S51" s="68"/>
    </row>
    <row r="52" spans="1:19" ht="15.75" customHeight="1">
      <c r="A52" s="5"/>
      <c r="B52" s="4"/>
      <c r="C52" s="68"/>
      <c r="D52" s="98" t="s">
        <v>118</v>
      </c>
      <c r="H52" s="98" t="s">
        <v>118</v>
      </c>
      <c r="L52" s="98" t="s">
        <v>118</v>
      </c>
      <c r="R52" s="68"/>
      <c r="S52" s="68"/>
    </row>
    <row r="53" spans="1:19" ht="15.75" customHeight="1">
      <c r="A53" s="5"/>
      <c r="B53" s="4"/>
      <c r="C53" s="68"/>
      <c r="D53" s="98" t="s">
        <v>118</v>
      </c>
      <c r="H53" s="98" t="s">
        <v>118</v>
      </c>
      <c r="L53" s="98" t="s">
        <v>118</v>
      </c>
      <c r="R53" s="68"/>
      <c r="S53" s="68"/>
    </row>
    <row r="54" spans="1:19" ht="15.75" customHeight="1">
      <c r="A54" s="5"/>
      <c r="B54" s="4"/>
      <c r="C54" s="68"/>
      <c r="D54" s="98" t="s">
        <v>118</v>
      </c>
      <c r="H54" s="98" t="s">
        <v>118</v>
      </c>
      <c r="L54" s="98" t="s">
        <v>118</v>
      </c>
      <c r="R54" s="68"/>
      <c r="S54" s="68"/>
    </row>
    <row r="55" spans="1:19" ht="15.75" customHeight="1">
      <c r="A55" s="5"/>
      <c r="B55" s="4"/>
      <c r="C55" s="68"/>
      <c r="D55" s="98" t="s">
        <v>118</v>
      </c>
      <c r="H55" s="98" t="s">
        <v>118</v>
      </c>
      <c r="L55" s="98" t="s">
        <v>118</v>
      </c>
      <c r="R55" s="68"/>
      <c r="S55" s="68"/>
    </row>
    <row r="56" spans="1:19" ht="15.75" customHeight="1">
      <c r="A56" s="5"/>
      <c r="B56" s="4"/>
      <c r="C56" s="68"/>
      <c r="D56" s="98" t="s">
        <v>118</v>
      </c>
      <c r="H56" s="98" t="s">
        <v>118</v>
      </c>
      <c r="L56" s="98" t="s">
        <v>118</v>
      </c>
      <c r="R56" s="68"/>
      <c r="S56" s="68"/>
    </row>
    <row r="57" spans="1:19" ht="15.75" customHeight="1">
      <c r="A57" s="5"/>
      <c r="B57" s="4"/>
      <c r="C57" s="68"/>
      <c r="D57" s="98" t="s">
        <v>118</v>
      </c>
      <c r="H57" s="98" t="s">
        <v>118</v>
      </c>
      <c r="L57" s="98" t="s">
        <v>118</v>
      </c>
      <c r="R57" s="68"/>
      <c r="S57" s="68"/>
    </row>
    <row r="58" spans="1:19" ht="15.75" customHeight="1">
      <c r="A58" s="5"/>
      <c r="B58" s="4"/>
      <c r="C58" s="68"/>
      <c r="D58" s="98" t="s">
        <v>118</v>
      </c>
      <c r="H58" s="98" t="s">
        <v>118</v>
      </c>
      <c r="L58" s="98" t="s">
        <v>118</v>
      </c>
      <c r="R58" s="68"/>
      <c r="S58" s="68"/>
    </row>
    <row r="59" spans="1:19" ht="15.75" customHeight="1">
      <c r="A59" s="5"/>
      <c r="B59" s="4"/>
      <c r="C59" s="68"/>
      <c r="D59" s="98" t="s">
        <v>118</v>
      </c>
      <c r="H59" s="98" t="s">
        <v>118</v>
      </c>
      <c r="L59" s="98" t="s">
        <v>118</v>
      </c>
      <c r="R59" s="68"/>
      <c r="S59" s="68"/>
    </row>
    <row r="60" spans="1:19" ht="15.75" customHeight="1">
      <c r="A60" s="5"/>
      <c r="B60" s="4"/>
      <c r="C60" s="68"/>
      <c r="D60" s="98" t="s">
        <v>118</v>
      </c>
      <c r="H60" s="98" t="s">
        <v>118</v>
      </c>
      <c r="L60" s="98" t="s">
        <v>118</v>
      </c>
      <c r="R60" s="68"/>
      <c r="S60" s="68"/>
    </row>
    <row r="61" spans="1:19" ht="15.75" customHeight="1">
      <c r="A61" s="5"/>
      <c r="B61" s="4"/>
      <c r="C61" s="68"/>
      <c r="D61" s="98" t="s">
        <v>118</v>
      </c>
      <c r="H61" s="98" t="s">
        <v>118</v>
      </c>
      <c r="L61" s="98" t="s">
        <v>118</v>
      </c>
      <c r="R61" s="68"/>
      <c r="S61" s="68"/>
    </row>
    <row r="62" spans="1:19" ht="15.75" customHeight="1">
      <c r="A62" s="5"/>
      <c r="B62" s="4"/>
      <c r="C62" s="68"/>
      <c r="D62" s="98" t="s">
        <v>118</v>
      </c>
      <c r="H62" s="98" t="s">
        <v>118</v>
      </c>
      <c r="L62" s="98" t="s">
        <v>118</v>
      </c>
      <c r="R62" s="68"/>
      <c r="S62" s="68"/>
    </row>
    <row r="63" spans="1:19" ht="15.75" customHeight="1">
      <c r="A63" s="5"/>
      <c r="B63" s="4"/>
      <c r="C63" s="68"/>
      <c r="D63" s="98" t="s">
        <v>118</v>
      </c>
      <c r="H63" s="98" t="s">
        <v>118</v>
      </c>
      <c r="L63" s="98" t="s">
        <v>118</v>
      </c>
      <c r="R63" s="68"/>
      <c r="S63" s="68"/>
    </row>
    <row r="64" spans="1:19" ht="15.75" customHeight="1">
      <c r="A64" s="5"/>
      <c r="B64" s="4"/>
      <c r="C64" s="68"/>
      <c r="D64" s="98" t="s">
        <v>118</v>
      </c>
      <c r="H64" s="98" t="s">
        <v>118</v>
      </c>
      <c r="L64" s="98" t="s">
        <v>118</v>
      </c>
      <c r="R64" s="68"/>
      <c r="S64" s="68"/>
    </row>
    <row r="65" spans="1:19" ht="15.75" customHeight="1">
      <c r="A65" s="5"/>
      <c r="B65" s="4"/>
      <c r="C65" s="68"/>
      <c r="D65" s="98" t="s">
        <v>118</v>
      </c>
      <c r="H65" s="98" t="s">
        <v>118</v>
      </c>
      <c r="L65" s="98" t="s">
        <v>118</v>
      </c>
      <c r="R65" s="68"/>
      <c r="S65" s="68"/>
    </row>
    <row r="66" spans="1:19" ht="15.75" customHeight="1">
      <c r="A66" s="5"/>
      <c r="B66" s="4"/>
      <c r="C66" s="68"/>
      <c r="D66" s="98" t="s">
        <v>118</v>
      </c>
      <c r="H66" s="98" t="s">
        <v>118</v>
      </c>
      <c r="L66" s="98" t="s">
        <v>118</v>
      </c>
      <c r="R66" s="68"/>
      <c r="S66" s="68"/>
    </row>
    <row r="67" spans="1:19" ht="15.75" customHeight="1">
      <c r="A67" s="5"/>
      <c r="B67" s="4"/>
      <c r="C67" s="68"/>
      <c r="D67" s="98" t="s">
        <v>118</v>
      </c>
      <c r="H67" s="98" t="s">
        <v>118</v>
      </c>
      <c r="L67" s="98" t="s">
        <v>118</v>
      </c>
      <c r="R67" s="68"/>
      <c r="S67" s="68"/>
    </row>
    <row r="68" spans="1:19" ht="15.75" customHeight="1">
      <c r="A68" s="5"/>
      <c r="B68" s="4"/>
      <c r="C68" s="68"/>
      <c r="D68" s="98" t="s">
        <v>118</v>
      </c>
      <c r="H68" s="98" t="s">
        <v>118</v>
      </c>
      <c r="L68" s="98" t="s">
        <v>118</v>
      </c>
      <c r="R68" s="68"/>
      <c r="S68" s="68"/>
    </row>
    <row r="69" spans="1:19" ht="15.75" customHeight="1">
      <c r="A69" s="5"/>
      <c r="B69" s="4"/>
      <c r="C69" s="68"/>
      <c r="D69" s="98" t="s">
        <v>118</v>
      </c>
      <c r="H69" s="98" t="s">
        <v>118</v>
      </c>
      <c r="L69" s="98" t="s">
        <v>118</v>
      </c>
      <c r="R69" s="68"/>
      <c r="S69" s="68"/>
    </row>
    <row r="70" spans="1:19" ht="15.75" customHeight="1">
      <c r="A70" s="5"/>
      <c r="B70" s="4"/>
      <c r="C70" s="68"/>
      <c r="D70" s="98" t="s">
        <v>118</v>
      </c>
      <c r="H70" s="98" t="s">
        <v>118</v>
      </c>
      <c r="L70" s="98" t="s">
        <v>118</v>
      </c>
      <c r="R70" s="68"/>
      <c r="S70" s="68"/>
    </row>
    <row r="71" spans="1:19" ht="15.75" customHeight="1">
      <c r="A71" s="5"/>
      <c r="B71" s="4"/>
      <c r="C71" s="68"/>
      <c r="D71" s="98" t="s">
        <v>118</v>
      </c>
      <c r="H71" s="98" t="s">
        <v>118</v>
      </c>
      <c r="L71" s="98" t="s">
        <v>118</v>
      </c>
      <c r="R71" s="68"/>
      <c r="S71" s="68"/>
    </row>
    <row r="72" spans="1:19" ht="15.75" customHeight="1">
      <c r="A72" s="5"/>
      <c r="B72" s="4"/>
      <c r="C72" s="68"/>
      <c r="D72" s="98" t="s">
        <v>118</v>
      </c>
      <c r="H72" s="98" t="s">
        <v>118</v>
      </c>
      <c r="L72" s="98" t="s">
        <v>118</v>
      </c>
      <c r="R72" s="68"/>
      <c r="S72" s="68"/>
    </row>
    <row r="73" spans="1:19" ht="15.75" customHeight="1">
      <c r="A73" s="5"/>
      <c r="B73" s="4"/>
      <c r="C73" s="68"/>
      <c r="D73" s="98" t="s">
        <v>118</v>
      </c>
      <c r="H73" s="98" t="s">
        <v>118</v>
      </c>
      <c r="L73" s="98" t="s">
        <v>118</v>
      </c>
      <c r="R73" s="68"/>
      <c r="S73" s="68"/>
    </row>
    <row r="74" spans="1:19" ht="15.75" customHeight="1">
      <c r="A74" s="5"/>
      <c r="B74" s="4"/>
      <c r="C74" s="68"/>
      <c r="D74" s="98" t="s">
        <v>118</v>
      </c>
      <c r="H74" s="98" t="s">
        <v>118</v>
      </c>
      <c r="L74" s="98" t="s">
        <v>118</v>
      </c>
      <c r="R74" s="68"/>
      <c r="S74" s="68"/>
    </row>
    <row r="75" spans="1:19" ht="15.75" customHeight="1">
      <c r="A75" s="5"/>
      <c r="B75" s="4"/>
      <c r="C75" s="68"/>
      <c r="D75" s="98" t="s">
        <v>118</v>
      </c>
      <c r="H75" s="98" t="s">
        <v>118</v>
      </c>
      <c r="L75" s="98" t="s">
        <v>118</v>
      </c>
      <c r="R75" s="68"/>
      <c r="S75" s="68"/>
    </row>
    <row r="76" spans="1:19" ht="15.75" customHeight="1">
      <c r="A76" s="5"/>
      <c r="B76" s="4"/>
      <c r="C76" s="68"/>
      <c r="D76" s="98" t="s">
        <v>118</v>
      </c>
      <c r="H76" s="98" t="s">
        <v>118</v>
      </c>
      <c r="L76" s="98" t="s">
        <v>118</v>
      </c>
      <c r="R76" s="68"/>
      <c r="S76" s="68"/>
    </row>
    <row r="77" spans="1:19" ht="15.75" customHeight="1">
      <c r="A77" s="5"/>
      <c r="B77" s="4"/>
      <c r="C77" s="68"/>
      <c r="D77" s="98" t="s">
        <v>118</v>
      </c>
      <c r="H77" s="98" t="s">
        <v>118</v>
      </c>
      <c r="L77" s="98" t="s">
        <v>118</v>
      </c>
      <c r="R77" s="68"/>
      <c r="S77" s="68"/>
    </row>
    <row r="78" spans="1:19" ht="15.75" customHeight="1">
      <c r="A78" s="5"/>
      <c r="B78" s="4"/>
      <c r="C78" s="68"/>
      <c r="D78" s="98" t="s">
        <v>118</v>
      </c>
      <c r="H78" s="98" t="s">
        <v>118</v>
      </c>
      <c r="L78" s="98" t="s">
        <v>118</v>
      </c>
      <c r="R78" s="68"/>
      <c r="S78" s="98"/>
    </row>
    <row r="79" spans="1:19" ht="15.75" customHeight="1">
      <c r="A79" s="5"/>
      <c r="B79" s="4"/>
      <c r="C79" s="68"/>
      <c r="D79" s="98" t="s">
        <v>118</v>
      </c>
      <c r="H79" s="98" t="s">
        <v>118</v>
      </c>
      <c r="L79" s="98" t="s">
        <v>118</v>
      </c>
      <c r="R79" s="69"/>
      <c r="S79" s="98"/>
    </row>
    <row r="80" spans="1:19" ht="15.75" customHeight="1">
      <c r="A80" s="5"/>
      <c r="B80" s="4"/>
      <c r="C80" s="68"/>
      <c r="D80" s="98" t="s">
        <v>118</v>
      </c>
      <c r="H80" s="98" t="s">
        <v>118</v>
      </c>
      <c r="L80" s="98" t="s">
        <v>118</v>
      </c>
      <c r="R80" s="68"/>
      <c r="S80" s="98"/>
    </row>
    <row r="81" spans="1:19" ht="15.75" customHeight="1">
      <c r="A81" s="5"/>
      <c r="B81" s="4"/>
      <c r="C81" s="68"/>
      <c r="D81" s="98" t="s">
        <v>118</v>
      </c>
      <c r="H81" s="98" t="s">
        <v>118</v>
      </c>
      <c r="L81" s="98" t="s">
        <v>118</v>
      </c>
      <c r="R81" s="68"/>
      <c r="S81" s="98"/>
    </row>
    <row r="82" spans="1:19" ht="15.75" customHeight="1">
      <c r="A82" s="5"/>
      <c r="B82" s="4"/>
      <c r="C82" s="68"/>
      <c r="D82" s="98" t="s">
        <v>118</v>
      </c>
      <c r="H82" s="98" t="s">
        <v>118</v>
      </c>
      <c r="L82" s="98" t="s">
        <v>118</v>
      </c>
      <c r="R82" s="68"/>
      <c r="S82" s="98"/>
    </row>
    <row r="83" spans="1:19" ht="15.75" customHeight="1">
      <c r="A83" s="5"/>
      <c r="B83" s="4"/>
      <c r="C83" s="68"/>
      <c r="D83" s="98" t="s">
        <v>118</v>
      </c>
      <c r="H83" s="98" t="s">
        <v>118</v>
      </c>
      <c r="L83" s="98" t="s">
        <v>118</v>
      </c>
      <c r="R83" s="68"/>
      <c r="S83" s="98"/>
    </row>
    <row r="84" spans="1:19" ht="15.75" customHeight="1">
      <c r="A84" s="5"/>
      <c r="B84" s="4"/>
      <c r="C84" s="68"/>
      <c r="D84" s="98" t="s">
        <v>118</v>
      </c>
      <c r="H84" s="98" t="s">
        <v>118</v>
      </c>
      <c r="L84" s="98" t="s">
        <v>118</v>
      </c>
      <c r="R84" s="98"/>
      <c r="S84" s="98"/>
    </row>
    <row r="85" spans="1:19" ht="15.75" customHeight="1">
      <c r="A85" s="5"/>
      <c r="B85" s="4"/>
      <c r="C85" s="68"/>
      <c r="D85" s="98" t="s">
        <v>118</v>
      </c>
      <c r="H85" s="98" t="s">
        <v>118</v>
      </c>
      <c r="L85" s="98" t="s">
        <v>118</v>
      </c>
      <c r="R85" s="98"/>
      <c r="S85" s="98"/>
    </row>
    <row r="86" spans="1:19" ht="15.75" customHeight="1">
      <c r="A86" s="5"/>
      <c r="B86" s="4"/>
      <c r="C86" s="68"/>
      <c r="D86" s="98" t="s">
        <v>118</v>
      </c>
      <c r="H86" s="98" t="s">
        <v>118</v>
      </c>
      <c r="L86" s="98" t="s">
        <v>118</v>
      </c>
      <c r="R86" s="98"/>
      <c r="S86" s="98"/>
    </row>
    <row r="87" spans="1:19" ht="15.75" customHeight="1">
      <c r="A87" s="5"/>
      <c r="B87" s="4"/>
      <c r="C87" s="68"/>
      <c r="D87" s="98" t="s">
        <v>118</v>
      </c>
      <c r="H87" s="98" t="s">
        <v>118</v>
      </c>
      <c r="L87" s="98" t="s">
        <v>118</v>
      </c>
      <c r="R87" s="98"/>
      <c r="S87" s="98"/>
    </row>
    <row r="88" spans="1:19" ht="15.75" customHeight="1">
      <c r="A88" s="5"/>
      <c r="B88" s="4"/>
      <c r="C88" s="68"/>
      <c r="D88" s="98" t="s">
        <v>118</v>
      </c>
      <c r="H88" s="98" t="s">
        <v>118</v>
      </c>
      <c r="L88" s="98" t="s">
        <v>118</v>
      </c>
      <c r="R88" s="98"/>
      <c r="S88" s="98"/>
    </row>
    <row r="89" spans="1:19" ht="15.75" customHeight="1">
      <c r="A89" s="5"/>
      <c r="B89" s="4"/>
      <c r="C89" s="68"/>
      <c r="D89" s="98" t="s">
        <v>118</v>
      </c>
      <c r="H89" s="98" t="s">
        <v>118</v>
      </c>
      <c r="L89" s="98" t="s">
        <v>118</v>
      </c>
      <c r="R89" s="98"/>
      <c r="S89" s="98"/>
    </row>
    <row r="90" spans="1:19" ht="15.75" customHeight="1">
      <c r="A90" s="5"/>
      <c r="B90" s="4"/>
      <c r="C90" s="68"/>
      <c r="D90" s="98" t="s">
        <v>118</v>
      </c>
      <c r="H90" s="98" t="s">
        <v>118</v>
      </c>
      <c r="L90" s="98" t="s">
        <v>118</v>
      </c>
      <c r="R90" s="98"/>
      <c r="S90" s="98"/>
    </row>
    <row r="91" spans="1:19" ht="15.75" customHeight="1">
      <c r="A91" s="5"/>
      <c r="B91" s="4"/>
      <c r="C91" s="68"/>
      <c r="D91" s="98" t="s">
        <v>118</v>
      </c>
      <c r="H91" s="98" t="s">
        <v>118</v>
      </c>
      <c r="L91" s="98" t="s">
        <v>118</v>
      </c>
      <c r="R91" s="98"/>
      <c r="S91" s="98"/>
    </row>
    <row r="92" spans="1:19" ht="15.75" customHeight="1">
      <c r="A92" s="5"/>
      <c r="B92" s="4"/>
      <c r="C92" s="68"/>
      <c r="D92" s="98" t="s">
        <v>118</v>
      </c>
      <c r="H92" s="98" t="s">
        <v>118</v>
      </c>
      <c r="L92" s="98" t="s">
        <v>118</v>
      </c>
      <c r="R92" s="98"/>
      <c r="S92" s="98"/>
    </row>
    <row r="93" spans="1:19" ht="15.75" customHeight="1">
      <c r="A93" s="5"/>
      <c r="B93" s="4"/>
      <c r="C93" s="68"/>
      <c r="D93" s="98" t="s">
        <v>118</v>
      </c>
      <c r="H93" s="98" t="s">
        <v>118</v>
      </c>
      <c r="L93" s="98" t="s">
        <v>118</v>
      </c>
      <c r="R93" s="98"/>
      <c r="S93" s="98"/>
    </row>
    <row r="94" spans="1:19" ht="15.75" customHeight="1">
      <c r="A94" s="5"/>
      <c r="B94" s="4"/>
      <c r="C94" s="68"/>
      <c r="D94" s="98" t="s">
        <v>118</v>
      </c>
      <c r="H94" s="98" t="s">
        <v>118</v>
      </c>
      <c r="L94" s="98" t="s">
        <v>118</v>
      </c>
      <c r="R94" s="98"/>
      <c r="S94" s="98"/>
    </row>
    <row r="95" spans="1:19" ht="15.75" customHeight="1">
      <c r="A95" s="5"/>
      <c r="B95" s="4"/>
      <c r="C95" s="68"/>
      <c r="D95" s="98" t="s">
        <v>118</v>
      </c>
      <c r="H95" s="98" t="s">
        <v>118</v>
      </c>
      <c r="L95" s="98" t="s">
        <v>118</v>
      </c>
      <c r="R95" s="98"/>
      <c r="S95" s="98"/>
    </row>
    <row r="96" spans="1:19" ht="15.75" customHeight="1">
      <c r="A96" s="4"/>
      <c r="B96" s="4"/>
      <c r="C96" s="68"/>
      <c r="D96" s="98" t="s">
        <v>118</v>
      </c>
      <c r="H96" s="98" t="s">
        <v>118</v>
      </c>
      <c r="L96" s="98" t="s">
        <v>118</v>
      </c>
      <c r="R96" s="98"/>
      <c r="S96" s="98"/>
    </row>
    <row r="97" spans="1:19" ht="15.75" customHeight="1">
      <c r="A97" s="4"/>
      <c r="B97" s="4"/>
      <c r="C97" s="68"/>
      <c r="D97" s="98" t="s">
        <v>118</v>
      </c>
      <c r="H97" s="98" t="s">
        <v>118</v>
      </c>
      <c r="L97" s="98" t="s">
        <v>118</v>
      </c>
      <c r="R97" s="98"/>
      <c r="S97" s="98"/>
    </row>
    <row r="98" spans="1:19" ht="15.75" customHeight="1">
      <c r="D98" s="98" t="s">
        <v>118</v>
      </c>
      <c r="H98" s="98" t="s">
        <v>118</v>
      </c>
      <c r="L98" s="98" t="s">
        <v>118</v>
      </c>
      <c r="R98" s="98"/>
      <c r="S98" s="98"/>
    </row>
    <row r="99" spans="1:19" ht="15.75" customHeight="1">
      <c r="D99" s="98" t="s">
        <v>118</v>
      </c>
      <c r="H99" s="98" t="s">
        <v>118</v>
      </c>
      <c r="L99" s="98" t="s">
        <v>118</v>
      </c>
      <c r="R99" s="98"/>
      <c r="S99" s="98"/>
    </row>
    <row r="100" spans="1:19" ht="15.75" customHeight="1">
      <c r="D100" s="98" t="s">
        <v>118</v>
      </c>
      <c r="H100" s="98" t="s">
        <v>118</v>
      </c>
      <c r="L100" s="98" t="s">
        <v>118</v>
      </c>
      <c r="R100" s="98"/>
      <c r="S100" s="98"/>
    </row>
    <row r="101" spans="1:19" ht="15.75" customHeight="1">
      <c r="D101" s="98" t="s">
        <v>118</v>
      </c>
      <c r="H101" s="98" t="s">
        <v>118</v>
      </c>
      <c r="L101" s="98" t="s">
        <v>118</v>
      </c>
      <c r="R101" s="98"/>
      <c r="S101" s="98"/>
    </row>
    <row r="102" spans="1:19" ht="15.75" customHeight="1">
      <c r="D102" s="98" t="s">
        <v>118</v>
      </c>
      <c r="H102" s="98" t="s">
        <v>118</v>
      </c>
      <c r="L102" s="98" t="s">
        <v>118</v>
      </c>
      <c r="R102" s="98"/>
      <c r="S102" s="98"/>
    </row>
    <row r="103" spans="1:19" ht="15.75" customHeight="1">
      <c r="D103" s="98" t="s">
        <v>118</v>
      </c>
      <c r="H103" s="98" t="s">
        <v>118</v>
      </c>
      <c r="L103" s="98" t="s">
        <v>118</v>
      </c>
      <c r="R103" s="98"/>
      <c r="S103" s="98"/>
    </row>
    <row r="104" spans="1:19" ht="15.75" customHeight="1">
      <c r="D104" s="98" t="s">
        <v>118</v>
      </c>
      <c r="H104" s="98" t="s">
        <v>118</v>
      </c>
      <c r="L104" s="98" t="s">
        <v>118</v>
      </c>
      <c r="R104" s="98"/>
      <c r="S104" s="98"/>
    </row>
    <row r="105" spans="1:19" ht="15.75" customHeight="1">
      <c r="D105" s="98" t="s">
        <v>118</v>
      </c>
      <c r="H105" s="98" t="s">
        <v>118</v>
      </c>
      <c r="L105" s="98" t="s">
        <v>118</v>
      </c>
      <c r="R105" s="98"/>
      <c r="S105" s="98"/>
    </row>
    <row r="106" spans="1:19" ht="15.75" customHeight="1">
      <c r="D106" s="98" t="s">
        <v>118</v>
      </c>
      <c r="H106" s="98" t="s">
        <v>118</v>
      </c>
      <c r="L106" s="98" t="s">
        <v>118</v>
      </c>
      <c r="R106" s="98"/>
      <c r="S106" s="98"/>
    </row>
    <row r="107" spans="1:19" ht="15.75" customHeight="1">
      <c r="D107" s="98" t="s">
        <v>118</v>
      </c>
      <c r="H107" s="98" t="s">
        <v>118</v>
      </c>
      <c r="L107" s="98" t="s">
        <v>118</v>
      </c>
      <c r="R107" s="98"/>
      <c r="S107" s="98"/>
    </row>
    <row r="108" spans="1:19" ht="15.75" customHeight="1">
      <c r="D108" s="98" t="s">
        <v>118</v>
      </c>
      <c r="H108" s="98" t="s">
        <v>118</v>
      </c>
      <c r="L108" s="98" t="s">
        <v>118</v>
      </c>
      <c r="R108" s="98"/>
      <c r="S108" s="98"/>
    </row>
    <row r="109" spans="1:19" ht="15.75" customHeight="1">
      <c r="D109" s="98" t="s">
        <v>118</v>
      </c>
      <c r="H109" s="98" t="s">
        <v>118</v>
      </c>
      <c r="L109" s="98" t="s">
        <v>118</v>
      </c>
      <c r="R109" s="98"/>
      <c r="S109" s="98"/>
    </row>
    <row r="110" spans="1:19" ht="15.75" customHeight="1">
      <c r="D110" s="98" t="s">
        <v>118</v>
      </c>
      <c r="H110" s="98" t="s">
        <v>118</v>
      </c>
      <c r="L110" s="98" t="s">
        <v>118</v>
      </c>
      <c r="R110" s="98"/>
      <c r="S110" s="98"/>
    </row>
    <row r="111" spans="1:19" ht="15.75" customHeight="1">
      <c r="D111" s="98" t="s">
        <v>118</v>
      </c>
      <c r="H111" s="98" t="s">
        <v>118</v>
      </c>
      <c r="L111" s="98" t="s">
        <v>118</v>
      </c>
      <c r="R111" s="98"/>
      <c r="S111" s="98"/>
    </row>
    <row r="112" spans="1:19" ht="15.75" customHeight="1">
      <c r="D112" s="98" t="s">
        <v>118</v>
      </c>
      <c r="H112" s="98" t="s">
        <v>118</v>
      </c>
      <c r="L112" s="98" t="s">
        <v>118</v>
      </c>
      <c r="R112" s="98"/>
      <c r="S112" s="98"/>
    </row>
    <row r="113" spans="4:19" ht="15.75" customHeight="1">
      <c r="D113" s="98" t="s">
        <v>118</v>
      </c>
      <c r="H113" s="98" t="s">
        <v>118</v>
      </c>
      <c r="L113" s="98" t="s">
        <v>118</v>
      </c>
      <c r="R113" s="98"/>
      <c r="S113" s="98"/>
    </row>
    <row r="114" spans="4:19" ht="15.75" customHeight="1">
      <c r="D114" s="98" t="s">
        <v>118</v>
      </c>
      <c r="H114" s="98" t="s">
        <v>118</v>
      </c>
      <c r="L114" s="98" t="s">
        <v>118</v>
      </c>
      <c r="R114" s="98"/>
      <c r="S114" s="98"/>
    </row>
    <row r="115" spans="4:19" ht="15.75" customHeight="1">
      <c r="D115" s="98" t="s">
        <v>118</v>
      </c>
      <c r="H115" s="98" t="s">
        <v>118</v>
      </c>
      <c r="L115" s="98" t="s">
        <v>118</v>
      </c>
      <c r="R115" s="98"/>
      <c r="S115" s="98"/>
    </row>
    <row r="116" spans="4:19" ht="15.75" customHeight="1">
      <c r="D116" s="98" t="s">
        <v>118</v>
      </c>
      <c r="H116" s="98" t="s">
        <v>118</v>
      </c>
      <c r="L116" s="98" t="s">
        <v>118</v>
      </c>
      <c r="R116" s="98"/>
      <c r="S116" s="98"/>
    </row>
    <row r="117" spans="4:19" ht="15.75" customHeight="1">
      <c r="D117" s="98" t="s">
        <v>118</v>
      </c>
      <c r="H117" s="98" t="s">
        <v>118</v>
      </c>
      <c r="L117" s="98" t="s">
        <v>118</v>
      </c>
      <c r="R117" s="98"/>
      <c r="S117" s="98"/>
    </row>
    <row r="118" spans="4:19" ht="15.75" customHeight="1">
      <c r="D118" s="98" t="s">
        <v>118</v>
      </c>
      <c r="H118" s="98" t="s">
        <v>118</v>
      </c>
      <c r="L118" s="98" t="s">
        <v>118</v>
      </c>
      <c r="R118" s="98"/>
      <c r="S118" s="98"/>
    </row>
    <row r="119" spans="4:19" ht="15.75" customHeight="1">
      <c r="D119" s="98" t="s">
        <v>118</v>
      </c>
      <c r="H119" s="98" t="s">
        <v>118</v>
      </c>
      <c r="L119" s="98" t="s">
        <v>118</v>
      </c>
      <c r="R119" s="98"/>
      <c r="S119" s="98"/>
    </row>
    <row r="120" spans="4:19" ht="15.75" customHeight="1">
      <c r="D120" s="98" t="s">
        <v>118</v>
      </c>
      <c r="H120" s="98" t="s">
        <v>118</v>
      </c>
      <c r="L120" s="98" t="s">
        <v>118</v>
      </c>
      <c r="R120" s="98"/>
      <c r="S120" s="98"/>
    </row>
    <row r="121" spans="4:19" ht="15.75" customHeight="1">
      <c r="D121" s="98" t="s">
        <v>118</v>
      </c>
      <c r="H121" s="98" t="s">
        <v>118</v>
      </c>
      <c r="L121" s="98" t="s">
        <v>118</v>
      </c>
      <c r="R121" s="98"/>
      <c r="S121" s="98"/>
    </row>
    <row r="122" spans="4:19" ht="15.75" customHeight="1">
      <c r="D122" s="98" t="s">
        <v>118</v>
      </c>
      <c r="H122" s="98" t="s">
        <v>118</v>
      </c>
      <c r="L122" s="98" t="s">
        <v>118</v>
      </c>
      <c r="R122" s="98"/>
      <c r="S122" s="98"/>
    </row>
    <row r="123" spans="4:19" ht="15.75" customHeight="1">
      <c r="D123" s="98" t="s">
        <v>118</v>
      </c>
      <c r="H123" s="98" t="s">
        <v>118</v>
      </c>
      <c r="L123" s="98" t="s">
        <v>118</v>
      </c>
      <c r="R123" s="98"/>
      <c r="S123" s="98"/>
    </row>
    <row r="124" spans="4:19" ht="15.75" customHeight="1">
      <c r="D124" s="98" t="s">
        <v>118</v>
      </c>
      <c r="H124" s="98" t="s">
        <v>118</v>
      </c>
      <c r="L124" s="98" t="s">
        <v>118</v>
      </c>
      <c r="R124" s="98"/>
      <c r="S124" s="98"/>
    </row>
    <row r="125" spans="4:19" ht="15.75" customHeight="1">
      <c r="D125" s="98" t="s">
        <v>118</v>
      </c>
      <c r="H125" s="98" t="s">
        <v>118</v>
      </c>
      <c r="L125" s="98" t="s">
        <v>118</v>
      </c>
      <c r="R125" s="98"/>
      <c r="S125" s="98"/>
    </row>
    <row r="126" spans="4:19" ht="15.75" customHeight="1">
      <c r="D126" s="98" t="s">
        <v>118</v>
      </c>
      <c r="H126" s="98" t="s">
        <v>118</v>
      </c>
      <c r="L126" s="98" t="s">
        <v>118</v>
      </c>
      <c r="R126" s="98"/>
      <c r="S126" s="98"/>
    </row>
    <row r="127" spans="4:19" ht="15.75" customHeight="1">
      <c r="D127" s="98" t="s">
        <v>118</v>
      </c>
      <c r="H127" s="98" t="s">
        <v>118</v>
      </c>
      <c r="L127" s="98" t="s">
        <v>118</v>
      </c>
      <c r="R127" s="98"/>
      <c r="S127" s="98"/>
    </row>
    <row r="128" spans="4:19" ht="15.75" customHeight="1">
      <c r="D128" s="98" t="s">
        <v>118</v>
      </c>
      <c r="H128" s="98" t="s">
        <v>118</v>
      </c>
      <c r="L128" s="98" t="s">
        <v>118</v>
      </c>
      <c r="R128" s="98"/>
      <c r="S128" s="98"/>
    </row>
    <row r="129" spans="4:19" ht="15.75" customHeight="1">
      <c r="D129" s="98" t="s">
        <v>118</v>
      </c>
      <c r="H129" s="98" t="s">
        <v>118</v>
      </c>
      <c r="L129" s="98" t="s">
        <v>118</v>
      </c>
      <c r="R129" s="98"/>
      <c r="S129" s="98"/>
    </row>
    <row r="130" spans="4:19" ht="15.75" customHeight="1">
      <c r="D130" s="98" t="s">
        <v>118</v>
      </c>
      <c r="H130" s="98" t="s">
        <v>118</v>
      </c>
      <c r="L130" s="98" t="s">
        <v>118</v>
      </c>
      <c r="R130" s="98"/>
      <c r="S130" s="98"/>
    </row>
    <row r="131" spans="4:19" ht="15.75" customHeight="1">
      <c r="D131" s="98" t="s">
        <v>118</v>
      </c>
      <c r="H131" s="98" t="s">
        <v>118</v>
      </c>
      <c r="L131" s="98" t="s">
        <v>118</v>
      </c>
      <c r="R131" s="98"/>
      <c r="S131" s="98"/>
    </row>
    <row r="132" spans="4:19" ht="15.75" customHeight="1">
      <c r="D132" s="98" t="s">
        <v>118</v>
      </c>
      <c r="H132" s="98" t="s">
        <v>118</v>
      </c>
      <c r="L132" s="98" t="s">
        <v>118</v>
      </c>
      <c r="R132" s="98"/>
      <c r="S132" s="98"/>
    </row>
    <row r="133" spans="4:19" ht="15.75" customHeight="1">
      <c r="D133" s="98" t="s">
        <v>118</v>
      </c>
      <c r="H133" s="98" t="s">
        <v>118</v>
      </c>
      <c r="L133" s="98" t="s">
        <v>118</v>
      </c>
      <c r="R133" s="98"/>
      <c r="S133" s="98"/>
    </row>
    <row r="134" spans="4:19" ht="15.75" customHeight="1">
      <c r="D134" s="98" t="s">
        <v>118</v>
      </c>
      <c r="H134" s="98" t="s">
        <v>118</v>
      </c>
      <c r="L134" s="98" t="s">
        <v>118</v>
      </c>
      <c r="R134" s="98"/>
      <c r="S134" s="98"/>
    </row>
    <row r="135" spans="4:19" ht="15.75" customHeight="1">
      <c r="D135" s="98" t="s">
        <v>118</v>
      </c>
      <c r="H135" s="98" t="s">
        <v>118</v>
      </c>
      <c r="L135" s="98" t="s">
        <v>118</v>
      </c>
      <c r="R135" s="98"/>
      <c r="S135" s="98"/>
    </row>
    <row r="136" spans="4:19" ht="15.75" customHeight="1">
      <c r="D136" s="98" t="s">
        <v>118</v>
      </c>
      <c r="H136" s="98" t="s">
        <v>118</v>
      </c>
      <c r="L136" s="98" t="s">
        <v>118</v>
      </c>
      <c r="R136" s="98"/>
      <c r="S136" s="98"/>
    </row>
    <row r="137" spans="4:19" ht="15.75" customHeight="1">
      <c r="D137" s="98" t="s">
        <v>118</v>
      </c>
      <c r="H137" s="98" t="s">
        <v>118</v>
      </c>
      <c r="L137" s="98" t="s">
        <v>118</v>
      </c>
      <c r="R137" s="98"/>
      <c r="S137" s="98"/>
    </row>
    <row r="138" spans="4:19" ht="15.75" customHeight="1">
      <c r="D138" s="98" t="s">
        <v>118</v>
      </c>
      <c r="H138" s="98" t="s">
        <v>118</v>
      </c>
      <c r="L138" s="98" t="s">
        <v>118</v>
      </c>
      <c r="R138" s="98"/>
      <c r="S138" s="98"/>
    </row>
    <row r="139" spans="4:19" ht="15.75" customHeight="1">
      <c r="D139" s="98" t="s">
        <v>118</v>
      </c>
      <c r="H139" s="98" t="s">
        <v>118</v>
      </c>
      <c r="L139" s="98" t="s">
        <v>118</v>
      </c>
      <c r="R139" s="98"/>
      <c r="S139" s="98"/>
    </row>
    <row r="140" spans="4:19" ht="15.75" customHeight="1">
      <c r="D140" s="98" t="s">
        <v>118</v>
      </c>
      <c r="H140" s="98" t="s">
        <v>118</v>
      </c>
      <c r="L140" s="98" t="s">
        <v>118</v>
      </c>
      <c r="R140" s="98"/>
      <c r="S140" s="98"/>
    </row>
    <row r="141" spans="4:19" ht="15.75" customHeight="1">
      <c r="D141" s="98" t="s">
        <v>118</v>
      </c>
      <c r="H141" s="98" t="s">
        <v>118</v>
      </c>
      <c r="L141" s="98" t="s">
        <v>118</v>
      </c>
    </row>
    <row r="142" spans="4:19" ht="15.75" customHeight="1">
      <c r="D142" s="98" t="s">
        <v>118</v>
      </c>
      <c r="H142" s="98" t="s">
        <v>118</v>
      </c>
      <c r="L142" s="98" t="s">
        <v>118</v>
      </c>
    </row>
    <row r="143" spans="4:19" ht="15.75" customHeight="1">
      <c r="D143" s="98" t="s">
        <v>118</v>
      </c>
      <c r="H143" s="98" t="s">
        <v>118</v>
      </c>
      <c r="L143" s="98" t="s">
        <v>118</v>
      </c>
    </row>
    <row r="144" spans="4:19" ht="15.75" customHeight="1">
      <c r="D144" s="98" t="s">
        <v>118</v>
      </c>
      <c r="H144" s="98" t="s">
        <v>118</v>
      </c>
      <c r="L144" s="98" t="s">
        <v>118</v>
      </c>
    </row>
    <row r="145" spans="3:12" ht="15.75" customHeight="1">
      <c r="D145" s="98" t="s">
        <v>118</v>
      </c>
      <c r="H145" s="98" t="s">
        <v>118</v>
      </c>
      <c r="L145" s="98" t="s">
        <v>118</v>
      </c>
    </row>
    <row r="146" spans="3:12" ht="15.75" customHeight="1">
      <c r="D146" s="98" t="s">
        <v>118</v>
      </c>
      <c r="H146" s="98" t="s">
        <v>118</v>
      </c>
      <c r="L146" s="98" t="s">
        <v>118</v>
      </c>
    </row>
    <row r="147" spans="3:12" ht="15.75" customHeight="1">
      <c r="D147" s="98" t="s">
        <v>118</v>
      </c>
      <c r="H147" s="98" t="s">
        <v>118</v>
      </c>
      <c r="L147" s="98" t="s">
        <v>118</v>
      </c>
    </row>
    <row r="148" spans="3:12" ht="15.75" customHeight="1">
      <c r="D148" s="98" t="s">
        <v>118</v>
      </c>
      <c r="H148" s="98" t="s">
        <v>118</v>
      </c>
      <c r="L148" s="98" t="s">
        <v>118</v>
      </c>
    </row>
    <row r="149" spans="3:12" ht="15.75" customHeight="1">
      <c r="D149" s="98" t="s">
        <v>118</v>
      </c>
      <c r="H149" s="98" t="s">
        <v>118</v>
      </c>
      <c r="L149" s="98" t="s">
        <v>118</v>
      </c>
    </row>
    <row r="150" spans="3:12" ht="15.75" customHeight="1">
      <c r="D150" s="98" t="s">
        <v>118</v>
      </c>
      <c r="H150" s="98" t="s">
        <v>118</v>
      </c>
      <c r="L150" s="98" t="s">
        <v>118</v>
      </c>
    </row>
    <row r="151" spans="3:12" ht="15.75" customHeight="1">
      <c r="D151" s="98" t="s">
        <v>118</v>
      </c>
      <c r="H151" s="98" t="s">
        <v>118</v>
      </c>
      <c r="L151" s="98" t="s">
        <v>118</v>
      </c>
    </row>
    <row r="152" spans="3:12" ht="15.75" customHeight="1">
      <c r="D152" s="98" t="s">
        <v>118</v>
      </c>
      <c r="H152" s="98" t="s">
        <v>118</v>
      </c>
      <c r="L152" s="98" t="s">
        <v>118</v>
      </c>
    </row>
    <row r="153" spans="3:12" ht="15.75" customHeight="1">
      <c r="D153" s="98" t="s">
        <v>118</v>
      </c>
      <c r="H153" s="98" t="s">
        <v>118</v>
      </c>
      <c r="L153" s="98" t="s">
        <v>118</v>
      </c>
    </row>
    <row r="154" spans="3:12" ht="15.75" customHeight="1">
      <c r="D154" s="98" t="s">
        <v>118</v>
      </c>
      <c r="H154" s="98" t="s">
        <v>118</v>
      </c>
      <c r="L154" s="98" t="s">
        <v>118</v>
      </c>
    </row>
    <row r="155" spans="3:12" ht="15.75" customHeight="1">
      <c r="D155" s="98" t="s">
        <v>118</v>
      </c>
      <c r="H155" s="98" t="s">
        <v>118</v>
      </c>
      <c r="L155" s="98" t="s">
        <v>118</v>
      </c>
    </row>
    <row r="156" spans="3:12" ht="15.75" customHeight="1">
      <c r="D156" s="98" t="s">
        <v>118</v>
      </c>
      <c r="H156" s="98" t="s">
        <v>118</v>
      </c>
      <c r="L156" s="98" t="s">
        <v>118</v>
      </c>
    </row>
    <row r="157" spans="3:12" ht="15.75" customHeight="1">
      <c r="D157" s="98" t="s">
        <v>118</v>
      </c>
      <c r="H157" s="98" t="s">
        <v>118</v>
      </c>
      <c r="L157" s="98" t="s">
        <v>118</v>
      </c>
    </row>
    <row r="158" spans="3:12" ht="15.75" customHeight="1">
      <c r="D158" s="98" t="s">
        <v>118</v>
      </c>
      <c r="H158" s="98" t="s">
        <v>118</v>
      </c>
      <c r="L158" s="98" t="s">
        <v>118</v>
      </c>
    </row>
    <row r="159" spans="3:12" ht="15.75" customHeight="1">
      <c r="D159" s="98" t="s">
        <v>118</v>
      </c>
      <c r="H159" s="98" t="s">
        <v>118</v>
      </c>
      <c r="L159" s="98" t="s">
        <v>118</v>
      </c>
    </row>
    <row r="160" spans="3:12" ht="15.75" customHeight="1">
      <c r="C160" s="4"/>
      <c r="D160" s="98" t="s">
        <v>118</v>
      </c>
      <c r="H160" s="98" t="s">
        <v>118</v>
      </c>
      <c r="L160" s="98" t="s">
        <v>118</v>
      </c>
    </row>
    <row r="161" spans="3:12" ht="15.75" customHeight="1">
      <c r="C161" s="4"/>
      <c r="D161" s="98" t="s">
        <v>118</v>
      </c>
      <c r="H161" s="98" t="s">
        <v>118</v>
      </c>
      <c r="L161" s="98" t="s">
        <v>118</v>
      </c>
    </row>
    <row r="162" spans="3:12" ht="15.75" customHeight="1">
      <c r="D162" s="98" t="s">
        <v>118</v>
      </c>
      <c r="H162" s="98" t="s">
        <v>118</v>
      </c>
      <c r="L162" s="98" t="s">
        <v>118</v>
      </c>
    </row>
    <row r="163" spans="3:12" ht="15.75" customHeight="1">
      <c r="D163" s="98" t="s">
        <v>118</v>
      </c>
      <c r="H163" s="98" t="s">
        <v>118</v>
      </c>
      <c r="L163" s="98" t="s">
        <v>118</v>
      </c>
    </row>
    <row r="164" spans="3:12" ht="15.75" customHeight="1">
      <c r="D164" s="98" t="s">
        <v>118</v>
      </c>
      <c r="H164" s="98" t="s">
        <v>118</v>
      </c>
      <c r="L164" s="98" t="s">
        <v>118</v>
      </c>
    </row>
    <row r="165" spans="3:12" ht="15.75" customHeight="1">
      <c r="D165" s="98" t="s">
        <v>118</v>
      </c>
      <c r="H165" s="98" t="s">
        <v>118</v>
      </c>
      <c r="L165" s="98" t="s">
        <v>118</v>
      </c>
    </row>
    <row r="166" spans="3:12" ht="15.75" customHeight="1">
      <c r="C166" s="4"/>
      <c r="D166" s="98" t="s">
        <v>118</v>
      </c>
      <c r="H166" s="98" t="s">
        <v>118</v>
      </c>
      <c r="L166" s="98" t="s">
        <v>118</v>
      </c>
    </row>
    <row r="167" spans="3:12" ht="15.75" customHeight="1">
      <c r="C167" s="4"/>
      <c r="D167" s="98" t="s">
        <v>118</v>
      </c>
      <c r="H167" s="98" t="s">
        <v>118</v>
      </c>
      <c r="L167" s="98" t="s">
        <v>118</v>
      </c>
    </row>
    <row r="168" spans="3:12" ht="15.75" customHeight="1">
      <c r="D168" s="98" t="s">
        <v>118</v>
      </c>
      <c r="H168" s="98" t="s">
        <v>118</v>
      </c>
      <c r="L168" s="98" t="s">
        <v>118</v>
      </c>
    </row>
    <row r="169" spans="3:12" ht="15.75" customHeight="1">
      <c r="D169" s="98" t="s">
        <v>118</v>
      </c>
      <c r="H169" s="98" t="s">
        <v>118</v>
      </c>
      <c r="L169" s="98" t="s">
        <v>118</v>
      </c>
    </row>
    <row r="170" spans="3:12" ht="15.75" customHeight="1">
      <c r="D170" s="98" t="s">
        <v>118</v>
      </c>
      <c r="H170" s="98" t="s">
        <v>118</v>
      </c>
      <c r="L170" s="98" t="s">
        <v>118</v>
      </c>
    </row>
    <row r="171" spans="3:12" ht="15.75" customHeight="1">
      <c r="D171" s="98" t="s">
        <v>118</v>
      </c>
      <c r="H171" s="98" t="s">
        <v>118</v>
      </c>
      <c r="L171" s="98" t="s">
        <v>118</v>
      </c>
    </row>
    <row r="172" spans="3:12" ht="15.75" customHeight="1">
      <c r="D172" s="98" t="s">
        <v>118</v>
      </c>
      <c r="H172" s="98" t="s">
        <v>118</v>
      </c>
      <c r="L172" s="98" t="s">
        <v>118</v>
      </c>
    </row>
    <row r="173" spans="3:12" ht="15.75" customHeight="1">
      <c r="D173" s="98" t="s">
        <v>118</v>
      </c>
      <c r="H173" s="98" t="s">
        <v>118</v>
      </c>
      <c r="L173" s="98" t="s">
        <v>118</v>
      </c>
    </row>
    <row r="174" spans="3:12" ht="15.75" customHeight="1">
      <c r="D174" s="98" t="s">
        <v>118</v>
      </c>
      <c r="H174" s="98" t="s">
        <v>118</v>
      </c>
      <c r="L174" s="98" t="s">
        <v>118</v>
      </c>
    </row>
    <row r="175" spans="3:12" ht="15.75" customHeight="1">
      <c r="C175" s="4"/>
      <c r="D175" s="98" t="s">
        <v>118</v>
      </c>
      <c r="H175" s="98" t="s">
        <v>118</v>
      </c>
      <c r="L175" s="98" t="s">
        <v>118</v>
      </c>
    </row>
    <row r="176" spans="3:12" ht="15.75" customHeight="1">
      <c r="D176" s="98" t="s">
        <v>118</v>
      </c>
      <c r="H176" s="98" t="s">
        <v>118</v>
      </c>
      <c r="L176" s="98" t="s">
        <v>118</v>
      </c>
    </row>
    <row r="177" spans="3:12" ht="15.75" customHeight="1">
      <c r="D177" s="98" t="s">
        <v>118</v>
      </c>
      <c r="H177" s="98" t="s">
        <v>118</v>
      </c>
      <c r="L177" s="98" t="s">
        <v>118</v>
      </c>
    </row>
    <row r="178" spans="3:12" ht="15.75" customHeight="1">
      <c r="D178" s="98" t="s">
        <v>118</v>
      </c>
      <c r="H178" s="98" t="s">
        <v>118</v>
      </c>
      <c r="L178" s="98" t="s">
        <v>118</v>
      </c>
    </row>
    <row r="179" spans="3:12" ht="15.75" customHeight="1">
      <c r="D179" s="98" t="s">
        <v>118</v>
      </c>
      <c r="H179" s="98" t="s">
        <v>118</v>
      </c>
      <c r="L179" s="98" t="s">
        <v>118</v>
      </c>
    </row>
    <row r="180" spans="3:12" ht="15.75" customHeight="1">
      <c r="C180" s="4"/>
      <c r="D180" s="98" t="s">
        <v>118</v>
      </c>
      <c r="H180" s="98" t="s">
        <v>118</v>
      </c>
      <c r="L180" s="98" t="s">
        <v>118</v>
      </c>
    </row>
    <row r="181" spans="3:12" ht="15.75" customHeight="1">
      <c r="D181" s="98" t="s">
        <v>118</v>
      </c>
      <c r="H181" s="98" t="s">
        <v>118</v>
      </c>
      <c r="L181" s="98" t="s">
        <v>118</v>
      </c>
    </row>
    <row r="182" spans="3:12" ht="15.75" customHeight="1">
      <c r="D182" s="98" t="s">
        <v>118</v>
      </c>
      <c r="H182" s="98" t="s">
        <v>118</v>
      </c>
      <c r="L182" s="98" t="s">
        <v>118</v>
      </c>
    </row>
    <row r="183" spans="3:12" ht="15.75" customHeight="1">
      <c r="D183" s="98" t="s">
        <v>118</v>
      </c>
      <c r="H183" s="98" t="s">
        <v>118</v>
      </c>
      <c r="L183" s="98" t="s">
        <v>118</v>
      </c>
    </row>
    <row r="184" spans="3:12" ht="15.75" customHeight="1">
      <c r="D184" s="98" t="s">
        <v>118</v>
      </c>
      <c r="H184" s="98" t="s">
        <v>118</v>
      </c>
      <c r="L184" s="98" t="s">
        <v>118</v>
      </c>
    </row>
    <row r="185" spans="3:12" ht="15.75" customHeight="1">
      <c r="D185" s="98" t="s">
        <v>118</v>
      </c>
      <c r="H185" s="98" t="s">
        <v>118</v>
      </c>
      <c r="L185" s="98" t="s">
        <v>118</v>
      </c>
    </row>
    <row r="186" spans="3:12" ht="15.75" customHeight="1">
      <c r="C186" s="4"/>
      <c r="D186" s="98" t="s">
        <v>118</v>
      </c>
      <c r="H186" s="98" t="s">
        <v>118</v>
      </c>
      <c r="L186" s="98" t="s">
        <v>118</v>
      </c>
    </row>
    <row r="187" spans="3:12" ht="15.75" customHeight="1">
      <c r="D187" s="98" t="s">
        <v>118</v>
      </c>
      <c r="H187" s="98" t="s">
        <v>118</v>
      </c>
      <c r="L187" s="98" t="s">
        <v>118</v>
      </c>
    </row>
    <row r="188" spans="3:12" ht="15.75" customHeight="1">
      <c r="D188" s="98" t="s">
        <v>118</v>
      </c>
      <c r="H188" s="98" t="s">
        <v>118</v>
      </c>
      <c r="L188" s="98" t="s">
        <v>118</v>
      </c>
    </row>
    <row r="189" spans="3:12" ht="15.75" customHeight="1">
      <c r="D189" s="98" t="s">
        <v>118</v>
      </c>
      <c r="H189" s="98" t="s">
        <v>118</v>
      </c>
      <c r="L189" s="98" t="s">
        <v>118</v>
      </c>
    </row>
    <row r="190" spans="3:12" ht="15.75" customHeight="1">
      <c r="D190" s="98" t="s">
        <v>118</v>
      </c>
      <c r="H190" s="98" t="s">
        <v>118</v>
      </c>
      <c r="L190" s="98" t="s">
        <v>118</v>
      </c>
    </row>
    <row r="191" spans="3:12" ht="15.75" customHeight="1">
      <c r="C191" s="4"/>
      <c r="D191" s="98" t="s">
        <v>118</v>
      </c>
      <c r="H191" s="98" t="s">
        <v>118</v>
      </c>
      <c r="L191" s="98" t="s">
        <v>118</v>
      </c>
    </row>
    <row r="192" spans="3:12" ht="15.75" customHeight="1">
      <c r="C192" s="98" t="s">
        <v>118</v>
      </c>
    </row>
    <row r="193" spans="3:3" ht="15.75" customHeight="1">
      <c r="C193" s="98" t="s">
        <v>118</v>
      </c>
    </row>
    <row r="194" spans="3:3" ht="15.75" customHeight="1">
      <c r="C194" s="98" t="s">
        <v>118</v>
      </c>
    </row>
    <row r="195" spans="3:3" ht="15.75" customHeight="1">
      <c r="C195" s="98" t="s">
        <v>118</v>
      </c>
    </row>
    <row r="196" spans="3:3" ht="15.75" customHeight="1">
      <c r="C196" s="98" t="s">
        <v>118</v>
      </c>
    </row>
    <row r="197" spans="3:3" ht="15.75" customHeight="1">
      <c r="C197" s="98" t="s">
        <v>118</v>
      </c>
    </row>
    <row r="198" spans="3:3" ht="15.75" customHeight="1">
      <c r="C198" s="98" t="s">
        <v>118</v>
      </c>
    </row>
    <row r="199" spans="3:3" ht="15.75" customHeight="1">
      <c r="C199" s="98" t="s">
        <v>118</v>
      </c>
    </row>
    <row r="200" spans="3:3" ht="15.75" customHeight="1">
      <c r="C200" s="98" t="s">
        <v>118</v>
      </c>
    </row>
    <row r="201" spans="3:3" ht="15.75" customHeight="1">
      <c r="C201" s="98" t="s">
        <v>118</v>
      </c>
    </row>
    <row r="202" spans="3:3" ht="15.75" customHeight="1">
      <c r="C202" s="98" t="s">
        <v>118</v>
      </c>
    </row>
    <row r="203" spans="3:3" ht="15.75" customHeight="1">
      <c r="C203" s="98" t="s">
        <v>118</v>
      </c>
    </row>
    <row r="204" spans="3:3" ht="15.75" customHeight="1">
      <c r="C204" s="98" t="s">
        <v>118</v>
      </c>
    </row>
    <row r="205" spans="3:3" ht="15.75" customHeight="1">
      <c r="C205" s="98" t="s">
        <v>118</v>
      </c>
    </row>
    <row r="206" spans="3:3" ht="15.75" customHeight="1"/>
    <row r="207" spans="3:3" ht="15.75" customHeight="1"/>
    <row r="208" spans="3:3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P1:Q1"/>
    <mergeCell ref="R1:T1"/>
    <mergeCell ref="U1:V1"/>
  </mergeCells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94"/>
  <sheetViews>
    <sheetView zoomScale="70" zoomScaleNormal="70" workbookViewId="0">
      <selection activeCell="A3" sqref="A3:C42"/>
    </sheetView>
  </sheetViews>
  <sheetFormatPr defaultColWidth="14.453125" defaultRowHeight="15" customHeight="1"/>
  <cols>
    <col min="1" max="4" width="8.7265625" customWidth="1"/>
    <col min="5" max="5" width="7.26953125" customWidth="1"/>
    <col min="6" max="6" width="8.08984375" customWidth="1"/>
    <col min="7" max="7" width="8.81640625" customWidth="1"/>
    <col min="8" max="14" width="8.7265625" customWidth="1"/>
    <col min="15" max="15" width="8.453125" customWidth="1"/>
    <col min="16" max="16" width="12.7265625" customWidth="1"/>
    <col min="17" max="17" width="14.54296875" customWidth="1"/>
    <col min="18" max="20" width="9.7265625" customWidth="1"/>
    <col min="21" max="21" width="12" customWidth="1"/>
    <col min="22" max="22" width="13.26953125" customWidth="1"/>
    <col min="23" max="26" width="8.7265625" customWidth="1"/>
  </cols>
  <sheetData>
    <row r="1" spans="1:22" ht="21.5">
      <c r="D1" s="131" t="s">
        <v>119</v>
      </c>
      <c r="E1" s="132"/>
      <c r="F1" s="132"/>
      <c r="G1" s="133"/>
      <c r="H1" s="131" t="s">
        <v>120</v>
      </c>
      <c r="I1" s="132"/>
      <c r="J1" s="132"/>
      <c r="K1" s="133"/>
      <c r="L1" s="131" t="s">
        <v>121</v>
      </c>
      <c r="M1" s="134"/>
      <c r="N1" s="134"/>
      <c r="O1" s="132"/>
      <c r="P1" s="295" t="s">
        <v>122</v>
      </c>
      <c r="Q1" s="296"/>
      <c r="R1" s="295" t="s">
        <v>128</v>
      </c>
      <c r="S1" s="297"/>
      <c r="T1" s="296"/>
      <c r="U1" s="295" t="s">
        <v>124</v>
      </c>
      <c r="V1" s="296"/>
    </row>
    <row r="2" spans="1:22" ht="14.5">
      <c r="A2" s="1" t="s">
        <v>102</v>
      </c>
      <c r="B2" s="2" t="s">
        <v>103</v>
      </c>
      <c r="C2" s="104" t="s">
        <v>3</v>
      </c>
      <c r="D2" s="36" t="s">
        <v>104</v>
      </c>
      <c r="E2" s="37" t="s">
        <v>105</v>
      </c>
      <c r="F2" s="37" t="s">
        <v>106</v>
      </c>
      <c r="G2" s="135" t="s">
        <v>107</v>
      </c>
      <c r="H2" s="36" t="s">
        <v>104</v>
      </c>
      <c r="I2" s="37" t="s">
        <v>105</v>
      </c>
      <c r="J2" s="37" t="s">
        <v>106</v>
      </c>
      <c r="K2" s="135" t="s">
        <v>107</v>
      </c>
      <c r="L2" s="36" t="s">
        <v>104</v>
      </c>
      <c r="M2" s="37" t="s">
        <v>105</v>
      </c>
      <c r="N2" s="37" t="s">
        <v>106</v>
      </c>
      <c r="O2" s="104" t="s">
        <v>107</v>
      </c>
      <c r="P2" s="136" t="s">
        <v>125</v>
      </c>
      <c r="Q2" s="137" t="s">
        <v>126</v>
      </c>
      <c r="R2" s="136" t="s">
        <v>127</v>
      </c>
      <c r="S2" s="138" t="s">
        <v>125</v>
      </c>
      <c r="T2" s="137" t="s">
        <v>126</v>
      </c>
      <c r="U2" s="136" t="s">
        <v>125</v>
      </c>
      <c r="V2" s="137" t="s">
        <v>126</v>
      </c>
    </row>
    <row r="3" spans="1:22" ht="14.5">
      <c r="A3" s="221" t="s">
        <v>43</v>
      </c>
      <c r="B3" s="222" t="s">
        <v>113</v>
      </c>
      <c r="C3" s="223">
        <v>291</v>
      </c>
      <c r="D3" s="221">
        <v>4.2</v>
      </c>
      <c r="E3" s="224">
        <v>29.96</v>
      </c>
      <c r="F3" s="224">
        <v>31.25</v>
      </c>
      <c r="G3" s="223">
        <v>29.9</v>
      </c>
      <c r="H3" s="221">
        <v>19</v>
      </c>
      <c r="I3" s="224">
        <v>29.97</v>
      </c>
      <c r="J3" s="224">
        <v>30.74</v>
      </c>
      <c r="K3" s="223">
        <v>30.74</v>
      </c>
      <c r="L3" s="221">
        <v>20.8</v>
      </c>
      <c r="M3" s="224">
        <v>30.09</v>
      </c>
      <c r="N3" s="224">
        <v>30.8</v>
      </c>
      <c r="O3" s="224">
        <v>31.15</v>
      </c>
      <c r="P3" s="225">
        <f t="shared" ref="P3:P42" si="0">(H3-D3)/D3*100</f>
        <v>352.38095238095235</v>
      </c>
      <c r="Q3" s="226">
        <f t="shared" ref="Q3:Q42" si="1">(L3-D3)/D3*100</f>
        <v>395.23809523809524</v>
      </c>
      <c r="R3" s="225">
        <f t="shared" ref="R3:R42" si="2">E3*F3*G3/1000</f>
        <v>27.993874999999999</v>
      </c>
      <c r="S3" s="227">
        <f t="shared" ref="S3:S42" si="3">I3*J3*K3/1000</f>
        <v>28.320079571999997</v>
      </c>
      <c r="T3" s="226">
        <f t="shared" ref="T3:T42" si="4">M3*N3*O3/1000</f>
        <v>28.868947800000001</v>
      </c>
      <c r="U3" s="225">
        <f t="shared" ref="U3:V3" si="5">(S3-R3)/R3*100</f>
        <v>1.1652712316533465</v>
      </c>
      <c r="V3" s="226">
        <f t="shared" si="5"/>
        <v>1.938088579887566</v>
      </c>
    </row>
    <row r="4" spans="1:22" ht="14.5">
      <c r="A4" s="228" t="s">
        <v>43</v>
      </c>
      <c r="B4" s="194" t="s">
        <v>113</v>
      </c>
      <c r="C4" s="229">
        <v>292</v>
      </c>
      <c r="D4" s="228">
        <v>4.5</v>
      </c>
      <c r="E4" s="230">
        <v>31.16</v>
      </c>
      <c r="F4" s="230">
        <v>30.57</v>
      </c>
      <c r="G4" s="229">
        <v>30.74</v>
      </c>
      <c r="H4" s="228">
        <v>22.4</v>
      </c>
      <c r="I4" s="230">
        <v>30.49</v>
      </c>
      <c r="J4" s="230">
        <v>30.12</v>
      </c>
      <c r="K4" s="229">
        <v>31.34</v>
      </c>
      <c r="L4" s="228">
        <v>22.7</v>
      </c>
      <c r="M4" s="230">
        <v>30.25</v>
      </c>
      <c r="N4" s="230">
        <v>30.22</v>
      </c>
      <c r="O4" s="230">
        <v>31.05</v>
      </c>
      <c r="P4" s="192">
        <f t="shared" si="0"/>
        <v>397.77777777777771</v>
      </c>
      <c r="Q4" s="171">
        <f t="shared" si="1"/>
        <v>404.44444444444446</v>
      </c>
      <c r="R4" s="192">
        <f t="shared" si="2"/>
        <v>29.281731288</v>
      </c>
      <c r="S4" s="193">
        <f t="shared" si="3"/>
        <v>28.781364792000002</v>
      </c>
      <c r="T4" s="171">
        <f t="shared" si="4"/>
        <v>28.384512749999999</v>
      </c>
      <c r="U4" s="192">
        <f t="shared" ref="U4:V4" si="6">(S4-R4)/R4*100</f>
        <v>-1.7088009280552825</v>
      </c>
      <c r="V4" s="171">
        <f t="shared" si="6"/>
        <v>-1.3788506725376366</v>
      </c>
    </row>
    <row r="5" spans="1:22" ht="14.5">
      <c r="A5" s="228" t="s">
        <v>43</v>
      </c>
      <c r="B5" s="194" t="s">
        <v>113</v>
      </c>
      <c r="C5" s="229">
        <v>293</v>
      </c>
      <c r="D5" s="228">
        <v>4.5999999999999996</v>
      </c>
      <c r="E5" s="230">
        <v>30.86</v>
      </c>
      <c r="F5" s="230">
        <v>30.84</v>
      </c>
      <c r="G5" s="229">
        <v>30.83</v>
      </c>
      <c r="H5" s="228">
        <v>19.399999999999999</v>
      </c>
      <c r="I5" s="230">
        <v>30.78</v>
      </c>
      <c r="J5" s="230">
        <v>30.67</v>
      </c>
      <c r="K5" s="229">
        <v>31.53</v>
      </c>
      <c r="L5" s="228">
        <v>22.6</v>
      </c>
      <c r="M5" s="230">
        <v>29.88</v>
      </c>
      <c r="N5" s="230">
        <v>30.55</v>
      </c>
      <c r="O5" s="230">
        <v>30.95</v>
      </c>
      <c r="P5" s="192">
        <f t="shared" si="0"/>
        <v>321.73913043478262</v>
      </c>
      <c r="Q5" s="171">
        <f t="shared" si="1"/>
        <v>391.304347826087</v>
      </c>
      <c r="R5" s="192">
        <f t="shared" si="2"/>
        <v>29.341601592</v>
      </c>
      <c r="S5" s="193">
        <f t="shared" si="3"/>
        <v>29.765032578000007</v>
      </c>
      <c r="T5" s="171">
        <f t="shared" si="4"/>
        <v>28.2522123</v>
      </c>
      <c r="U5" s="192">
        <f t="shared" ref="U5:V5" si="7">(S5-R5)/R5*100</f>
        <v>1.4431079526192441</v>
      </c>
      <c r="V5" s="171">
        <f t="shared" si="7"/>
        <v>-5.0825419862572749</v>
      </c>
    </row>
    <row r="6" spans="1:22" ht="14.5">
      <c r="A6" s="228" t="s">
        <v>43</v>
      </c>
      <c r="B6" s="194" t="s">
        <v>113</v>
      </c>
      <c r="C6" s="229">
        <v>294</v>
      </c>
      <c r="D6" s="228">
        <v>3.9</v>
      </c>
      <c r="E6" s="230">
        <v>30.32</v>
      </c>
      <c r="F6" s="230">
        <v>30.64</v>
      </c>
      <c r="G6" s="229">
        <v>30.92</v>
      </c>
      <c r="H6" s="228">
        <v>17.7</v>
      </c>
      <c r="I6" s="230">
        <v>29.66</v>
      </c>
      <c r="J6" s="230">
        <v>30.15</v>
      </c>
      <c r="K6" s="229">
        <v>31.75</v>
      </c>
      <c r="L6" s="228">
        <v>19.100000000000001</v>
      </c>
      <c r="M6" s="230">
        <v>29.8</v>
      </c>
      <c r="N6" s="230">
        <v>30.2</v>
      </c>
      <c r="O6" s="230">
        <v>30.25</v>
      </c>
      <c r="P6" s="192">
        <f t="shared" si="0"/>
        <v>353.84615384615381</v>
      </c>
      <c r="Q6" s="171">
        <f t="shared" si="1"/>
        <v>389.74358974358978</v>
      </c>
      <c r="R6" s="192">
        <f t="shared" si="2"/>
        <v>28.724828416000005</v>
      </c>
      <c r="S6" s="193">
        <f t="shared" si="3"/>
        <v>28.392405749999998</v>
      </c>
      <c r="T6" s="171">
        <f t="shared" si="4"/>
        <v>27.223790000000001</v>
      </c>
      <c r="U6" s="192">
        <f t="shared" ref="U6:V6" si="8">(S6-R6)/R6*100</f>
        <v>-1.1572659762689614</v>
      </c>
      <c r="V6" s="171">
        <f t="shared" si="8"/>
        <v>-4.1159448068256683</v>
      </c>
    </row>
    <row r="7" spans="1:22" ht="14.5">
      <c r="A7" s="228" t="s">
        <v>43</v>
      </c>
      <c r="B7" s="194" t="s">
        <v>113</v>
      </c>
      <c r="C7" s="229">
        <v>295</v>
      </c>
      <c r="D7" s="228">
        <v>4.3</v>
      </c>
      <c r="E7" s="230">
        <v>30.83</v>
      </c>
      <c r="F7" s="230">
        <v>30.52</v>
      </c>
      <c r="G7" s="229">
        <v>30.45</v>
      </c>
      <c r="H7" s="228">
        <v>18.2</v>
      </c>
      <c r="I7" s="230">
        <v>29.6</v>
      </c>
      <c r="J7" s="230">
        <v>29.73</v>
      </c>
      <c r="K7" s="229">
        <v>30.73</v>
      </c>
      <c r="L7" s="228">
        <v>21.7</v>
      </c>
      <c r="M7" s="230">
        <v>30.75</v>
      </c>
      <c r="N7" s="230">
        <v>29.23</v>
      </c>
      <c r="O7" s="230">
        <v>30.67</v>
      </c>
      <c r="P7" s="192">
        <f t="shared" si="0"/>
        <v>323.25581395348837</v>
      </c>
      <c r="Q7" s="171">
        <f t="shared" si="1"/>
        <v>404.6511627906977</v>
      </c>
      <c r="R7" s="192">
        <f t="shared" si="2"/>
        <v>28.651367219999997</v>
      </c>
      <c r="S7" s="193">
        <f t="shared" si="3"/>
        <v>27.042645840000002</v>
      </c>
      <c r="T7" s="171">
        <f t="shared" si="4"/>
        <v>27.566886075000003</v>
      </c>
      <c r="U7" s="192">
        <f t="shared" ref="U7:V7" si="9">(S7-R7)/R7*100</f>
        <v>-5.6148154035631226</v>
      </c>
      <c r="V7" s="171">
        <f t="shared" si="9"/>
        <v>1.9385685783177811</v>
      </c>
    </row>
    <row r="8" spans="1:22" ht="14.5">
      <c r="A8" s="228" t="s">
        <v>43</v>
      </c>
      <c r="B8" s="194" t="s">
        <v>114</v>
      </c>
      <c r="C8" s="229">
        <v>316</v>
      </c>
      <c r="D8" s="228">
        <v>5.0999999999999996</v>
      </c>
      <c r="E8" s="230">
        <v>30.4</v>
      </c>
      <c r="F8" s="230">
        <v>30.85</v>
      </c>
      <c r="G8" s="229">
        <v>31.99</v>
      </c>
      <c r="H8" s="228">
        <v>25.1</v>
      </c>
      <c r="I8" s="230">
        <v>30.22</v>
      </c>
      <c r="J8" s="230">
        <v>30.91</v>
      </c>
      <c r="K8" s="229">
        <v>31.97</v>
      </c>
      <c r="L8" s="228">
        <v>25.4</v>
      </c>
      <c r="M8" s="230">
        <v>30.47</v>
      </c>
      <c r="N8" s="230">
        <v>30.7</v>
      </c>
      <c r="O8" s="230">
        <v>31.74</v>
      </c>
      <c r="P8" s="192">
        <f t="shared" si="0"/>
        <v>392.15686274509807</v>
      </c>
      <c r="Q8" s="171">
        <f t="shared" si="1"/>
        <v>398.03921568627447</v>
      </c>
      <c r="R8" s="192">
        <f t="shared" si="2"/>
        <v>30.001501600000001</v>
      </c>
      <c r="S8" s="193">
        <f t="shared" si="3"/>
        <v>29.863183394</v>
      </c>
      <c r="T8" s="171">
        <f t="shared" si="4"/>
        <v>29.690516459999998</v>
      </c>
      <c r="U8" s="192">
        <f t="shared" ref="U8:V8" si="10">(S8-R8)/R8*100</f>
        <v>-0.46103761019748757</v>
      </c>
      <c r="V8" s="171">
        <f t="shared" si="10"/>
        <v>-0.57819332829297032</v>
      </c>
    </row>
    <row r="9" spans="1:22" ht="14.5">
      <c r="A9" s="228" t="s">
        <v>43</v>
      </c>
      <c r="B9" s="194" t="s">
        <v>114</v>
      </c>
      <c r="C9" s="229">
        <v>317</v>
      </c>
      <c r="D9" s="228">
        <v>5.0999999999999996</v>
      </c>
      <c r="E9" s="230">
        <v>31.84</v>
      </c>
      <c r="F9" s="230">
        <v>31.43</v>
      </c>
      <c r="G9" s="229">
        <v>31.15</v>
      </c>
      <c r="H9" s="228">
        <v>25.1</v>
      </c>
      <c r="I9" s="230">
        <v>30.79</v>
      </c>
      <c r="J9" s="230">
        <v>30.93</v>
      </c>
      <c r="K9" s="229">
        <v>31.69</v>
      </c>
      <c r="L9" s="228">
        <v>25.5</v>
      </c>
      <c r="M9" s="230">
        <v>31.15</v>
      </c>
      <c r="N9" s="230">
        <v>31.03</v>
      </c>
      <c r="O9" s="230">
        <v>31.66</v>
      </c>
      <c r="P9" s="192">
        <f t="shared" si="0"/>
        <v>392.15686274509807</v>
      </c>
      <c r="Q9" s="171">
        <f t="shared" si="1"/>
        <v>400</v>
      </c>
      <c r="R9" s="192">
        <f t="shared" si="2"/>
        <v>31.172776879999997</v>
      </c>
      <c r="S9" s="193">
        <f t="shared" si="3"/>
        <v>30.179486643000001</v>
      </c>
      <c r="T9" s="171">
        <f t="shared" si="4"/>
        <v>30.602065270000001</v>
      </c>
      <c r="U9" s="192">
        <f t="shared" ref="U9:V9" si="11">(S9-R9)/R9*100</f>
        <v>-3.1864028053184992</v>
      </c>
      <c r="V9" s="171">
        <f t="shared" si="11"/>
        <v>1.4002180752733755</v>
      </c>
    </row>
    <row r="10" spans="1:22" ht="14.5">
      <c r="A10" s="228" t="s">
        <v>43</v>
      </c>
      <c r="B10" s="194" t="s">
        <v>114</v>
      </c>
      <c r="C10" s="229">
        <v>318</v>
      </c>
      <c r="D10" s="228">
        <v>5.3</v>
      </c>
      <c r="E10" s="230">
        <v>30.63</v>
      </c>
      <c r="F10" s="230">
        <v>31.05</v>
      </c>
      <c r="G10" s="229">
        <v>31.49</v>
      </c>
      <c r="H10" s="228">
        <v>25.4</v>
      </c>
      <c r="I10" s="230">
        <v>30.35</v>
      </c>
      <c r="J10" s="230">
        <v>31.04</v>
      </c>
      <c r="K10" s="229">
        <v>31.69</v>
      </c>
      <c r="L10" s="228">
        <v>25.9</v>
      </c>
      <c r="M10" s="230">
        <v>30.47</v>
      </c>
      <c r="N10" s="230">
        <v>31.26</v>
      </c>
      <c r="O10" s="230">
        <v>32.03</v>
      </c>
      <c r="P10" s="192">
        <f t="shared" si="0"/>
        <v>379.24528301886789</v>
      </c>
      <c r="Q10" s="171">
        <f t="shared" si="1"/>
        <v>388.67924528301882</v>
      </c>
      <c r="R10" s="192">
        <f t="shared" si="2"/>
        <v>29.948926634999999</v>
      </c>
      <c r="S10" s="193">
        <f t="shared" si="3"/>
        <v>29.854008160000003</v>
      </c>
      <c r="T10" s="171">
        <f t="shared" si="4"/>
        <v>30.508325166000002</v>
      </c>
      <c r="U10" s="192">
        <f t="shared" ref="U10:V10" si="12">(S10-R10)/R10*100</f>
        <v>-0.31693448034651578</v>
      </c>
      <c r="V10" s="171">
        <f t="shared" si="12"/>
        <v>2.1917224732211613</v>
      </c>
    </row>
    <row r="11" spans="1:22" ht="14.5">
      <c r="A11" s="228" t="s">
        <v>43</v>
      </c>
      <c r="B11" s="194" t="s">
        <v>114</v>
      </c>
      <c r="C11" s="229">
        <v>319</v>
      </c>
      <c r="D11" s="228">
        <v>5.3</v>
      </c>
      <c r="E11" s="230">
        <v>30.71</v>
      </c>
      <c r="F11" s="230">
        <v>31.21</v>
      </c>
      <c r="G11" s="229">
        <v>31.69</v>
      </c>
      <c r="H11" s="228">
        <v>25.6</v>
      </c>
      <c r="I11" s="230">
        <v>30.75</v>
      </c>
      <c r="J11" s="230">
        <v>31.31</v>
      </c>
      <c r="K11" s="229">
        <v>32.5</v>
      </c>
      <c r="L11" s="228">
        <v>26.2</v>
      </c>
      <c r="M11" s="230">
        <v>30.28</v>
      </c>
      <c r="N11" s="230">
        <v>30.99</v>
      </c>
      <c r="O11" s="230">
        <v>32.47</v>
      </c>
      <c r="P11" s="192">
        <f t="shared" si="0"/>
        <v>383.01886792452831</v>
      </c>
      <c r="Q11" s="171">
        <f t="shared" si="1"/>
        <v>394.33962264150944</v>
      </c>
      <c r="R11" s="192">
        <f t="shared" si="2"/>
        <v>30.373568879</v>
      </c>
      <c r="S11" s="193">
        <f t="shared" si="3"/>
        <v>31.290431249999997</v>
      </c>
      <c r="T11" s="171">
        <f t="shared" si="4"/>
        <v>30.469107683999997</v>
      </c>
      <c r="U11" s="192">
        <f t="shared" ref="U11:V11" si="13">(S11-R11)/R11*100</f>
        <v>3.0186191640914051</v>
      </c>
      <c r="V11" s="171">
        <f t="shared" si="13"/>
        <v>-2.6248393939920538</v>
      </c>
    </row>
    <row r="12" spans="1:22" ht="14.5">
      <c r="A12" s="228" t="s">
        <v>43</v>
      </c>
      <c r="B12" s="194" t="s">
        <v>114</v>
      </c>
      <c r="C12" s="229">
        <v>320</v>
      </c>
      <c r="D12" s="228">
        <v>5.4</v>
      </c>
      <c r="E12" s="230">
        <v>31.23</v>
      </c>
      <c r="F12" s="230">
        <v>30.85</v>
      </c>
      <c r="G12" s="229">
        <v>32.01</v>
      </c>
      <c r="H12" s="228">
        <v>24.2</v>
      </c>
      <c r="I12" s="230">
        <v>31.01</v>
      </c>
      <c r="J12" s="230">
        <v>30.89</v>
      </c>
      <c r="K12" s="229">
        <v>32.74</v>
      </c>
      <c r="L12" s="228">
        <v>26.3</v>
      </c>
      <c r="M12" s="230">
        <v>30.98</v>
      </c>
      <c r="N12" s="230">
        <v>30.8</v>
      </c>
      <c r="O12" s="230">
        <v>32.81</v>
      </c>
      <c r="P12" s="192">
        <f t="shared" si="0"/>
        <v>348.14814814814804</v>
      </c>
      <c r="Q12" s="171">
        <f t="shared" si="1"/>
        <v>387.03703703703695</v>
      </c>
      <c r="R12" s="192">
        <f t="shared" si="2"/>
        <v>30.839890454999999</v>
      </c>
      <c r="S12" s="193">
        <f t="shared" si="3"/>
        <v>31.361609986000005</v>
      </c>
      <c r="T12" s="171">
        <f t="shared" si="4"/>
        <v>31.306777040000004</v>
      </c>
      <c r="U12" s="192">
        <f t="shared" ref="U12:V12" si="14">(S12-R12)/R12*100</f>
        <v>1.6917035803394713</v>
      </c>
      <c r="V12" s="171">
        <f t="shared" si="14"/>
        <v>-0.17484097922421377</v>
      </c>
    </row>
    <row r="13" spans="1:22" ht="14.5">
      <c r="A13" s="228" t="s">
        <v>43</v>
      </c>
      <c r="B13" s="194" t="s">
        <v>115</v>
      </c>
      <c r="C13" s="229">
        <v>241</v>
      </c>
      <c r="D13" s="228">
        <v>5.8</v>
      </c>
      <c r="E13" s="230">
        <v>31.11</v>
      </c>
      <c r="F13" s="230">
        <v>30.97</v>
      </c>
      <c r="G13" s="229">
        <v>30.61</v>
      </c>
      <c r="H13" s="228">
        <v>21.2</v>
      </c>
      <c r="I13" s="230">
        <v>30.59</v>
      </c>
      <c r="J13" s="230">
        <v>30.53</v>
      </c>
      <c r="K13" s="229">
        <v>31.53</v>
      </c>
      <c r="L13" s="228">
        <v>25.7</v>
      </c>
      <c r="M13" s="230">
        <v>30.81</v>
      </c>
      <c r="N13" s="230">
        <v>30.51</v>
      </c>
      <c r="O13" s="230">
        <v>31.64</v>
      </c>
      <c r="P13" s="192">
        <f t="shared" si="0"/>
        <v>265.51724137931035</v>
      </c>
      <c r="Q13" s="171">
        <f t="shared" si="1"/>
        <v>343.10344827586204</v>
      </c>
      <c r="R13" s="192">
        <f t="shared" si="2"/>
        <v>29.492021786999999</v>
      </c>
      <c r="S13" s="193">
        <f t="shared" si="3"/>
        <v>29.446267431000003</v>
      </c>
      <c r="T13" s="171">
        <f t="shared" si="4"/>
        <v>29.742014483999998</v>
      </c>
      <c r="U13" s="192">
        <f t="shared" ref="U13:V13" si="15">(S13-R13)/R13*100</f>
        <v>-0.15514146954877342</v>
      </c>
      <c r="V13" s="171">
        <f t="shared" si="15"/>
        <v>1.0043617707847201</v>
      </c>
    </row>
    <row r="14" spans="1:22" ht="14.5">
      <c r="A14" s="228" t="s">
        <v>43</v>
      </c>
      <c r="B14" s="194" t="s">
        <v>115</v>
      </c>
      <c r="C14" s="229">
        <v>242</v>
      </c>
      <c r="D14" s="228">
        <v>6</v>
      </c>
      <c r="E14" s="230">
        <v>31.17</v>
      </c>
      <c r="F14" s="230">
        <v>30.31</v>
      </c>
      <c r="G14" s="229">
        <v>31.01</v>
      </c>
      <c r="H14" s="228">
        <v>22.9</v>
      </c>
      <c r="I14" s="230">
        <v>30.83</v>
      </c>
      <c r="J14" s="230">
        <v>30.25</v>
      </c>
      <c r="K14" s="229">
        <v>31.75</v>
      </c>
      <c r="L14" s="228">
        <v>26.5</v>
      </c>
      <c r="M14" s="230">
        <v>31.1</v>
      </c>
      <c r="N14" s="230">
        <v>30.57</v>
      </c>
      <c r="O14" s="230">
        <v>32.119999999999997</v>
      </c>
      <c r="P14" s="192">
        <f t="shared" si="0"/>
        <v>281.66666666666663</v>
      </c>
      <c r="Q14" s="171">
        <f t="shared" si="1"/>
        <v>341.66666666666663</v>
      </c>
      <c r="R14" s="192">
        <f t="shared" si="2"/>
        <v>29.297091327</v>
      </c>
      <c r="S14" s="193">
        <f t="shared" si="3"/>
        <v>29.610288125</v>
      </c>
      <c r="T14" s="171">
        <f t="shared" si="4"/>
        <v>30.53735124</v>
      </c>
      <c r="U14" s="192">
        <f t="shared" ref="U14:V14" si="16">(S14-R14)/R14*100</f>
        <v>1.069037176777204</v>
      </c>
      <c r="V14" s="171">
        <f t="shared" si="16"/>
        <v>3.13088177692293</v>
      </c>
    </row>
    <row r="15" spans="1:22" ht="14.5">
      <c r="A15" s="228" t="s">
        <v>43</v>
      </c>
      <c r="B15" s="194" t="s">
        <v>115</v>
      </c>
      <c r="C15" s="229">
        <v>243</v>
      </c>
      <c r="D15" s="228">
        <v>5.9</v>
      </c>
      <c r="E15" s="230">
        <v>30.75</v>
      </c>
      <c r="F15" s="230">
        <v>30.46</v>
      </c>
      <c r="G15" s="229">
        <v>31.38</v>
      </c>
      <c r="H15" s="228">
        <v>23.4</v>
      </c>
      <c r="I15" s="230">
        <v>30.6</v>
      </c>
      <c r="J15" s="230">
        <v>30.83</v>
      </c>
      <c r="K15" s="229">
        <v>31.99</v>
      </c>
      <c r="L15" s="228">
        <v>25.7</v>
      </c>
      <c r="M15" s="230">
        <v>30.68</v>
      </c>
      <c r="N15" s="230">
        <v>30.71</v>
      </c>
      <c r="O15" s="230">
        <v>31.98</v>
      </c>
      <c r="P15" s="192">
        <f t="shared" si="0"/>
        <v>296.61016949152537</v>
      </c>
      <c r="Q15" s="171">
        <f t="shared" si="1"/>
        <v>335.59322033898297</v>
      </c>
      <c r="R15" s="192">
        <f t="shared" si="2"/>
        <v>29.3919201</v>
      </c>
      <c r="S15" s="193">
        <f t="shared" si="3"/>
        <v>30.179302019999998</v>
      </c>
      <c r="T15" s="171">
        <f t="shared" si="4"/>
        <v>30.131005944000002</v>
      </c>
      <c r="U15" s="192">
        <f t="shared" ref="U15:V15" si="17">(S15-R15)/R15*100</f>
        <v>2.6789060303685224</v>
      </c>
      <c r="V15" s="171">
        <f t="shared" si="17"/>
        <v>-0.16003046050564754</v>
      </c>
    </row>
    <row r="16" spans="1:22" ht="14.5">
      <c r="A16" s="228" t="s">
        <v>43</v>
      </c>
      <c r="B16" s="194" t="s">
        <v>115</v>
      </c>
      <c r="C16" s="229">
        <v>244</v>
      </c>
      <c r="D16" s="228">
        <v>5.8</v>
      </c>
      <c r="E16" s="230">
        <v>31.07</v>
      </c>
      <c r="F16" s="230">
        <v>30.45</v>
      </c>
      <c r="G16" s="229">
        <v>30.84</v>
      </c>
      <c r="H16" s="228">
        <v>14.7</v>
      </c>
      <c r="I16" s="230">
        <v>30.88</v>
      </c>
      <c r="J16" s="230">
        <v>30.56</v>
      </c>
      <c r="K16" s="229">
        <v>31.46</v>
      </c>
      <c r="L16" s="228">
        <v>25.3</v>
      </c>
      <c r="M16" s="230">
        <v>31.4</v>
      </c>
      <c r="N16" s="230">
        <v>30.23</v>
      </c>
      <c r="O16" s="230">
        <v>31.59</v>
      </c>
      <c r="P16" s="192">
        <f t="shared" si="0"/>
        <v>153.44827586206895</v>
      </c>
      <c r="Q16" s="171">
        <f t="shared" si="1"/>
        <v>336.20689655172413</v>
      </c>
      <c r="R16" s="192">
        <f t="shared" si="2"/>
        <v>29.177153460000003</v>
      </c>
      <c r="S16" s="193">
        <f t="shared" si="3"/>
        <v>29.688575487999998</v>
      </c>
      <c r="T16" s="171">
        <f t="shared" si="4"/>
        <v>29.985922979999998</v>
      </c>
      <c r="U16" s="192">
        <f t="shared" ref="U16:V16" si="18">(S16-R16)/R16*100</f>
        <v>1.7528167327944499</v>
      </c>
      <c r="V16" s="171">
        <f t="shared" si="18"/>
        <v>1.0015552686931266</v>
      </c>
    </row>
    <row r="17" spans="1:22" ht="14.5">
      <c r="A17" s="228" t="s">
        <v>43</v>
      </c>
      <c r="B17" s="194" t="s">
        <v>115</v>
      </c>
      <c r="C17" s="229">
        <v>245</v>
      </c>
      <c r="D17" s="228">
        <v>5.8</v>
      </c>
      <c r="E17" s="230">
        <v>31.14</v>
      </c>
      <c r="F17" s="230">
        <v>30.27</v>
      </c>
      <c r="G17" s="229">
        <v>31.13</v>
      </c>
      <c r="H17" s="228">
        <v>23.1</v>
      </c>
      <c r="I17" s="230">
        <v>31.08</v>
      </c>
      <c r="J17" s="230">
        <v>31.06</v>
      </c>
      <c r="K17" s="229">
        <v>31.93</v>
      </c>
      <c r="L17" s="228">
        <v>26.6</v>
      </c>
      <c r="M17" s="230">
        <v>31.35</v>
      </c>
      <c r="N17" s="230">
        <v>30.32</v>
      </c>
      <c r="O17" s="230">
        <v>31.72</v>
      </c>
      <c r="P17" s="192">
        <f t="shared" si="0"/>
        <v>298.27586206896552</v>
      </c>
      <c r="Q17" s="171">
        <f t="shared" si="1"/>
        <v>358.62068965517244</v>
      </c>
      <c r="R17" s="192">
        <f t="shared" si="2"/>
        <v>29.343380814</v>
      </c>
      <c r="S17" s="193">
        <f t="shared" si="3"/>
        <v>30.823459463999999</v>
      </c>
      <c r="T17" s="171">
        <f t="shared" si="4"/>
        <v>30.150875039999999</v>
      </c>
      <c r="U17" s="192">
        <f t="shared" ref="U17:V17" si="19">(S17-R17)/R17*100</f>
        <v>5.0439949622091262</v>
      </c>
      <c r="V17" s="171">
        <f t="shared" si="19"/>
        <v>-2.1820536555461576</v>
      </c>
    </row>
    <row r="18" spans="1:22" ht="14.5">
      <c r="A18" s="228" t="s">
        <v>43</v>
      </c>
      <c r="B18" s="194" t="s">
        <v>116</v>
      </c>
      <c r="C18" s="229">
        <v>261</v>
      </c>
      <c r="D18" s="228">
        <v>4.5</v>
      </c>
      <c r="E18" s="230">
        <v>30.68</v>
      </c>
      <c r="F18" s="230">
        <v>31.68</v>
      </c>
      <c r="G18" s="229">
        <v>30.77</v>
      </c>
      <c r="H18" s="228">
        <v>23.2</v>
      </c>
      <c r="I18" s="230">
        <v>30</v>
      </c>
      <c r="J18" s="230">
        <v>30.83</v>
      </c>
      <c r="K18" s="229">
        <v>31.42</v>
      </c>
      <c r="L18" s="228">
        <v>23.7</v>
      </c>
      <c r="M18" s="230">
        <v>30.44</v>
      </c>
      <c r="N18" s="230">
        <v>30.66</v>
      </c>
      <c r="O18" s="230">
        <v>31.19</v>
      </c>
      <c r="P18" s="192">
        <f t="shared" si="0"/>
        <v>415.55555555555549</v>
      </c>
      <c r="Q18" s="171">
        <f t="shared" si="1"/>
        <v>426.66666666666669</v>
      </c>
      <c r="R18" s="192">
        <f t="shared" si="2"/>
        <v>29.906667647999999</v>
      </c>
      <c r="S18" s="193">
        <f t="shared" si="3"/>
        <v>29.060358000000001</v>
      </c>
      <c r="T18" s="171">
        <f t="shared" si="4"/>
        <v>29.109327576000002</v>
      </c>
      <c r="U18" s="192">
        <f t="shared" ref="U18:V18" si="20">(S18-R18)/R18*100</f>
        <v>-2.8298360016603024</v>
      </c>
      <c r="V18" s="171">
        <f t="shared" si="20"/>
        <v>0.16850988552859902</v>
      </c>
    </row>
    <row r="19" spans="1:22" ht="14.5">
      <c r="A19" s="228" t="s">
        <v>43</v>
      </c>
      <c r="B19" s="194" t="s">
        <v>116</v>
      </c>
      <c r="C19" s="229">
        <v>262</v>
      </c>
      <c r="D19" s="228">
        <v>4.5999999999999996</v>
      </c>
      <c r="E19" s="230">
        <v>31.27</v>
      </c>
      <c r="F19" s="230">
        <v>31.39</v>
      </c>
      <c r="G19" s="229">
        <v>31.13</v>
      </c>
      <c r="H19" s="228">
        <v>23.2</v>
      </c>
      <c r="I19" s="230">
        <v>30.65</v>
      </c>
      <c r="J19" s="230">
        <v>30.79</v>
      </c>
      <c r="K19" s="229">
        <v>31.24</v>
      </c>
      <c r="L19" s="228">
        <v>23.8</v>
      </c>
      <c r="M19" s="230">
        <v>30.76</v>
      </c>
      <c r="N19" s="230">
        <v>30.57</v>
      </c>
      <c r="O19" s="230">
        <v>31.13</v>
      </c>
      <c r="P19" s="192">
        <f t="shared" si="0"/>
        <v>404.34782608695656</v>
      </c>
      <c r="Q19" s="171">
        <f t="shared" si="1"/>
        <v>417.39130434782618</v>
      </c>
      <c r="R19" s="192">
        <f t="shared" si="2"/>
        <v>30.556127788999998</v>
      </c>
      <c r="S19" s="193">
        <f t="shared" si="3"/>
        <v>29.481609739999996</v>
      </c>
      <c r="T19" s="171">
        <f t="shared" si="4"/>
        <v>29.272572516</v>
      </c>
      <c r="U19" s="192">
        <f t="shared" ref="U19:V19" si="21">(S19-R19)/R19*100</f>
        <v>-3.5165386675297943</v>
      </c>
      <c r="V19" s="171">
        <f t="shared" si="21"/>
        <v>-0.70904277562693174</v>
      </c>
    </row>
    <row r="20" spans="1:22" ht="14.5">
      <c r="A20" s="228" t="s">
        <v>43</v>
      </c>
      <c r="B20" s="194" t="s">
        <v>116</v>
      </c>
      <c r="C20" s="229">
        <v>263</v>
      </c>
      <c r="D20" s="228">
        <v>4.5999999999999996</v>
      </c>
      <c r="E20" s="230">
        <v>31.77</v>
      </c>
      <c r="F20" s="230">
        <v>30.58</v>
      </c>
      <c r="G20" s="229">
        <v>31.23</v>
      </c>
      <c r="H20" s="228">
        <v>23.4</v>
      </c>
      <c r="I20" s="230">
        <v>31.17</v>
      </c>
      <c r="J20" s="230">
        <v>30.89</v>
      </c>
      <c r="K20" s="229">
        <v>32.1</v>
      </c>
      <c r="L20" s="228">
        <v>23.9</v>
      </c>
      <c r="M20" s="230">
        <v>30.73</v>
      </c>
      <c r="N20" s="230">
        <v>30.22</v>
      </c>
      <c r="O20" s="230">
        <v>31.55</v>
      </c>
      <c r="P20" s="192">
        <f t="shared" si="0"/>
        <v>408.695652173913</v>
      </c>
      <c r="Q20" s="171">
        <f t="shared" si="1"/>
        <v>419.56521739130432</v>
      </c>
      <c r="R20" s="192">
        <f t="shared" si="2"/>
        <v>30.340775717999996</v>
      </c>
      <c r="S20" s="193">
        <f t="shared" si="3"/>
        <v>30.907205730000001</v>
      </c>
      <c r="T20" s="171">
        <f t="shared" si="4"/>
        <v>29.299241930000001</v>
      </c>
      <c r="U20" s="192">
        <f t="shared" ref="U20:V20" si="22">(S20-R20)/R20*100</f>
        <v>1.8668936393210416</v>
      </c>
      <c r="V20" s="171">
        <f t="shared" si="22"/>
        <v>-5.2025531329065906</v>
      </c>
    </row>
    <row r="21" spans="1:22" ht="15.75" customHeight="1">
      <c r="A21" s="228" t="s">
        <v>43</v>
      </c>
      <c r="B21" s="194" t="s">
        <v>116</v>
      </c>
      <c r="C21" s="229">
        <v>264</v>
      </c>
      <c r="D21" s="228">
        <v>4.5999999999999996</v>
      </c>
      <c r="E21" s="230">
        <v>31.26</v>
      </c>
      <c r="F21" s="230">
        <v>30.88</v>
      </c>
      <c r="G21" s="229">
        <v>31.24</v>
      </c>
      <c r="H21" s="228">
        <v>20</v>
      </c>
      <c r="I21" s="230">
        <v>31.03</v>
      </c>
      <c r="J21" s="230">
        <v>30.67</v>
      </c>
      <c r="K21" s="229">
        <v>31.8</v>
      </c>
      <c r="L21" s="228">
        <v>23.4</v>
      </c>
      <c r="M21" s="230">
        <v>31.09</v>
      </c>
      <c r="N21" s="230">
        <v>30.3</v>
      </c>
      <c r="O21" s="230">
        <v>31.07</v>
      </c>
      <c r="P21" s="192">
        <f t="shared" si="0"/>
        <v>334.78260869565219</v>
      </c>
      <c r="Q21" s="171">
        <f t="shared" si="1"/>
        <v>408.695652173913</v>
      </c>
      <c r="R21" s="192">
        <f t="shared" si="2"/>
        <v>30.156246912</v>
      </c>
      <c r="S21" s="193">
        <f t="shared" si="3"/>
        <v>30.263745180000004</v>
      </c>
      <c r="T21" s="171">
        <f t="shared" si="4"/>
        <v>29.26877889</v>
      </c>
      <c r="U21" s="192">
        <f t="shared" ref="U21:V21" si="23">(S21-R21)/R21*100</f>
        <v>0.35647097702077624</v>
      </c>
      <c r="V21" s="171">
        <f t="shared" si="23"/>
        <v>-3.2876508974095322</v>
      </c>
    </row>
    <row r="22" spans="1:22" ht="15.75" customHeight="1">
      <c r="A22" s="228" t="s">
        <v>43</v>
      </c>
      <c r="B22" s="194" t="s">
        <v>116</v>
      </c>
      <c r="C22" s="229">
        <v>265</v>
      </c>
      <c r="D22" s="228">
        <v>4.5</v>
      </c>
      <c r="E22" s="230">
        <v>30.59</v>
      </c>
      <c r="F22" s="230">
        <v>30.16</v>
      </c>
      <c r="G22" s="229">
        <v>31.94</v>
      </c>
      <c r="H22" s="228">
        <v>22.1</v>
      </c>
      <c r="I22" s="230">
        <v>30.28</v>
      </c>
      <c r="J22" s="230">
        <v>30.65</v>
      </c>
      <c r="K22" s="229">
        <v>32.090000000000003</v>
      </c>
      <c r="L22" s="228">
        <v>23.5</v>
      </c>
      <c r="M22" s="230">
        <v>30.71</v>
      </c>
      <c r="N22" s="230">
        <v>30.86</v>
      </c>
      <c r="O22" s="230">
        <v>31.93</v>
      </c>
      <c r="P22" s="192">
        <f t="shared" si="0"/>
        <v>391.11111111111114</v>
      </c>
      <c r="Q22" s="171">
        <f t="shared" si="1"/>
        <v>422.22222222222223</v>
      </c>
      <c r="R22" s="192">
        <f t="shared" si="2"/>
        <v>29.467665136000001</v>
      </c>
      <c r="S22" s="193">
        <f t="shared" si="3"/>
        <v>29.782151380000002</v>
      </c>
      <c r="T22" s="171">
        <f t="shared" si="4"/>
        <v>30.260399457999998</v>
      </c>
      <c r="U22" s="192">
        <f t="shared" ref="U22:V22" si="24">(S22-R22)/R22*100</f>
        <v>1.0672248464497454</v>
      </c>
      <c r="V22" s="171">
        <f t="shared" si="24"/>
        <v>1.6058211238599795</v>
      </c>
    </row>
    <row r="23" spans="1:22" ht="15.75" customHeight="1">
      <c r="A23" s="231" t="s">
        <v>112</v>
      </c>
      <c r="B23" s="232" t="s">
        <v>113</v>
      </c>
      <c r="C23" s="233">
        <v>106</v>
      </c>
      <c r="D23" s="231">
        <v>3.9</v>
      </c>
      <c r="E23" s="234">
        <v>29.71</v>
      </c>
      <c r="F23" s="234">
        <v>29.19</v>
      </c>
      <c r="G23" s="233">
        <v>27.22</v>
      </c>
      <c r="H23" s="231">
        <v>15.8</v>
      </c>
      <c r="I23" s="234">
        <v>29.99</v>
      </c>
      <c r="J23" s="234">
        <v>30.28</v>
      </c>
      <c r="K23" s="233">
        <v>27.78</v>
      </c>
      <c r="L23" s="231">
        <v>17.5</v>
      </c>
      <c r="M23" s="234">
        <v>29.67</v>
      </c>
      <c r="N23" s="234">
        <v>29.93</v>
      </c>
      <c r="O23" s="233">
        <v>28.38</v>
      </c>
      <c r="P23" s="225">
        <f t="shared" si="0"/>
        <v>305.12820512820514</v>
      </c>
      <c r="Q23" s="226">
        <f t="shared" si="1"/>
        <v>348.71794871794873</v>
      </c>
      <c r="R23" s="225">
        <f t="shared" si="2"/>
        <v>23.606133978000003</v>
      </c>
      <c r="S23" s="227">
        <f t="shared" si="3"/>
        <v>25.226940216000003</v>
      </c>
      <c r="T23" s="226">
        <f t="shared" si="4"/>
        <v>25.202095578000002</v>
      </c>
      <c r="U23" s="225">
        <f t="shared" ref="U23:V23" si="25">(S23-R23)/R23*100</f>
        <v>6.8660384606413247</v>
      </c>
      <c r="V23" s="226">
        <f t="shared" si="25"/>
        <v>-9.8484547817826965E-2</v>
      </c>
    </row>
    <row r="24" spans="1:22" ht="15.75" customHeight="1">
      <c r="A24" s="235" t="s">
        <v>112</v>
      </c>
      <c r="B24" s="194" t="s">
        <v>113</v>
      </c>
      <c r="C24" s="236">
        <v>307</v>
      </c>
      <c r="D24" s="235">
        <v>4.8</v>
      </c>
      <c r="E24" s="58">
        <v>30.08</v>
      </c>
      <c r="F24" s="58">
        <v>29.83</v>
      </c>
      <c r="G24" s="236">
        <v>31.37</v>
      </c>
      <c r="H24" s="235">
        <v>17.3</v>
      </c>
      <c r="I24" s="58">
        <v>30.48</v>
      </c>
      <c r="J24" s="58">
        <v>30.24</v>
      </c>
      <c r="K24" s="236">
        <v>32.630000000000003</v>
      </c>
      <c r="L24" s="235">
        <v>20.100000000000001</v>
      </c>
      <c r="M24" s="58">
        <v>30.09</v>
      </c>
      <c r="N24" s="58">
        <v>29.46</v>
      </c>
      <c r="O24" s="236">
        <v>31.51</v>
      </c>
      <c r="P24" s="192">
        <f t="shared" si="0"/>
        <v>260.41666666666669</v>
      </c>
      <c r="Q24" s="171">
        <f t="shared" si="1"/>
        <v>318.75000000000006</v>
      </c>
      <c r="R24" s="192">
        <f t="shared" si="2"/>
        <v>28.147874367999997</v>
      </c>
      <c r="S24" s="193">
        <f t="shared" si="3"/>
        <v>30.075566976000001</v>
      </c>
      <c r="T24" s="171">
        <f t="shared" si="4"/>
        <v>27.932083614000003</v>
      </c>
      <c r="U24" s="192">
        <f t="shared" ref="U24:V24" si="26">(S24-R24)/R24*100</f>
        <v>6.848448244431232</v>
      </c>
      <c r="V24" s="171">
        <f t="shared" si="26"/>
        <v>-7.126992364634309</v>
      </c>
    </row>
    <row r="25" spans="1:22" ht="15.75" customHeight="1">
      <c r="A25" s="235" t="s">
        <v>112</v>
      </c>
      <c r="B25" s="194" t="s">
        <v>113</v>
      </c>
      <c r="C25" s="236">
        <v>310</v>
      </c>
      <c r="D25" s="235">
        <v>4.4000000000000004</v>
      </c>
      <c r="E25" s="58">
        <v>29.41</v>
      </c>
      <c r="F25" s="58">
        <v>30.75</v>
      </c>
      <c r="G25" s="236">
        <v>31.36</v>
      </c>
      <c r="H25" s="235">
        <v>15.8</v>
      </c>
      <c r="I25" s="58">
        <v>30.71</v>
      </c>
      <c r="J25" s="58">
        <v>30.2</v>
      </c>
      <c r="K25" s="236">
        <v>32.090000000000003</v>
      </c>
      <c r="L25" s="235">
        <v>20.100000000000001</v>
      </c>
      <c r="M25" s="58">
        <v>29.16</v>
      </c>
      <c r="N25" s="58">
        <v>30.73</v>
      </c>
      <c r="O25" s="236">
        <v>30.62</v>
      </c>
      <c r="P25" s="192">
        <f t="shared" si="0"/>
        <v>259.09090909090907</v>
      </c>
      <c r="Q25" s="171">
        <f t="shared" si="1"/>
        <v>356.81818181818181</v>
      </c>
      <c r="R25" s="192">
        <f t="shared" si="2"/>
        <v>28.360651199999996</v>
      </c>
      <c r="S25" s="193">
        <f t="shared" si="3"/>
        <v>29.761613780000005</v>
      </c>
      <c r="T25" s="171">
        <f t="shared" si="4"/>
        <v>27.438177816000003</v>
      </c>
      <c r="U25" s="192">
        <f t="shared" ref="U25:V25" si="27">(S25-R25)/R25*100</f>
        <v>4.939811043548989</v>
      </c>
      <c r="V25" s="171">
        <f t="shared" si="27"/>
        <v>-7.806821166268092</v>
      </c>
    </row>
    <row r="26" spans="1:22" ht="15.75" customHeight="1">
      <c r="A26" s="235" t="s">
        <v>112</v>
      </c>
      <c r="B26" s="194" t="s">
        <v>113</v>
      </c>
      <c r="C26" s="236">
        <v>286</v>
      </c>
      <c r="D26" s="235">
        <v>4.5999999999999996</v>
      </c>
      <c r="E26" s="58">
        <v>29.78</v>
      </c>
      <c r="F26" s="58">
        <v>30.94</v>
      </c>
      <c r="G26" s="236">
        <v>30.95</v>
      </c>
      <c r="H26" s="235">
        <v>18.3</v>
      </c>
      <c r="I26" s="58">
        <v>30.59</v>
      </c>
      <c r="J26" s="58">
        <v>30.64</v>
      </c>
      <c r="K26" s="236">
        <v>30.23</v>
      </c>
      <c r="L26" s="235">
        <v>20.8</v>
      </c>
      <c r="M26" s="58">
        <v>30.09</v>
      </c>
      <c r="N26" s="58">
        <v>30.54</v>
      </c>
      <c r="O26" s="236">
        <v>30.17</v>
      </c>
      <c r="P26" s="192">
        <f t="shared" si="0"/>
        <v>297.82608695652175</v>
      </c>
      <c r="Q26" s="171">
        <f t="shared" si="1"/>
        <v>352.17391304347836</v>
      </c>
      <c r="R26" s="192">
        <f t="shared" si="2"/>
        <v>28.517119540000003</v>
      </c>
      <c r="S26" s="193">
        <f t="shared" si="3"/>
        <v>28.333901848</v>
      </c>
      <c r="T26" s="171">
        <f t="shared" si="4"/>
        <v>27.724679262000002</v>
      </c>
      <c r="U26" s="192">
        <f t="shared" ref="U26:V26" si="28">(S26-R26)/R26*100</f>
        <v>-0.64248316434277219</v>
      </c>
      <c r="V26" s="171">
        <f t="shared" si="28"/>
        <v>-2.1501542190279057</v>
      </c>
    </row>
    <row r="27" spans="1:22" ht="15.75" customHeight="1">
      <c r="A27" s="235" t="s">
        <v>112</v>
      </c>
      <c r="B27" s="194" t="s">
        <v>113</v>
      </c>
      <c r="C27" s="236">
        <v>328</v>
      </c>
      <c r="D27" s="235">
        <v>4.4000000000000004</v>
      </c>
      <c r="E27" s="58">
        <v>29.16</v>
      </c>
      <c r="F27" s="58">
        <v>31.9</v>
      </c>
      <c r="G27" s="236">
        <v>31.53</v>
      </c>
      <c r="H27" s="235">
        <v>18</v>
      </c>
      <c r="I27" s="58">
        <v>28.95</v>
      </c>
      <c r="J27" s="58">
        <v>32.450000000000003</v>
      </c>
      <c r="K27" s="236">
        <v>30.57</v>
      </c>
      <c r="L27" s="235">
        <v>20</v>
      </c>
      <c r="M27" s="58">
        <v>29.58</v>
      </c>
      <c r="N27" s="58">
        <v>30.94</v>
      </c>
      <c r="O27" s="236">
        <v>30.47</v>
      </c>
      <c r="P27" s="192">
        <f t="shared" si="0"/>
        <v>309.09090909090907</v>
      </c>
      <c r="Q27" s="171">
        <f t="shared" si="1"/>
        <v>354.5454545454545</v>
      </c>
      <c r="R27" s="192">
        <f t="shared" si="2"/>
        <v>29.32933212</v>
      </c>
      <c r="S27" s="193">
        <f t="shared" si="3"/>
        <v>28.718298675000003</v>
      </c>
      <c r="T27" s="171">
        <f t="shared" si="4"/>
        <v>27.886302443999998</v>
      </c>
      <c r="U27" s="192">
        <f t="shared" ref="U27:V27" si="29">(S27-R27)/R27*100</f>
        <v>-2.0833527422307929</v>
      </c>
      <c r="V27" s="171">
        <f t="shared" si="29"/>
        <v>-2.8970944289408012</v>
      </c>
    </row>
    <row r="28" spans="1:22" ht="15.75" customHeight="1">
      <c r="A28" s="235" t="s">
        <v>112</v>
      </c>
      <c r="B28" s="194" t="s">
        <v>114</v>
      </c>
      <c r="C28" s="236">
        <v>206</v>
      </c>
      <c r="D28" s="235">
        <v>5.3</v>
      </c>
      <c r="E28" s="58">
        <v>30.08</v>
      </c>
      <c r="F28" s="58">
        <v>31.1</v>
      </c>
      <c r="G28" s="236">
        <v>31.08</v>
      </c>
      <c r="H28" s="235">
        <v>12.3</v>
      </c>
      <c r="I28" s="58">
        <v>30.64</v>
      </c>
      <c r="J28" s="58">
        <v>31.24</v>
      </c>
      <c r="K28" s="236">
        <v>32.15</v>
      </c>
      <c r="L28" s="235">
        <v>20.6</v>
      </c>
      <c r="M28" s="58">
        <v>30.14</v>
      </c>
      <c r="N28" s="58">
        <v>30.57</v>
      </c>
      <c r="O28" s="236">
        <v>32.130000000000003</v>
      </c>
      <c r="P28" s="192">
        <f t="shared" si="0"/>
        <v>132.07547169811323</v>
      </c>
      <c r="Q28" s="171">
        <f t="shared" si="1"/>
        <v>288.67924528301887</v>
      </c>
      <c r="R28" s="192">
        <f t="shared" si="2"/>
        <v>29.074967039999997</v>
      </c>
      <c r="S28" s="193">
        <f t="shared" si="3"/>
        <v>30.773774239999995</v>
      </c>
      <c r="T28" s="171">
        <f t="shared" si="4"/>
        <v>29.603932974000003</v>
      </c>
      <c r="U28" s="192">
        <f t="shared" ref="U28:V28" si="30">(S28-R28)/R28*100</f>
        <v>5.8428516794631502</v>
      </c>
      <c r="V28" s="171">
        <f t="shared" si="30"/>
        <v>-3.8014227857674436</v>
      </c>
    </row>
    <row r="29" spans="1:22" ht="15.75" customHeight="1">
      <c r="A29" s="235" t="s">
        <v>112</v>
      </c>
      <c r="B29" s="194" t="s">
        <v>114</v>
      </c>
      <c r="C29" s="236">
        <v>312</v>
      </c>
      <c r="D29" s="235">
        <v>5.4</v>
      </c>
      <c r="E29" s="58">
        <v>31.25</v>
      </c>
      <c r="F29" s="58">
        <v>30.4</v>
      </c>
      <c r="G29" s="236">
        <v>30.61</v>
      </c>
      <c r="H29" s="235">
        <v>10.9</v>
      </c>
      <c r="I29" s="58">
        <v>31.08</v>
      </c>
      <c r="J29" s="58">
        <v>31.13</v>
      </c>
      <c r="K29" s="236">
        <v>31.34</v>
      </c>
      <c r="L29" s="235">
        <v>22.1</v>
      </c>
      <c r="M29" s="58">
        <v>30.69</v>
      </c>
      <c r="N29" s="58">
        <v>31.18</v>
      </c>
      <c r="O29" s="236">
        <v>30.67</v>
      </c>
      <c r="P29" s="192">
        <f t="shared" si="0"/>
        <v>101.85185185185183</v>
      </c>
      <c r="Q29" s="171">
        <f t="shared" si="1"/>
        <v>309.2592592592593</v>
      </c>
      <c r="R29" s="192">
        <f t="shared" si="2"/>
        <v>29.079499999999999</v>
      </c>
      <c r="S29" s="193">
        <f t="shared" si="3"/>
        <v>30.322089335999998</v>
      </c>
      <c r="T29" s="171">
        <f t="shared" si="4"/>
        <v>29.348558514000004</v>
      </c>
      <c r="U29" s="192">
        <f t="shared" ref="U29:V29" si="31">(S29-R29)/R29*100</f>
        <v>4.2730766897642614</v>
      </c>
      <c r="V29" s="171">
        <f t="shared" si="31"/>
        <v>-3.2106323914960768</v>
      </c>
    </row>
    <row r="30" spans="1:22" ht="15.75" customHeight="1">
      <c r="A30" s="235" t="s">
        <v>112</v>
      </c>
      <c r="B30" s="194" t="s">
        <v>114</v>
      </c>
      <c r="C30" s="236">
        <v>315</v>
      </c>
      <c r="D30" s="235">
        <v>5.6</v>
      </c>
      <c r="E30" s="58">
        <v>30.47</v>
      </c>
      <c r="F30" s="58">
        <v>30.78</v>
      </c>
      <c r="G30" s="236">
        <v>32.61</v>
      </c>
      <c r="H30" s="235">
        <v>16.399999999999999</v>
      </c>
      <c r="I30" s="58">
        <v>30.66</v>
      </c>
      <c r="J30" s="58">
        <v>31.14</v>
      </c>
      <c r="K30" s="236">
        <v>32.89</v>
      </c>
      <c r="L30" s="235">
        <v>21.9</v>
      </c>
      <c r="M30" s="58">
        <v>30.65</v>
      </c>
      <c r="N30" s="58">
        <v>31.37</v>
      </c>
      <c r="O30" s="236">
        <v>32.979999999999997</v>
      </c>
      <c r="P30" s="192">
        <f t="shared" si="0"/>
        <v>192.85714285714286</v>
      </c>
      <c r="Q30" s="171">
        <f t="shared" si="1"/>
        <v>291.07142857142856</v>
      </c>
      <c r="R30" s="192">
        <f t="shared" si="2"/>
        <v>30.583829825999999</v>
      </c>
      <c r="S30" s="193">
        <f t="shared" si="3"/>
        <v>31.401806435999998</v>
      </c>
      <c r="T30" s="171">
        <f t="shared" si="4"/>
        <v>31.709956689999995</v>
      </c>
      <c r="U30" s="192">
        <f t="shared" ref="U30:V30" si="32">(S30-R30)/R30*100</f>
        <v>2.6745395022588654</v>
      </c>
      <c r="V30" s="171">
        <f t="shared" si="32"/>
        <v>0.98131378087448018</v>
      </c>
    </row>
    <row r="31" spans="1:22" ht="15.75" customHeight="1">
      <c r="A31" s="235" t="s">
        <v>112</v>
      </c>
      <c r="B31" s="194" t="s">
        <v>114</v>
      </c>
      <c r="C31" s="236">
        <v>276</v>
      </c>
      <c r="D31" s="235">
        <v>5.3</v>
      </c>
      <c r="E31" s="58">
        <v>31.23</v>
      </c>
      <c r="F31" s="58">
        <v>31.52</v>
      </c>
      <c r="G31" s="236">
        <v>31.19</v>
      </c>
      <c r="H31" s="235">
        <v>12.1</v>
      </c>
      <c r="I31" s="58">
        <v>30.97</v>
      </c>
      <c r="J31" s="58">
        <v>31.05</v>
      </c>
      <c r="K31" s="236">
        <v>31.81</v>
      </c>
      <c r="L31" s="235">
        <v>21.8</v>
      </c>
      <c r="M31" s="58">
        <v>30.78</v>
      </c>
      <c r="N31" s="58">
        <v>30.47</v>
      </c>
      <c r="O31" s="236">
        <v>32.08</v>
      </c>
      <c r="P31" s="192">
        <f t="shared" si="0"/>
        <v>128.30188679245282</v>
      </c>
      <c r="Q31" s="171">
        <f t="shared" si="1"/>
        <v>311.32075471698113</v>
      </c>
      <c r="R31" s="192">
        <f t="shared" si="2"/>
        <v>30.702487823999999</v>
      </c>
      <c r="S31" s="193">
        <f t="shared" si="3"/>
        <v>30.589084485000001</v>
      </c>
      <c r="T31" s="171">
        <f t="shared" si="4"/>
        <v>30.086760527999996</v>
      </c>
      <c r="U31" s="192">
        <f t="shared" ref="U31:V31" si="33">(S31-R31)/R31*100</f>
        <v>-0.36936205186392385</v>
      </c>
      <c r="V31" s="171">
        <f t="shared" si="33"/>
        <v>-1.6421673464805073</v>
      </c>
    </row>
    <row r="32" spans="1:22" ht="15.75" customHeight="1">
      <c r="A32" s="235" t="s">
        <v>112</v>
      </c>
      <c r="B32" s="194" t="s">
        <v>114</v>
      </c>
      <c r="C32" s="236">
        <v>269</v>
      </c>
      <c r="D32" s="235">
        <v>5.3</v>
      </c>
      <c r="E32" s="58">
        <v>30.29</v>
      </c>
      <c r="F32" s="58">
        <v>30.77</v>
      </c>
      <c r="G32" s="236">
        <v>31.19</v>
      </c>
      <c r="H32" s="235">
        <v>19.399999999999999</v>
      </c>
      <c r="I32" s="58">
        <v>30.94</v>
      </c>
      <c r="J32" s="58">
        <v>31.27</v>
      </c>
      <c r="K32" s="236">
        <v>32.130000000000003</v>
      </c>
      <c r="L32" s="235">
        <v>24.4</v>
      </c>
      <c r="M32" s="58">
        <v>31.09</v>
      </c>
      <c r="N32" s="58">
        <v>31.61</v>
      </c>
      <c r="O32" s="236">
        <v>31.49</v>
      </c>
      <c r="P32" s="192">
        <f t="shared" si="0"/>
        <v>266.03773584905656</v>
      </c>
      <c r="Q32" s="171">
        <f t="shared" si="1"/>
        <v>360.37735849056605</v>
      </c>
      <c r="R32" s="192">
        <f t="shared" si="2"/>
        <v>29.069806727</v>
      </c>
      <c r="S32" s="193">
        <f t="shared" si="3"/>
        <v>31.085575794000004</v>
      </c>
      <c r="T32" s="171">
        <f t="shared" si="4"/>
        <v>30.946951801000001</v>
      </c>
      <c r="U32" s="192">
        <f t="shared" ref="U32:V32" si="34">(S32-R32)/R32*100</f>
        <v>6.934236219492167</v>
      </c>
      <c r="V32" s="171">
        <f t="shared" si="34"/>
        <v>-0.44594314069858604</v>
      </c>
    </row>
    <row r="33" spans="1:22" ht="15.75" customHeight="1">
      <c r="A33" s="235" t="s">
        <v>112</v>
      </c>
      <c r="B33" s="194" t="s">
        <v>115</v>
      </c>
      <c r="C33" s="236">
        <v>171</v>
      </c>
      <c r="D33" s="235">
        <v>6</v>
      </c>
      <c r="E33" s="58">
        <v>30.08</v>
      </c>
      <c r="F33" s="58">
        <v>30.17</v>
      </c>
      <c r="G33" s="236">
        <v>30.8</v>
      </c>
      <c r="H33" s="235">
        <v>15</v>
      </c>
      <c r="I33" s="58">
        <v>30.94</v>
      </c>
      <c r="J33" s="58">
        <v>30.73</v>
      </c>
      <c r="K33" s="236">
        <v>31.26</v>
      </c>
      <c r="L33" s="235">
        <v>23.4</v>
      </c>
      <c r="M33" s="58">
        <v>30.85</v>
      </c>
      <c r="N33" s="58">
        <v>30.58</v>
      </c>
      <c r="O33" s="236">
        <v>31.66</v>
      </c>
      <c r="P33" s="192">
        <f t="shared" si="0"/>
        <v>150</v>
      </c>
      <c r="Q33" s="171">
        <f t="shared" si="1"/>
        <v>290</v>
      </c>
      <c r="R33" s="192">
        <f t="shared" si="2"/>
        <v>27.951418880000002</v>
      </c>
      <c r="S33" s="193">
        <f t="shared" si="3"/>
        <v>29.721576612</v>
      </c>
      <c r="T33" s="171">
        <f t="shared" si="4"/>
        <v>29.86782238</v>
      </c>
      <c r="U33" s="192">
        <f t="shared" ref="U33:V33" si="35">(S33-R33)/R33*100</f>
        <v>6.3329798733995339</v>
      </c>
      <c r="V33" s="171">
        <f t="shared" si="35"/>
        <v>0.49205252436357533</v>
      </c>
    </row>
    <row r="34" spans="1:22" ht="15.75" customHeight="1">
      <c r="A34" s="235" t="s">
        <v>112</v>
      </c>
      <c r="B34" s="194" t="s">
        <v>115</v>
      </c>
      <c r="C34" s="236">
        <v>227</v>
      </c>
      <c r="D34" s="235">
        <v>6</v>
      </c>
      <c r="E34" s="58">
        <v>30.06</v>
      </c>
      <c r="F34" s="58">
        <v>30.79</v>
      </c>
      <c r="G34" s="236">
        <v>30.43</v>
      </c>
      <c r="H34" s="235">
        <v>19.100000000000001</v>
      </c>
      <c r="I34" s="58">
        <v>30.77</v>
      </c>
      <c r="J34" s="58">
        <v>31.3</v>
      </c>
      <c r="K34" s="236">
        <v>30.88</v>
      </c>
      <c r="L34" s="235">
        <v>23.6</v>
      </c>
      <c r="M34" s="58">
        <v>30.99</v>
      </c>
      <c r="N34" s="58">
        <v>30.96</v>
      </c>
      <c r="O34" s="236">
        <v>30.62</v>
      </c>
      <c r="P34" s="192">
        <f t="shared" si="0"/>
        <v>218.33333333333337</v>
      </c>
      <c r="Q34" s="171">
        <f t="shared" si="1"/>
        <v>293.33333333333337</v>
      </c>
      <c r="R34" s="192">
        <f t="shared" si="2"/>
        <v>28.164407381999997</v>
      </c>
      <c r="S34" s="193">
        <f t="shared" si="3"/>
        <v>29.740558880000002</v>
      </c>
      <c r="T34" s="171">
        <f t="shared" si="4"/>
        <v>29.378371248000001</v>
      </c>
      <c r="U34" s="192">
        <f t="shared" ref="U34:V34" si="36">(S34-R34)/R34*100</f>
        <v>5.5962530175846368</v>
      </c>
      <c r="V34" s="171">
        <f t="shared" si="36"/>
        <v>-1.2178238931601451</v>
      </c>
    </row>
    <row r="35" spans="1:22" ht="15.75" customHeight="1">
      <c r="A35" s="235" t="s">
        <v>112</v>
      </c>
      <c r="B35" s="194" t="s">
        <v>115</v>
      </c>
      <c r="C35" s="236">
        <v>346</v>
      </c>
      <c r="D35" s="235">
        <v>5.9</v>
      </c>
      <c r="E35" s="58">
        <v>30.38</v>
      </c>
      <c r="F35" s="58">
        <v>30.34</v>
      </c>
      <c r="G35" s="236">
        <v>31.31</v>
      </c>
      <c r="H35" s="235">
        <v>7</v>
      </c>
      <c r="I35" s="58">
        <v>30.71</v>
      </c>
      <c r="J35" s="58">
        <v>30.86</v>
      </c>
      <c r="K35" s="236">
        <v>31.57</v>
      </c>
      <c r="L35" s="235">
        <v>10.7</v>
      </c>
      <c r="M35" s="58">
        <v>30.61</v>
      </c>
      <c r="N35" s="58">
        <v>30.7</v>
      </c>
      <c r="O35" s="236">
        <v>31.22</v>
      </c>
      <c r="P35" s="192">
        <f t="shared" si="0"/>
        <v>18.644067796610162</v>
      </c>
      <c r="Q35" s="171">
        <f t="shared" si="1"/>
        <v>81.355932203389798</v>
      </c>
      <c r="R35" s="192">
        <f t="shared" si="2"/>
        <v>28.859341252</v>
      </c>
      <c r="S35" s="193">
        <f t="shared" si="3"/>
        <v>29.919223642000002</v>
      </c>
      <c r="T35" s="171">
        <f t="shared" si="4"/>
        <v>29.33827694</v>
      </c>
      <c r="U35" s="192">
        <f t="shared" ref="U35:V35" si="37">(S35-R35)/R35*100</f>
        <v>3.6725799828384873</v>
      </c>
      <c r="V35" s="171">
        <f t="shared" si="37"/>
        <v>-1.941717168036676</v>
      </c>
    </row>
    <row r="36" spans="1:22" ht="15.75" customHeight="1">
      <c r="A36" s="235" t="s">
        <v>112</v>
      </c>
      <c r="B36" s="194" t="s">
        <v>115</v>
      </c>
      <c r="C36" s="236">
        <v>51</v>
      </c>
      <c r="D36" s="235">
        <v>6.4</v>
      </c>
      <c r="E36" s="58">
        <v>30.36</v>
      </c>
      <c r="F36" s="58">
        <v>31.32</v>
      </c>
      <c r="G36" s="236">
        <v>33.369999999999997</v>
      </c>
      <c r="H36" s="235">
        <v>12.3</v>
      </c>
      <c r="I36" s="58">
        <v>31</v>
      </c>
      <c r="J36" s="58">
        <v>30.17</v>
      </c>
      <c r="K36" s="236">
        <v>33.81</v>
      </c>
      <c r="L36" s="235">
        <v>25.4</v>
      </c>
      <c r="M36" s="58">
        <v>30.81</v>
      </c>
      <c r="N36" s="58">
        <v>30.43</v>
      </c>
      <c r="O36" s="236">
        <v>33.549999999999997</v>
      </c>
      <c r="P36" s="192">
        <f t="shared" si="0"/>
        <v>92.1875</v>
      </c>
      <c r="Q36" s="171">
        <f t="shared" si="1"/>
        <v>296.875</v>
      </c>
      <c r="R36" s="192">
        <f t="shared" si="2"/>
        <v>31.730705423999996</v>
      </c>
      <c r="S36" s="193">
        <f t="shared" si="3"/>
        <v>31.621478700000008</v>
      </c>
      <c r="T36" s="171">
        <f t="shared" si="4"/>
        <v>31.454745464999995</v>
      </c>
      <c r="U36" s="192">
        <f t="shared" ref="U36:V36" si="38">(S36-R36)/R36*100</f>
        <v>-0.34423036784228939</v>
      </c>
      <c r="V36" s="171">
        <f t="shared" si="38"/>
        <v>-0.52727842547101689</v>
      </c>
    </row>
    <row r="37" spans="1:22" ht="15.75" customHeight="1">
      <c r="A37" s="235" t="s">
        <v>112</v>
      </c>
      <c r="B37" s="194" t="s">
        <v>115</v>
      </c>
      <c r="C37" s="236">
        <v>55</v>
      </c>
      <c r="D37" s="235">
        <v>6.3</v>
      </c>
      <c r="E37" s="58">
        <v>30.73</v>
      </c>
      <c r="F37" s="58">
        <v>29.91</v>
      </c>
      <c r="G37" s="236">
        <v>33.229999999999997</v>
      </c>
      <c r="H37" s="235">
        <v>9.9</v>
      </c>
      <c r="I37" s="58">
        <v>31.2</v>
      </c>
      <c r="J37" s="58">
        <v>30.56</v>
      </c>
      <c r="K37" s="236">
        <v>32.75</v>
      </c>
      <c r="L37" s="235">
        <v>22.2</v>
      </c>
      <c r="M37" s="58">
        <v>30.47</v>
      </c>
      <c r="N37" s="58">
        <v>30</v>
      </c>
      <c r="O37" s="236">
        <v>32.729999999999997</v>
      </c>
      <c r="P37" s="192">
        <f t="shared" si="0"/>
        <v>57.142857142857153</v>
      </c>
      <c r="Q37" s="171">
        <f t="shared" si="1"/>
        <v>252.38095238095238</v>
      </c>
      <c r="R37" s="192">
        <f t="shared" si="2"/>
        <v>30.542832788999998</v>
      </c>
      <c r="S37" s="193">
        <f t="shared" si="3"/>
        <v>31.226208</v>
      </c>
      <c r="T37" s="171">
        <f t="shared" si="4"/>
        <v>29.918492999999994</v>
      </c>
      <c r="U37" s="192">
        <f t="shared" ref="U37:V37" si="39">(S37-R37)/R37*100</f>
        <v>2.2374323158594471</v>
      </c>
      <c r="V37" s="171">
        <f t="shared" si="39"/>
        <v>-4.1878764145809999</v>
      </c>
    </row>
    <row r="38" spans="1:22" ht="15.75" customHeight="1">
      <c r="A38" s="235" t="s">
        <v>112</v>
      </c>
      <c r="B38" s="194" t="s">
        <v>116</v>
      </c>
      <c r="C38" s="236">
        <v>191</v>
      </c>
      <c r="D38" s="235">
        <v>4.5</v>
      </c>
      <c r="E38" s="58">
        <v>30.3</v>
      </c>
      <c r="F38" s="58">
        <v>30.11</v>
      </c>
      <c r="G38" s="236">
        <v>30.32</v>
      </c>
      <c r="H38" s="235">
        <v>16.100000000000001</v>
      </c>
      <c r="I38" s="58">
        <v>30.51</v>
      </c>
      <c r="J38" s="58">
        <v>30.19</v>
      </c>
      <c r="K38" s="236">
        <v>29.88</v>
      </c>
      <c r="L38" s="235">
        <v>19.5</v>
      </c>
      <c r="M38" s="58">
        <v>31.11</v>
      </c>
      <c r="N38" s="58">
        <v>30.46</v>
      </c>
      <c r="O38" s="236">
        <v>29.11</v>
      </c>
      <c r="P38" s="192">
        <f t="shared" si="0"/>
        <v>257.77777777777777</v>
      </c>
      <c r="Q38" s="171">
        <f t="shared" si="1"/>
        <v>333.33333333333337</v>
      </c>
      <c r="R38" s="192">
        <f t="shared" si="2"/>
        <v>27.661936559999997</v>
      </c>
      <c r="S38" s="193">
        <f t="shared" si="3"/>
        <v>27.522375372000003</v>
      </c>
      <c r="T38" s="171">
        <f t="shared" si="4"/>
        <v>27.584944565999997</v>
      </c>
      <c r="U38" s="192">
        <f t="shared" ref="U38:V38" si="40">(S38-R38)/R38*100</f>
        <v>-0.50452428627793355</v>
      </c>
      <c r="V38" s="171">
        <f t="shared" si="40"/>
        <v>0.22733936716686753</v>
      </c>
    </row>
    <row r="39" spans="1:22" ht="15.75" customHeight="1">
      <c r="A39" s="235" t="s">
        <v>112</v>
      </c>
      <c r="B39" s="194" t="s">
        <v>116</v>
      </c>
      <c r="C39" s="236">
        <v>157</v>
      </c>
      <c r="D39" s="235">
        <v>4.8</v>
      </c>
      <c r="E39" s="58">
        <v>30.66</v>
      </c>
      <c r="F39" s="58">
        <v>31.2</v>
      </c>
      <c r="G39" s="236">
        <v>29.94</v>
      </c>
      <c r="H39" s="58">
        <v>8.1</v>
      </c>
      <c r="I39" s="58">
        <v>30.89</v>
      </c>
      <c r="J39" s="58">
        <v>31.1</v>
      </c>
      <c r="K39" s="58">
        <v>30.78</v>
      </c>
      <c r="L39" s="235">
        <v>15.9</v>
      </c>
      <c r="M39" s="58">
        <v>30.19</v>
      </c>
      <c r="N39" s="58">
        <v>30.9</v>
      </c>
      <c r="O39" s="236">
        <v>30.15</v>
      </c>
      <c r="P39" s="192">
        <f t="shared" si="0"/>
        <v>68.75</v>
      </c>
      <c r="Q39" s="171">
        <f t="shared" si="1"/>
        <v>231.25000000000006</v>
      </c>
      <c r="R39" s="192">
        <f t="shared" si="2"/>
        <v>28.640364479999999</v>
      </c>
      <c r="S39" s="193">
        <f t="shared" si="3"/>
        <v>29.569699620000002</v>
      </c>
      <c r="T39" s="171">
        <f t="shared" si="4"/>
        <v>28.126060649999999</v>
      </c>
      <c r="U39" s="192">
        <f t="shared" ref="U39:V39" si="41">(S39-R39)/R39*100</f>
        <v>3.2448439706448973</v>
      </c>
      <c r="V39" s="171">
        <f t="shared" si="41"/>
        <v>-4.8821563578669931</v>
      </c>
    </row>
    <row r="40" spans="1:22" ht="15.75" customHeight="1">
      <c r="A40" s="235" t="s">
        <v>112</v>
      </c>
      <c r="B40" s="194" t="s">
        <v>116</v>
      </c>
      <c r="C40" s="236">
        <v>251</v>
      </c>
      <c r="D40" s="235">
        <v>4.5</v>
      </c>
      <c r="E40" s="58">
        <v>29.85</v>
      </c>
      <c r="F40" s="58">
        <v>32.65</v>
      </c>
      <c r="G40" s="236">
        <v>30.31</v>
      </c>
      <c r="H40" s="235">
        <v>17.7</v>
      </c>
      <c r="I40" s="58">
        <v>30.14</v>
      </c>
      <c r="J40" s="58">
        <v>31.5</v>
      </c>
      <c r="K40" s="236">
        <v>30.82</v>
      </c>
      <c r="L40" s="235">
        <v>20.7</v>
      </c>
      <c r="M40" s="58">
        <v>30.4</v>
      </c>
      <c r="N40" s="58">
        <v>30.73</v>
      </c>
      <c r="O40" s="236">
        <v>31.17</v>
      </c>
      <c r="P40" s="192">
        <f t="shared" si="0"/>
        <v>293.33333333333331</v>
      </c>
      <c r="Q40" s="171">
        <f t="shared" si="1"/>
        <v>359.99999999999994</v>
      </c>
      <c r="R40" s="192">
        <f t="shared" si="2"/>
        <v>29.540201774999996</v>
      </c>
      <c r="S40" s="193">
        <f t="shared" si="3"/>
        <v>29.260816199999997</v>
      </c>
      <c r="T40" s="171">
        <f t="shared" si="4"/>
        <v>29.118764640000002</v>
      </c>
      <c r="U40" s="192">
        <f t="shared" ref="U40:V40" si="42">(S40-R40)/R40*100</f>
        <v>-0.94578086205370604</v>
      </c>
      <c r="V40" s="171">
        <f t="shared" si="42"/>
        <v>-0.48546684080533337</v>
      </c>
    </row>
    <row r="41" spans="1:22" ht="15.75" customHeight="1">
      <c r="A41" s="235" t="s">
        <v>112</v>
      </c>
      <c r="B41" s="194" t="s">
        <v>116</v>
      </c>
      <c r="C41" s="236">
        <v>255</v>
      </c>
      <c r="D41" s="235">
        <v>4.2</v>
      </c>
      <c r="E41" s="58">
        <v>29.85</v>
      </c>
      <c r="F41" s="58">
        <v>30.07</v>
      </c>
      <c r="G41" s="236">
        <v>29.87</v>
      </c>
      <c r="H41" s="235">
        <v>15.9</v>
      </c>
      <c r="I41" s="58">
        <v>29.99</v>
      </c>
      <c r="J41" s="58">
        <v>31.12</v>
      </c>
      <c r="K41" s="236">
        <v>30.18</v>
      </c>
      <c r="L41" s="235">
        <v>19.399999999999999</v>
      </c>
      <c r="M41" s="58">
        <v>29.97</v>
      </c>
      <c r="N41" s="58">
        <v>31.45</v>
      </c>
      <c r="O41" s="236">
        <v>28.95</v>
      </c>
      <c r="P41" s="192">
        <f t="shared" si="0"/>
        <v>278.57142857142856</v>
      </c>
      <c r="Q41" s="171">
        <f t="shared" si="1"/>
        <v>361.90476190476187</v>
      </c>
      <c r="R41" s="192">
        <f t="shared" si="2"/>
        <v>26.810998365000003</v>
      </c>
      <c r="S41" s="193">
        <f t="shared" si="3"/>
        <v>28.166655984000002</v>
      </c>
      <c r="T41" s="171">
        <f t="shared" si="4"/>
        <v>27.287010674999998</v>
      </c>
      <c r="U41" s="192">
        <f t="shared" ref="U41:V41" si="43">(S41-R41)/R41*100</f>
        <v>5.0563488928846478</v>
      </c>
      <c r="V41" s="171">
        <f t="shared" si="43"/>
        <v>-3.1230022814908684</v>
      </c>
    </row>
    <row r="42" spans="1:22" ht="15.75" customHeight="1">
      <c r="A42" s="237" t="s">
        <v>112</v>
      </c>
      <c r="B42" s="238" t="s">
        <v>116</v>
      </c>
      <c r="C42" s="239">
        <v>216</v>
      </c>
      <c r="D42" s="237">
        <v>4.5999999999999996</v>
      </c>
      <c r="E42" s="240">
        <v>29.71</v>
      </c>
      <c r="F42" s="240">
        <v>29.81</v>
      </c>
      <c r="G42" s="239">
        <v>29.99</v>
      </c>
      <c r="H42" s="237">
        <v>13.7</v>
      </c>
      <c r="I42" s="240">
        <v>30.26</v>
      </c>
      <c r="J42" s="240">
        <v>31.17</v>
      </c>
      <c r="K42" s="239">
        <v>30.43</v>
      </c>
      <c r="L42" s="237">
        <v>18.7</v>
      </c>
      <c r="M42" s="240">
        <v>29.83</v>
      </c>
      <c r="N42" s="240">
        <v>30.93</v>
      </c>
      <c r="O42" s="239">
        <v>30.09</v>
      </c>
      <c r="P42" s="241">
        <f t="shared" si="0"/>
        <v>197.82608695652175</v>
      </c>
      <c r="Q42" s="242">
        <f t="shared" si="1"/>
        <v>306.52173913043481</v>
      </c>
      <c r="R42" s="241">
        <f t="shared" si="2"/>
        <v>26.560796448999998</v>
      </c>
      <c r="S42" s="243">
        <f t="shared" si="3"/>
        <v>28.701703806000005</v>
      </c>
      <c r="T42" s="242">
        <f t="shared" si="4"/>
        <v>27.762294770999997</v>
      </c>
      <c r="U42" s="241">
        <f t="shared" ref="U42:V42" si="44">(S42-R42)/R42*100</f>
        <v>8.0604034638449669</v>
      </c>
      <c r="V42" s="242">
        <f t="shared" si="44"/>
        <v>-3.2730079069509004</v>
      </c>
    </row>
    <row r="43" spans="1:22" ht="15.75" customHeight="1"/>
    <row r="44" spans="1:22" ht="15.75" customHeight="1"/>
    <row r="45" spans="1:22" ht="15.75" customHeight="1"/>
    <row r="46" spans="1:22" ht="15.75" customHeight="1"/>
    <row r="47" spans="1:22" ht="15.75" customHeight="1"/>
    <row r="48" spans="1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P1:Q1"/>
    <mergeCell ref="R1:T1"/>
    <mergeCell ref="U1:V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943"/>
  <sheetViews>
    <sheetView tabSelected="1" topLeftCell="B1" zoomScale="70" zoomScaleNormal="70" workbookViewId="0">
      <selection activeCell="T19" sqref="T19"/>
    </sheetView>
  </sheetViews>
  <sheetFormatPr defaultColWidth="14.453125" defaultRowHeight="15" customHeight="1"/>
  <cols>
    <col min="1" max="28" width="8.7265625" customWidth="1"/>
  </cols>
  <sheetData>
    <row r="1" spans="1:28" ht="14.5">
      <c r="A1" s="139" t="s">
        <v>129</v>
      </c>
      <c r="B1" s="139" t="s">
        <v>0</v>
      </c>
      <c r="C1" s="244" t="s">
        <v>3</v>
      </c>
      <c r="D1" s="244" t="s">
        <v>130</v>
      </c>
      <c r="E1" s="139" t="s">
        <v>131</v>
      </c>
      <c r="F1" s="139" t="s">
        <v>132</v>
      </c>
      <c r="G1" s="244" t="s">
        <v>133</v>
      </c>
      <c r="H1" s="244" t="s">
        <v>134</v>
      </c>
      <c r="I1" s="245" t="s">
        <v>135</v>
      </c>
      <c r="J1" s="139" t="s">
        <v>136</v>
      </c>
      <c r="K1" s="139" t="s">
        <v>82</v>
      </c>
      <c r="L1" s="245" t="s">
        <v>137</v>
      </c>
      <c r="M1" s="245" t="s">
        <v>138</v>
      </c>
      <c r="N1" s="245" t="s">
        <v>139</v>
      </c>
      <c r="O1" s="245" t="s">
        <v>46</v>
      </c>
      <c r="P1" s="245" t="s">
        <v>184</v>
      </c>
      <c r="Q1" s="245" t="s">
        <v>185</v>
      </c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</row>
    <row r="2" spans="1:28" ht="14.5">
      <c r="A2" s="194" t="s">
        <v>43</v>
      </c>
      <c r="B2" s="194" t="s">
        <v>140</v>
      </c>
      <c r="C2" s="194">
        <v>7</v>
      </c>
      <c r="D2" s="194">
        <v>0</v>
      </c>
      <c r="E2" s="194">
        <v>0</v>
      </c>
      <c r="F2" s="194">
        <v>0.60360360360360343</v>
      </c>
      <c r="G2" s="194">
        <v>0</v>
      </c>
      <c r="H2" s="194">
        <v>0</v>
      </c>
      <c r="I2" s="194">
        <v>0</v>
      </c>
      <c r="J2" s="194">
        <v>4.4400000000000004</v>
      </c>
      <c r="K2" s="194">
        <v>7.12</v>
      </c>
      <c r="L2" s="58">
        <v>7.5</v>
      </c>
      <c r="M2" s="58">
        <f t="shared" ref="M2:M244" si="0">L2-(K2-J2)</f>
        <v>4.82</v>
      </c>
      <c r="N2" s="194">
        <v>0</v>
      </c>
      <c r="O2" s="194">
        <v>0</v>
      </c>
      <c r="P2">
        <f>O2/Q2*100</f>
        <v>0</v>
      </c>
      <c r="Q2">
        <v>27.530678736000002</v>
      </c>
    </row>
    <row r="3" spans="1:28" ht="14.5">
      <c r="A3" s="194" t="s">
        <v>43</v>
      </c>
      <c r="B3" s="194" t="s">
        <v>140</v>
      </c>
      <c r="C3" s="194">
        <v>13</v>
      </c>
      <c r="D3" s="194">
        <v>0</v>
      </c>
      <c r="E3" s="194">
        <v>0</v>
      </c>
      <c r="F3" s="194">
        <v>0.52078774617067825</v>
      </c>
      <c r="G3" s="194">
        <v>0</v>
      </c>
      <c r="H3" s="194">
        <v>0</v>
      </c>
      <c r="I3" s="194">
        <v>0</v>
      </c>
      <c r="J3" s="194">
        <v>4.57</v>
      </c>
      <c r="K3" s="194">
        <v>6.95</v>
      </c>
      <c r="L3" s="58">
        <v>7.3</v>
      </c>
      <c r="M3" s="58">
        <f t="shared" si="0"/>
        <v>4.92</v>
      </c>
      <c r="N3" s="194">
        <v>0</v>
      </c>
      <c r="O3" s="194">
        <v>0</v>
      </c>
      <c r="P3">
        <f t="shared" ref="P3:P66" si="1">O3/Q3*100</f>
        <v>0</v>
      </c>
      <c r="Q3">
        <v>28.205058000000001</v>
      </c>
    </row>
    <row r="4" spans="1:28" ht="14.5">
      <c r="A4" s="194" t="s">
        <v>43</v>
      </c>
      <c r="B4" s="194" t="s">
        <v>140</v>
      </c>
      <c r="C4" s="194">
        <v>18</v>
      </c>
      <c r="D4" s="194">
        <v>0</v>
      </c>
      <c r="E4" s="194">
        <v>0</v>
      </c>
      <c r="F4" s="194">
        <v>0.43993506493506479</v>
      </c>
      <c r="G4" s="194">
        <v>0</v>
      </c>
      <c r="H4" s="194">
        <v>0</v>
      </c>
      <c r="I4" s="194">
        <v>0</v>
      </c>
      <c r="J4" s="194">
        <v>6.16</v>
      </c>
      <c r="K4" s="194">
        <v>8.8699999999999992</v>
      </c>
      <c r="L4" s="58">
        <v>9.1999999999999993</v>
      </c>
      <c r="M4" s="58">
        <f t="shared" si="0"/>
        <v>6.49</v>
      </c>
      <c r="N4" s="194">
        <v>0</v>
      </c>
      <c r="O4" s="194">
        <v>0</v>
      </c>
      <c r="P4">
        <f t="shared" si="1"/>
        <v>0</v>
      </c>
      <c r="Q4">
        <v>30.066812598999999</v>
      </c>
    </row>
    <row r="5" spans="1:28" ht="14.5">
      <c r="A5" s="194" t="s">
        <v>43</v>
      </c>
      <c r="B5" s="194" t="s">
        <v>140</v>
      </c>
      <c r="C5" s="194">
        <v>105</v>
      </c>
      <c r="D5" s="194">
        <v>0</v>
      </c>
      <c r="E5" s="194">
        <v>0</v>
      </c>
      <c r="F5" s="194">
        <v>0.59388646288209601</v>
      </c>
      <c r="G5" s="194">
        <v>0</v>
      </c>
      <c r="H5" s="194">
        <v>0</v>
      </c>
      <c r="I5" s="194">
        <v>0</v>
      </c>
      <c r="J5" s="194">
        <v>4.58</v>
      </c>
      <c r="K5" s="194">
        <v>7.3</v>
      </c>
      <c r="L5" s="58">
        <v>7.6</v>
      </c>
      <c r="M5" s="58">
        <f t="shared" si="0"/>
        <v>4.88</v>
      </c>
      <c r="N5" s="194">
        <v>0</v>
      </c>
      <c r="O5" s="194">
        <v>0</v>
      </c>
      <c r="P5">
        <f t="shared" si="1"/>
        <v>0</v>
      </c>
      <c r="Q5">
        <v>27.657469399999997</v>
      </c>
    </row>
    <row r="6" spans="1:28" ht="14.5">
      <c r="A6" s="194" t="s">
        <v>43</v>
      </c>
      <c r="B6" s="194" t="s">
        <v>140</v>
      </c>
      <c r="C6" s="194">
        <v>113</v>
      </c>
      <c r="D6" s="194">
        <v>0</v>
      </c>
      <c r="E6" s="194">
        <v>0</v>
      </c>
      <c r="F6" s="194">
        <v>0.57476635514018692</v>
      </c>
      <c r="G6" s="194">
        <v>0</v>
      </c>
      <c r="H6" s="194">
        <v>0</v>
      </c>
      <c r="I6" s="194">
        <v>0</v>
      </c>
      <c r="J6" s="194">
        <v>4.28</v>
      </c>
      <c r="K6" s="194">
        <v>6.74</v>
      </c>
      <c r="L6" s="58">
        <v>7</v>
      </c>
      <c r="M6" s="58">
        <f t="shared" si="0"/>
        <v>4.54</v>
      </c>
      <c r="N6" s="194">
        <v>0</v>
      </c>
      <c r="O6" s="194">
        <v>0</v>
      </c>
      <c r="P6">
        <f t="shared" si="1"/>
        <v>0</v>
      </c>
      <c r="Q6">
        <v>27.861413580000004</v>
      </c>
    </row>
    <row r="7" spans="1:28" ht="14.5">
      <c r="A7" s="194" t="s">
        <v>43</v>
      </c>
      <c r="B7" s="194" t="s">
        <v>141</v>
      </c>
      <c r="C7" s="194">
        <v>34</v>
      </c>
      <c r="D7" s="194">
        <v>0</v>
      </c>
      <c r="E7" s="194">
        <v>0</v>
      </c>
      <c r="F7" s="194">
        <v>0.87106918238993702</v>
      </c>
      <c r="G7" s="194">
        <v>0</v>
      </c>
      <c r="H7" s="194">
        <v>0</v>
      </c>
      <c r="I7" s="194">
        <v>0</v>
      </c>
      <c r="J7" s="194">
        <v>3.18</v>
      </c>
      <c r="K7" s="194">
        <v>5.95</v>
      </c>
      <c r="L7" s="58">
        <v>6.2</v>
      </c>
      <c r="M7" s="58">
        <f t="shared" si="0"/>
        <v>3.43</v>
      </c>
      <c r="N7" s="194">
        <v>0</v>
      </c>
      <c r="O7" s="194">
        <v>0</v>
      </c>
      <c r="P7">
        <f t="shared" si="1"/>
        <v>0</v>
      </c>
      <c r="Q7">
        <v>28.103493000000004</v>
      </c>
    </row>
    <row r="8" spans="1:28" ht="14.5">
      <c r="A8" s="194" t="s">
        <v>43</v>
      </c>
      <c r="B8" s="194" t="s">
        <v>141</v>
      </c>
      <c r="C8" s="194">
        <v>40</v>
      </c>
      <c r="D8" s="194">
        <v>0</v>
      </c>
      <c r="E8" s="194">
        <v>0</v>
      </c>
      <c r="F8" s="194">
        <v>0.83383685800604235</v>
      </c>
      <c r="G8" s="194">
        <v>0</v>
      </c>
      <c r="H8" s="194">
        <v>0</v>
      </c>
      <c r="I8" s="194">
        <v>0</v>
      </c>
      <c r="J8" s="194">
        <v>3.31</v>
      </c>
      <c r="K8" s="194">
        <v>6.07</v>
      </c>
      <c r="L8" s="58">
        <v>6.3</v>
      </c>
      <c r="M8" s="58">
        <f t="shared" si="0"/>
        <v>3.5399999999999996</v>
      </c>
      <c r="N8" s="194">
        <v>0</v>
      </c>
      <c r="O8" s="194">
        <v>0</v>
      </c>
      <c r="P8">
        <f t="shared" si="1"/>
        <v>0</v>
      </c>
      <c r="Q8">
        <v>28.792738548000003</v>
      </c>
    </row>
    <row r="9" spans="1:28" ht="14.5">
      <c r="A9" s="194" t="s">
        <v>43</v>
      </c>
      <c r="B9" s="194" t="s">
        <v>141</v>
      </c>
      <c r="C9" s="194">
        <v>52</v>
      </c>
      <c r="D9" s="194">
        <v>0</v>
      </c>
      <c r="E9" s="194">
        <v>0</v>
      </c>
      <c r="F9" s="194">
        <v>0.80177514792899407</v>
      </c>
      <c r="G9" s="194">
        <v>0</v>
      </c>
      <c r="H9" s="194">
        <v>0</v>
      </c>
      <c r="I9" s="194">
        <v>0</v>
      </c>
      <c r="J9" s="194">
        <v>3.38</v>
      </c>
      <c r="K9" s="194">
        <v>6.09</v>
      </c>
      <c r="L9" s="58">
        <v>6.3</v>
      </c>
      <c r="M9" s="58">
        <f t="shared" si="0"/>
        <v>3.59</v>
      </c>
      <c r="N9" s="194">
        <v>0</v>
      </c>
      <c r="O9" s="194">
        <v>0</v>
      </c>
      <c r="P9">
        <f t="shared" si="1"/>
        <v>0</v>
      </c>
      <c r="Q9">
        <v>29.494569983999998</v>
      </c>
    </row>
    <row r="10" spans="1:28" ht="14.5">
      <c r="A10" s="194" t="s">
        <v>43</v>
      </c>
      <c r="B10" s="194" t="s">
        <v>141</v>
      </c>
      <c r="C10" s="194">
        <v>121</v>
      </c>
      <c r="D10" s="194">
        <v>0</v>
      </c>
      <c r="E10" s="194">
        <v>0</v>
      </c>
      <c r="F10" s="194">
        <v>0.79999999999999993</v>
      </c>
      <c r="G10" s="194">
        <v>0</v>
      </c>
      <c r="H10" s="194">
        <v>0</v>
      </c>
      <c r="I10" s="194">
        <v>0</v>
      </c>
      <c r="J10" s="194">
        <v>3.45</v>
      </c>
      <c r="K10" s="194">
        <v>6.21</v>
      </c>
      <c r="L10" s="58">
        <v>6.4</v>
      </c>
      <c r="M10" s="58">
        <f t="shared" si="0"/>
        <v>3.6400000000000006</v>
      </c>
      <c r="N10" s="194">
        <v>0</v>
      </c>
      <c r="O10" s="194">
        <v>0</v>
      </c>
      <c r="P10">
        <f t="shared" si="1"/>
        <v>0</v>
      </c>
      <c r="Q10">
        <v>29.361110240000002</v>
      </c>
    </row>
    <row r="11" spans="1:28" ht="14.5">
      <c r="A11" s="194" t="s">
        <v>43</v>
      </c>
      <c r="B11" s="194" t="s">
        <v>141</v>
      </c>
      <c r="C11" s="194">
        <v>136</v>
      </c>
      <c r="D11" s="194">
        <v>0</v>
      </c>
      <c r="E11" s="194">
        <v>0</v>
      </c>
      <c r="F11" s="194">
        <v>0.82708933717579236</v>
      </c>
      <c r="G11" s="194">
        <v>0</v>
      </c>
      <c r="H11" s="194">
        <v>0</v>
      </c>
      <c r="I11" s="194">
        <v>0</v>
      </c>
      <c r="J11" s="194">
        <v>3.47</v>
      </c>
      <c r="K11" s="194">
        <v>6.34</v>
      </c>
      <c r="L11" s="58">
        <v>6.6</v>
      </c>
      <c r="M11" s="58">
        <f t="shared" si="0"/>
        <v>3.73</v>
      </c>
      <c r="N11" s="194">
        <v>0</v>
      </c>
      <c r="O11" s="194">
        <v>0</v>
      </c>
      <c r="P11">
        <f t="shared" si="1"/>
        <v>0</v>
      </c>
      <c r="Q11">
        <v>29.656730879999998</v>
      </c>
    </row>
    <row r="12" spans="1:28" ht="14.5">
      <c r="A12" s="194" t="s">
        <v>43</v>
      </c>
      <c r="B12" s="194" t="s">
        <v>142</v>
      </c>
      <c r="C12" s="194">
        <v>67</v>
      </c>
      <c r="D12" s="194">
        <v>0</v>
      </c>
      <c r="E12" s="194">
        <v>0</v>
      </c>
      <c r="F12" s="194">
        <v>0.57456140350877205</v>
      </c>
      <c r="G12" s="194">
        <v>0</v>
      </c>
      <c r="H12" s="194">
        <v>0</v>
      </c>
      <c r="I12" s="194">
        <v>0</v>
      </c>
      <c r="J12" s="194">
        <v>4.5599999999999996</v>
      </c>
      <c r="K12" s="194">
        <v>7.18</v>
      </c>
      <c r="L12" s="58">
        <v>7.5</v>
      </c>
      <c r="M12" s="58">
        <f t="shared" si="0"/>
        <v>4.88</v>
      </c>
      <c r="N12" s="194">
        <v>0</v>
      </c>
      <c r="O12" s="194">
        <v>0</v>
      </c>
      <c r="P12">
        <f t="shared" si="1"/>
        <v>0</v>
      </c>
      <c r="Q12">
        <v>28.927218509999999</v>
      </c>
    </row>
    <row r="13" spans="1:28" ht="14.5">
      <c r="A13" s="194" t="s">
        <v>43</v>
      </c>
      <c r="B13" s="194" t="s">
        <v>142</v>
      </c>
      <c r="C13" s="194">
        <v>71</v>
      </c>
      <c r="D13" s="194">
        <v>0</v>
      </c>
      <c r="E13" s="194">
        <v>0</v>
      </c>
      <c r="F13" s="194">
        <v>0.61538461538461542</v>
      </c>
      <c r="G13" s="194">
        <v>0</v>
      </c>
      <c r="H13" s="194">
        <v>0</v>
      </c>
      <c r="I13" s="194">
        <v>0</v>
      </c>
      <c r="J13" s="194">
        <v>4.55</v>
      </c>
      <c r="K13" s="194">
        <v>7.35</v>
      </c>
      <c r="L13" s="58">
        <v>7.6</v>
      </c>
      <c r="M13" s="58">
        <f t="shared" si="0"/>
        <v>4.8</v>
      </c>
      <c r="N13" s="194">
        <v>0</v>
      </c>
      <c r="O13" s="194">
        <v>0</v>
      </c>
      <c r="P13">
        <f t="shared" si="1"/>
        <v>0</v>
      </c>
      <c r="Q13">
        <v>29.199741119999999</v>
      </c>
    </row>
    <row r="14" spans="1:28" ht="14.5">
      <c r="A14" s="194" t="s">
        <v>43</v>
      </c>
      <c r="B14" s="194" t="s">
        <v>142</v>
      </c>
      <c r="C14" s="194">
        <v>141</v>
      </c>
      <c r="D14" s="194">
        <v>0</v>
      </c>
      <c r="E14" s="194">
        <v>0</v>
      </c>
      <c r="F14" s="194">
        <v>0.59916492693110646</v>
      </c>
      <c r="G14" s="194">
        <v>0</v>
      </c>
      <c r="H14" s="194">
        <v>0</v>
      </c>
      <c r="I14" s="194">
        <v>0</v>
      </c>
      <c r="J14" s="194">
        <v>4.79</v>
      </c>
      <c r="K14" s="194">
        <v>7.66</v>
      </c>
      <c r="L14" s="58">
        <v>8</v>
      </c>
      <c r="M14" s="58">
        <f t="shared" si="0"/>
        <v>5.13</v>
      </c>
      <c r="N14" s="194">
        <v>0</v>
      </c>
      <c r="O14" s="194">
        <v>0</v>
      </c>
      <c r="P14">
        <f t="shared" si="1"/>
        <v>0</v>
      </c>
      <c r="Q14">
        <v>29.019911250000003</v>
      </c>
    </row>
    <row r="15" spans="1:28" ht="14.5">
      <c r="A15" s="194" t="s">
        <v>43</v>
      </c>
      <c r="B15" s="194" t="s">
        <v>142</v>
      </c>
      <c r="C15" s="194">
        <v>145</v>
      </c>
      <c r="D15" s="194">
        <v>0</v>
      </c>
      <c r="E15" s="194">
        <v>0</v>
      </c>
      <c r="F15" s="194">
        <v>0.55443548387096775</v>
      </c>
      <c r="G15" s="194">
        <v>0</v>
      </c>
      <c r="H15" s="194">
        <v>0</v>
      </c>
      <c r="I15" s="194">
        <v>0</v>
      </c>
      <c r="J15" s="194">
        <v>4.96</v>
      </c>
      <c r="K15" s="194">
        <v>7.71</v>
      </c>
      <c r="L15" s="58">
        <v>8</v>
      </c>
      <c r="M15" s="58">
        <f t="shared" si="0"/>
        <v>5.25</v>
      </c>
      <c r="N15" s="194">
        <v>0</v>
      </c>
      <c r="O15" s="194">
        <v>0</v>
      </c>
      <c r="P15">
        <f t="shared" si="1"/>
        <v>0</v>
      </c>
      <c r="Q15">
        <v>29.624075315999999</v>
      </c>
    </row>
    <row r="16" spans="1:28" ht="14.5">
      <c r="A16" s="194" t="s">
        <v>43</v>
      </c>
      <c r="B16" s="194" t="s">
        <v>142</v>
      </c>
      <c r="C16" s="194">
        <v>152</v>
      </c>
      <c r="D16" s="194">
        <v>0</v>
      </c>
      <c r="E16" s="194">
        <v>0</v>
      </c>
      <c r="F16" s="194">
        <v>0.55686274509803935</v>
      </c>
      <c r="G16" s="194">
        <v>0</v>
      </c>
      <c r="H16" s="194">
        <v>0</v>
      </c>
      <c r="I16" s="194">
        <v>0</v>
      </c>
      <c r="J16" s="194">
        <v>5.0999999999999996</v>
      </c>
      <c r="K16" s="194">
        <v>7.94</v>
      </c>
      <c r="L16" s="58">
        <v>8.1999999999999993</v>
      </c>
      <c r="M16" s="58">
        <f t="shared" si="0"/>
        <v>5.3599999999999985</v>
      </c>
      <c r="N16" s="194">
        <v>0</v>
      </c>
      <c r="O16" s="194">
        <v>0</v>
      </c>
      <c r="P16">
        <f t="shared" si="1"/>
        <v>0</v>
      </c>
      <c r="Q16">
        <v>29.8089671</v>
      </c>
    </row>
    <row r="17" spans="1:17" ht="14.5">
      <c r="A17" s="194" t="s">
        <v>43</v>
      </c>
      <c r="B17" s="194" t="s">
        <v>142</v>
      </c>
      <c r="C17" s="194">
        <v>153</v>
      </c>
      <c r="D17" s="194">
        <v>0</v>
      </c>
      <c r="E17" s="194">
        <v>0</v>
      </c>
      <c r="F17" s="194">
        <v>0.60566448801742923</v>
      </c>
      <c r="G17" s="194">
        <v>0</v>
      </c>
      <c r="H17" s="194">
        <v>0</v>
      </c>
      <c r="I17" s="194">
        <v>0</v>
      </c>
      <c r="J17" s="194">
        <v>4.59</v>
      </c>
      <c r="K17" s="194">
        <v>7.37</v>
      </c>
      <c r="L17" s="58">
        <v>7.7</v>
      </c>
      <c r="M17" s="58">
        <f t="shared" si="0"/>
        <v>4.92</v>
      </c>
      <c r="N17" s="194">
        <v>0</v>
      </c>
      <c r="O17" s="194">
        <v>0</v>
      </c>
      <c r="P17">
        <f t="shared" si="1"/>
        <v>0</v>
      </c>
      <c r="Q17">
        <v>28.500482399999996</v>
      </c>
    </row>
    <row r="18" spans="1:17" ht="14.5">
      <c r="A18" s="194" t="s">
        <v>43</v>
      </c>
      <c r="B18" s="194" t="s">
        <v>143</v>
      </c>
      <c r="C18" s="194">
        <v>80</v>
      </c>
      <c r="D18" s="194">
        <v>0</v>
      </c>
      <c r="E18" s="194">
        <v>0</v>
      </c>
      <c r="F18" s="194">
        <v>0.61076604554865432</v>
      </c>
      <c r="G18" s="194">
        <v>0</v>
      </c>
      <c r="H18" s="194">
        <v>0</v>
      </c>
      <c r="I18" s="194">
        <v>0</v>
      </c>
      <c r="J18" s="194">
        <v>4.83</v>
      </c>
      <c r="K18" s="194">
        <v>7.78</v>
      </c>
      <c r="L18" s="58">
        <v>8.1</v>
      </c>
      <c r="M18" s="58">
        <f t="shared" si="0"/>
        <v>5.1499999999999995</v>
      </c>
      <c r="N18" s="194">
        <v>0</v>
      </c>
      <c r="O18" s="194">
        <v>0</v>
      </c>
      <c r="P18">
        <f t="shared" si="1"/>
        <v>0</v>
      </c>
      <c r="Q18">
        <v>29.714817748000002</v>
      </c>
    </row>
    <row r="19" spans="1:17" ht="14.5">
      <c r="A19" s="194" t="s">
        <v>43</v>
      </c>
      <c r="B19" s="194" t="s">
        <v>143</v>
      </c>
      <c r="C19" s="194">
        <v>85</v>
      </c>
      <c r="D19" s="194">
        <v>0</v>
      </c>
      <c r="E19" s="194">
        <v>0</v>
      </c>
      <c r="F19" s="194">
        <v>0.64362850971922259</v>
      </c>
      <c r="G19" s="194">
        <v>0</v>
      </c>
      <c r="H19" s="194">
        <v>0</v>
      </c>
      <c r="I19" s="194">
        <v>0</v>
      </c>
      <c r="J19" s="194">
        <v>4.63</v>
      </c>
      <c r="K19" s="194">
        <v>7.61</v>
      </c>
      <c r="L19" s="58">
        <v>7.9</v>
      </c>
      <c r="M19" s="58">
        <f t="shared" si="0"/>
        <v>4.92</v>
      </c>
      <c r="N19" s="194">
        <v>0</v>
      </c>
      <c r="O19" s="194">
        <v>0</v>
      </c>
      <c r="P19">
        <f t="shared" si="1"/>
        <v>0</v>
      </c>
      <c r="Q19">
        <v>28.623615600000001</v>
      </c>
    </row>
    <row r="20" spans="1:17" ht="14.5">
      <c r="A20" s="194" t="s">
        <v>43</v>
      </c>
      <c r="B20" s="194" t="s">
        <v>143</v>
      </c>
      <c r="C20" s="194">
        <v>95</v>
      </c>
      <c r="D20" s="194">
        <v>0</v>
      </c>
      <c r="E20" s="194">
        <v>0</v>
      </c>
      <c r="F20" s="194">
        <v>0.6737739872068228</v>
      </c>
      <c r="G20" s="194">
        <v>0</v>
      </c>
      <c r="H20" s="194">
        <v>0</v>
      </c>
      <c r="I20" s="194">
        <v>0</v>
      </c>
      <c r="J20" s="194">
        <v>4.6900000000000004</v>
      </c>
      <c r="K20" s="194">
        <v>7.85</v>
      </c>
      <c r="L20" s="58">
        <v>8.1</v>
      </c>
      <c r="M20" s="58">
        <f t="shared" si="0"/>
        <v>4.9400000000000004</v>
      </c>
      <c r="N20" s="194">
        <v>0</v>
      </c>
      <c r="O20" s="194">
        <v>0</v>
      </c>
      <c r="P20">
        <f t="shared" si="1"/>
        <v>0</v>
      </c>
      <c r="Q20">
        <v>30.330460915999996</v>
      </c>
    </row>
    <row r="21" spans="1:17" ht="15.75" customHeight="1">
      <c r="A21" s="194" t="s">
        <v>43</v>
      </c>
      <c r="B21" s="194" t="s">
        <v>143</v>
      </c>
      <c r="C21" s="194">
        <v>160</v>
      </c>
      <c r="D21" s="194">
        <v>0</v>
      </c>
      <c r="E21" s="194">
        <v>0</v>
      </c>
      <c r="F21" s="194">
        <v>0.71100917431192645</v>
      </c>
      <c r="G21" s="194">
        <v>0</v>
      </c>
      <c r="H21" s="194">
        <v>0</v>
      </c>
      <c r="I21" s="194">
        <v>0</v>
      </c>
      <c r="J21" s="194">
        <v>4.3600000000000003</v>
      </c>
      <c r="K21" s="194">
        <v>7.46</v>
      </c>
      <c r="L21" s="58">
        <v>7.7</v>
      </c>
      <c r="M21" s="58">
        <f t="shared" si="0"/>
        <v>4.6000000000000005</v>
      </c>
      <c r="N21" s="194">
        <v>0</v>
      </c>
      <c r="O21" s="194">
        <v>0</v>
      </c>
      <c r="P21">
        <f t="shared" si="1"/>
        <v>0</v>
      </c>
      <c r="Q21">
        <v>29.856676080000003</v>
      </c>
    </row>
    <row r="22" spans="1:17" ht="15.75" customHeight="1">
      <c r="A22" s="194" t="s">
        <v>43</v>
      </c>
      <c r="B22" s="194" t="s">
        <v>143</v>
      </c>
      <c r="C22" s="194">
        <v>166</v>
      </c>
      <c r="D22" s="194">
        <v>0</v>
      </c>
      <c r="E22" s="194">
        <v>0</v>
      </c>
      <c r="F22" s="194">
        <v>0.67248908296943233</v>
      </c>
      <c r="G22" s="194">
        <v>0</v>
      </c>
      <c r="H22" s="194">
        <v>0</v>
      </c>
      <c r="I22" s="194">
        <v>0</v>
      </c>
      <c r="J22" s="194">
        <v>4.58</v>
      </c>
      <c r="K22" s="194">
        <v>7.66</v>
      </c>
      <c r="L22" s="58">
        <v>7.9</v>
      </c>
      <c r="M22" s="58">
        <f t="shared" si="0"/>
        <v>4.82</v>
      </c>
      <c r="N22" s="194">
        <v>0</v>
      </c>
      <c r="O22" s="194">
        <v>0</v>
      </c>
      <c r="P22">
        <f t="shared" si="1"/>
        <v>0</v>
      </c>
      <c r="Q22">
        <v>30.19230396</v>
      </c>
    </row>
    <row r="23" spans="1:17" ht="15.75" customHeight="1">
      <c r="A23" s="194" t="s">
        <v>112</v>
      </c>
      <c r="B23" s="194" t="s">
        <v>140</v>
      </c>
      <c r="C23" s="194">
        <v>2</v>
      </c>
      <c r="D23" s="194">
        <v>0</v>
      </c>
      <c r="E23" s="194">
        <v>5.7077625570776259E-2</v>
      </c>
      <c r="F23" s="194">
        <v>0.48812095032397412</v>
      </c>
      <c r="G23" s="194">
        <v>0</v>
      </c>
      <c r="H23" s="194">
        <v>0</v>
      </c>
      <c r="I23" s="194">
        <v>0</v>
      </c>
      <c r="J23" s="194">
        <v>4.38</v>
      </c>
      <c r="K23" s="194">
        <v>6.89</v>
      </c>
      <c r="L23" s="58">
        <v>7.3</v>
      </c>
      <c r="M23" s="58">
        <f t="shared" si="0"/>
        <v>4.79</v>
      </c>
      <c r="N23" s="194">
        <v>0</v>
      </c>
      <c r="O23" s="194">
        <v>0</v>
      </c>
      <c r="P23">
        <f t="shared" si="1"/>
        <v>0</v>
      </c>
      <c r="Q23">
        <v>27.900591263999999</v>
      </c>
    </row>
    <row r="24" spans="1:17" ht="15.75" customHeight="1">
      <c r="A24" s="194" t="s">
        <v>112</v>
      </c>
      <c r="B24" s="194" t="s">
        <v>140</v>
      </c>
      <c r="C24" s="194">
        <v>6</v>
      </c>
      <c r="D24" s="194">
        <v>0</v>
      </c>
      <c r="E24" s="194">
        <v>5.4968287526427011E-2</v>
      </c>
      <c r="F24" s="194">
        <v>0.4408817635270541</v>
      </c>
      <c r="G24" s="194">
        <v>0</v>
      </c>
      <c r="H24" s="194">
        <v>0</v>
      </c>
      <c r="I24" s="194">
        <v>0</v>
      </c>
      <c r="J24" s="194">
        <v>4.7300000000000004</v>
      </c>
      <c r="K24" s="194">
        <v>7.19</v>
      </c>
      <c r="L24" s="58">
        <v>7.5</v>
      </c>
      <c r="M24" s="58">
        <f t="shared" si="0"/>
        <v>5.04</v>
      </c>
      <c r="N24" s="194">
        <v>0</v>
      </c>
      <c r="O24" s="194">
        <v>0</v>
      </c>
      <c r="P24">
        <f t="shared" si="1"/>
        <v>0</v>
      </c>
      <c r="Q24">
        <v>27.816381719999999</v>
      </c>
    </row>
    <row r="25" spans="1:17" ht="15.75" customHeight="1">
      <c r="A25" s="194" t="s">
        <v>112</v>
      </c>
      <c r="B25" s="194" t="s">
        <v>140</v>
      </c>
      <c r="C25" s="194">
        <v>16</v>
      </c>
      <c r="D25" s="194">
        <v>0</v>
      </c>
      <c r="E25" s="194">
        <v>4.7085201793721963E-2</v>
      </c>
      <c r="F25" s="194">
        <v>0.42612419700214138</v>
      </c>
      <c r="G25" s="194">
        <v>0</v>
      </c>
      <c r="H25" s="194">
        <v>0</v>
      </c>
      <c r="I25" s="194">
        <v>0</v>
      </c>
      <c r="J25" s="194">
        <v>4.46</v>
      </c>
      <c r="K25" s="194">
        <v>6.66</v>
      </c>
      <c r="L25" s="58">
        <v>7</v>
      </c>
      <c r="M25" s="58">
        <f t="shared" si="0"/>
        <v>4.8</v>
      </c>
      <c r="N25" s="194">
        <v>0</v>
      </c>
      <c r="O25" s="194">
        <v>0</v>
      </c>
      <c r="P25">
        <f t="shared" si="1"/>
        <v>0</v>
      </c>
      <c r="Q25">
        <v>28.880623472000003</v>
      </c>
    </row>
    <row r="26" spans="1:17" ht="15.75" customHeight="1">
      <c r="A26" s="194" t="s">
        <v>112</v>
      </c>
      <c r="B26" s="194" t="s">
        <v>140</v>
      </c>
      <c r="C26" s="194">
        <v>29</v>
      </c>
      <c r="D26" s="194">
        <v>0</v>
      </c>
      <c r="E26" s="194">
        <v>5.8139534883720929E-2</v>
      </c>
      <c r="F26" s="194">
        <v>0.47032967032967049</v>
      </c>
      <c r="G26" s="194">
        <v>0</v>
      </c>
      <c r="H26" s="194">
        <v>0</v>
      </c>
      <c r="I26" s="194">
        <v>0</v>
      </c>
      <c r="J26" s="194">
        <v>4.3</v>
      </c>
      <c r="K26" s="194">
        <v>6.69</v>
      </c>
      <c r="L26" s="58">
        <v>7</v>
      </c>
      <c r="M26" s="58">
        <f t="shared" si="0"/>
        <v>4.6099999999999994</v>
      </c>
      <c r="N26" s="194">
        <v>0</v>
      </c>
      <c r="O26" s="194">
        <v>0</v>
      </c>
      <c r="P26">
        <f t="shared" si="1"/>
        <v>0</v>
      </c>
      <c r="Q26">
        <v>28.295095052000001</v>
      </c>
    </row>
    <row r="27" spans="1:17" ht="15.75" customHeight="1">
      <c r="A27" s="194" t="s">
        <v>112</v>
      </c>
      <c r="B27" s="194" t="s">
        <v>140</v>
      </c>
      <c r="C27" s="194">
        <v>117</v>
      </c>
      <c r="D27" s="194">
        <v>0</v>
      </c>
      <c r="E27" s="194">
        <v>5.9907834101382437E-2</v>
      </c>
      <c r="F27" s="194">
        <v>0.47826086956521752</v>
      </c>
      <c r="G27" s="194">
        <v>0</v>
      </c>
      <c r="H27" s="194">
        <v>0</v>
      </c>
      <c r="I27" s="194">
        <v>0</v>
      </c>
      <c r="J27" s="194">
        <v>4.34</v>
      </c>
      <c r="K27" s="194">
        <v>6.8</v>
      </c>
      <c r="L27" s="58">
        <v>7.1</v>
      </c>
      <c r="M27" s="58">
        <f t="shared" si="0"/>
        <v>4.6399999999999997</v>
      </c>
      <c r="N27" s="194">
        <v>0</v>
      </c>
      <c r="O27" s="194">
        <v>0</v>
      </c>
      <c r="P27">
        <f t="shared" si="1"/>
        <v>0</v>
      </c>
      <c r="Q27">
        <v>27.663773111999998</v>
      </c>
    </row>
    <row r="28" spans="1:17" ht="15.75" customHeight="1">
      <c r="A28" s="194" t="s">
        <v>112</v>
      </c>
      <c r="B28" s="194" t="s">
        <v>141</v>
      </c>
      <c r="C28" s="194">
        <v>35</v>
      </c>
      <c r="D28" s="194">
        <v>0</v>
      </c>
      <c r="E28" s="194">
        <v>8.454810495626823E-2</v>
      </c>
      <c r="F28" s="194">
        <v>0.62365591397849451</v>
      </c>
      <c r="G28" s="194">
        <v>0</v>
      </c>
      <c r="H28" s="194">
        <v>0</v>
      </c>
      <c r="I28" s="194">
        <v>0</v>
      </c>
      <c r="J28" s="194">
        <v>3.43</v>
      </c>
      <c r="K28" s="194">
        <v>6.04</v>
      </c>
      <c r="L28" s="58">
        <v>6.4</v>
      </c>
      <c r="M28" s="58">
        <f t="shared" si="0"/>
        <v>3.7900000000000005</v>
      </c>
      <c r="N28" s="194">
        <v>0</v>
      </c>
      <c r="O28" s="194">
        <v>0</v>
      </c>
      <c r="P28">
        <f t="shared" si="1"/>
        <v>0</v>
      </c>
      <c r="Q28">
        <v>27.924516941999997</v>
      </c>
    </row>
    <row r="29" spans="1:17" ht="15.75" customHeight="1">
      <c r="A29" s="194" t="s">
        <v>112</v>
      </c>
      <c r="B29" s="194" t="s">
        <v>141</v>
      </c>
      <c r="C29" s="194">
        <v>49</v>
      </c>
      <c r="D29" s="194">
        <v>0</v>
      </c>
      <c r="E29" s="194">
        <v>0.16718266253869971</v>
      </c>
      <c r="F29" s="194">
        <v>0.62334217506631306</v>
      </c>
      <c r="G29" s="194">
        <v>0</v>
      </c>
      <c r="H29" s="194">
        <v>0</v>
      </c>
      <c r="I29" s="194">
        <v>0</v>
      </c>
      <c r="J29" s="194">
        <v>3.23</v>
      </c>
      <c r="K29" s="194">
        <v>6.12</v>
      </c>
      <c r="L29" s="58">
        <v>6.4</v>
      </c>
      <c r="M29" s="58">
        <f t="shared" si="0"/>
        <v>3.5100000000000002</v>
      </c>
      <c r="N29" s="194">
        <v>0</v>
      </c>
      <c r="O29" s="194">
        <v>0</v>
      </c>
      <c r="P29">
        <f t="shared" si="1"/>
        <v>0</v>
      </c>
      <c r="Q29">
        <v>29.330832588</v>
      </c>
    </row>
    <row r="30" spans="1:17" ht="15.75" customHeight="1">
      <c r="A30" s="194" t="s">
        <v>112</v>
      </c>
      <c r="B30" s="194" t="s">
        <v>141</v>
      </c>
      <c r="C30" s="194">
        <v>59</v>
      </c>
      <c r="D30" s="194">
        <v>0</v>
      </c>
      <c r="E30" s="194">
        <v>0.27725856697819312</v>
      </c>
      <c r="F30" s="194">
        <v>0.50487804878048792</v>
      </c>
      <c r="G30" s="194">
        <v>0</v>
      </c>
      <c r="H30" s="194">
        <v>0</v>
      </c>
      <c r="I30" s="194">
        <v>0</v>
      </c>
      <c r="J30" s="194">
        <v>3.21</v>
      </c>
      <c r="K30" s="194">
        <v>6.17</v>
      </c>
      <c r="L30" s="58">
        <v>6.4</v>
      </c>
      <c r="M30" s="58">
        <f t="shared" si="0"/>
        <v>3.4400000000000004</v>
      </c>
      <c r="N30" s="194">
        <v>0</v>
      </c>
      <c r="O30" s="194">
        <v>0</v>
      </c>
      <c r="P30">
        <f t="shared" si="1"/>
        <v>0</v>
      </c>
      <c r="Q30">
        <v>28.640725584000002</v>
      </c>
    </row>
    <row r="31" spans="1:17" ht="15.75" customHeight="1">
      <c r="A31" s="194" t="s">
        <v>112</v>
      </c>
      <c r="B31" s="194" t="s">
        <v>141</v>
      </c>
      <c r="C31" s="194">
        <v>123</v>
      </c>
      <c r="D31" s="194">
        <v>0</v>
      </c>
      <c r="E31" s="194">
        <v>8.0495356037151772E-2</v>
      </c>
      <c r="F31" s="194">
        <v>0.71919770773638958</v>
      </c>
      <c r="G31" s="194">
        <v>0</v>
      </c>
      <c r="H31" s="194">
        <v>0</v>
      </c>
      <c r="I31" s="194">
        <v>0</v>
      </c>
      <c r="J31" s="194">
        <v>3.23</v>
      </c>
      <c r="K31" s="194">
        <v>6</v>
      </c>
      <c r="L31" s="58">
        <v>6.2</v>
      </c>
      <c r="M31" s="58">
        <f t="shared" si="0"/>
        <v>3.43</v>
      </c>
      <c r="N31" s="194">
        <v>0</v>
      </c>
      <c r="O31" s="194">
        <v>0</v>
      </c>
      <c r="P31">
        <f t="shared" si="1"/>
        <v>0</v>
      </c>
      <c r="Q31">
        <v>29.130430560000001</v>
      </c>
    </row>
    <row r="32" spans="1:17" ht="15.75" customHeight="1">
      <c r="A32" s="194" t="s">
        <v>112</v>
      </c>
      <c r="B32" s="194" t="s">
        <v>141</v>
      </c>
      <c r="C32" s="194">
        <v>130</v>
      </c>
      <c r="D32" s="194">
        <v>0</v>
      </c>
      <c r="E32" s="194">
        <v>7.079646017699108E-2</v>
      </c>
      <c r="F32" s="194">
        <v>0.62258953168044073</v>
      </c>
      <c r="G32" s="194">
        <v>0</v>
      </c>
      <c r="H32" s="194">
        <v>0</v>
      </c>
      <c r="I32" s="194">
        <v>0</v>
      </c>
      <c r="J32" s="194">
        <v>3.39</v>
      </c>
      <c r="K32" s="194">
        <v>5.89</v>
      </c>
      <c r="L32" s="58">
        <v>6.1</v>
      </c>
      <c r="M32" s="58">
        <f t="shared" si="0"/>
        <v>3.6</v>
      </c>
      <c r="N32" s="194">
        <v>0</v>
      </c>
      <c r="O32" s="194">
        <v>0</v>
      </c>
      <c r="P32">
        <f t="shared" si="1"/>
        <v>0</v>
      </c>
      <c r="Q32">
        <v>28.892956223999999</v>
      </c>
    </row>
    <row r="33" spans="1:17" ht="15.75" customHeight="1">
      <c r="A33" s="194" t="s">
        <v>112</v>
      </c>
      <c r="B33" s="194" t="s">
        <v>142</v>
      </c>
      <c r="C33" s="194">
        <v>168</v>
      </c>
      <c r="D33" s="194">
        <v>0</v>
      </c>
      <c r="E33" s="194">
        <v>4.8997772828507737E-2</v>
      </c>
      <c r="F33" s="194">
        <v>0.49893842887473461</v>
      </c>
      <c r="G33" s="194">
        <v>0</v>
      </c>
      <c r="H33" s="194">
        <v>0</v>
      </c>
      <c r="I33" s="194">
        <v>0</v>
      </c>
      <c r="J33" s="194">
        <v>4.49</v>
      </c>
      <c r="K33" s="194">
        <v>7.06</v>
      </c>
      <c r="L33" s="58">
        <v>7.4</v>
      </c>
      <c r="M33" s="58">
        <f t="shared" si="0"/>
        <v>4.830000000000001</v>
      </c>
      <c r="N33" s="194">
        <v>0</v>
      </c>
      <c r="O33" s="194">
        <v>0</v>
      </c>
      <c r="P33">
        <f t="shared" si="1"/>
        <v>0</v>
      </c>
      <c r="Q33">
        <v>27.477342900000004</v>
      </c>
    </row>
    <row r="34" spans="1:17" ht="15.75" customHeight="1">
      <c r="A34" s="194" t="s">
        <v>112</v>
      </c>
      <c r="B34" s="194" t="s">
        <v>142</v>
      </c>
      <c r="C34" s="194">
        <v>187</v>
      </c>
      <c r="D34" s="194">
        <v>0</v>
      </c>
      <c r="E34" s="194">
        <v>5.2511415525114263E-2</v>
      </c>
      <c r="F34" s="194">
        <v>0.51843817787418645</v>
      </c>
      <c r="G34" s="194">
        <v>0</v>
      </c>
      <c r="H34" s="194">
        <v>0</v>
      </c>
      <c r="I34" s="194">
        <v>0</v>
      </c>
      <c r="J34" s="194">
        <v>4.38</v>
      </c>
      <c r="K34" s="194">
        <v>7</v>
      </c>
      <c r="L34" s="58">
        <v>7.3</v>
      </c>
      <c r="M34" s="58">
        <f t="shared" si="0"/>
        <v>4.68</v>
      </c>
      <c r="N34" s="194">
        <v>0</v>
      </c>
      <c r="O34" s="194">
        <v>0</v>
      </c>
      <c r="P34">
        <f t="shared" si="1"/>
        <v>0</v>
      </c>
      <c r="Q34">
        <v>28.611492256000002</v>
      </c>
    </row>
    <row r="35" spans="1:17" ht="15.75" customHeight="1">
      <c r="A35" s="194" t="s">
        <v>112</v>
      </c>
      <c r="B35" s="194" t="s">
        <v>142</v>
      </c>
      <c r="C35" s="194">
        <v>189</v>
      </c>
      <c r="D35" s="194">
        <v>0</v>
      </c>
      <c r="E35" s="194">
        <v>3.6036036036035862E-2</v>
      </c>
      <c r="F35" s="194">
        <v>0.55434782608695676</v>
      </c>
      <c r="G35" s="194">
        <v>0</v>
      </c>
      <c r="H35" s="194">
        <v>0</v>
      </c>
      <c r="I35" s="194">
        <v>0</v>
      </c>
      <c r="J35" s="194">
        <v>4.4400000000000004</v>
      </c>
      <c r="K35" s="194">
        <v>7.15</v>
      </c>
      <c r="L35" s="58">
        <v>7.5</v>
      </c>
      <c r="M35" s="58">
        <f t="shared" si="0"/>
        <v>4.79</v>
      </c>
      <c r="N35" s="194">
        <v>0</v>
      </c>
      <c r="O35" s="194">
        <v>0</v>
      </c>
      <c r="P35">
        <f t="shared" si="1"/>
        <v>0</v>
      </c>
      <c r="Q35">
        <v>28.111897374000002</v>
      </c>
    </row>
    <row r="36" spans="1:17" ht="15.75" customHeight="1">
      <c r="A36" s="194" t="s">
        <v>112</v>
      </c>
      <c r="B36" s="194" t="s">
        <v>142</v>
      </c>
      <c r="C36" s="194">
        <v>191</v>
      </c>
      <c r="D36" s="194">
        <v>0</v>
      </c>
      <c r="E36" s="194">
        <v>8.1264108352144551E-2</v>
      </c>
      <c r="F36" s="194">
        <v>0.50939457202505223</v>
      </c>
      <c r="G36" s="194">
        <v>0</v>
      </c>
      <c r="H36" s="194">
        <v>0</v>
      </c>
      <c r="I36" s="194">
        <v>0</v>
      </c>
      <c r="J36" s="194">
        <v>4.43</v>
      </c>
      <c r="K36" s="194">
        <v>7.23</v>
      </c>
      <c r="L36" s="58">
        <v>7.6</v>
      </c>
      <c r="M36" s="58">
        <f t="shared" si="0"/>
        <v>4.7999999999999989</v>
      </c>
      <c r="N36" s="194">
        <v>0</v>
      </c>
      <c r="O36" s="194">
        <v>0</v>
      </c>
      <c r="P36">
        <f t="shared" si="1"/>
        <v>0</v>
      </c>
      <c r="Q36">
        <v>28.644000815999998</v>
      </c>
    </row>
    <row r="37" spans="1:17" ht="15.75" customHeight="1">
      <c r="A37" s="194" t="s">
        <v>112</v>
      </c>
      <c r="B37" s="194" t="s">
        <v>142</v>
      </c>
      <c r="C37" s="194">
        <v>193</v>
      </c>
      <c r="D37" s="194">
        <v>0</v>
      </c>
      <c r="E37" s="194">
        <v>5.7906458797327337E-2</v>
      </c>
      <c r="F37" s="194">
        <v>0.46947368421052638</v>
      </c>
      <c r="G37" s="194">
        <v>0</v>
      </c>
      <c r="H37" s="194">
        <v>0</v>
      </c>
      <c r="I37" s="194">
        <v>0</v>
      </c>
      <c r="J37" s="194">
        <v>4.49</v>
      </c>
      <c r="K37" s="194">
        <v>6.98</v>
      </c>
      <c r="L37" s="58">
        <v>7.6</v>
      </c>
      <c r="M37" s="58">
        <f t="shared" si="0"/>
        <v>5.1099999999999994</v>
      </c>
      <c r="N37" s="194">
        <v>0</v>
      </c>
      <c r="O37" s="194">
        <v>0</v>
      </c>
      <c r="P37">
        <f t="shared" si="1"/>
        <v>0</v>
      </c>
      <c r="Q37">
        <v>27.139765769999997</v>
      </c>
    </row>
    <row r="38" spans="1:17" ht="15.75" customHeight="1">
      <c r="A38" s="194" t="s">
        <v>112</v>
      </c>
      <c r="B38" s="194" t="s">
        <v>143</v>
      </c>
      <c r="C38" s="194">
        <v>78</v>
      </c>
      <c r="D38" s="194">
        <v>0</v>
      </c>
      <c r="E38" s="194">
        <v>6.9767441860464935E-2</v>
      </c>
      <c r="F38" s="194">
        <v>0.53359683794466406</v>
      </c>
      <c r="G38" s="194">
        <v>0</v>
      </c>
      <c r="H38" s="194">
        <v>0</v>
      </c>
      <c r="I38" s="194">
        <v>0</v>
      </c>
      <c r="J38" s="194">
        <v>4.7300000000000004</v>
      </c>
      <c r="K38" s="194">
        <v>7.76</v>
      </c>
      <c r="L38" s="58">
        <v>8.1</v>
      </c>
      <c r="M38" s="58">
        <f t="shared" si="0"/>
        <v>5.07</v>
      </c>
      <c r="N38" s="194">
        <v>0</v>
      </c>
      <c r="O38" s="194">
        <v>0</v>
      </c>
      <c r="P38">
        <f t="shared" si="1"/>
        <v>0</v>
      </c>
      <c r="Q38">
        <v>29.836069739999999</v>
      </c>
    </row>
    <row r="39" spans="1:17" ht="15.75" customHeight="1">
      <c r="A39" s="194" t="s">
        <v>112</v>
      </c>
      <c r="B39" s="194" t="s">
        <v>143</v>
      </c>
      <c r="C39" s="194">
        <v>89</v>
      </c>
      <c r="D39" s="194">
        <v>0</v>
      </c>
      <c r="E39" s="194">
        <v>6.1630218687872683E-2</v>
      </c>
      <c r="F39" s="194">
        <v>0.53745318352059945</v>
      </c>
      <c r="G39" s="194">
        <v>0</v>
      </c>
      <c r="H39" s="194">
        <v>0</v>
      </c>
      <c r="I39" s="194">
        <v>0</v>
      </c>
      <c r="J39" s="194">
        <v>5.03</v>
      </c>
      <c r="K39" s="194">
        <v>8.2100000000000009</v>
      </c>
      <c r="L39" s="58">
        <v>8.6</v>
      </c>
      <c r="M39" s="58">
        <f t="shared" si="0"/>
        <v>5.419999999999999</v>
      </c>
      <c r="N39" s="194">
        <v>0</v>
      </c>
      <c r="O39" s="194">
        <v>0</v>
      </c>
      <c r="P39">
        <f t="shared" si="1"/>
        <v>0</v>
      </c>
      <c r="Q39">
        <v>31.051252080000001</v>
      </c>
    </row>
    <row r="40" spans="1:17" ht="15.75" customHeight="1">
      <c r="A40" s="194" t="s">
        <v>112</v>
      </c>
      <c r="B40" s="194" t="s">
        <v>143</v>
      </c>
      <c r="C40" s="194">
        <v>94</v>
      </c>
      <c r="D40" s="194">
        <v>0</v>
      </c>
      <c r="E40" s="194">
        <v>0.1217948717948719</v>
      </c>
      <c r="F40" s="194">
        <v>0.48952380952380958</v>
      </c>
      <c r="G40" s="194">
        <v>0</v>
      </c>
      <c r="H40" s="194">
        <v>0</v>
      </c>
      <c r="I40" s="194">
        <v>0</v>
      </c>
      <c r="J40" s="194">
        <v>4.68</v>
      </c>
      <c r="K40" s="194">
        <v>7.82</v>
      </c>
      <c r="L40" s="58">
        <v>8.1</v>
      </c>
      <c r="M40" s="58">
        <f t="shared" si="0"/>
        <v>4.9599999999999991</v>
      </c>
      <c r="N40" s="194">
        <v>0</v>
      </c>
      <c r="O40" s="194">
        <v>0</v>
      </c>
      <c r="P40">
        <f t="shared" si="1"/>
        <v>0</v>
      </c>
      <c r="Q40">
        <v>30.975810599999999</v>
      </c>
    </row>
    <row r="41" spans="1:17" ht="15.75" customHeight="1">
      <c r="A41" s="194" t="s">
        <v>112</v>
      </c>
      <c r="B41" s="194" t="s">
        <v>143</v>
      </c>
      <c r="C41" s="194">
        <v>155</v>
      </c>
      <c r="D41" s="194">
        <v>0</v>
      </c>
      <c r="E41" s="194">
        <v>0.4324324324324324</v>
      </c>
      <c r="F41" s="194">
        <v>0.24371069182389929</v>
      </c>
      <c r="G41" s="194">
        <v>0</v>
      </c>
      <c r="H41" s="194">
        <v>0</v>
      </c>
      <c r="I41" s="194">
        <v>0</v>
      </c>
      <c r="J41" s="194">
        <v>4.4400000000000004</v>
      </c>
      <c r="K41" s="194">
        <v>7.91</v>
      </c>
      <c r="L41" s="58">
        <v>8.1999999999999993</v>
      </c>
      <c r="M41" s="58">
        <f t="shared" si="0"/>
        <v>4.7299999999999995</v>
      </c>
      <c r="N41" s="194">
        <v>0</v>
      </c>
      <c r="O41" s="194">
        <v>0</v>
      </c>
      <c r="P41">
        <f t="shared" si="1"/>
        <v>0</v>
      </c>
      <c r="Q41">
        <v>29.556542399999998</v>
      </c>
    </row>
    <row r="42" spans="1:17" ht="15.75" customHeight="1">
      <c r="A42" s="194" t="s">
        <v>112</v>
      </c>
      <c r="B42" s="194" t="s">
        <v>143</v>
      </c>
      <c r="C42" s="194">
        <v>165</v>
      </c>
      <c r="D42" s="194">
        <v>0</v>
      </c>
      <c r="E42" s="194">
        <v>6.0085836909871293E-2</v>
      </c>
      <c r="F42" s="194">
        <v>0.55870445344129549</v>
      </c>
      <c r="G42" s="194">
        <v>0</v>
      </c>
      <c r="H42" s="194">
        <v>0</v>
      </c>
      <c r="I42" s="194">
        <v>0</v>
      </c>
      <c r="J42" s="194">
        <v>4.66</v>
      </c>
      <c r="K42" s="194">
        <v>7.7</v>
      </c>
      <c r="L42" s="58">
        <v>8</v>
      </c>
      <c r="M42" s="58">
        <f t="shared" si="0"/>
        <v>4.96</v>
      </c>
      <c r="N42" s="194">
        <v>0</v>
      </c>
      <c r="O42" s="194">
        <v>0</v>
      </c>
      <c r="P42">
        <f t="shared" si="1"/>
        <v>0</v>
      </c>
      <c r="Q42">
        <v>29.243244960000002</v>
      </c>
    </row>
    <row r="43" spans="1:17" ht="15.75" customHeight="1">
      <c r="A43" s="194" t="s">
        <v>43</v>
      </c>
      <c r="B43" s="194" t="s">
        <v>140</v>
      </c>
      <c r="C43" s="194">
        <v>7</v>
      </c>
      <c r="D43" s="194">
        <v>2</v>
      </c>
      <c r="E43" s="194">
        <v>0</v>
      </c>
      <c r="F43" s="194">
        <v>0.60360360360360343</v>
      </c>
      <c r="G43" s="58">
        <v>270.66666666666663</v>
      </c>
      <c r="H43" s="58">
        <v>5.2331093171200305</v>
      </c>
      <c r="I43" s="58">
        <v>457.2072072072072</v>
      </c>
      <c r="J43" s="194">
        <v>4.4400000000000004</v>
      </c>
      <c r="K43" s="194">
        <v>7.12</v>
      </c>
      <c r="L43" s="58">
        <v>27.8</v>
      </c>
      <c r="M43" s="58">
        <f t="shared" si="0"/>
        <v>25.12</v>
      </c>
      <c r="N43" s="58">
        <f t="shared" ref="N43:N83" si="2">(L43-L2)/M2*100</f>
        <v>421.1618257261411</v>
      </c>
      <c r="O43" s="194">
        <f t="shared" ref="O43:O83" si="3">L43-L2</f>
        <v>20.3</v>
      </c>
      <c r="P43">
        <f t="shared" si="1"/>
        <v>70.069128631793177</v>
      </c>
      <c r="Q43">
        <v>28.971389250000001</v>
      </c>
    </row>
    <row r="44" spans="1:17" ht="15.75" customHeight="1">
      <c r="A44" s="194" t="s">
        <v>43</v>
      </c>
      <c r="B44" s="194" t="s">
        <v>140</v>
      </c>
      <c r="C44" s="194">
        <v>13</v>
      </c>
      <c r="D44" s="194">
        <v>2</v>
      </c>
      <c r="E44" s="194">
        <v>0</v>
      </c>
      <c r="F44" s="194">
        <v>0.52078774617067825</v>
      </c>
      <c r="G44" s="58">
        <v>289.04109589041093</v>
      </c>
      <c r="H44" s="58">
        <v>3.1167298290966072</v>
      </c>
      <c r="I44" s="58">
        <v>461.70678336980302</v>
      </c>
      <c r="J44" s="194">
        <v>4.57</v>
      </c>
      <c r="K44" s="194">
        <v>6.95</v>
      </c>
      <c r="L44" s="58">
        <v>28.4</v>
      </c>
      <c r="M44" s="58">
        <f t="shared" si="0"/>
        <v>26.02</v>
      </c>
      <c r="N44" s="58">
        <f t="shared" si="2"/>
        <v>428.86178861788613</v>
      </c>
      <c r="O44" s="194">
        <f t="shared" si="3"/>
        <v>21.099999999999998</v>
      </c>
      <c r="P44">
        <f t="shared" si="1"/>
        <v>72.548147366746136</v>
      </c>
      <c r="Q44">
        <v>29.084133456</v>
      </c>
    </row>
    <row r="45" spans="1:17" ht="15.75" customHeight="1">
      <c r="A45" s="194" t="s">
        <v>43</v>
      </c>
      <c r="B45" s="194" t="s">
        <v>140</v>
      </c>
      <c r="C45" s="194">
        <v>18</v>
      </c>
      <c r="D45" s="194">
        <v>2</v>
      </c>
      <c r="E45" s="194">
        <v>0</v>
      </c>
      <c r="F45" s="194">
        <v>0.43993506493506479</v>
      </c>
      <c r="G45" s="58">
        <v>233.69565217391309</v>
      </c>
      <c r="H45" s="58">
        <v>4.7618565495952137</v>
      </c>
      <c r="I45" s="58">
        <v>349.02597402597399</v>
      </c>
      <c r="J45" s="194">
        <v>6.16</v>
      </c>
      <c r="K45" s="194">
        <v>8.8699999999999992</v>
      </c>
      <c r="L45" s="58">
        <v>30.7</v>
      </c>
      <c r="M45" s="58">
        <f t="shared" si="0"/>
        <v>27.990000000000002</v>
      </c>
      <c r="N45" s="58">
        <f t="shared" si="2"/>
        <v>331.27889060092446</v>
      </c>
      <c r="O45" s="194">
        <f t="shared" si="3"/>
        <v>21.5</v>
      </c>
      <c r="P45">
        <f t="shared" si="1"/>
        <v>68.257107898912651</v>
      </c>
      <c r="Q45">
        <v>31.498551083999999</v>
      </c>
    </row>
    <row r="46" spans="1:17" ht="15.75" customHeight="1">
      <c r="A46" s="194" t="s">
        <v>43</v>
      </c>
      <c r="B46" s="194" t="s">
        <v>140</v>
      </c>
      <c r="C46" s="194">
        <v>105</v>
      </c>
      <c r="D46" s="194">
        <v>2</v>
      </c>
      <c r="E46" s="194">
        <v>0</v>
      </c>
      <c r="F46" s="194">
        <v>0.59388646288209601</v>
      </c>
      <c r="G46" s="58">
        <v>265.78947368421058</v>
      </c>
      <c r="H46" s="58">
        <v>5.5350456430406734</v>
      </c>
      <c r="I46" s="58">
        <v>441.04803493449782</v>
      </c>
      <c r="J46" s="194">
        <v>4.58</v>
      </c>
      <c r="K46" s="194">
        <v>7.3</v>
      </c>
      <c r="L46" s="58">
        <v>27.8</v>
      </c>
      <c r="M46" s="58">
        <f t="shared" si="0"/>
        <v>25.080000000000002</v>
      </c>
      <c r="N46" s="58">
        <f t="shared" si="2"/>
        <v>413.93442622950829</v>
      </c>
      <c r="O46" s="194">
        <f t="shared" si="3"/>
        <v>20.200000000000003</v>
      </c>
      <c r="P46">
        <f t="shared" si="1"/>
        <v>69.205757491249472</v>
      </c>
      <c r="Q46">
        <v>29.188322955000004</v>
      </c>
    </row>
    <row r="47" spans="1:17" ht="15.75" customHeight="1">
      <c r="A47" s="194" t="s">
        <v>43</v>
      </c>
      <c r="B47" s="194" t="s">
        <v>140</v>
      </c>
      <c r="C47" s="194">
        <v>113</v>
      </c>
      <c r="D47" s="194">
        <v>2</v>
      </c>
      <c r="E47" s="194">
        <v>0</v>
      </c>
      <c r="F47" s="194">
        <v>0.57476635514018692</v>
      </c>
      <c r="G47" s="58">
        <v>301.42857142857144</v>
      </c>
      <c r="H47" s="58">
        <v>4.3367040101200613</v>
      </c>
      <c r="I47" s="58">
        <v>492.99065420560748</v>
      </c>
      <c r="J47" s="194">
        <v>4.28</v>
      </c>
      <c r="K47" s="194">
        <v>6.74</v>
      </c>
      <c r="L47" s="58">
        <v>28.1</v>
      </c>
      <c r="M47" s="58">
        <f t="shared" si="0"/>
        <v>25.64</v>
      </c>
      <c r="N47" s="58">
        <f t="shared" si="2"/>
        <v>464.75770925110129</v>
      </c>
      <c r="O47" s="194">
        <f t="shared" si="3"/>
        <v>21.1</v>
      </c>
      <c r="P47">
        <f t="shared" si="1"/>
        <v>72.584216785247918</v>
      </c>
      <c r="Q47">
        <v>29.06968062</v>
      </c>
    </row>
    <row r="48" spans="1:17" ht="15.75" customHeight="1">
      <c r="A48" s="194" t="s">
        <v>43</v>
      </c>
      <c r="B48" s="194" t="s">
        <v>141</v>
      </c>
      <c r="C48" s="194">
        <v>34</v>
      </c>
      <c r="D48" s="194">
        <v>2</v>
      </c>
      <c r="E48" s="194">
        <v>0</v>
      </c>
      <c r="F48" s="194">
        <v>0.87106918238993702</v>
      </c>
      <c r="G48" s="58">
        <v>309.67741935483872</v>
      </c>
      <c r="H48" s="58">
        <v>3.9960881126057868</v>
      </c>
      <c r="I48" s="58">
        <v>603.7735849056603</v>
      </c>
      <c r="J48" s="194">
        <v>3.18</v>
      </c>
      <c r="K48" s="194">
        <v>5.95</v>
      </c>
      <c r="L48" s="58">
        <v>25.4</v>
      </c>
      <c r="M48" s="58">
        <f t="shared" si="0"/>
        <v>22.63</v>
      </c>
      <c r="N48" s="58">
        <f t="shared" si="2"/>
        <v>559.76676384839652</v>
      </c>
      <c r="O48" s="194">
        <f t="shared" si="3"/>
        <v>19.2</v>
      </c>
      <c r="P48">
        <f t="shared" si="1"/>
        <v>65.693730332881088</v>
      </c>
      <c r="Q48">
        <v>29.226533343000003</v>
      </c>
    </row>
    <row r="49" spans="1:17" ht="15.75" customHeight="1">
      <c r="A49" s="194" t="s">
        <v>43</v>
      </c>
      <c r="B49" s="194" t="s">
        <v>141</v>
      </c>
      <c r="C49" s="194">
        <v>40</v>
      </c>
      <c r="D49" s="194">
        <v>2</v>
      </c>
      <c r="E49" s="194">
        <v>0</v>
      </c>
      <c r="F49" s="194">
        <v>0.83383685800604235</v>
      </c>
      <c r="G49" s="58">
        <v>317.46031746031747</v>
      </c>
      <c r="H49" s="58">
        <v>4.8676490069311278</v>
      </c>
      <c r="I49" s="58">
        <v>604.22960725075529</v>
      </c>
      <c r="J49" s="194">
        <v>3.31</v>
      </c>
      <c r="K49" s="194">
        <v>6.07</v>
      </c>
      <c r="L49" s="58">
        <v>26.3</v>
      </c>
      <c r="M49" s="58">
        <f t="shared" si="0"/>
        <v>23.54</v>
      </c>
      <c r="N49" s="58">
        <f t="shared" si="2"/>
        <v>564.9717514124294</v>
      </c>
      <c r="O49" s="194">
        <f t="shared" si="3"/>
        <v>20</v>
      </c>
      <c r="P49">
        <f t="shared" si="1"/>
        <v>66.237737573237411</v>
      </c>
      <c r="Q49">
        <v>30.194268000000001</v>
      </c>
    </row>
    <row r="50" spans="1:17" ht="15.75" customHeight="1">
      <c r="A50" s="194" t="s">
        <v>43</v>
      </c>
      <c r="B50" s="194" t="s">
        <v>141</v>
      </c>
      <c r="C50" s="194">
        <v>52</v>
      </c>
      <c r="D50" s="194">
        <v>2</v>
      </c>
      <c r="E50" s="194">
        <v>0</v>
      </c>
      <c r="F50" s="194">
        <v>0.80177514792899407</v>
      </c>
      <c r="G50" s="58">
        <v>317.46031746031747</v>
      </c>
      <c r="H50" s="58">
        <v>0.60860308896645998</v>
      </c>
      <c r="I50" s="58">
        <v>591.71597633136093</v>
      </c>
      <c r="J50" s="194">
        <v>3.38</v>
      </c>
      <c r="K50" s="194">
        <v>6.09</v>
      </c>
      <c r="L50" s="58">
        <v>26.3</v>
      </c>
      <c r="M50" s="58">
        <f t="shared" si="0"/>
        <v>23.59</v>
      </c>
      <c r="N50" s="58">
        <f t="shared" si="2"/>
        <v>557.10306406685243</v>
      </c>
      <c r="O50" s="194">
        <f t="shared" si="3"/>
        <v>20</v>
      </c>
      <c r="P50">
        <f t="shared" si="1"/>
        <v>67.398899889706186</v>
      </c>
      <c r="Q50">
        <v>29.674074847999997</v>
      </c>
    </row>
    <row r="51" spans="1:17" ht="15.75" customHeight="1">
      <c r="A51" s="194" t="s">
        <v>43</v>
      </c>
      <c r="B51" s="194" t="s">
        <v>141</v>
      </c>
      <c r="C51" s="194">
        <v>121</v>
      </c>
      <c r="D51" s="194">
        <v>2</v>
      </c>
      <c r="E51" s="194">
        <v>0</v>
      </c>
      <c r="F51" s="194">
        <v>0.79999999999999993</v>
      </c>
      <c r="G51" s="58">
        <v>309.37499999999994</v>
      </c>
      <c r="H51" s="58">
        <v>-9.9260878630872629E-2</v>
      </c>
      <c r="I51" s="58">
        <v>573.91304347826076</v>
      </c>
      <c r="J51" s="194">
        <v>3.45</v>
      </c>
      <c r="K51" s="194">
        <v>6.21</v>
      </c>
      <c r="L51" s="58">
        <v>26.2</v>
      </c>
      <c r="M51" s="58">
        <f t="shared" si="0"/>
        <v>23.439999999999998</v>
      </c>
      <c r="N51" s="58">
        <f t="shared" si="2"/>
        <v>543.9560439560438</v>
      </c>
      <c r="O51" s="194">
        <f t="shared" si="3"/>
        <v>19.799999999999997</v>
      </c>
      <c r="P51">
        <f t="shared" si="1"/>
        <v>67.503146235732942</v>
      </c>
      <c r="Q51">
        <v>29.331966143999999</v>
      </c>
    </row>
    <row r="52" spans="1:17" ht="15.75" customHeight="1">
      <c r="A52" s="194" t="s">
        <v>43</v>
      </c>
      <c r="B52" s="194" t="s">
        <v>141</v>
      </c>
      <c r="C52" s="194">
        <v>136</v>
      </c>
      <c r="D52" s="194">
        <v>2</v>
      </c>
      <c r="E52" s="194">
        <v>0</v>
      </c>
      <c r="F52" s="194">
        <v>0.82708933717579236</v>
      </c>
      <c r="G52" s="58">
        <v>298.48484848484856</v>
      </c>
      <c r="H52" s="58">
        <v>1.4671611842876198</v>
      </c>
      <c r="I52" s="58">
        <v>567.72334293948131</v>
      </c>
      <c r="J52" s="194">
        <v>3.47</v>
      </c>
      <c r="K52" s="194">
        <v>6.34</v>
      </c>
      <c r="L52" s="58">
        <v>26.3</v>
      </c>
      <c r="M52" s="58">
        <f t="shared" si="0"/>
        <v>23.43</v>
      </c>
      <c r="N52" s="58">
        <f t="shared" si="2"/>
        <v>528.15013404825743</v>
      </c>
      <c r="O52" s="194">
        <f t="shared" si="3"/>
        <v>19.700000000000003</v>
      </c>
      <c r="P52">
        <f t="shared" si="1"/>
        <v>65.466246283932662</v>
      </c>
      <c r="Q52">
        <v>30.091842923999998</v>
      </c>
    </row>
    <row r="53" spans="1:17" ht="15.75" customHeight="1">
      <c r="A53" s="194" t="s">
        <v>43</v>
      </c>
      <c r="B53" s="194" t="s">
        <v>142</v>
      </c>
      <c r="C53" s="194">
        <v>67</v>
      </c>
      <c r="D53" s="194">
        <v>2</v>
      </c>
      <c r="E53" s="194">
        <v>0</v>
      </c>
      <c r="F53" s="194">
        <v>0.57456140350877205</v>
      </c>
      <c r="G53" s="58">
        <v>268</v>
      </c>
      <c r="H53" s="58">
        <v>2.1661682051573132</v>
      </c>
      <c r="I53" s="58">
        <v>440.78947368421063</v>
      </c>
      <c r="J53" s="194">
        <v>4.5599999999999996</v>
      </c>
      <c r="K53" s="194">
        <v>7.18</v>
      </c>
      <c r="L53" s="58">
        <v>27.6</v>
      </c>
      <c r="M53" s="58">
        <f t="shared" si="0"/>
        <v>24.98</v>
      </c>
      <c r="N53" s="58">
        <f t="shared" si="2"/>
        <v>411.88524590163939</v>
      </c>
      <c r="O53" s="194">
        <f t="shared" si="3"/>
        <v>20.100000000000001</v>
      </c>
      <c r="P53">
        <f t="shared" si="1"/>
        <v>68.011487886061772</v>
      </c>
      <c r="Q53">
        <v>29.553830720000001</v>
      </c>
    </row>
    <row r="54" spans="1:17" ht="15.75" customHeight="1">
      <c r="A54" s="194" t="s">
        <v>43</v>
      </c>
      <c r="B54" s="194" t="s">
        <v>142</v>
      </c>
      <c r="C54" s="194">
        <v>71</v>
      </c>
      <c r="D54" s="194">
        <v>2</v>
      </c>
      <c r="E54" s="194">
        <v>0</v>
      </c>
      <c r="F54" s="194">
        <v>0.61538461538461542</v>
      </c>
      <c r="G54" s="58">
        <v>272.36842105263162</v>
      </c>
      <c r="H54" s="58">
        <v>3.8564991770721515</v>
      </c>
      <c r="I54" s="58">
        <v>454.94505494505501</v>
      </c>
      <c r="J54" s="194">
        <v>4.55</v>
      </c>
      <c r="K54" s="194">
        <v>7.35</v>
      </c>
      <c r="L54" s="58">
        <v>28.3</v>
      </c>
      <c r="M54" s="58">
        <f t="shared" si="0"/>
        <v>25.5</v>
      </c>
      <c r="N54" s="58">
        <f t="shared" si="2"/>
        <v>431.25000000000011</v>
      </c>
      <c r="O54" s="194">
        <f t="shared" si="3"/>
        <v>20.700000000000003</v>
      </c>
      <c r="P54">
        <f t="shared" si="1"/>
        <v>68.258645364613102</v>
      </c>
      <c r="Q54">
        <v>30.325828895999997</v>
      </c>
    </row>
    <row r="55" spans="1:17" ht="15.75" customHeight="1">
      <c r="A55" s="194" t="s">
        <v>43</v>
      </c>
      <c r="B55" s="194" t="s">
        <v>142</v>
      </c>
      <c r="C55" s="194">
        <v>141</v>
      </c>
      <c r="D55" s="194">
        <v>2</v>
      </c>
      <c r="E55" s="194">
        <v>0</v>
      </c>
      <c r="F55" s="194">
        <v>0.59916492693110646</v>
      </c>
      <c r="G55" s="58">
        <v>250</v>
      </c>
      <c r="H55" s="58">
        <v>3.9022276127739772</v>
      </c>
      <c r="I55" s="58">
        <v>417.53653444676411</v>
      </c>
      <c r="J55" s="194">
        <v>4.79</v>
      </c>
      <c r="K55" s="194">
        <v>7.66</v>
      </c>
      <c r="L55" s="58">
        <v>28</v>
      </c>
      <c r="M55" s="58">
        <f t="shared" si="0"/>
        <v>25.13</v>
      </c>
      <c r="N55" s="58">
        <f t="shared" si="2"/>
        <v>389.8635477582846</v>
      </c>
      <c r="O55" s="194">
        <f t="shared" si="3"/>
        <v>20</v>
      </c>
      <c r="P55">
        <f t="shared" si="1"/>
        <v>66.329856391244348</v>
      </c>
      <c r="Q55">
        <v>30.152334240000005</v>
      </c>
    </row>
    <row r="56" spans="1:17" ht="15.75" customHeight="1">
      <c r="A56" s="194" t="s">
        <v>43</v>
      </c>
      <c r="B56" s="194" t="s">
        <v>142</v>
      </c>
      <c r="C56" s="194">
        <v>145</v>
      </c>
      <c r="D56" s="194">
        <v>2</v>
      </c>
      <c r="E56" s="194">
        <v>0</v>
      </c>
      <c r="F56" s="194">
        <v>0.55443548387096775</v>
      </c>
      <c r="G56" s="58">
        <v>236.24999999999997</v>
      </c>
      <c r="H56" s="58">
        <v>-0.72672238948746581</v>
      </c>
      <c r="I56" s="58">
        <v>381.04838709677415</v>
      </c>
      <c r="J56" s="194">
        <v>4.96</v>
      </c>
      <c r="K56" s="194">
        <v>7.71</v>
      </c>
      <c r="L56" s="58">
        <v>26.9</v>
      </c>
      <c r="M56" s="58">
        <f t="shared" si="0"/>
        <v>24.15</v>
      </c>
      <c r="N56" s="58">
        <f t="shared" si="2"/>
        <v>359.99999999999994</v>
      </c>
      <c r="O56" s="194">
        <f t="shared" si="3"/>
        <v>18.899999999999999</v>
      </c>
      <c r="P56">
        <f t="shared" si="1"/>
        <v>64.266498759972407</v>
      </c>
      <c r="Q56">
        <v>29.408790527999997</v>
      </c>
    </row>
    <row r="57" spans="1:17" ht="15.75" customHeight="1">
      <c r="A57" s="194" t="s">
        <v>43</v>
      </c>
      <c r="B57" s="194" t="s">
        <v>142</v>
      </c>
      <c r="C57" s="194">
        <v>152</v>
      </c>
      <c r="D57" s="194">
        <v>2</v>
      </c>
      <c r="E57" s="194">
        <v>0</v>
      </c>
      <c r="F57" s="194">
        <v>0.55686274509803935</v>
      </c>
      <c r="G57" s="58">
        <v>245.12195121951223</v>
      </c>
      <c r="H57" s="58">
        <v>2.1805027253024161</v>
      </c>
      <c r="I57" s="58">
        <v>394.11764705882359</v>
      </c>
      <c r="J57" s="194">
        <v>5.0999999999999996</v>
      </c>
      <c r="K57" s="194">
        <v>7.94</v>
      </c>
      <c r="L57" s="58">
        <v>28.3</v>
      </c>
      <c r="M57" s="58">
        <f t="shared" si="0"/>
        <v>25.46</v>
      </c>
      <c r="N57" s="58">
        <f t="shared" si="2"/>
        <v>375.00000000000011</v>
      </c>
      <c r="O57" s="194">
        <f t="shared" si="3"/>
        <v>20.100000000000001</v>
      </c>
      <c r="P57">
        <f t="shared" si="1"/>
        <v>65.99045072083247</v>
      </c>
      <c r="Q57">
        <v>30.458952440000001</v>
      </c>
    </row>
    <row r="58" spans="1:17" ht="15.75" customHeight="1">
      <c r="A58" s="194" t="s">
        <v>43</v>
      </c>
      <c r="B58" s="194" t="s">
        <v>142</v>
      </c>
      <c r="C58" s="194">
        <v>153</v>
      </c>
      <c r="D58" s="194">
        <v>2</v>
      </c>
      <c r="E58" s="194">
        <v>0</v>
      </c>
      <c r="F58" s="194">
        <v>0.60566448801742923</v>
      </c>
      <c r="G58" s="58">
        <v>259.74025974025972</v>
      </c>
      <c r="H58" s="58">
        <v>4.3570872610914151</v>
      </c>
      <c r="I58" s="58">
        <v>435.72984749455338</v>
      </c>
      <c r="J58" s="194">
        <v>4.59</v>
      </c>
      <c r="K58" s="194">
        <v>7.37</v>
      </c>
      <c r="L58" s="58">
        <v>27.7</v>
      </c>
      <c r="M58" s="58">
        <f t="shared" si="0"/>
        <v>24.919999999999998</v>
      </c>
      <c r="N58" s="58">
        <f t="shared" si="2"/>
        <v>406.50406504065046</v>
      </c>
      <c r="O58" s="194">
        <f t="shared" si="3"/>
        <v>20</v>
      </c>
      <c r="P58">
        <f t="shared" si="1"/>
        <v>67.244355555260555</v>
      </c>
      <c r="Q58">
        <v>29.742273287999996</v>
      </c>
    </row>
    <row r="59" spans="1:17" ht="15.75" customHeight="1">
      <c r="A59" s="194" t="s">
        <v>43</v>
      </c>
      <c r="B59" s="194" t="s">
        <v>143</v>
      </c>
      <c r="C59" s="194">
        <v>80</v>
      </c>
      <c r="D59" s="194">
        <v>2</v>
      </c>
      <c r="E59" s="194">
        <v>0</v>
      </c>
      <c r="F59" s="194">
        <v>0.61076604554865432</v>
      </c>
      <c r="G59" s="58">
        <v>260.49382716049388</v>
      </c>
      <c r="H59" s="58">
        <v>2.3210354438280723</v>
      </c>
      <c r="I59" s="58">
        <v>436.85300207039342</v>
      </c>
      <c r="J59" s="194">
        <v>4.83</v>
      </c>
      <c r="K59" s="194">
        <v>7.78</v>
      </c>
      <c r="L59" s="58">
        <v>29.2</v>
      </c>
      <c r="M59" s="58">
        <f t="shared" si="0"/>
        <v>26.25</v>
      </c>
      <c r="N59" s="58">
        <f t="shared" si="2"/>
        <v>409.70873786407776</v>
      </c>
      <c r="O59" s="194">
        <f t="shared" si="3"/>
        <v>21.1</v>
      </c>
      <c r="P59">
        <f t="shared" si="1"/>
        <v>69.397601063726441</v>
      </c>
      <c r="Q59">
        <v>30.404509199999996</v>
      </c>
    </row>
    <row r="60" spans="1:17" ht="15.75" customHeight="1">
      <c r="A60" s="194" t="s">
        <v>43</v>
      </c>
      <c r="B60" s="194" t="s">
        <v>143</v>
      </c>
      <c r="C60" s="194">
        <v>85</v>
      </c>
      <c r="D60" s="194">
        <v>2</v>
      </c>
      <c r="E60" s="194">
        <v>0</v>
      </c>
      <c r="F60" s="194">
        <v>0.64362850971922259</v>
      </c>
      <c r="G60" s="58">
        <v>265.82278481012656</v>
      </c>
      <c r="H60" s="58">
        <v>4.1104839145478289</v>
      </c>
      <c r="I60" s="58">
        <v>453.56371490280782</v>
      </c>
      <c r="J60" s="194">
        <v>4.63</v>
      </c>
      <c r="K60" s="194">
        <v>7.61</v>
      </c>
      <c r="L60" s="58">
        <v>28.9</v>
      </c>
      <c r="M60" s="58">
        <f t="shared" si="0"/>
        <v>25.919999999999998</v>
      </c>
      <c r="N60" s="58">
        <f t="shared" si="2"/>
        <v>426.82926829268297</v>
      </c>
      <c r="O60" s="194">
        <f t="shared" si="3"/>
        <v>21</v>
      </c>
      <c r="P60">
        <f t="shared" si="1"/>
        <v>70.469361854088092</v>
      </c>
      <c r="Q60">
        <v>29.800184715000004</v>
      </c>
    </row>
    <row r="61" spans="1:17" ht="15.75" customHeight="1">
      <c r="A61" s="194" t="s">
        <v>43</v>
      </c>
      <c r="B61" s="194" t="s">
        <v>143</v>
      </c>
      <c r="C61" s="194">
        <v>95</v>
      </c>
      <c r="D61" s="194">
        <v>2</v>
      </c>
      <c r="E61" s="194">
        <v>0</v>
      </c>
      <c r="F61" s="194">
        <v>0.6737739872068228</v>
      </c>
      <c r="G61" s="58">
        <v>270.37037037037038</v>
      </c>
      <c r="H61" s="58">
        <v>1.8613600550402072</v>
      </c>
      <c r="I61" s="58">
        <v>466.95095948827287</v>
      </c>
      <c r="J61" s="194">
        <v>4.6900000000000004</v>
      </c>
      <c r="K61" s="194">
        <v>7.85</v>
      </c>
      <c r="L61" s="58">
        <v>30</v>
      </c>
      <c r="M61" s="58">
        <f t="shared" si="0"/>
        <v>26.84</v>
      </c>
      <c r="N61" s="58">
        <f t="shared" si="2"/>
        <v>443.31983805668011</v>
      </c>
      <c r="O61" s="194">
        <f t="shared" si="3"/>
        <v>21.9</v>
      </c>
      <c r="P61">
        <f t="shared" si="1"/>
        <v>70.885210626178576</v>
      </c>
      <c r="Q61">
        <v>30.895020000000002</v>
      </c>
    </row>
    <row r="62" spans="1:17" ht="15.75" customHeight="1">
      <c r="A62" s="194" t="s">
        <v>43</v>
      </c>
      <c r="B62" s="194" t="s">
        <v>143</v>
      </c>
      <c r="C62" s="194">
        <v>160</v>
      </c>
      <c r="D62" s="194">
        <v>2</v>
      </c>
      <c r="E62" s="194">
        <v>0</v>
      </c>
      <c r="F62" s="194">
        <v>0.71100917431192645</v>
      </c>
      <c r="G62" s="58">
        <v>277.92207792207796</v>
      </c>
      <c r="H62" s="58">
        <v>-2.5440095942522105</v>
      </c>
      <c r="I62" s="58">
        <v>490.82568807339453</v>
      </c>
      <c r="J62" s="194">
        <v>4.3600000000000003</v>
      </c>
      <c r="K62" s="194">
        <v>7.46</v>
      </c>
      <c r="L62" s="58">
        <v>29.1</v>
      </c>
      <c r="M62" s="58">
        <f t="shared" si="0"/>
        <v>26</v>
      </c>
      <c r="N62" s="58">
        <f t="shared" si="2"/>
        <v>465.21739130434787</v>
      </c>
      <c r="O62" s="194">
        <f t="shared" si="3"/>
        <v>21.400000000000002</v>
      </c>
      <c r="P62">
        <f t="shared" si="1"/>
        <v>73.546799335920639</v>
      </c>
      <c r="Q62">
        <v>29.097119375999998</v>
      </c>
    </row>
    <row r="63" spans="1:17" ht="15.75" customHeight="1">
      <c r="A63" s="194" t="s">
        <v>43</v>
      </c>
      <c r="B63" s="194" t="s">
        <v>143</v>
      </c>
      <c r="C63" s="194">
        <v>166</v>
      </c>
      <c r="D63" s="194">
        <v>2</v>
      </c>
      <c r="E63" s="194">
        <v>0</v>
      </c>
      <c r="F63" s="194">
        <v>0.67248908296943233</v>
      </c>
      <c r="G63" s="58">
        <v>270.88607594936707</v>
      </c>
      <c r="H63" s="58">
        <v>-1.3188151011182323</v>
      </c>
      <c r="I63" s="58">
        <v>467.24890829694317</v>
      </c>
      <c r="J63" s="194">
        <v>4.58</v>
      </c>
      <c r="K63" s="194">
        <v>7.66</v>
      </c>
      <c r="L63" s="58">
        <v>29.3</v>
      </c>
      <c r="M63" s="58">
        <f t="shared" si="0"/>
        <v>26.22</v>
      </c>
      <c r="N63" s="58">
        <f t="shared" si="2"/>
        <v>443.98340248962649</v>
      </c>
      <c r="O63" s="194">
        <f t="shared" si="3"/>
        <v>21.4</v>
      </c>
      <c r="P63">
        <f t="shared" si="1"/>
        <v>71.826245019510424</v>
      </c>
      <c r="Q63">
        <v>29.794123296000002</v>
      </c>
    </row>
    <row r="64" spans="1:17" ht="15.75" customHeight="1">
      <c r="A64" s="194" t="s">
        <v>112</v>
      </c>
      <c r="B64" s="194" t="s">
        <v>140</v>
      </c>
      <c r="C64" s="194">
        <v>2</v>
      </c>
      <c r="D64" s="194">
        <v>2</v>
      </c>
      <c r="E64" s="194">
        <v>5.7077625570776259E-2</v>
      </c>
      <c r="F64" s="194">
        <v>0.48812095032397412</v>
      </c>
      <c r="G64" s="58">
        <v>265.75342465753425</v>
      </c>
      <c r="H64" s="58">
        <v>2.8242765844777624</v>
      </c>
      <c r="I64" s="58">
        <v>442.92237442922374</v>
      </c>
      <c r="J64" s="194">
        <v>4.38</v>
      </c>
      <c r="K64" s="194">
        <v>6.89</v>
      </c>
      <c r="L64" s="58">
        <v>26.7</v>
      </c>
      <c r="M64" s="58">
        <f t="shared" si="0"/>
        <v>24.189999999999998</v>
      </c>
      <c r="N64" s="58">
        <f t="shared" si="2"/>
        <v>405.01043841336116</v>
      </c>
      <c r="O64" s="194">
        <f t="shared" si="3"/>
        <v>19.399999999999999</v>
      </c>
      <c r="P64">
        <f t="shared" si="1"/>
        <v>67.622723870833696</v>
      </c>
      <c r="Q64">
        <v>28.688581129999999</v>
      </c>
    </row>
    <row r="65" spans="1:17" ht="15.75" customHeight="1">
      <c r="A65" s="194" t="s">
        <v>112</v>
      </c>
      <c r="B65" s="194" t="s">
        <v>140</v>
      </c>
      <c r="C65" s="194">
        <v>6</v>
      </c>
      <c r="D65" s="194">
        <v>2</v>
      </c>
      <c r="E65" s="194">
        <v>5.4968287526427011E-2</v>
      </c>
      <c r="F65" s="194">
        <v>0.4408817635270541</v>
      </c>
      <c r="G65" s="58">
        <v>269.33333333333331</v>
      </c>
      <c r="H65" s="58">
        <v>3.2751329025118077</v>
      </c>
      <c r="I65" s="58">
        <v>427.06131078224098</v>
      </c>
      <c r="J65" s="194">
        <v>4.7300000000000004</v>
      </c>
      <c r="K65" s="194">
        <v>7.19</v>
      </c>
      <c r="L65" s="58">
        <v>27.7</v>
      </c>
      <c r="M65" s="58">
        <f t="shared" si="0"/>
        <v>25.24</v>
      </c>
      <c r="N65" s="58">
        <f t="shared" si="2"/>
        <v>400.79365079365078</v>
      </c>
      <c r="O65" s="194">
        <f t="shared" si="3"/>
        <v>20.2</v>
      </c>
      <c r="P65">
        <f t="shared" si="1"/>
        <v>70.316131465405078</v>
      </c>
      <c r="Q65">
        <v>28.727405189999999</v>
      </c>
    </row>
    <row r="66" spans="1:17" ht="15.75" customHeight="1">
      <c r="A66" s="194" t="s">
        <v>112</v>
      </c>
      <c r="B66" s="194" t="s">
        <v>140</v>
      </c>
      <c r="C66" s="194">
        <v>16</v>
      </c>
      <c r="D66" s="194">
        <v>2</v>
      </c>
      <c r="E66" s="194">
        <v>4.7085201793721963E-2</v>
      </c>
      <c r="F66" s="194">
        <v>0.42612419700214138</v>
      </c>
      <c r="G66" s="58">
        <v>298.57142857142856</v>
      </c>
      <c r="H66" s="58">
        <v>5.2170159673345218</v>
      </c>
      <c r="I66" s="58">
        <v>468.60986547085196</v>
      </c>
      <c r="J66" s="194">
        <v>4.46</v>
      </c>
      <c r="K66" s="194">
        <v>6.66</v>
      </c>
      <c r="L66" s="58">
        <v>27.9</v>
      </c>
      <c r="M66" s="58">
        <f t="shared" si="0"/>
        <v>25.7</v>
      </c>
      <c r="N66" s="58">
        <f t="shared" si="2"/>
        <v>435.41666666666669</v>
      </c>
      <c r="O66" s="194">
        <f t="shared" si="3"/>
        <v>20.9</v>
      </c>
      <c r="P66">
        <f t="shared" si="1"/>
        <v>68.778664843422561</v>
      </c>
      <c r="Q66">
        <v>30.387330210000005</v>
      </c>
    </row>
    <row r="67" spans="1:17" ht="15.75" customHeight="1">
      <c r="A67" s="194" t="s">
        <v>112</v>
      </c>
      <c r="B67" s="194" t="s">
        <v>140</v>
      </c>
      <c r="C67" s="194">
        <v>29</v>
      </c>
      <c r="D67" s="194">
        <v>2</v>
      </c>
      <c r="E67" s="194">
        <v>5.8139534883720929E-2</v>
      </c>
      <c r="F67" s="194">
        <v>0.47032967032967049</v>
      </c>
      <c r="G67" s="58">
        <v>281.42857142857139</v>
      </c>
      <c r="H67" s="58">
        <v>1.7528446647325897</v>
      </c>
      <c r="I67" s="58">
        <v>458.13953488372096</v>
      </c>
      <c r="J67" s="194">
        <v>4.3</v>
      </c>
      <c r="K67" s="194">
        <v>6.69</v>
      </c>
      <c r="L67" s="58">
        <v>26.7</v>
      </c>
      <c r="M67" s="58">
        <f t="shared" si="0"/>
        <v>24.31</v>
      </c>
      <c r="N67" s="58">
        <f t="shared" si="2"/>
        <v>427.33188720173541</v>
      </c>
      <c r="O67" s="194">
        <f t="shared" si="3"/>
        <v>19.7</v>
      </c>
      <c r="P67">
        <f t="shared" ref="P67:P130" si="4">O67/Q67*100</f>
        <v>68.424007951314863</v>
      </c>
      <c r="Q67">
        <v>28.791064115999998</v>
      </c>
    </row>
    <row r="68" spans="1:17" ht="15.75" customHeight="1">
      <c r="A68" s="194" t="s">
        <v>112</v>
      </c>
      <c r="B68" s="194" t="s">
        <v>140</v>
      </c>
      <c r="C68" s="194">
        <v>117</v>
      </c>
      <c r="D68" s="194">
        <v>2</v>
      </c>
      <c r="E68" s="194">
        <v>5.9907834101382437E-2</v>
      </c>
      <c r="F68" s="194">
        <v>0.47826086956521752</v>
      </c>
      <c r="G68" s="58">
        <v>284.50704225352121</v>
      </c>
      <c r="H68" s="58">
        <v>3.2782904860024518</v>
      </c>
      <c r="I68" s="58">
        <v>465.43778801843325</v>
      </c>
      <c r="J68" s="194">
        <v>4.34</v>
      </c>
      <c r="K68" s="194">
        <v>6.8</v>
      </c>
      <c r="L68" s="58">
        <v>27.3</v>
      </c>
      <c r="M68" s="58">
        <f t="shared" si="0"/>
        <v>24.84</v>
      </c>
      <c r="N68" s="58">
        <f t="shared" si="2"/>
        <v>435.34482758620703</v>
      </c>
      <c r="O68" s="194">
        <f t="shared" si="3"/>
        <v>20.200000000000003</v>
      </c>
      <c r="P68">
        <f t="shared" si="4"/>
        <v>70.701872299408521</v>
      </c>
      <c r="Q68">
        <v>28.570671953999998</v>
      </c>
    </row>
    <row r="69" spans="1:17" ht="15.75" customHeight="1">
      <c r="A69" s="194" t="s">
        <v>112</v>
      </c>
      <c r="B69" s="194" t="s">
        <v>141</v>
      </c>
      <c r="C69" s="194">
        <v>35</v>
      </c>
      <c r="D69" s="194">
        <v>2</v>
      </c>
      <c r="E69" s="194">
        <v>8.454810495626823E-2</v>
      </c>
      <c r="F69" s="194">
        <v>0.62365591397849451</v>
      </c>
      <c r="G69" s="58">
        <v>293.74999999999994</v>
      </c>
      <c r="H69" s="58">
        <v>1.302209734747741</v>
      </c>
      <c r="I69" s="58">
        <v>548.10495626822137</v>
      </c>
      <c r="J69" s="194">
        <v>3.43</v>
      </c>
      <c r="K69" s="194">
        <v>6.04</v>
      </c>
      <c r="L69" s="58">
        <v>25.2</v>
      </c>
      <c r="M69" s="58">
        <f t="shared" si="0"/>
        <v>22.59</v>
      </c>
      <c r="N69" s="58">
        <f t="shared" si="2"/>
        <v>496.04221635883891</v>
      </c>
      <c r="O69" s="194">
        <f t="shared" si="3"/>
        <v>18.799999999999997</v>
      </c>
      <c r="P69">
        <f t="shared" si="4"/>
        <v>66.458917222644274</v>
      </c>
      <c r="Q69">
        <v>28.288152720000003</v>
      </c>
    </row>
    <row r="70" spans="1:17" ht="15.75" customHeight="1">
      <c r="A70" s="194" t="s">
        <v>112</v>
      </c>
      <c r="B70" s="194" t="s">
        <v>141</v>
      </c>
      <c r="C70" s="194">
        <v>49</v>
      </c>
      <c r="D70" s="194">
        <v>2</v>
      </c>
      <c r="E70" s="194">
        <v>0.16718266253869971</v>
      </c>
      <c r="F70" s="194">
        <v>0.62334217506631306</v>
      </c>
      <c r="G70" s="58">
        <v>300.00000000000006</v>
      </c>
      <c r="H70" s="58">
        <v>0.5245922649428898</v>
      </c>
      <c r="I70" s="58">
        <v>594.4272445820435</v>
      </c>
      <c r="J70" s="194">
        <v>3.23</v>
      </c>
      <c r="K70" s="194">
        <v>6.12</v>
      </c>
      <c r="L70" s="58">
        <v>25.6</v>
      </c>
      <c r="M70" s="58">
        <f t="shared" si="0"/>
        <v>22.71</v>
      </c>
      <c r="N70" s="58">
        <f t="shared" si="2"/>
        <v>547.008547008547</v>
      </c>
      <c r="O70" s="194">
        <f t="shared" si="3"/>
        <v>19.200000000000003</v>
      </c>
      <c r="P70">
        <f t="shared" si="4"/>
        <v>65.11851939008244</v>
      </c>
      <c r="Q70">
        <v>29.484699866999996</v>
      </c>
    </row>
    <row r="71" spans="1:17" ht="15.75" customHeight="1">
      <c r="A71" s="194" t="s">
        <v>112</v>
      </c>
      <c r="B71" s="194" t="s">
        <v>141</v>
      </c>
      <c r="C71" s="194">
        <v>59</v>
      </c>
      <c r="D71" s="194">
        <v>2</v>
      </c>
      <c r="E71" s="194">
        <v>0.27725856697819312</v>
      </c>
      <c r="F71" s="194">
        <v>0.50487804878048792</v>
      </c>
      <c r="G71" s="58">
        <v>295.31249999999994</v>
      </c>
      <c r="H71" s="58">
        <v>0.62901824002895446</v>
      </c>
      <c r="I71" s="58">
        <v>588.78504672897191</v>
      </c>
      <c r="J71" s="194">
        <v>3.21</v>
      </c>
      <c r="K71" s="194">
        <v>6.17</v>
      </c>
      <c r="L71" s="58">
        <v>25.3</v>
      </c>
      <c r="M71" s="58">
        <f t="shared" si="0"/>
        <v>22.34</v>
      </c>
      <c r="N71" s="58">
        <f t="shared" si="2"/>
        <v>549.4186046511627</v>
      </c>
      <c r="O71" s="194">
        <f t="shared" si="3"/>
        <v>18.899999999999999</v>
      </c>
      <c r="P71">
        <f t="shared" si="4"/>
        <v>65.577454132514845</v>
      </c>
      <c r="Q71">
        <v>28.820880972000001</v>
      </c>
    </row>
    <row r="72" spans="1:17" ht="15.75" customHeight="1">
      <c r="A72" s="194" t="s">
        <v>112</v>
      </c>
      <c r="B72" s="194" t="s">
        <v>141</v>
      </c>
      <c r="C72" s="194">
        <v>123</v>
      </c>
      <c r="D72" s="194">
        <v>2</v>
      </c>
      <c r="E72" s="194">
        <v>8.0495356037151772E-2</v>
      </c>
      <c r="F72" s="194">
        <v>0.71919770773638958</v>
      </c>
      <c r="G72" s="58">
        <v>322.58064516129031</v>
      </c>
      <c r="H72" s="58">
        <v>4.1349496620691077</v>
      </c>
      <c r="I72" s="58">
        <v>619.19504643962853</v>
      </c>
      <c r="J72" s="194">
        <v>3.23</v>
      </c>
      <c r="K72" s="194">
        <v>6</v>
      </c>
      <c r="L72" s="58">
        <v>26.2</v>
      </c>
      <c r="M72" s="58">
        <f t="shared" si="0"/>
        <v>23.43</v>
      </c>
      <c r="N72" s="58">
        <f t="shared" si="2"/>
        <v>583.09037900874637</v>
      </c>
      <c r="O72" s="194">
        <f t="shared" si="3"/>
        <v>20</v>
      </c>
      <c r="P72">
        <f t="shared" si="4"/>
        <v>65.930532057547651</v>
      </c>
      <c r="Q72">
        <v>30.334959199999997</v>
      </c>
    </row>
    <row r="73" spans="1:17" ht="15.75" customHeight="1">
      <c r="A73" s="194" t="s">
        <v>112</v>
      </c>
      <c r="B73" s="194" t="s">
        <v>141</v>
      </c>
      <c r="C73" s="194">
        <v>130</v>
      </c>
      <c r="D73" s="194">
        <v>2</v>
      </c>
      <c r="E73" s="194">
        <v>7.079646017699108E-2</v>
      </c>
      <c r="F73" s="194">
        <v>0.62258953168044073</v>
      </c>
      <c r="G73" s="58">
        <v>326.22950819672127</v>
      </c>
      <c r="H73" s="58">
        <v>0.82371413348942213</v>
      </c>
      <c r="I73" s="58">
        <v>587.02064896755155</v>
      </c>
      <c r="J73" s="194">
        <v>3.39</v>
      </c>
      <c r="K73" s="194">
        <v>5.89</v>
      </c>
      <c r="L73" s="58">
        <v>26</v>
      </c>
      <c r="M73" s="58">
        <f t="shared" si="0"/>
        <v>23.5</v>
      </c>
      <c r="N73" s="58">
        <f t="shared" si="2"/>
        <v>552.77777777777771</v>
      </c>
      <c r="O73" s="194">
        <f t="shared" si="3"/>
        <v>19.899999999999999</v>
      </c>
      <c r="P73">
        <f t="shared" si="4"/>
        <v>68.312220903204093</v>
      </c>
      <c r="Q73">
        <v>29.130951587999999</v>
      </c>
    </row>
    <row r="74" spans="1:17" ht="15.75" customHeight="1">
      <c r="A74" s="194" t="s">
        <v>112</v>
      </c>
      <c r="B74" s="194" t="s">
        <v>142</v>
      </c>
      <c r="C74" s="194">
        <v>168</v>
      </c>
      <c r="D74" s="194">
        <v>2</v>
      </c>
      <c r="E74" s="194">
        <v>4.8997772828507737E-2</v>
      </c>
      <c r="F74" s="194">
        <v>0.49893842887473461</v>
      </c>
      <c r="G74" s="58">
        <v>240.54054054054049</v>
      </c>
      <c r="H74" s="58">
        <v>4.2323788884259148</v>
      </c>
      <c r="I74" s="58">
        <v>396.43652561247211</v>
      </c>
      <c r="J74" s="194">
        <v>4.49</v>
      </c>
      <c r="K74" s="194">
        <v>7.06</v>
      </c>
      <c r="L74" s="58">
        <v>25.2</v>
      </c>
      <c r="M74" s="58">
        <f t="shared" si="0"/>
        <v>22.63</v>
      </c>
      <c r="N74" s="58">
        <f t="shared" si="2"/>
        <v>368.53002070393359</v>
      </c>
      <c r="O74" s="194">
        <f t="shared" si="3"/>
        <v>17.799999999999997</v>
      </c>
      <c r="P74">
        <f t="shared" si="4"/>
        <v>62.150212667413321</v>
      </c>
      <c r="Q74">
        <v>28.640288160000001</v>
      </c>
    </row>
    <row r="75" spans="1:17" ht="15.75" customHeight="1">
      <c r="A75" s="194" t="s">
        <v>112</v>
      </c>
      <c r="B75" s="194" t="s">
        <v>142</v>
      </c>
      <c r="C75" s="194">
        <v>187</v>
      </c>
      <c r="D75" s="194">
        <v>2</v>
      </c>
      <c r="E75" s="194">
        <v>5.2511415525114263E-2</v>
      </c>
      <c r="F75" s="194">
        <v>0.51843817787418645</v>
      </c>
      <c r="G75" s="58">
        <v>256.16438356164383</v>
      </c>
      <c r="H75" s="58">
        <v>-1.2023214061051457</v>
      </c>
      <c r="I75" s="58">
        <v>426.9406392694064</v>
      </c>
      <c r="J75" s="194">
        <v>4.38</v>
      </c>
      <c r="K75" s="194">
        <v>7</v>
      </c>
      <c r="L75" s="58">
        <v>26</v>
      </c>
      <c r="M75" s="58">
        <f t="shared" si="0"/>
        <v>23.38</v>
      </c>
      <c r="N75" s="58">
        <f t="shared" si="2"/>
        <v>399.5726495726496</v>
      </c>
      <c r="O75" s="194">
        <f t="shared" si="3"/>
        <v>18.7</v>
      </c>
      <c r="P75">
        <f t="shared" si="4"/>
        <v>66.153733119403341</v>
      </c>
      <c r="Q75">
        <v>28.267490159999998</v>
      </c>
    </row>
    <row r="76" spans="1:17" ht="15.75" customHeight="1">
      <c r="A76" s="194" t="s">
        <v>112</v>
      </c>
      <c r="B76" s="194" t="s">
        <v>142</v>
      </c>
      <c r="C76" s="194">
        <v>189</v>
      </c>
      <c r="D76" s="194">
        <v>2</v>
      </c>
      <c r="E76" s="194">
        <v>3.6036036036035862E-2</v>
      </c>
      <c r="F76" s="194">
        <v>0.55434782608695676</v>
      </c>
      <c r="G76" s="58">
        <v>237.33333333333334</v>
      </c>
      <c r="H76" s="58">
        <v>-1.5697040371530537</v>
      </c>
      <c r="I76" s="58">
        <v>400.90090090090087</v>
      </c>
      <c r="J76" s="194">
        <v>4.4400000000000004</v>
      </c>
      <c r="K76" s="194">
        <v>7.15</v>
      </c>
      <c r="L76" s="58">
        <v>25.3</v>
      </c>
      <c r="M76" s="58">
        <f t="shared" si="0"/>
        <v>22.59</v>
      </c>
      <c r="N76" s="58">
        <f t="shared" si="2"/>
        <v>371.60751565762007</v>
      </c>
      <c r="O76" s="194">
        <f t="shared" si="3"/>
        <v>17.8</v>
      </c>
      <c r="P76">
        <f t="shared" si="4"/>
        <v>64.328148644794709</v>
      </c>
      <c r="Q76">
        <v>27.670623786</v>
      </c>
    </row>
    <row r="77" spans="1:17" ht="15.75" customHeight="1">
      <c r="A77" s="194" t="s">
        <v>112</v>
      </c>
      <c r="B77" s="194" t="s">
        <v>142</v>
      </c>
      <c r="C77" s="194">
        <v>191</v>
      </c>
      <c r="D77" s="194">
        <v>2</v>
      </c>
      <c r="E77" s="194">
        <v>8.1264108352144551E-2</v>
      </c>
      <c r="F77" s="194">
        <v>0.50939457202505223</v>
      </c>
      <c r="G77" s="58">
        <v>242.10526315789474</v>
      </c>
      <c r="H77" s="58">
        <v>-0.96375340781934016</v>
      </c>
      <c r="I77" s="58">
        <v>415.3498871331829</v>
      </c>
      <c r="J77" s="194">
        <v>4.43</v>
      </c>
      <c r="K77" s="194">
        <v>7.23</v>
      </c>
      <c r="L77" s="58">
        <v>26</v>
      </c>
      <c r="M77" s="58">
        <f t="shared" si="0"/>
        <v>23.2</v>
      </c>
      <c r="N77" s="58">
        <f t="shared" si="2"/>
        <v>383.33333333333337</v>
      </c>
      <c r="O77" s="194">
        <f t="shared" si="3"/>
        <v>18.399999999999999</v>
      </c>
      <c r="P77">
        <f t="shared" si="4"/>
        <v>64.861945813587226</v>
      </c>
      <c r="Q77">
        <v>28.367943281999999</v>
      </c>
    </row>
    <row r="78" spans="1:17" ht="15.75" customHeight="1">
      <c r="A78" s="194" t="s">
        <v>112</v>
      </c>
      <c r="B78" s="194" t="s">
        <v>142</v>
      </c>
      <c r="C78" s="194">
        <v>193</v>
      </c>
      <c r="D78" s="194">
        <v>2</v>
      </c>
      <c r="E78" s="194">
        <v>5.7906458797327337E-2</v>
      </c>
      <c r="F78" s="194">
        <v>0.46947368421052638</v>
      </c>
      <c r="G78" s="58">
        <v>240.78947368421049</v>
      </c>
      <c r="H78" s="58">
        <v>1.2526722444148939</v>
      </c>
      <c r="I78" s="58">
        <v>407.57238307349661</v>
      </c>
      <c r="J78" s="194">
        <v>4.49</v>
      </c>
      <c r="K78" s="194">
        <v>6.98</v>
      </c>
      <c r="L78" s="58">
        <v>25.9</v>
      </c>
      <c r="M78" s="58">
        <f t="shared" si="0"/>
        <v>23.409999999999997</v>
      </c>
      <c r="N78" s="58">
        <f t="shared" si="2"/>
        <v>358.12133072407045</v>
      </c>
      <c r="O78" s="194">
        <f t="shared" si="3"/>
        <v>18.299999999999997</v>
      </c>
      <c r="P78">
        <f t="shared" si="4"/>
        <v>66.594521187671234</v>
      </c>
      <c r="Q78">
        <v>27.479738083000001</v>
      </c>
    </row>
    <row r="79" spans="1:17" ht="15.75" customHeight="1">
      <c r="A79" s="194" t="s">
        <v>112</v>
      </c>
      <c r="B79" s="194" t="s">
        <v>143</v>
      </c>
      <c r="C79" s="194">
        <v>78</v>
      </c>
      <c r="D79" s="194">
        <v>2</v>
      </c>
      <c r="E79" s="194">
        <v>6.9767441860464935E-2</v>
      </c>
      <c r="F79" s="194">
        <v>0.53359683794466406</v>
      </c>
      <c r="G79" s="58">
        <v>248.14814814814818</v>
      </c>
      <c r="H79" s="58">
        <v>-3.6589839396186666E-2</v>
      </c>
      <c r="I79" s="58">
        <v>424.94714587737843</v>
      </c>
      <c r="J79" s="194">
        <v>4.7300000000000004</v>
      </c>
      <c r="K79" s="194">
        <v>7.76</v>
      </c>
      <c r="L79" s="58">
        <v>28.2</v>
      </c>
      <c r="M79" s="58">
        <f t="shared" si="0"/>
        <v>25.17</v>
      </c>
      <c r="N79" s="58">
        <f t="shared" si="2"/>
        <v>396.44970414201185</v>
      </c>
      <c r="O79" s="194">
        <f t="shared" si="3"/>
        <v>20.100000000000001</v>
      </c>
      <c r="P79">
        <f t="shared" si="4"/>
        <v>67.392781371493385</v>
      </c>
      <c r="Q79">
        <v>29.825152769999999</v>
      </c>
    </row>
    <row r="80" spans="1:17" ht="15.75" customHeight="1">
      <c r="A80" s="194" t="s">
        <v>112</v>
      </c>
      <c r="B80" s="194" t="s">
        <v>143</v>
      </c>
      <c r="C80" s="194">
        <v>89</v>
      </c>
      <c r="D80" s="194">
        <v>2</v>
      </c>
      <c r="E80" s="194">
        <v>6.1630218687872683E-2</v>
      </c>
      <c r="F80" s="194">
        <v>0.53745318352059945</v>
      </c>
      <c r="G80" s="58">
        <v>241.86046511627904</v>
      </c>
      <c r="H80" s="58">
        <v>1.3407795277542356</v>
      </c>
      <c r="I80" s="58">
        <v>413.51888667992046</v>
      </c>
      <c r="J80" s="194">
        <v>5.03</v>
      </c>
      <c r="K80" s="194">
        <v>8.2100000000000009</v>
      </c>
      <c r="L80" s="58">
        <v>29.4</v>
      </c>
      <c r="M80" s="58">
        <f t="shared" si="0"/>
        <v>26.22</v>
      </c>
      <c r="N80" s="58">
        <f t="shared" si="2"/>
        <v>383.7638376383764</v>
      </c>
      <c r="O80" s="194">
        <f t="shared" si="3"/>
        <v>20.799999999999997</v>
      </c>
      <c r="P80">
        <f t="shared" si="4"/>
        <v>66.099774427620588</v>
      </c>
      <c r="Q80">
        <v>31.467580911000002</v>
      </c>
    </row>
    <row r="81" spans="1:17" ht="15.75" customHeight="1">
      <c r="A81" s="194" t="s">
        <v>112</v>
      </c>
      <c r="B81" s="194" t="s">
        <v>143</v>
      </c>
      <c r="C81" s="194">
        <v>94</v>
      </c>
      <c r="D81" s="194">
        <v>2</v>
      </c>
      <c r="E81" s="194">
        <v>0.1217948717948719</v>
      </c>
      <c r="F81" s="194">
        <v>0.48952380952380958</v>
      </c>
      <c r="G81" s="58">
        <v>228.39506172839506</v>
      </c>
      <c r="H81" s="58">
        <v>0.24058605265361438</v>
      </c>
      <c r="I81" s="58">
        <v>395.29914529914532</v>
      </c>
      <c r="J81" s="194">
        <v>4.68</v>
      </c>
      <c r="K81" s="194">
        <v>7.82</v>
      </c>
      <c r="L81" s="58">
        <v>26.6</v>
      </c>
      <c r="M81" s="58">
        <f t="shared" si="0"/>
        <v>23.46</v>
      </c>
      <c r="N81" s="58">
        <f t="shared" si="2"/>
        <v>372.98387096774201</v>
      </c>
      <c r="O81" s="194">
        <f t="shared" si="3"/>
        <v>18.5</v>
      </c>
      <c r="P81">
        <f t="shared" si="4"/>
        <v>59.580679397314881</v>
      </c>
      <c r="Q81">
        <v>31.050334079999999</v>
      </c>
    </row>
    <row r="82" spans="1:17" ht="15.75" customHeight="1">
      <c r="A82" s="194" t="s">
        <v>112</v>
      </c>
      <c r="B82" s="194" t="s">
        <v>143</v>
      </c>
      <c r="C82" s="194">
        <v>155</v>
      </c>
      <c r="D82" s="194">
        <v>2</v>
      </c>
      <c r="E82" s="194">
        <v>0.4324324324324324</v>
      </c>
      <c r="F82" s="194">
        <v>0.24371069182389929</v>
      </c>
      <c r="G82" s="58">
        <v>247.56097560975613</v>
      </c>
      <c r="H82" s="58">
        <v>-4.6889138155760547E-2</v>
      </c>
      <c r="I82" s="58">
        <v>457.2072072072072</v>
      </c>
      <c r="J82" s="194">
        <v>4.4400000000000004</v>
      </c>
      <c r="K82" s="194">
        <v>7.91</v>
      </c>
      <c r="L82" s="58">
        <v>28.5</v>
      </c>
      <c r="M82" s="58">
        <f t="shared" si="0"/>
        <v>25.03</v>
      </c>
      <c r="N82" s="58">
        <f t="shared" si="2"/>
        <v>429.17547568710359</v>
      </c>
      <c r="O82" s="194">
        <f t="shared" si="3"/>
        <v>20.3</v>
      </c>
      <c r="P82">
        <f t="shared" si="4"/>
        <v>68.714136739754863</v>
      </c>
      <c r="Q82">
        <v>29.542683591999996</v>
      </c>
    </row>
    <row r="83" spans="1:17" ht="15.75" customHeight="1">
      <c r="A83" s="194" t="s">
        <v>112</v>
      </c>
      <c r="B83" s="194" t="s">
        <v>143</v>
      </c>
      <c r="C83" s="194">
        <v>165</v>
      </c>
      <c r="D83" s="194">
        <v>2</v>
      </c>
      <c r="E83" s="194">
        <v>6.0085836909871293E-2</v>
      </c>
      <c r="F83" s="194">
        <v>0.55870445344129549</v>
      </c>
      <c r="G83" s="58">
        <v>257.5</v>
      </c>
      <c r="H83" s="230">
        <v>-0.40477676181939481</v>
      </c>
      <c r="I83" s="58">
        <v>442.06008583690988</v>
      </c>
      <c r="J83" s="194">
        <v>4.66</v>
      </c>
      <c r="K83" s="194">
        <v>7.7</v>
      </c>
      <c r="L83" s="58">
        <v>28.6</v>
      </c>
      <c r="M83" s="58">
        <f t="shared" si="0"/>
        <v>25.560000000000002</v>
      </c>
      <c r="N83" s="58">
        <f t="shared" si="2"/>
        <v>415.32258064516128</v>
      </c>
      <c r="O83" s="194">
        <f t="shared" si="3"/>
        <v>20.6</v>
      </c>
      <c r="P83">
        <f t="shared" si="4"/>
        <v>70.729917052931839</v>
      </c>
      <c r="Q83">
        <v>29.124875100000001</v>
      </c>
    </row>
    <row r="84" spans="1:17" ht="15.75" customHeight="1">
      <c r="A84" s="194" t="s">
        <v>43</v>
      </c>
      <c r="B84" s="194" t="s">
        <v>140</v>
      </c>
      <c r="C84" s="194">
        <v>7</v>
      </c>
      <c r="D84" s="194">
        <v>24</v>
      </c>
      <c r="E84" s="194">
        <v>0</v>
      </c>
      <c r="F84" s="194">
        <v>0.60360360360360343</v>
      </c>
      <c r="G84" s="58">
        <v>285.33333333333331</v>
      </c>
      <c r="H84" s="58">
        <v>1.540573157015575</v>
      </c>
      <c r="I84" s="58">
        <v>481.9819819819819</v>
      </c>
      <c r="J84" s="194">
        <v>4.4400000000000004</v>
      </c>
      <c r="K84" s="194">
        <v>7.12</v>
      </c>
      <c r="L84" s="58">
        <v>28.9</v>
      </c>
      <c r="M84" s="58">
        <f t="shared" si="0"/>
        <v>26.22</v>
      </c>
      <c r="N84" s="58">
        <f t="shared" ref="N84:N124" si="5">(L84-L2)/M2*100</f>
        <v>443.98340248962649</v>
      </c>
      <c r="O84" s="194">
        <f t="shared" ref="O84:O124" si="6">L84-L2</f>
        <v>21.4</v>
      </c>
      <c r="P84">
        <f t="shared" si="4"/>
        <v>72.745283653559298</v>
      </c>
      <c r="Q84">
        <v>29.417714695999997</v>
      </c>
    </row>
    <row r="85" spans="1:17" ht="15.75" customHeight="1">
      <c r="A85" s="194" t="s">
        <v>43</v>
      </c>
      <c r="B85" s="194" t="s">
        <v>140</v>
      </c>
      <c r="C85" s="194">
        <v>13</v>
      </c>
      <c r="D85" s="194">
        <v>24</v>
      </c>
      <c r="E85" s="194">
        <v>0</v>
      </c>
      <c r="F85" s="194">
        <v>0.52078774617067825</v>
      </c>
      <c r="G85" s="58">
        <v>297.2602739726027</v>
      </c>
      <c r="H85" s="58">
        <v>3.436966762340731E-3</v>
      </c>
      <c r="I85" s="58">
        <v>474.83588621444193</v>
      </c>
      <c r="J85" s="194">
        <v>4.57</v>
      </c>
      <c r="K85" s="194">
        <v>6.95</v>
      </c>
      <c r="L85" s="58">
        <v>29</v>
      </c>
      <c r="M85" s="58">
        <f t="shared" si="0"/>
        <v>26.62</v>
      </c>
      <c r="N85" s="58">
        <f t="shared" si="5"/>
        <v>441.05691056910564</v>
      </c>
      <c r="O85" s="194">
        <f t="shared" si="6"/>
        <v>21.7</v>
      </c>
      <c r="P85">
        <f t="shared" si="4"/>
        <v>74.608563589054853</v>
      </c>
      <c r="Q85">
        <v>29.085133067999998</v>
      </c>
    </row>
    <row r="86" spans="1:17" ht="15.75" customHeight="1">
      <c r="A86" s="194" t="s">
        <v>43</v>
      </c>
      <c r="B86" s="194" t="s">
        <v>140</v>
      </c>
      <c r="C86" s="194">
        <v>18</v>
      </c>
      <c r="D86" s="194">
        <v>24</v>
      </c>
      <c r="E86" s="194">
        <v>0</v>
      </c>
      <c r="F86" s="194">
        <v>0.43993506493506479</v>
      </c>
      <c r="G86" s="58">
        <v>241.30434782608697</v>
      </c>
      <c r="H86" s="58">
        <v>-0.77963026091299126</v>
      </c>
      <c r="I86" s="58">
        <v>360.38961038961037</v>
      </c>
      <c r="J86" s="194">
        <v>6.16</v>
      </c>
      <c r="K86" s="194">
        <v>8.8699999999999992</v>
      </c>
      <c r="L86" s="58">
        <v>31.4</v>
      </c>
      <c r="M86" s="58">
        <f t="shared" si="0"/>
        <v>28.689999999999998</v>
      </c>
      <c r="N86" s="58">
        <f t="shared" si="5"/>
        <v>342.06471494607086</v>
      </c>
      <c r="O86" s="194">
        <f t="shared" si="6"/>
        <v>22.2</v>
      </c>
      <c r="P86">
        <f t="shared" si="4"/>
        <v>71.033228889862016</v>
      </c>
      <c r="Q86">
        <v>31.252978847999998</v>
      </c>
    </row>
    <row r="87" spans="1:17" ht="15.75" customHeight="1">
      <c r="A87" s="194" t="s">
        <v>43</v>
      </c>
      <c r="B87" s="194" t="s">
        <v>140</v>
      </c>
      <c r="C87" s="194">
        <v>105</v>
      </c>
      <c r="D87" s="194">
        <v>24</v>
      </c>
      <c r="E87" s="194">
        <v>0</v>
      </c>
      <c r="F87" s="194">
        <v>0.59388646288209601</v>
      </c>
      <c r="G87" s="58">
        <v>276.31578947368422</v>
      </c>
      <c r="H87" s="58">
        <v>0.35739530208990339</v>
      </c>
      <c r="I87" s="58">
        <v>458.51528384279476</v>
      </c>
      <c r="J87" s="194">
        <v>4.58</v>
      </c>
      <c r="K87" s="194">
        <v>7.3</v>
      </c>
      <c r="L87" s="58">
        <v>28.6</v>
      </c>
      <c r="M87" s="58">
        <f t="shared" si="0"/>
        <v>25.880000000000003</v>
      </c>
      <c r="N87" s="58">
        <f t="shared" si="5"/>
        <v>430.32786885245901</v>
      </c>
      <c r="O87" s="194">
        <f t="shared" si="6"/>
        <v>21</v>
      </c>
      <c r="P87">
        <f t="shared" si="4"/>
        <v>71.690361585752086</v>
      </c>
      <c r="Q87">
        <v>29.292640650000003</v>
      </c>
    </row>
    <row r="88" spans="1:17" ht="15.75" customHeight="1">
      <c r="A88" s="194" t="s">
        <v>43</v>
      </c>
      <c r="B88" s="194" t="s">
        <v>140</v>
      </c>
      <c r="C88" s="194">
        <v>113</v>
      </c>
      <c r="D88" s="194">
        <v>24</v>
      </c>
      <c r="E88" s="194">
        <v>0</v>
      </c>
      <c r="F88" s="194">
        <v>0.57476635514018692</v>
      </c>
      <c r="G88" s="58">
        <v>314.28571428571428</v>
      </c>
      <c r="H88" s="58">
        <v>-0.67073843207569062</v>
      </c>
      <c r="I88" s="58">
        <v>514.01869158878503</v>
      </c>
      <c r="J88" s="194">
        <v>4.28</v>
      </c>
      <c r="K88" s="194">
        <v>6.74</v>
      </c>
      <c r="L88" s="58">
        <v>29</v>
      </c>
      <c r="M88" s="58">
        <f t="shared" si="0"/>
        <v>26.54</v>
      </c>
      <c r="N88" s="58">
        <f t="shared" si="5"/>
        <v>484.58149779735686</v>
      </c>
      <c r="O88" s="194">
        <f t="shared" si="6"/>
        <v>22</v>
      </c>
      <c r="P88">
        <f t="shared" si="4"/>
        <v>76.191270162881111</v>
      </c>
      <c r="Q88">
        <v>28.874699100000001</v>
      </c>
    </row>
    <row r="89" spans="1:17" ht="15.75" customHeight="1">
      <c r="A89" s="194" t="s">
        <v>43</v>
      </c>
      <c r="B89" s="194" t="s">
        <v>141</v>
      </c>
      <c r="C89" s="194">
        <v>34</v>
      </c>
      <c r="D89" s="194">
        <v>24</v>
      </c>
      <c r="E89" s="194">
        <v>0</v>
      </c>
      <c r="F89" s="194">
        <v>0.87106918238993702</v>
      </c>
      <c r="G89" s="58">
        <v>324.19354838709683</v>
      </c>
      <c r="H89" s="58">
        <v>-1.3275655393215908</v>
      </c>
      <c r="I89" s="58">
        <v>632.07547169811323</v>
      </c>
      <c r="J89" s="194">
        <v>3.18</v>
      </c>
      <c r="K89" s="194">
        <v>5.95</v>
      </c>
      <c r="L89" s="58">
        <v>26.3</v>
      </c>
      <c r="M89" s="58">
        <f t="shared" si="0"/>
        <v>23.53</v>
      </c>
      <c r="N89" s="58">
        <f t="shared" si="5"/>
        <v>586.00583090379007</v>
      </c>
      <c r="O89" s="194">
        <f t="shared" si="6"/>
        <v>20.100000000000001</v>
      </c>
      <c r="P89">
        <f t="shared" si="4"/>
        <v>69.698416095775386</v>
      </c>
      <c r="Q89">
        <v>28.838531958000001</v>
      </c>
    </row>
    <row r="90" spans="1:17" ht="15.75" customHeight="1">
      <c r="A90" s="194" t="s">
        <v>43</v>
      </c>
      <c r="B90" s="194" t="s">
        <v>141</v>
      </c>
      <c r="C90" s="194">
        <v>40</v>
      </c>
      <c r="D90" s="194">
        <v>24</v>
      </c>
      <c r="E90" s="194">
        <v>0</v>
      </c>
      <c r="F90" s="194">
        <v>0.83383685800604235</v>
      </c>
      <c r="G90" s="58">
        <v>325.39682539682542</v>
      </c>
      <c r="H90" s="58">
        <v>-1.0945354793830389</v>
      </c>
      <c r="I90" s="58">
        <v>619.33534743202415</v>
      </c>
      <c r="J90" s="194">
        <v>3.31</v>
      </c>
      <c r="K90" s="194">
        <v>6.07</v>
      </c>
      <c r="L90" s="58">
        <v>26.8</v>
      </c>
      <c r="M90" s="58">
        <f t="shared" si="0"/>
        <v>24.04</v>
      </c>
      <c r="N90" s="58">
        <f t="shared" si="5"/>
        <v>579.09604519774018</v>
      </c>
      <c r="O90" s="194">
        <f t="shared" si="6"/>
        <v>20.5</v>
      </c>
      <c r="P90">
        <f t="shared" si="4"/>
        <v>68.645025167862002</v>
      </c>
      <c r="Q90">
        <v>29.863781024000001</v>
      </c>
    </row>
    <row r="91" spans="1:17" ht="15.75" customHeight="1">
      <c r="A91" s="194" t="s">
        <v>43</v>
      </c>
      <c r="B91" s="194" t="s">
        <v>141</v>
      </c>
      <c r="C91" s="194">
        <v>52</v>
      </c>
      <c r="D91" s="194">
        <v>24</v>
      </c>
      <c r="E91" s="194">
        <v>0</v>
      </c>
      <c r="F91" s="194">
        <v>0.80177514792899407</v>
      </c>
      <c r="G91" s="58">
        <v>328.57142857142856</v>
      </c>
      <c r="H91" s="58">
        <v>0.53954746970248069</v>
      </c>
      <c r="I91" s="58">
        <v>612.4260355029586</v>
      </c>
      <c r="J91" s="194">
        <v>3.38</v>
      </c>
      <c r="K91" s="194">
        <v>6.09</v>
      </c>
      <c r="L91" s="58">
        <v>27</v>
      </c>
      <c r="M91" s="58">
        <f t="shared" si="0"/>
        <v>24.29</v>
      </c>
      <c r="N91" s="58">
        <f t="shared" si="5"/>
        <v>576.60167130919217</v>
      </c>
      <c r="O91" s="194">
        <f t="shared" si="6"/>
        <v>20.7</v>
      </c>
      <c r="P91">
        <f t="shared" si="4"/>
        <v>69.38350444323153</v>
      </c>
      <c r="Q91">
        <v>29.834180568000001</v>
      </c>
    </row>
    <row r="92" spans="1:17" ht="15.75" customHeight="1">
      <c r="A92" s="194" t="s">
        <v>43</v>
      </c>
      <c r="B92" s="194" t="s">
        <v>141</v>
      </c>
      <c r="C92" s="194">
        <v>121</v>
      </c>
      <c r="D92" s="194">
        <v>24</v>
      </c>
      <c r="E92" s="194">
        <v>0</v>
      </c>
      <c r="F92" s="194">
        <v>0.79999999999999993</v>
      </c>
      <c r="G92" s="58">
        <v>315.62500000000006</v>
      </c>
      <c r="H92" s="58">
        <v>2.4612099865922872</v>
      </c>
      <c r="I92" s="58">
        <v>585.50724637681162</v>
      </c>
      <c r="J92" s="194">
        <v>3.45</v>
      </c>
      <c r="K92" s="194">
        <v>6.21</v>
      </c>
      <c r="L92" s="58">
        <v>26.6</v>
      </c>
      <c r="M92" s="58">
        <f t="shared" si="0"/>
        <v>23.840000000000003</v>
      </c>
      <c r="N92" s="58">
        <f t="shared" si="5"/>
        <v>554.94505494505495</v>
      </c>
      <c r="O92" s="194">
        <f t="shared" si="6"/>
        <v>20.200000000000003</v>
      </c>
      <c r="P92">
        <f t="shared" si="4"/>
        <v>67.212602865707751</v>
      </c>
      <c r="Q92">
        <v>30.053887423999996</v>
      </c>
    </row>
    <row r="93" spans="1:17" ht="15.75" customHeight="1">
      <c r="A93" s="194" t="s">
        <v>43</v>
      </c>
      <c r="B93" s="194" t="s">
        <v>141</v>
      </c>
      <c r="C93" s="194">
        <v>136</v>
      </c>
      <c r="D93" s="194">
        <v>24</v>
      </c>
      <c r="E93" s="194">
        <v>0</v>
      </c>
      <c r="F93" s="194">
        <v>0.82708933717579236</v>
      </c>
      <c r="G93" s="58">
        <v>307.57575757575756</v>
      </c>
      <c r="H93" s="58">
        <v>-1.1159807687689427</v>
      </c>
      <c r="I93" s="58">
        <v>585.01440922190193</v>
      </c>
      <c r="J93" s="194">
        <v>3.47</v>
      </c>
      <c r="K93" s="194">
        <v>6.34</v>
      </c>
      <c r="L93" s="58">
        <v>26.9</v>
      </c>
      <c r="M93" s="58">
        <f t="shared" si="0"/>
        <v>24.029999999999998</v>
      </c>
      <c r="N93" s="58">
        <f t="shared" si="5"/>
        <v>544.23592493297588</v>
      </c>
      <c r="O93" s="194">
        <f t="shared" si="6"/>
        <v>20.299999999999997</v>
      </c>
      <c r="P93">
        <f t="shared" si="4"/>
        <v>68.221480714785642</v>
      </c>
      <c r="Q93">
        <v>29.756023744</v>
      </c>
    </row>
    <row r="94" spans="1:17" ht="15.75" customHeight="1">
      <c r="A94" s="194" t="s">
        <v>43</v>
      </c>
      <c r="B94" s="194" t="s">
        <v>142</v>
      </c>
      <c r="C94" s="194">
        <v>67</v>
      </c>
      <c r="D94" s="194">
        <v>24</v>
      </c>
      <c r="E94" s="194">
        <v>0</v>
      </c>
      <c r="F94" s="194">
        <v>0.57456140350877205</v>
      </c>
      <c r="G94" s="58">
        <v>277.33333333333337</v>
      </c>
      <c r="H94" s="58">
        <v>0.83464909282663302</v>
      </c>
      <c r="I94" s="58">
        <v>456.14035087719304</v>
      </c>
      <c r="J94" s="194">
        <v>4.5599999999999996</v>
      </c>
      <c r="K94" s="194">
        <v>7.18</v>
      </c>
      <c r="L94" s="58">
        <v>28.3</v>
      </c>
      <c r="M94" s="58">
        <f t="shared" si="0"/>
        <v>25.68</v>
      </c>
      <c r="N94" s="58">
        <f t="shared" si="5"/>
        <v>426.22950819672133</v>
      </c>
      <c r="O94" s="194">
        <f t="shared" si="6"/>
        <v>20.8</v>
      </c>
      <c r="P94">
        <f t="shared" si="4"/>
        <v>69.797483106114839</v>
      </c>
      <c r="Q94">
        <v>29.800501499999999</v>
      </c>
    </row>
    <row r="95" spans="1:17" ht="15.75" customHeight="1">
      <c r="A95" s="194" t="s">
        <v>43</v>
      </c>
      <c r="B95" s="194" t="s">
        <v>142</v>
      </c>
      <c r="C95" s="194">
        <v>71</v>
      </c>
      <c r="D95" s="194">
        <v>24</v>
      </c>
      <c r="E95" s="194">
        <v>0</v>
      </c>
      <c r="F95" s="194">
        <v>0.61538461538461542</v>
      </c>
      <c r="G95" s="58">
        <v>284.21052631578954</v>
      </c>
      <c r="H95" s="58">
        <v>-0.4414930403358443</v>
      </c>
      <c r="I95" s="58">
        <v>474.7252747252748</v>
      </c>
      <c r="J95" s="194">
        <v>4.55</v>
      </c>
      <c r="K95" s="194">
        <v>7.35</v>
      </c>
      <c r="L95" s="58">
        <v>29.2</v>
      </c>
      <c r="M95" s="58">
        <f t="shared" si="0"/>
        <v>26.4</v>
      </c>
      <c r="N95" s="58">
        <f t="shared" si="5"/>
        <v>450.00000000000011</v>
      </c>
      <c r="O95" s="194">
        <f t="shared" si="6"/>
        <v>21.6</v>
      </c>
      <c r="P95">
        <f t="shared" si="4"/>
        <v>71.542266682681429</v>
      </c>
      <c r="Q95">
        <v>30.191942472000001</v>
      </c>
    </row>
    <row r="96" spans="1:17" ht="15.75" customHeight="1">
      <c r="A96" s="194" t="s">
        <v>43</v>
      </c>
      <c r="B96" s="194" t="s">
        <v>142</v>
      </c>
      <c r="C96" s="194">
        <v>141</v>
      </c>
      <c r="D96" s="194">
        <v>24</v>
      </c>
      <c r="E96" s="194">
        <v>0</v>
      </c>
      <c r="F96" s="194">
        <v>0.59916492693110646</v>
      </c>
      <c r="G96" s="58">
        <v>250</v>
      </c>
      <c r="H96" s="58">
        <v>-1.0373220113256654</v>
      </c>
      <c r="I96" s="58">
        <v>417.53653444676411</v>
      </c>
      <c r="J96" s="194">
        <v>4.79</v>
      </c>
      <c r="K96" s="194">
        <v>7.66</v>
      </c>
      <c r="L96" s="58">
        <v>28</v>
      </c>
      <c r="M96" s="58">
        <f t="shared" si="0"/>
        <v>25.13</v>
      </c>
      <c r="N96" s="58">
        <f t="shared" si="5"/>
        <v>389.8635477582846</v>
      </c>
      <c r="O96" s="194">
        <f t="shared" si="6"/>
        <v>20</v>
      </c>
      <c r="P96">
        <f t="shared" si="4"/>
        <v>67.025122742571071</v>
      </c>
      <c r="Q96">
        <v>29.83955744</v>
      </c>
    </row>
    <row r="97" spans="1:17" ht="15.75" customHeight="1">
      <c r="A97" s="194" t="s">
        <v>43</v>
      </c>
      <c r="B97" s="194" t="s">
        <v>142</v>
      </c>
      <c r="C97" s="194">
        <v>145</v>
      </c>
      <c r="D97" s="194">
        <v>24</v>
      </c>
      <c r="E97" s="194">
        <v>0</v>
      </c>
      <c r="F97" s="194">
        <v>0.55443548387096775</v>
      </c>
      <c r="G97" s="58">
        <v>245.00000000000003</v>
      </c>
      <c r="H97" s="58">
        <v>-0.89461512451355452</v>
      </c>
      <c r="I97" s="58">
        <v>395.16129032258067</v>
      </c>
      <c r="J97" s="194">
        <v>4.96</v>
      </c>
      <c r="K97" s="194">
        <v>7.71</v>
      </c>
      <c r="L97" s="58">
        <v>27.6</v>
      </c>
      <c r="M97" s="58">
        <f t="shared" si="0"/>
        <v>24.85</v>
      </c>
      <c r="N97" s="58">
        <f t="shared" si="5"/>
        <v>373.33333333333331</v>
      </c>
      <c r="O97" s="194">
        <f t="shared" si="6"/>
        <v>19.600000000000001</v>
      </c>
      <c r="P97">
        <f t="shared" si="4"/>
        <v>67.248353395246397</v>
      </c>
      <c r="Q97">
        <v>29.14569504</v>
      </c>
    </row>
    <row r="98" spans="1:17" ht="15.75" customHeight="1">
      <c r="A98" s="194" t="s">
        <v>43</v>
      </c>
      <c r="B98" s="194" t="s">
        <v>142</v>
      </c>
      <c r="C98" s="194">
        <v>152</v>
      </c>
      <c r="D98" s="194">
        <v>24</v>
      </c>
      <c r="E98" s="194">
        <v>0</v>
      </c>
      <c r="F98" s="194">
        <v>0.55686274509803935</v>
      </c>
      <c r="G98" s="58">
        <v>251.21951219512201</v>
      </c>
      <c r="H98" s="58">
        <v>-2.3705256227124463</v>
      </c>
      <c r="I98" s="58">
        <v>403.92156862745105</v>
      </c>
      <c r="J98" s="194">
        <v>5.0999999999999996</v>
      </c>
      <c r="K98" s="194">
        <v>7.94</v>
      </c>
      <c r="L98" s="58">
        <v>28.8</v>
      </c>
      <c r="M98" s="58">
        <f t="shared" si="0"/>
        <v>25.96</v>
      </c>
      <c r="N98" s="58">
        <f t="shared" si="5"/>
        <v>384.32835820895536</v>
      </c>
      <c r="O98" s="194">
        <f t="shared" si="6"/>
        <v>20.6</v>
      </c>
      <c r="P98">
        <f t="shared" si="4"/>
        <v>69.274166078153698</v>
      </c>
      <c r="Q98">
        <v>29.736915168000003</v>
      </c>
    </row>
    <row r="99" spans="1:17" ht="15.75" customHeight="1">
      <c r="A99" s="194" t="s">
        <v>43</v>
      </c>
      <c r="B99" s="194" t="s">
        <v>142</v>
      </c>
      <c r="C99" s="194">
        <v>153</v>
      </c>
      <c r="D99" s="194">
        <v>24</v>
      </c>
      <c r="E99" s="194">
        <v>0</v>
      </c>
      <c r="F99" s="194">
        <v>0.60566448801742923</v>
      </c>
      <c r="G99" s="58">
        <v>268.83116883116884</v>
      </c>
      <c r="H99" s="58">
        <v>-2.3538993916865949</v>
      </c>
      <c r="I99" s="58">
        <v>450.98039215686276</v>
      </c>
      <c r="J99" s="194">
        <v>4.59</v>
      </c>
      <c r="K99" s="194">
        <v>7.37</v>
      </c>
      <c r="L99" s="58">
        <v>28.4</v>
      </c>
      <c r="M99" s="58">
        <f t="shared" si="0"/>
        <v>25.619999999999997</v>
      </c>
      <c r="N99" s="58">
        <f t="shared" si="5"/>
        <v>420.73170731707313</v>
      </c>
      <c r="O99" s="194">
        <f t="shared" si="6"/>
        <v>20.7</v>
      </c>
      <c r="P99">
        <f t="shared" si="4"/>
        <v>71.275665455266761</v>
      </c>
      <c r="Q99">
        <v>29.042170098</v>
      </c>
    </row>
    <row r="100" spans="1:17" ht="15.75" customHeight="1">
      <c r="A100" s="194" t="s">
        <v>43</v>
      </c>
      <c r="B100" s="194" t="s">
        <v>143</v>
      </c>
      <c r="C100" s="194">
        <v>80</v>
      </c>
      <c r="D100" s="194">
        <v>24</v>
      </c>
      <c r="E100" s="194">
        <v>0</v>
      </c>
      <c r="F100" s="194">
        <v>0.61076604554865432</v>
      </c>
      <c r="G100" s="58">
        <v>264.19753086419752</v>
      </c>
      <c r="H100" s="58">
        <v>-2.1559052990731997</v>
      </c>
      <c r="I100" s="58">
        <v>443.06418219461693</v>
      </c>
      <c r="J100" s="194">
        <v>4.83</v>
      </c>
      <c r="K100" s="194">
        <v>7.78</v>
      </c>
      <c r="L100" s="58">
        <v>29.5</v>
      </c>
      <c r="M100" s="58">
        <f t="shared" si="0"/>
        <v>26.55</v>
      </c>
      <c r="N100" s="58">
        <f t="shared" si="5"/>
        <v>415.53398058252424</v>
      </c>
      <c r="O100" s="194">
        <f t="shared" si="6"/>
        <v>21.4</v>
      </c>
      <c r="P100">
        <f t="shared" si="4"/>
        <v>71.935150535744057</v>
      </c>
      <c r="Q100">
        <v>29.749016774999998</v>
      </c>
    </row>
    <row r="101" spans="1:17" ht="15.75" customHeight="1">
      <c r="A101" s="194" t="s">
        <v>43</v>
      </c>
      <c r="B101" s="194" t="s">
        <v>143</v>
      </c>
      <c r="C101" s="194">
        <v>85</v>
      </c>
      <c r="D101" s="194">
        <v>24</v>
      </c>
      <c r="E101" s="194">
        <v>0</v>
      </c>
      <c r="F101" s="194">
        <v>0.64362850971922259</v>
      </c>
      <c r="G101" s="58">
        <v>270.88607594936707</v>
      </c>
      <c r="H101" s="58">
        <v>1.0974053487506894</v>
      </c>
      <c r="I101" s="58">
        <v>462.20302375809933</v>
      </c>
      <c r="J101" s="194">
        <v>4.63</v>
      </c>
      <c r="K101" s="194">
        <v>7.61</v>
      </c>
      <c r="L101" s="58">
        <v>29.3</v>
      </c>
      <c r="M101" s="58">
        <f t="shared" si="0"/>
        <v>26.32</v>
      </c>
      <c r="N101" s="58">
        <f t="shared" si="5"/>
        <v>434.95934959349592</v>
      </c>
      <c r="O101" s="194">
        <f t="shared" si="6"/>
        <v>21.4</v>
      </c>
      <c r="P101">
        <f t="shared" si="4"/>
        <v>71.032125073327592</v>
      </c>
      <c r="Q101">
        <v>30.127213535999999</v>
      </c>
    </row>
    <row r="102" spans="1:17" ht="15.75" customHeight="1">
      <c r="A102" s="194" t="s">
        <v>43</v>
      </c>
      <c r="B102" s="194" t="s">
        <v>143</v>
      </c>
      <c r="C102" s="194">
        <v>95</v>
      </c>
      <c r="D102" s="194">
        <v>24</v>
      </c>
      <c r="E102" s="194">
        <v>0</v>
      </c>
      <c r="F102" s="194">
        <v>0.6737739872068228</v>
      </c>
      <c r="G102" s="58">
        <v>277.77777777777777</v>
      </c>
      <c r="H102" s="58">
        <v>1.6117613841971832</v>
      </c>
      <c r="I102" s="58">
        <v>479.74413646055433</v>
      </c>
      <c r="J102" s="194">
        <v>4.6900000000000004</v>
      </c>
      <c r="K102" s="194">
        <v>7.85</v>
      </c>
      <c r="L102" s="58">
        <v>30.6</v>
      </c>
      <c r="M102" s="58">
        <f t="shared" si="0"/>
        <v>27.44</v>
      </c>
      <c r="N102" s="58">
        <f t="shared" si="5"/>
        <v>455.46558704453435</v>
      </c>
      <c r="O102" s="194">
        <f t="shared" si="6"/>
        <v>22.5</v>
      </c>
      <c r="P102">
        <f t="shared" si="4"/>
        <v>71.672088151210389</v>
      </c>
      <c r="Q102">
        <v>31.392974001999999</v>
      </c>
    </row>
    <row r="103" spans="1:17" ht="15.75" customHeight="1">
      <c r="A103" s="194" t="s">
        <v>43</v>
      </c>
      <c r="B103" s="194" t="s">
        <v>143</v>
      </c>
      <c r="C103" s="194">
        <v>160</v>
      </c>
      <c r="D103" s="194">
        <v>24</v>
      </c>
      <c r="E103" s="194">
        <v>0</v>
      </c>
      <c r="F103" s="194">
        <v>0.71100917431192645</v>
      </c>
      <c r="G103" s="58">
        <v>288.31168831168827</v>
      </c>
      <c r="H103" s="58">
        <v>0.24263080165328352</v>
      </c>
      <c r="I103" s="58">
        <v>509.17431192660547</v>
      </c>
      <c r="J103" s="194">
        <v>4.3600000000000003</v>
      </c>
      <c r="K103" s="194">
        <v>7.46</v>
      </c>
      <c r="L103" s="58">
        <v>29.9</v>
      </c>
      <c r="M103" s="58">
        <f t="shared" si="0"/>
        <v>26.799999999999997</v>
      </c>
      <c r="N103" s="58">
        <f t="shared" si="5"/>
        <v>482.60869565217382</v>
      </c>
      <c r="O103" s="194">
        <f t="shared" si="6"/>
        <v>22.2</v>
      </c>
      <c r="P103">
        <f t="shared" si="4"/>
        <v>76.111542349853252</v>
      </c>
      <c r="Q103">
        <v>29.16771795</v>
      </c>
    </row>
    <row r="104" spans="1:17" ht="15.75" customHeight="1">
      <c r="A104" s="194" t="s">
        <v>43</v>
      </c>
      <c r="B104" s="194" t="s">
        <v>143</v>
      </c>
      <c r="C104" s="194">
        <v>166</v>
      </c>
      <c r="D104" s="194">
        <v>24</v>
      </c>
      <c r="E104" s="194">
        <v>0</v>
      </c>
      <c r="F104" s="194">
        <v>0.67248908296943233</v>
      </c>
      <c r="G104" s="58">
        <v>273.41772151898732</v>
      </c>
      <c r="H104" s="58">
        <v>-0.92801910381140029</v>
      </c>
      <c r="I104" s="58">
        <v>471.61572052401749</v>
      </c>
      <c r="J104" s="194">
        <v>4.58</v>
      </c>
      <c r="K104" s="194">
        <v>7.66</v>
      </c>
      <c r="L104" s="58">
        <v>29.5</v>
      </c>
      <c r="M104" s="58">
        <f t="shared" si="0"/>
        <v>26.42</v>
      </c>
      <c r="N104" s="58">
        <f t="shared" si="5"/>
        <v>448.13278008298755</v>
      </c>
      <c r="O104" s="194">
        <f t="shared" si="6"/>
        <v>21.6</v>
      </c>
      <c r="P104">
        <f t="shared" si="4"/>
        <v>73.17661126955305</v>
      </c>
      <c r="Q104">
        <v>29.517628139999999</v>
      </c>
    </row>
    <row r="105" spans="1:17" ht="15.75" customHeight="1">
      <c r="A105" s="194" t="s">
        <v>112</v>
      </c>
      <c r="B105" s="194" t="s">
        <v>140</v>
      </c>
      <c r="C105" s="194">
        <v>2</v>
      </c>
      <c r="D105" s="194">
        <v>24</v>
      </c>
      <c r="E105" s="194">
        <v>5.7077625570776259E-2</v>
      </c>
      <c r="F105" s="194">
        <v>0.48812095032397412</v>
      </c>
      <c r="G105" s="58">
        <v>286.30136986301369</v>
      </c>
      <c r="H105" s="58">
        <v>-0.4515809597307896</v>
      </c>
      <c r="I105" s="58">
        <v>477.16894977168948</v>
      </c>
      <c r="J105" s="194">
        <v>4.38</v>
      </c>
      <c r="K105" s="194">
        <v>6.89</v>
      </c>
      <c r="L105" s="58">
        <v>28.2</v>
      </c>
      <c r="M105" s="58">
        <f t="shared" si="0"/>
        <v>25.689999999999998</v>
      </c>
      <c r="N105" s="58">
        <f t="shared" si="5"/>
        <v>436.32567849686848</v>
      </c>
      <c r="O105" s="194">
        <f t="shared" si="6"/>
        <v>20.9</v>
      </c>
      <c r="P105">
        <f t="shared" si="4"/>
        <v>73.181759888519679</v>
      </c>
      <c r="Q105">
        <v>28.559028959999999</v>
      </c>
    </row>
    <row r="106" spans="1:17" ht="15.75" customHeight="1">
      <c r="A106" s="194" t="s">
        <v>112</v>
      </c>
      <c r="B106" s="194" t="s">
        <v>140</v>
      </c>
      <c r="C106" s="194">
        <v>6</v>
      </c>
      <c r="D106" s="194">
        <v>24</v>
      </c>
      <c r="E106" s="194">
        <v>5.4968287526427011E-2</v>
      </c>
      <c r="F106" s="194">
        <v>0.4408817635270541</v>
      </c>
      <c r="G106" s="58">
        <v>281.33333333333337</v>
      </c>
      <c r="H106" s="58">
        <v>-0.55879597874673392</v>
      </c>
      <c r="I106" s="58">
        <v>446.08879492600425</v>
      </c>
      <c r="J106" s="194">
        <v>4.7300000000000004</v>
      </c>
      <c r="K106" s="194">
        <v>7.19</v>
      </c>
      <c r="L106" s="58">
        <v>28.6</v>
      </c>
      <c r="M106" s="58">
        <f t="shared" si="0"/>
        <v>26.14</v>
      </c>
      <c r="N106" s="58">
        <f t="shared" si="5"/>
        <v>418.65079365079367</v>
      </c>
      <c r="O106" s="194">
        <f t="shared" si="6"/>
        <v>21.1</v>
      </c>
      <c r="P106">
        <f t="shared" si="4"/>
        <v>73.861764984447987</v>
      </c>
      <c r="Q106">
        <v>28.566877604999998</v>
      </c>
    </row>
    <row r="107" spans="1:17" ht="15.75" customHeight="1">
      <c r="A107" s="194" t="s">
        <v>112</v>
      </c>
      <c r="B107" s="194" t="s">
        <v>140</v>
      </c>
      <c r="C107" s="194">
        <v>16</v>
      </c>
      <c r="D107" s="194">
        <v>24</v>
      </c>
      <c r="E107" s="194">
        <v>4.7085201793721963E-2</v>
      </c>
      <c r="F107" s="194">
        <v>0.42612419700214138</v>
      </c>
      <c r="G107" s="58">
        <v>314.28571428571428</v>
      </c>
      <c r="H107" s="58">
        <v>-2.0067694818392585</v>
      </c>
      <c r="I107" s="58">
        <v>493.27354260089686</v>
      </c>
      <c r="J107" s="194">
        <v>4.46</v>
      </c>
      <c r="K107" s="194">
        <v>6.66</v>
      </c>
      <c r="L107" s="58">
        <v>29</v>
      </c>
      <c r="M107" s="58">
        <f t="shared" si="0"/>
        <v>26.8</v>
      </c>
      <c r="N107" s="58">
        <f t="shared" si="5"/>
        <v>458.33333333333337</v>
      </c>
      <c r="O107" s="194">
        <f t="shared" si="6"/>
        <v>22</v>
      </c>
      <c r="P107">
        <f t="shared" si="4"/>
        <v>73.88122035491665</v>
      </c>
      <c r="Q107">
        <v>29.777526541000004</v>
      </c>
    </row>
    <row r="108" spans="1:17" ht="15.75" customHeight="1">
      <c r="A108" s="194" t="s">
        <v>112</v>
      </c>
      <c r="B108" s="194" t="s">
        <v>140</v>
      </c>
      <c r="C108" s="194">
        <v>29</v>
      </c>
      <c r="D108" s="194">
        <v>24</v>
      </c>
      <c r="E108" s="194">
        <v>5.8139534883720929E-2</v>
      </c>
      <c r="F108" s="194">
        <v>0.47032967032967049</v>
      </c>
      <c r="G108" s="58">
        <v>300</v>
      </c>
      <c r="H108" s="58">
        <v>0.73767490199146268</v>
      </c>
      <c r="I108" s="58">
        <v>488.37209302325579</v>
      </c>
      <c r="J108" s="194">
        <v>4.3</v>
      </c>
      <c r="K108" s="194">
        <v>6.69</v>
      </c>
      <c r="L108" s="58">
        <v>28</v>
      </c>
      <c r="M108" s="58">
        <f t="shared" si="0"/>
        <v>25.61</v>
      </c>
      <c r="N108" s="58">
        <f t="shared" si="5"/>
        <v>455.53145336225606</v>
      </c>
      <c r="O108" s="194">
        <f t="shared" si="6"/>
        <v>21</v>
      </c>
      <c r="P108">
        <f t="shared" si="4"/>
        <v>72.405182953731767</v>
      </c>
      <c r="Q108">
        <v>29.00344857</v>
      </c>
    </row>
    <row r="109" spans="1:17" ht="15.75" customHeight="1">
      <c r="A109" s="194" t="s">
        <v>112</v>
      </c>
      <c r="B109" s="194" t="s">
        <v>140</v>
      </c>
      <c r="C109" s="194">
        <v>117</v>
      </c>
      <c r="D109" s="194">
        <v>24</v>
      </c>
      <c r="E109" s="194">
        <v>5.9907834101382437E-2</v>
      </c>
      <c r="F109" s="194">
        <v>0.47826086956521752</v>
      </c>
      <c r="G109" s="58">
        <v>294.36619718309862</v>
      </c>
      <c r="H109" s="58">
        <v>-2.3651582961995885</v>
      </c>
      <c r="I109" s="58">
        <v>481.56682027649771</v>
      </c>
      <c r="J109" s="194">
        <v>4.34</v>
      </c>
      <c r="K109" s="194">
        <v>6.8</v>
      </c>
      <c r="L109" s="58">
        <v>28</v>
      </c>
      <c r="M109" s="58">
        <f t="shared" si="0"/>
        <v>25.54</v>
      </c>
      <c r="N109" s="58">
        <f t="shared" si="5"/>
        <v>450.43103448275861</v>
      </c>
      <c r="O109" s="194">
        <f t="shared" si="6"/>
        <v>20.9</v>
      </c>
      <c r="P109">
        <f t="shared" si="4"/>
        <v>74.924008585987963</v>
      </c>
      <c r="Q109">
        <v>27.894930335999998</v>
      </c>
    </row>
    <row r="110" spans="1:17" ht="15.75" customHeight="1">
      <c r="A110" s="194" t="s">
        <v>112</v>
      </c>
      <c r="B110" s="194" t="s">
        <v>141</v>
      </c>
      <c r="C110" s="194">
        <v>35</v>
      </c>
      <c r="D110" s="194">
        <v>24</v>
      </c>
      <c r="E110" s="194">
        <v>8.454810495626823E-2</v>
      </c>
      <c r="F110" s="194">
        <v>0.62365591397849451</v>
      </c>
      <c r="G110" s="58">
        <v>306.25</v>
      </c>
      <c r="H110" s="58">
        <v>-0.88640466728928091</v>
      </c>
      <c r="I110" s="58">
        <v>571.42857142857144</v>
      </c>
      <c r="J110" s="194">
        <v>3.43</v>
      </c>
      <c r="K110" s="194">
        <v>6.04</v>
      </c>
      <c r="L110" s="58">
        <v>26</v>
      </c>
      <c r="M110" s="58">
        <f t="shared" si="0"/>
        <v>23.39</v>
      </c>
      <c r="N110" s="58">
        <f t="shared" si="5"/>
        <v>517.1503957783641</v>
      </c>
      <c r="O110" s="194">
        <f t="shared" si="6"/>
        <v>19.600000000000001</v>
      </c>
      <c r="P110">
        <f t="shared" si="4"/>
        <v>69.906611722446684</v>
      </c>
      <c r="Q110">
        <v>28.037405214000003</v>
      </c>
    </row>
    <row r="111" spans="1:17" ht="15.75" customHeight="1">
      <c r="A111" s="194" t="s">
        <v>112</v>
      </c>
      <c r="B111" s="194" t="s">
        <v>141</v>
      </c>
      <c r="C111" s="194">
        <v>49</v>
      </c>
      <c r="D111" s="194">
        <v>24</v>
      </c>
      <c r="E111" s="194">
        <v>0.16718266253869971</v>
      </c>
      <c r="F111" s="194">
        <v>0.62334217506631306</v>
      </c>
      <c r="G111" s="58">
        <v>318.74999999999994</v>
      </c>
      <c r="H111" s="58">
        <v>1.6727807141493936</v>
      </c>
      <c r="I111" s="58">
        <v>631.57894736842093</v>
      </c>
      <c r="J111" s="194">
        <v>3.23</v>
      </c>
      <c r="K111" s="194">
        <v>6.12</v>
      </c>
      <c r="L111" s="58">
        <v>26.8</v>
      </c>
      <c r="M111" s="58">
        <f t="shared" si="0"/>
        <v>23.91</v>
      </c>
      <c r="N111" s="58">
        <f t="shared" si="5"/>
        <v>581.19658119658106</v>
      </c>
      <c r="O111" s="194">
        <f t="shared" si="6"/>
        <v>20.399999999999999</v>
      </c>
      <c r="P111">
        <f t="shared" si="4"/>
        <v>68.05009793770094</v>
      </c>
      <c r="Q111">
        <v>29.977914240000004</v>
      </c>
    </row>
    <row r="112" spans="1:17" ht="15.75" customHeight="1">
      <c r="A112" s="194" t="s">
        <v>112</v>
      </c>
      <c r="B112" s="194" t="s">
        <v>141</v>
      </c>
      <c r="C112" s="194">
        <v>59</v>
      </c>
      <c r="D112" s="194">
        <v>24</v>
      </c>
      <c r="E112" s="194">
        <v>0.27725856697819312</v>
      </c>
      <c r="F112" s="194">
        <v>0.50487804878048792</v>
      </c>
      <c r="G112" s="58">
        <v>314.0625</v>
      </c>
      <c r="H112" s="58">
        <v>-1.1703285139954469</v>
      </c>
      <c r="I112" s="58">
        <v>626.16822429906551</v>
      </c>
      <c r="J112" s="194">
        <v>3.21</v>
      </c>
      <c r="K112" s="194">
        <v>6.17</v>
      </c>
      <c r="L112" s="58">
        <v>26.5</v>
      </c>
      <c r="M112" s="58">
        <f t="shared" si="0"/>
        <v>23.54</v>
      </c>
      <c r="N112" s="58">
        <f t="shared" si="5"/>
        <v>584.30232558139539</v>
      </c>
      <c r="O112" s="194">
        <f t="shared" si="6"/>
        <v>20.100000000000001</v>
      </c>
      <c r="P112">
        <f t="shared" si="4"/>
        <v>70.566967354354233</v>
      </c>
      <c r="Q112">
        <v>28.483581983999997</v>
      </c>
    </row>
    <row r="113" spans="1:17" ht="15.75" customHeight="1">
      <c r="A113" s="194" t="s">
        <v>112</v>
      </c>
      <c r="B113" s="194" t="s">
        <v>141</v>
      </c>
      <c r="C113" s="194">
        <v>123</v>
      </c>
      <c r="D113" s="194">
        <v>24</v>
      </c>
      <c r="E113" s="194">
        <v>8.0495356037151772E-2</v>
      </c>
      <c r="F113" s="194">
        <v>0.71919770773638958</v>
      </c>
      <c r="G113" s="58">
        <v>330.64516129032256</v>
      </c>
      <c r="H113" s="58">
        <v>-1.5527426191494509</v>
      </c>
      <c r="I113" s="58">
        <v>634.6749226006192</v>
      </c>
      <c r="J113" s="194">
        <v>3.23</v>
      </c>
      <c r="K113" s="194">
        <v>6</v>
      </c>
      <c r="L113" s="58">
        <v>26.7</v>
      </c>
      <c r="M113" s="58">
        <f t="shared" si="0"/>
        <v>23.93</v>
      </c>
      <c r="N113" s="58">
        <f t="shared" si="5"/>
        <v>597.66763848396499</v>
      </c>
      <c r="O113" s="194">
        <f t="shared" si="6"/>
        <v>20.5</v>
      </c>
      <c r="P113">
        <f t="shared" si="4"/>
        <v>68.644670412252069</v>
      </c>
      <c r="Q113">
        <v>29.863935359999999</v>
      </c>
    </row>
    <row r="114" spans="1:17" ht="15.75" customHeight="1">
      <c r="A114" s="194" t="s">
        <v>112</v>
      </c>
      <c r="B114" s="194" t="s">
        <v>141</v>
      </c>
      <c r="C114" s="194">
        <v>130</v>
      </c>
      <c r="D114" s="194">
        <v>24</v>
      </c>
      <c r="E114" s="194">
        <v>7.079646017699108E-2</v>
      </c>
      <c r="F114" s="194">
        <v>0.62258953168044073</v>
      </c>
      <c r="G114" s="58">
        <v>342.62295081967216</v>
      </c>
      <c r="H114" s="58">
        <v>0.1599176802009882</v>
      </c>
      <c r="I114" s="58">
        <v>616.5191740412979</v>
      </c>
      <c r="J114" s="194">
        <v>3.39</v>
      </c>
      <c r="K114" s="194">
        <v>5.89</v>
      </c>
      <c r="L114" s="58">
        <v>27</v>
      </c>
      <c r="M114" s="58">
        <f t="shared" si="0"/>
        <v>24.5</v>
      </c>
      <c r="N114" s="58">
        <f t="shared" si="5"/>
        <v>580.55555555555554</v>
      </c>
      <c r="O114" s="194">
        <f t="shared" si="6"/>
        <v>20.9</v>
      </c>
      <c r="P114">
        <f t="shared" si="4"/>
        <v>71.630446075281881</v>
      </c>
      <c r="Q114">
        <v>29.177537130000001</v>
      </c>
    </row>
    <row r="115" spans="1:17" ht="15.75" customHeight="1">
      <c r="A115" s="194" t="s">
        <v>112</v>
      </c>
      <c r="B115" s="194" t="s">
        <v>142</v>
      </c>
      <c r="C115" s="194">
        <v>168</v>
      </c>
      <c r="D115" s="194">
        <v>24</v>
      </c>
      <c r="E115" s="194">
        <v>4.8997772828507737E-2</v>
      </c>
      <c r="F115" s="194">
        <v>0.49893842887473461</v>
      </c>
      <c r="G115" s="58">
        <v>252.70270270270271</v>
      </c>
      <c r="H115" s="58">
        <v>-3.2885649744105101</v>
      </c>
      <c r="I115" s="58">
        <v>416.48106904231634</v>
      </c>
      <c r="J115" s="194">
        <v>4.49</v>
      </c>
      <c r="K115" s="194">
        <v>7.06</v>
      </c>
      <c r="L115" s="58">
        <v>26.1</v>
      </c>
      <c r="M115" s="58">
        <f t="shared" si="0"/>
        <v>23.53</v>
      </c>
      <c r="N115" s="58">
        <f t="shared" si="5"/>
        <v>387.16356107660454</v>
      </c>
      <c r="O115" s="194">
        <f t="shared" si="6"/>
        <v>18.700000000000003</v>
      </c>
      <c r="P115">
        <f t="shared" si="4"/>
        <v>67.512842853919977</v>
      </c>
      <c r="Q115">
        <v>27.698433675</v>
      </c>
    </row>
    <row r="116" spans="1:17" ht="15.75" customHeight="1">
      <c r="A116" s="194" t="s">
        <v>112</v>
      </c>
      <c r="B116" s="194" t="s">
        <v>142</v>
      </c>
      <c r="C116" s="194">
        <v>187</v>
      </c>
      <c r="D116" s="194">
        <v>24</v>
      </c>
      <c r="E116" s="194">
        <v>5.2511415525114263E-2</v>
      </c>
      <c r="F116" s="194">
        <v>0.51843817787418645</v>
      </c>
      <c r="G116" s="58">
        <v>268.49315068493149</v>
      </c>
      <c r="H116" s="58">
        <v>-3.8987959446060718</v>
      </c>
      <c r="I116" s="58">
        <v>447.48858447488578</v>
      </c>
      <c r="J116" s="194">
        <v>4.38</v>
      </c>
      <c r="K116" s="194">
        <v>7</v>
      </c>
      <c r="L116" s="58">
        <v>26.9</v>
      </c>
      <c r="M116" s="58">
        <f t="shared" si="0"/>
        <v>24.279999999999998</v>
      </c>
      <c r="N116" s="58">
        <f t="shared" si="5"/>
        <v>418.80341880341882</v>
      </c>
      <c r="O116" s="194">
        <f t="shared" si="6"/>
        <v>19.599999999999998</v>
      </c>
      <c r="P116">
        <f t="shared" si="4"/>
        <v>72.150607590573742</v>
      </c>
      <c r="Q116">
        <v>27.165398399999997</v>
      </c>
    </row>
    <row r="117" spans="1:17" ht="15.75" customHeight="1">
      <c r="A117" s="194" t="s">
        <v>112</v>
      </c>
      <c r="B117" s="194" t="s">
        <v>142</v>
      </c>
      <c r="C117" s="194">
        <v>189</v>
      </c>
      <c r="D117" s="194">
        <v>24</v>
      </c>
      <c r="E117" s="194">
        <v>3.6036036036035862E-2</v>
      </c>
      <c r="F117" s="194">
        <v>0.55434782608695676</v>
      </c>
      <c r="G117" s="58">
        <v>249.33333333333331</v>
      </c>
      <c r="H117" s="58">
        <v>-0.94324281237221019</v>
      </c>
      <c r="I117" s="58">
        <v>421.17117117117112</v>
      </c>
      <c r="J117" s="194">
        <v>4.4400000000000004</v>
      </c>
      <c r="K117" s="194">
        <v>7.15</v>
      </c>
      <c r="L117" s="58">
        <v>26.2</v>
      </c>
      <c r="M117" s="58">
        <f t="shared" si="0"/>
        <v>23.49</v>
      </c>
      <c r="N117" s="58">
        <f t="shared" si="5"/>
        <v>390.39665970772444</v>
      </c>
      <c r="O117" s="194">
        <f t="shared" si="6"/>
        <v>18.7</v>
      </c>
      <c r="P117">
        <f t="shared" si="4"/>
        <v>68.224215495342591</v>
      </c>
      <c r="Q117">
        <v>27.409622616</v>
      </c>
    </row>
    <row r="118" spans="1:17" ht="15.75" customHeight="1">
      <c r="A118" s="194" t="s">
        <v>112</v>
      </c>
      <c r="B118" s="194" t="s">
        <v>142</v>
      </c>
      <c r="C118" s="194">
        <v>191</v>
      </c>
      <c r="D118" s="194">
        <v>24</v>
      </c>
      <c r="E118" s="194">
        <v>8.1264108352144551E-2</v>
      </c>
      <c r="F118" s="194">
        <v>0.50939457202505223</v>
      </c>
      <c r="G118" s="58">
        <v>251.31578947368425</v>
      </c>
      <c r="H118" s="58">
        <v>-1.4967304036786253</v>
      </c>
      <c r="I118" s="58">
        <v>431.15124153498874</v>
      </c>
      <c r="J118" s="194">
        <v>4.43</v>
      </c>
      <c r="K118" s="194">
        <v>7.23</v>
      </c>
      <c r="L118" s="58">
        <v>26.7</v>
      </c>
      <c r="M118" s="58">
        <f t="shared" si="0"/>
        <v>23.9</v>
      </c>
      <c r="N118" s="58">
        <f t="shared" si="5"/>
        <v>397.9166666666668</v>
      </c>
      <c r="O118" s="194">
        <f t="shared" si="6"/>
        <v>19.100000000000001</v>
      </c>
      <c r="P118">
        <f t="shared" si="4"/>
        <v>68.352573589718276</v>
      </c>
      <c r="Q118">
        <v>27.943351649999997</v>
      </c>
    </row>
    <row r="119" spans="1:17" ht="15.75" customHeight="1">
      <c r="A119" s="194" t="s">
        <v>112</v>
      </c>
      <c r="B119" s="194" t="s">
        <v>142</v>
      </c>
      <c r="C119" s="194">
        <v>193</v>
      </c>
      <c r="D119" s="194">
        <v>24</v>
      </c>
      <c r="E119" s="194">
        <v>5.7906458797327337E-2</v>
      </c>
      <c r="F119" s="194">
        <v>0.46947368421052638</v>
      </c>
      <c r="G119" s="58">
        <v>246.05263157894743</v>
      </c>
      <c r="H119" s="58">
        <v>0.52927206060226939</v>
      </c>
      <c r="I119" s="58">
        <v>416.48106904231634</v>
      </c>
      <c r="J119" s="194">
        <v>4.49</v>
      </c>
      <c r="K119" s="194">
        <v>6.98</v>
      </c>
      <c r="L119" s="58">
        <v>26.3</v>
      </c>
      <c r="M119" s="58">
        <f t="shared" si="0"/>
        <v>23.810000000000002</v>
      </c>
      <c r="N119" s="58">
        <f t="shared" si="5"/>
        <v>365.94911937377697</v>
      </c>
      <c r="O119" s="194">
        <f t="shared" si="6"/>
        <v>18.700000000000003</v>
      </c>
      <c r="P119">
        <f t="shared" si="4"/>
        <v>67.691865008338809</v>
      </c>
      <c r="Q119">
        <v>27.625180659000002</v>
      </c>
    </row>
    <row r="120" spans="1:17" ht="15.75" customHeight="1">
      <c r="A120" s="194" t="s">
        <v>112</v>
      </c>
      <c r="B120" s="194" t="s">
        <v>143</v>
      </c>
      <c r="C120" s="194">
        <v>78</v>
      </c>
      <c r="D120" s="194">
        <v>24</v>
      </c>
      <c r="E120" s="194">
        <v>6.9767441860464935E-2</v>
      </c>
      <c r="F120" s="194">
        <v>0.53359683794466406</v>
      </c>
      <c r="G120" s="58">
        <v>260.49382716049388</v>
      </c>
      <c r="H120" s="58">
        <v>0.54181408975898149</v>
      </c>
      <c r="I120" s="58">
        <v>446.08879492600425</v>
      </c>
      <c r="J120" s="194">
        <v>4.7300000000000004</v>
      </c>
      <c r="K120" s="194">
        <v>7.76</v>
      </c>
      <c r="L120" s="58">
        <v>29.2</v>
      </c>
      <c r="M120" s="58">
        <f t="shared" si="0"/>
        <v>26.17</v>
      </c>
      <c r="N120" s="58">
        <f t="shared" si="5"/>
        <v>416.17357001972391</v>
      </c>
      <c r="O120" s="194">
        <f t="shared" si="6"/>
        <v>21.1</v>
      </c>
      <c r="P120">
        <f t="shared" si="4"/>
        <v>70.364411769449646</v>
      </c>
      <c r="Q120">
        <v>29.98674965</v>
      </c>
    </row>
    <row r="121" spans="1:17" ht="15.75" customHeight="1">
      <c r="A121" s="194" t="s">
        <v>112</v>
      </c>
      <c r="B121" s="194" t="s">
        <v>143</v>
      </c>
      <c r="C121" s="194">
        <v>89</v>
      </c>
      <c r="D121" s="194">
        <v>24</v>
      </c>
      <c r="E121" s="194">
        <v>6.1630218687872683E-2</v>
      </c>
      <c r="F121" s="194">
        <v>0.53745318352059945</v>
      </c>
      <c r="G121" s="58">
        <v>250</v>
      </c>
      <c r="H121" s="58">
        <v>-0.40198325812768315</v>
      </c>
      <c r="I121" s="58">
        <v>427.43538767395626</v>
      </c>
      <c r="J121" s="194">
        <v>5.03</v>
      </c>
      <c r="K121" s="194">
        <v>8.2100000000000009</v>
      </c>
      <c r="L121" s="58">
        <v>30.1</v>
      </c>
      <c r="M121" s="58">
        <f t="shared" si="0"/>
        <v>26.92</v>
      </c>
      <c r="N121" s="58">
        <f t="shared" si="5"/>
        <v>396.67896678966798</v>
      </c>
      <c r="O121" s="194">
        <f t="shared" si="6"/>
        <v>21.5</v>
      </c>
      <c r="P121">
        <f t="shared" si="4"/>
        <v>68.600046770095219</v>
      </c>
      <c r="Q121">
        <v>31.341086504</v>
      </c>
    </row>
    <row r="122" spans="1:17" ht="15.75" customHeight="1">
      <c r="A122" s="194" t="s">
        <v>112</v>
      </c>
      <c r="B122" s="194" t="s">
        <v>143</v>
      </c>
      <c r="C122" s="194">
        <v>94</v>
      </c>
      <c r="D122" s="194">
        <v>24</v>
      </c>
      <c r="E122" s="194">
        <v>0.1217948717948719</v>
      </c>
      <c r="F122" s="194">
        <v>0.48952380952380958</v>
      </c>
      <c r="G122" s="58">
        <v>255.55555555555557</v>
      </c>
      <c r="H122" s="58">
        <v>1.7515904807939495</v>
      </c>
      <c r="I122" s="58">
        <v>442.30769230769243</v>
      </c>
      <c r="J122" s="194">
        <v>4.68</v>
      </c>
      <c r="K122" s="194">
        <v>7.82</v>
      </c>
      <c r="L122" s="58">
        <v>28.8</v>
      </c>
      <c r="M122" s="58">
        <f t="shared" si="0"/>
        <v>25.66</v>
      </c>
      <c r="N122" s="58">
        <f t="shared" si="5"/>
        <v>417.3387096774195</v>
      </c>
      <c r="O122" s="194">
        <f t="shared" si="6"/>
        <v>20.700000000000003</v>
      </c>
      <c r="P122">
        <f t="shared" si="4"/>
        <v>65.518336435519174</v>
      </c>
      <c r="Q122">
        <v>31.594208775999999</v>
      </c>
    </row>
    <row r="123" spans="1:17" ht="15.75" customHeight="1">
      <c r="A123" s="194" t="s">
        <v>112</v>
      </c>
      <c r="B123" s="194" t="s">
        <v>143</v>
      </c>
      <c r="C123" s="194">
        <v>155</v>
      </c>
      <c r="D123" s="194">
        <v>24</v>
      </c>
      <c r="E123" s="194">
        <v>0.4324324324324324</v>
      </c>
      <c r="F123" s="194">
        <v>0.24371069182389929</v>
      </c>
      <c r="G123" s="58">
        <v>254.87804878048786</v>
      </c>
      <c r="H123" s="58">
        <v>1.5290801074088345</v>
      </c>
      <c r="I123" s="58">
        <v>470.72072072072075</v>
      </c>
      <c r="J123" s="194">
        <v>4.4400000000000004</v>
      </c>
      <c r="K123" s="194">
        <v>7.91</v>
      </c>
      <c r="L123" s="58">
        <v>29.1</v>
      </c>
      <c r="M123" s="58">
        <f t="shared" si="0"/>
        <v>25.630000000000003</v>
      </c>
      <c r="N123" s="58">
        <f t="shared" si="5"/>
        <v>441.86046511627916</v>
      </c>
      <c r="O123" s="194">
        <f t="shared" si="6"/>
        <v>20.900000000000002</v>
      </c>
      <c r="P123">
        <f t="shared" si="4"/>
        <v>69.679638948276207</v>
      </c>
      <c r="Q123">
        <v>29.994414890000002</v>
      </c>
    </row>
    <row r="124" spans="1:17" ht="15.75" customHeight="1">
      <c r="A124" s="194" t="s">
        <v>112</v>
      </c>
      <c r="B124" s="194" t="s">
        <v>143</v>
      </c>
      <c r="C124" s="194">
        <v>165</v>
      </c>
      <c r="D124" s="194">
        <v>24</v>
      </c>
      <c r="E124" s="194">
        <v>6.0085836909871293E-2</v>
      </c>
      <c r="F124" s="194">
        <v>0.55870445344129549</v>
      </c>
      <c r="G124" s="58">
        <v>268.75</v>
      </c>
      <c r="H124" s="58">
        <v>0.77723176227458002</v>
      </c>
      <c r="I124" s="58">
        <v>461.3733905579399</v>
      </c>
      <c r="J124" s="194">
        <v>4.66</v>
      </c>
      <c r="K124" s="194">
        <v>7.7</v>
      </c>
      <c r="L124" s="58">
        <v>29.5</v>
      </c>
      <c r="M124" s="58">
        <f t="shared" si="0"/>
        <v>26.46</v>
      </c>
      <c r="N124" s="58">
        <f t="shared" si="5"/>
        <v>433.4677419354839</v>
      </c>
      <c r="O124" s="194">
        <f t="shared" si="6"/>
        <v>21.5</v>
      </c>
      <c r="P124">
        <f t="shared" si="4"/>
        <v>73.25073111179951</v>
      </c>
      <c r="Q124">
        <v>29.351242880000001</v>
      </c>
    </row>
    <row r="125" spans="1:17" ht="15.75" customHeight="1">
      <c r="A125" s="194" t="s">
        <v>43</v>
      </c>
      <c r="B125" s="194" t="s">
        <v>113</v>
      </c>
      <c r="C125" s="58">
        <v>291</v>
      </c>
      <c r="D125" s="58">
        <v>0</v>
      </c>
      <c r="E125" s="58">
        <v>0</v>
      </c>
      <c r="F125" s="193">
        <v>0.95049504950495045</v>
      </c>
      <c r="G125" s="58">
        <v>0</v>
      </c>
      <c r="H125" s="58">
        <v>0</v>
      </c>
      <c r="I125" s="58">
        <v>0</v>
      </c>
      <c r="J125" s="58">
        <v>2.02</v>
      </c>
      <c r="K125" s="58">
        <v>3.94</v>
      </c>
      <c r="L125" s="58">
        <v>4.2</v>
      </c>
      <c r="M125" s="58">
        <f t="shared" si="0"/>
        <v>2.2800000000000002</v>
      </c>
      <c r="N125" s="58">
        <v>0</v>
      </c>
      <c r="O125" s="58">
        <v>0</v>
      </c>
      <c r="P125">
        <f t="shared" si="4"/>
        <v>0</v>
      </c>
      <c r="Q125">
        <v>27.993874999999999</v>
      </c>
    </row>
    <row r="126" spans="1:17" ht="15.75" customHeight="1">
      <c r="A126" s="194" t="s">
        <v>43</v>
      </c>
      <c r="B126" s="194" t="s">
        <v>113</v>
      </c>
      <c r="C126" s="58">
        <v>292</v>
      </c>
      <c r="D126" s="58">
        <v>0</v>
      </c>
      <c r="E126" s="58">
        <v>0</v>
      </c>
      <c r="F126" s="193">
        <v>0.90624999999999967</v>
      </c>
      <c r="G126" s="58">
        <v>0</v>
      </c>
      <c r="H126" s="58">
        <v>0</v>
      </c>
      <c r="I126" s="58">
        <v>0</v>
      </c>
      <c r="J126" s="58">
        <v>2.2400000000000002</v>
      </c>
      <c r="K126" s="58">
        <v>4.2699999999999996</v>
      </c>
      <c r="L126" s="58">
        <v>4.5</v>
      </c>
      <c r="M126" s="58">
        <f t="shared" si="0"/>
        <v>2.4700000000000006</v>
      </c>
      <c r="N126" s="58">
        <v>0</v>
      </c>
      <c r="O126" s="58">
        <v>0</v>
      </c>
      <c r="P126">
        <f t="shared" si="4"/>
        <v>0</v>
      </c>
      <c r="Q126">
        <v>29.281731288</v>
      </c>
    </row>
    <row r="127" spans="1:17" ht="15.75" customHeight="1">
      <c r="A127" s="194" t="s">
        <v>43</v>
      </c>
      <c r="B127" s="194" t="s">
        <v>113</v>
      </c>
      <c r="C127" s="58">
        <v>293</v>
      </c>
      <c r="D127" s="58">
        <v>0</v>
      </c>
      <c r="E127" s="58">
        <v>0</v>
      </c>
      <c r="F127" s="193">
        <v>0.89177489177489178</v>
      </c>
      <c r="G127" s="58">
        <v>0</v>
      </c>
      <c r="H127" s="58">
        <v>0</v>
      </c>
      <c r="I127" s="58">
        <v>0</v>
      </c>
      <c r="J127" s="58">
        <v>2.31</v>
      </c>
      <c r="K127" s="58">
        <v>4.37</v>
      </c>
      <c r="L127" s="58">
        <v>4.5999999999999996</v>
      </c>
      <c r="M127" s="58">
        <f t="shared" si="0"/>
        <v>2.5399999999999996</v>
      </c>
      <c r="N127" s="58">
        <v>0</v>
      </c>
      <c r="O127" s="58">
        <v>0</v>
      </c>
      <c r="P127">
        <f t="shared" si="4"/>
        <v>0</v>
      </c>
      <c r="Q127">
        <v>29.341601592</v>
      </c>
    </row>
    <row r="128" spans="1:17" ht="15.75" customHeight="1">
      <c r="A128" s="194" t="s">
        <v>43</v>
      </c>
      <c r="B128" s="194" t="s">
        <v>113</v>
      </c>
      <c r="C128" s="58">
        <v>294</v>
      </c>
      <c r="D128" s="58">
        <v>0</v>
      </c>
      <c r="E128" s="58">
        <v>0</v>
      </c>
      <c r="F128" s="193">
        <v>0.83414634146341471</v>
      </c>
      <c r="G128" s="58">
        <v>0</v>
      </c>
      <c r="H128" s="58">
        <v>0</v>
      </c>
      <c r="I128" s="58">
        <v>0</v>
      </c>
      <c r="J128" s="58">
        <v>2.0499999999999998</v>
      </c>
      <c r="K128" s="58">
        <v>3.76</v>
      </c>
      <c r="L128" s="58">
        <v>3.9</v>
      </c>
      <c r="M128" s="58">
        <f t="shared" si="0"/>
        <v>2.19</v>
      </c>
      <c r="N128" s="58">
        <v>0</v>
      </c>
      <c r="O128" s="58">
        <v>0</v>
      </c>
      <c r="P128">
        <f t="shared" si="4"/>
        <v>0</v>
      </c>
      <c r="Q128">
        <v>28.724828416000005</v>
      </c>
    </row>
    <row r="129" spans="1:17" ht="15.75" customHeight="1">
      <c r="A129" s="194" t="s">
        <v>43</v>
      </c>
      <c r="B129" s="194" t="s">
        <v>113</v>
      </c>
      <c r="C129" s="58">
        <v>295</v>
      </c>
      <c r="D129" s="58">
        <v>0</v>
      </c>
      <c r="E129" s="58">
        <v>0</v>
      </c>
      <c r="F129" s="193">
        <v>0.88127853881278551</v>
      </c>
      <c r="G129" s="58">
        <v>0</v>
      </c>
      <c r="H129" s="58">
        <v>0</v>
      </c>
      <c r="I129" s="58">
        <v>0</v>
      </c>
      <c r="J129" s="58">
        <v>2.19</v>
      </c>
      <c r="K129" s="58">
        <v>4.12</v>
      </c>
      <c r="L129" s="58">
        <v>4.3</v>
      </c>
      <c r="M129" s="58">
        <f t="shared" si="0"/>
        <v>2.3699999999999997</v>
      </c>
      <c r="N129" s="58">
        <v>0</v>
      </c>
      <c r="O129" s="58">
        <v>0</v>
      </c>
      <c r="P129">
        <f t="shared" si="4"/>
        <v>0</v>
      </c>
      <c r="Q129">
        <v>28.651367219999997</v>
      </c>
    </row>
    <row r="130" spans="1:17" ht="15.75" customHeight="1">
      <c r="A130" s="194" t="s">
        <v>43</v>
      </c>
      <c r="B130" s="194" t="s">
        <v>114</v>
      </c>
      <c r="C130" s="58">
        <v>316</v>
      </c>
      <c r="D130" s="58">
        <v>0</v>
      </c>
      <c r="E130" s="58">
        <v>0</v>
      </c>
      <c r="F130" s="193">
        <v>0.80073800738007384</v>
      </c>
      <c r="G130" s="58">
        <v>0</v>
      </c>
      <c r="H130" s="58">
        <v>0</v>
      </c>
      <c r="I130" s="58">
        <v>0</v>
      </c>
      <c r="J130" s="58">
        <v>2.71</v>
      </c>
      <c r="K130" s="58">
        <v>4.88</v>
      </c>
      <c r="L130" s="58">
        <v>5.0999999999999996</v>
      </c>
      <c r="M130" s="58">
        <f t="shared" si="0"/>
        <v>2.9299999999999997</v>
      </c>
      <c r="N130" s="58">
        <v>0</v>
      </c>
      <c r="O130" s="58">
        <v>0</v>
      </c>
      <c r="P130">
        <f t="shared" si="4"/>
        <v>0</v>
      </c>
      <c r="Q130">
        <v>30.001501600000001</v>
      </c>
    </row>
    <row r="131" spans="1:17" ht="15.75" customHeight="1">
      <c r="A131" s="194" t="s">
        <v>43</v>
      </c>
      <c r="B131" s="194" t="s">
        <v>114</v>
      </c>
      <c r="C131" s="58">
        <v>317</v>
      </c>
      <c r="D131" s="58">
        <v>0</v>
      </c>
      <c r="E131" s="58">
        <v>0</v>
      </c>
      <c r="F131" s="193">
        <v>0.79411764705882337</v>
      </c>
      <c r="G131" s="58">
        <v>0</v>
      </c>
      <c r="H131" s="58">
        <v>0</v>
      </c>
      <c r="I131" s="58">
        <v>0</v>
      </c>
      <c r="J131" s="58">
        <v>2.72</v>
      </c>
      <c r="K131" s="58">
        <v>4.88</v>
      </c>
      <c r="L131" s="58">
        <v>5.0999999999999996</v>
      </c>
      <c r="M131" s="58">
        <f t="shared" si="0"/>
        <v>2.94</v>
      </c>
      <c r="N131" s="58">
        <v>0</v>
      </c>
      <c r="O131" s="58">
        <v>0</v>
      </c>
      <c r="P131">
        <f t="shared" ref="P131:P194" si="7">O131/Q131*100</f>
        <v>0</v>
      </c>
      <c r="Q131">
        <v>31.172776879999997</v>
      </c>
    </row>
    <row r="132" spans="1:17" ht="15.75" customHeight="1">
      <c r="A132" s="194" t="s">
        <v>43</v>
      </c>
      <c r="B132" s="194" t="s">
        <v>114</v>
      </c>
      <c r="C132" s="58">
        <v>318</v>
      </c>
      <c r="D132" s="58">
        <v>0</v>
      </c>
      <c r="E132" s="58">
        <v>0</v>
      </c>
      <c r="F132" s="193">
        <v>0.77777777777777779</v>
      </c>
      <c r="G132" s="58">
        <v>0</v>
      </c>
      <c r="H132" s="58">
        <v>0</v>
      </c>
      <c r="I132" s="58">
        <v>0</v>
      </c>
      <c r="J132" s="58">
        <v>2.79</v>
      </c>
      <c r="K132" s="58">
        <v>4.96</v>
      </c>
      <c r="L132" s="58">
        <v>5.3</v>
      </c>
      <c r="M132" s="58">
        <f t="shared" si="0"/>
        <v>3.13</v>
      </c>
      <c r="N132" s="58">
        <v>0</v>
      </c>
      <c r="O132" s="58">
        <v>0</v>
      </c>
      <c r="P132">
        <f t="shared" si="7"/>
        <v>0</v>
      </c>
      <c r="Q132">
        <v>29.948926634999999</v>
      </c>
    </row>
    <row r="133" spans="1:17" ht="15.75" customHeight="1">
      <c r="A133" s="194" t="s">
        <v>43</v>
      </c>
      <c r="B133" s="194" t="s">
        <v>114</v>
      </c>
      <c r="C133" s="58">
        <v>319</v>
      </c>
      <c r="D133" s="58">
        <v>0</v>
      </c>
      <c r="E133" s="58">
        <v>0</v>
      </c>
      <c r="F133" s="193">
        <v>0.7738515901060069</v>
      </c>
      <c r="G133" s="58">
        <v>0</v>
      </c>
      <c r="H133" s="58">
        <v>0</v>
      </c>
      <c r="I133" s="58">
        <v>0</v>
      </c>
      <c r="J133" s="58">
        <v>2.83</v>
      </c>
      <c r="K133" s="58">
        <v>5.0199999999999996</v>
      </c>
      <c r="L133" s="58">
        <v>5.3</v>
      </c>
      <c r="M133" s="58">
        <f t="shared" si="0"/>
        <v>3.1100000000000003</v>
      </c>
      <c r="N133" s="58">
        <v>0</v>
      </c>
      <c r="O133" s="58">
        <v>0</v>
      </c>
      <c r="P133">
        <f t="shared" si="7"/>
        <v>0</v>
      </c>
      <c r="Q133">
        <v>30.373568879</v>
      </c>
    </row>
    <row r="134" spans="1:17" ht="15.75" customHeight="1">
      <c r="A134" s="194" t="s">
        <v>43</v>
      </c>
      <c r="B134" s="194" t="s">
        <v>114</v>
      </c>
      <c r="C134" s="58">
        <v>320</v>
      </c>
      <c r="D134" s="58">
        <v>0</v>
      </c>
      <c r="E134" s="58">
        <v>0</v>
      </c>
      <c r="F134" s="193">
        <v>0.7943262411347517</v>
      </c>
      <c r="G134" s="58">
        <v>0</v>
      </c>
      <c r="H134" s="58">
        <v>0</v>
      </c>
      <c r="I134" s="58">
        <v>0</v>
      </c>
      <c r="J134" s="58">
        <v>2.82</v>
      </c>
      <c r="K134" s="58">
        <v>5.0599999999999996</v>
      </c>
      <c r="L134" s="58">
        <v>5.4</v>
      </c>
      <c r="M134" s="58">
        <f t="shared" si="0"/>
        <v>3.1600000000000006</v>
      </c>
      <c r="N134" s="58">
        <v>0</v>
      </c>
      <c r="O134" s="58">
        <v>0</v>
      </c>
      <c r="P134">
        <f t="shared" si="7"/>
        <v>0</v>
      </c>
      <c r="Q134">
        <v>30.839890454999999</v>
      </c>
    </row>
    <row r="135" spans="1:17" ht="15.75" customHeight="1">
      <c r="A135" s="194" t="s">
        <v>43</v>
      </c>
      <c r="B135" s="194" t="s">
        <v>115</v>
      </c>
      <c r="C135" s="58">
        <v>241</v>
      </c>
      <c r="D135" s="58">
        <v>0</v>
      </c>
      <c r="E135" s="58">
        <v>0</v>
      </c>
      <c r="F135" s="193">
        <v>0.57758620689655182</v>
      </c>
      <c r="G135" s="58">
        <v>0</v>
      </c>
      <c r="H135" s="58">
        <v>0</v>
      </c>
      <c r="I135" s="58">
        <v>0</v>
      </c>
      <c r="J135" s="58">
        <v>3.48</v>
      </c>
      <c r="K135" s="58">
        <v>5.49</v>
      </c>
      <c r="L135" s="58">
        <v>5.8</v>
      </c>
      <c r="M135" s="58">
        <f t="shared" si="0"/>
        <v>3.7899999999999996</v>
      </c>
      <c r="N135" s="58">
        <v>0</v>
      </c>
      <c r="O135" s="58">
        <v>0</v>
      </c>
      <c r="P135">
        <f t="shared" si="7"/>
        <v>0</v>
      </c>
      <c r="Q135">
        <v>29.492021786999999</v>
      </c>
    </row>
    <row r="136" spans="1:17" ht="15.75" customHeight="1">
      <c r="A136" s="194" t="s">
        <v>43</v>
      </c>
      <c r="B136" s="194" t="s">
        <v>115</v>
      </c>
      <c r="C136" s="58">
        <v>242</v>
      </c>
      <c r="D136" s="58">
        <v>0</v>
      </c>
      <c r="E136" s="58">
        <v>0</v>
      </c>
      <c r="F136" s="193">
        <v>0.56473829201101922</v>
      </c>
      <c r="G136" s="58">
        <v>0</v>
      </c>
      <c r="H136" s="58">
        <v>0</v>
      </c>
      <c r="I136" s="58">
        <v>0</v>
      </c>
      <c r="J136" s="58">
        <v>3.63</v>
      </c>
      <c r="K136" s="58">
        <v>5.68</v>
      </c>
      <c r="L136" s="58">
        <v>6</v>
      </c>
      <c r="M136" s="58">
        <f t="shared" si="0"/>
        <v>3.95</v>
      </c>
      <c r="N136" s="58">
        <v>0</v>
      </c>
      <c r="O136" s="58">
        <v>0</v>
      </c>
      <c r="P136">
        <f t="shared" si="7"/>
        <v>0</v>
      </c>
      <c r="Q136">
        <v>29.297091327</v>
      </c>
    </row>
    <row r="137" spans="1:17" ht="15.75" customHeight="1">
      <c r="A137" s="194" t="s">
        <v>43</v>
      </c>
      <c r="B137" s="194" t="s">
        <v>115</v>
      </c>
      <c r="C137" s="58">
        <v>243</v>
      </c>
      <c r="D137" s="58">
        <v>0</v>
      </c>
      <c r="E137" s="58">
        <v>0</v>
      </c>
      <c r="F137" s="193">
        <v>0.55124653739612184</v>
      </c>
      <c r="G137" s="58">
        <v>0</v>
      </c>
      <c r="H137" s="58">
        <v>0</v>
      </c>
      <c r="I137" s="58">
        <v>0</v>
      </c>
      <c r="J137" s="58">
        <v>3.61</v>
      </c>
      <c r="K137" s="58">
        <v>5.6</v>
      </c>
      <c r="L137" s="58">
        <v>5.9</v>
      </c>
      <c r="M137" s="58">
        <f t="shared" si="0"/>
        <v>3.9100000000000006</v>
      </c>
      <c r="N137" s="58">
        <v>0</v>
      </c>
      <c r="O137" s="58">
        <v>0</v>
      </c>
      <c r="P137">
        <f t="shared" si="7"/>
        <v>0</v>
      </c>
      <c r="Q137">
        <v>29.3919201</v>
      </c>
    </row>
    <row r="138" spans="1:17" ht="15.75" customHeight="1">
      <c r="A138" s="194" t="s">
        <v>43</v>
      </c>
      <c r="B138" s="194" t="s">
        <v>115</v>
      </c>
      <c r="C138" s="58">
        <v>244</v>
      </c>
      <c r="D138" s="58">
        <v>0</v>
      </c>
      <c r="E138" s="58">
        <v>0</v>
      </c>
      <c r="F138" s="193">
        <v>0.50824175824175821</v>
      </c>
      <c r="G138" s="58">
        <v>0</v>
      </c>
      <c r="H138" s="58">
        <v>0</v>
      </c>
      <c r="I138" s="58">
        <v>0</v>
      </c>
      <c r="J138" s="58">
        <v>3.64</v>
      </c>
      <c r="K138" s="58">
        <v>5.49</v>
      </c>
      <c r="L138" s="58">
        <v>5.8</v>
      </c>
      <c r="M138" s="58">
        <f t="shared" si="0"/>
        <v>3.9499999999999997</v>
      </c>
      <c r="N138" s="58">
        <v>0</v>
      </c>
      <c r="O138" s="58">
        <v>0</v>
      </c>
      <c r="P138">
        <f t="shared" si="7"/>
        <v>0</v>
      </c>
      <c r="Q138">
        <v>29.177153460000003</v>
      </c>
    </row>
    <row r="139" spans="1:17" ht="15.75" customHeight="1">
      <c r="A139" s="194" t="s">
        <v>43</v>
      </c>
      <c r="B139" s="194" t="s">
        <v>115</v>
      </c>
      <c r="C139" s="58">
        <v>245</v>
      </c>
      <c r="D139" s="58">
        <v>0</v>
      </c>
      <c r="E139" s="58">
        <v>0</v>
      </c>
      <c r="F139" s="193">
        <v>0.57507082152974498</v>
      </c>
      <c r="G139" s="58">
        <v>0</v>
      </c>
      <c r="H139" s="58">
        <v>0</v>
      </c>
      <c r="I139" s="58">
        <v>0</v>
      </c>
      <c r="J139" s="58">
        <v>3.53</v>
      </c>
      <c r="K139" s="58">
        <v>5.56</v>
      </c>
      <c r="L139" s="58">
        <v>5.8</v>
      </c>
      <c r="M139" s="58">
        <f t="shared" si="0"/>
        <v>3.77</v>
      </c>
      <c r="N139" s="58">
        <v>0</v>
      </c>
      <c r="O139" s="58">
        <v>0</v>
      </c>
      <c r="P139">
        <f t="shared" si="7"/>
        <v>0</v>
      </c>
      <c r="Q139">
        <v>29.343380814</v>
      </c>
    </row>
    <row r="140" spans="1:17" ht="15.75" customHeight="1">
      <c r="A140" s="194" t="s">
        <v>43</v>
      </c>
      <c r="B140" s="194" t="s">
        <v>116</v>
      </c>
      <c r="C140" s="58">
        <v>261</v>
      </c>
      <c r="D140" s="58">
        <v>0</v>
      </c>
      <c r="E140" s="58">
        <v>0</v>
      </c>
      <c r="F140" s="193">
        <v>0.84188034188034178</v>
      </c>
      <c r="G140" s="58">
        <v>0</v>
      </c>
      <c r="H140" s="58">
        <v>0</v>
      </c>
      <c r="I140" s="58">
        <v>0</v>
      </c>
      <c r="J140" s="58">
        <v>2.34</v>
      </c>
      <c r="K140" s="58">
        <v>4.3099999999999996</v>
      </c>
      <c r="L140" s="58">
        <v>4.5</v>
      </c>
      <c r="M140" s="58">
        <f t="shared" si="0"/>
        <v>2.5300000000000002</v>
      </c>
      <c r="N140" s="58">
        <v>0</v>
      </c>
      <c r="O140" s="58">
        <v>0</v>
      </c>
      <c r="P140">
        <f t="shared" si="7"/>
        <v>0</v>
      </c>
      <c r="Q140">
        <v>29.906667647999999</v>
      </c>
    </row>
    <row r="141" spans="1:17" ht="15.75" customHeight="1">
      <c r="A141" s="194" t="s">
        <v>43</v>
      </c>
      <c r="B141" s="194" t="s">
        <v>116</v>
      </c>
      <c r="C141" s="58">
        <v>262</v>
      </c>
      <c r="D141" s="58">
        <v>0</v>
      </c>
      <c r="E141" s="58">
        <v>0</v>
      </c>
      <c r="F141" s="193">
        <v>0.82426778242677823</v>
      </c>
      <c r="G141" s="58">
        <v>0</v>
      </c>
      <c r="H141" s="58">
        <v>0</v>
      </c>
      <c r="I141" s="58">
        <v>0</v>
      </c>
      <c r="J141" s="58">
        <v>2.39</v>
      </c>
      <c r="K141" s="58">
        <v>4.3600000000000003</v>
      </c>
      <c r="L141" s="58">
        <v>4.5999999999999996</v>
      </c>
      <c r="M141" s="58">
        <f t="shared" si="0"/>
        <v>2.6299999999999994</v>
      </c>
      <c r="N141" s="58">
        <v>0</v>
      </c>
      <c r="O141" s="58">
        <v>0</v>
      </c>
      <c r="P141">
        <f t="shared" si="7"/>
        <v>0</v>
      </c>
      <c r="Q141">
        <v>30.556127788999998</v>
      </c>
    </row>
    <row r="142" spans="1:17" ht="15.75" customHeight="1">
      <c r="A142" s="194" t="s">
        <v>43</v>
      </c>
      <c r="B142" s="194" t="s">
        <v>116</v>
      </c>
      <c r="C142" s="58">
        <v>263</v>
      </c>
      <c r="D142" s="58">
        <v>0</v>
      </c>
      <c r="E142" s="58">
        <v>0</v>
      </c>
      <c r="F142" s="193">
        <v>0.83196721311475408</v>
      </c>
      <c r="G142" s="58">
        <v>0</v>
      </c>
      <c r="H142" s="58">
        <v>0</v>
      </c>
      <c r="I142" s="58">
        <v>0</v>
      </c>
      <c r="J142" s="58">
        <v>2.44</v>
      </c>
      <c r="K142" s="58">
        <v>4.47</v>
      </c>
      <c r="L142" s="58">
        <v>4.5999999999999996</v>
      </c>
      <c r="M142" s="58">
        <f t="shared" si="0"/>
        <v>2.57</v>
      </c>
      <c r="N142" s="58">
        <v>0</v>
      </c>
      <c r="O142" s="58">
        <v>0</v>
      </c>
      <c r="P142">
        <f t="shared" si="7"/>
        <v>0</v>
      </c>
      <c r="Q142">
        <v>30.340775717999996</v>
      </c>
    </row>
    <row r="143" spans="1:17" ht="15.75" customHeight="1">
      <c r="A143" s="194" t="s">
        <v>43</v>
      </c>
      <c r="B143" s="194" t="s">
        <v>116</v>
      </c>
      <c r="C143" s="58">
        <v>264</v>
      </c>
      <c r="D143" s="58">
        <v>0</v>
      </c>
      <c r="E143" s="58">
        <v>0</v>
      </c>
      <c r="F143" s="193">
        <v>0.83898305084745761</v>
      </c>
      <c r="G143" s="58">
        <v>0</v>
      </c>
      <c r="H143" s="58">
        <v>0</v>
      </c>
      <c r="I143" s="58">
        <v>0</v>
      </c>
      <c r="J143" s="58">
        <v>2.36</v>
      </c>
      <c r="K143" s="58">
        <v>4.34</v>
      </c>
      <c r="L143" s="58">
        <v>4.5999999999999996</v>
      </c>
      <c r="M143" s="58">
        <f t="shared" si="0"/>
        <v>2.6199999999999997</v>
      </c>
      <c r="N143" s="58">
        <v>0</v>
      </c>
      <c r="O143" s="58">
        <v>0</v>
      </c>
      <c r="P143">
        <f t="shared" si="7"/>
        <v>0</v>
      </c>
      <c r="Q143">
        <v>30.156246912</v>
      </c>
    </row>
    <row r="144" spans="1:17" ht="15.75" customHeight="1">
      <c r="A144" s="194" t="s">
        <v>43</v>
      </c>
      <c r="B144" s="194" t="s">
        <v>116</v>
      </c>
      <c r="C144" s="58">
        <v>265</v>
      </c>
      <c r="D144" s="58">
        <v>0</v>
      </c>
      <c r="E144" s="58">
        <v>0</v>
      </c>
      <c r="F144" s="193">
        <v>0.83333333333333348</v>
      </c>
      <c r="G144" s="58">
        <v>0</v>
      </c>
      <c r="H144" s="58">
        <v>0</v>
      </c>
      <c r="I144" s="58">
        <v>0</v>
      </c>
      <c r="J144" s="58">
        <v>2.34</v>
      </c>
      <c r="K144" s="58">
        <v>4.29</v>
      </c>
      <c r="L144" s="58">
        <v>4.5</v>
      </c>
      <c r="M144" s="58">
        <f t="shared" si="0"/>
        <v>2.5499999999999998</v>
      </c>
      <c r="N144" s="58">
        <v>0</v>
      </c>
      <c r="O144" s="58">
        <v>0</v>
      </c>
      <c r="P144">
        <f t="shared" si="7"/>
        <v>0</v>
      </c>
      <c r="Q144">
        <v>29.467665136000001</v>
      </c>
    </row>
    <row r="145" spans="1:17" ht="15.75" customHeight="1">
      <c r="A145" s="194" t="s">
        <v>43</v>
      </c>
      <c r="B145" s="194" t="s">
        <v>113</v>
      </c>
      <c r="C145" s="58">
        <v>291</v>
      </c>
      <c r="D145" s="58">
        <v>2</v>
      </c>
      <c r="E145" s="58">
        <v>0</v>
      </c>
      <c r="F145" s="193">
        <v>0.95049504950495045</v>
      </c>
      <c r="G145" s="58">
        <v>352.38095238095235</v>
      </c>
      <c r="H145" s="58">
        <v>1.1652712316533465</v>
      </c>
      <c r="I145" s="58">
        <f t="shared" ref="I145:I164" si="8">(L145-L125)/J125*100</f>
        <v>732.67326732673268</v>
      </c>
      <c r="J145" s="58">
        <v>2.02</v>
      </c>
      <c r="K145" s="58">
        <v>3.94</v>
      </c>
      <c r="L145" s="58">
        <v>19</v>
      </c>
      <c r="M145" s="58">
        <f t="shared" si="0"/>
        <v>17.079999999999998</v>
      </c>
      <c r="N145" s="58">
        <f t="shared" ref="N145:N164" si="9">(L145-L125)/M125*100</f>
        <v>649.12280701754389</v>
      </c>
      <c r="O145" s="58">
        <f t="shared" ref="O145:O164" si="10">L145-L125</f>
        <v>14.8</v>
      </c>
      <c r="P145">
        <f t="shared" si="7"/>
        <v>52.259740169066227</v>
      </c>
      <c r="Q145">
        <v>28.320079571999997</v>
      </c>
    </row>
    <row r="146" spans="1:17" ht="15.75" customHeight="1">
      <c r="A146" s="194" t="s">
        <v>43</v>
      </c>
      <c r="B146" s="194" t="s">
        <v>113</v>
      </c>
      <c r="C146" s="58">
        <v>292</v>
      </c>
      <c r="D146" s="58">
        <v>2</v>
      </c>
      <c r="E146" s="58">
        <v>0</v>
      </c>
      <c r="F146" s="193">
        <v>0.90624999999999967</v>
      </c>
      <c r="G146" s="58">
        <v>397.77777777777771</v>
      </c>
      <c r="H146" s="58">
        <v>-1.7088009280552825</v>
      </c>
      <c r="I146" s="58">
        <f t="shared" si="8"/>
        <v>799.10714285714266</v>
      </c>
      <c r="J146" s="58">
        <v>2.2400000000000002</v>
      </c>
      <c r="K146" s="58">
        <v>4.2699999999999996</v>
      </c>
      <c r="L146" s="58">
        <v>22.4</v>
      </c>
      <c r="M146" s="58">
        <f t="shared" si="0"/>
        <v>20.369999999999997</v>
      </c>
      <c r="N146" s="58">
        <f t="shared" si="9"/>
        <v>724.6963562753034</v>
      </c>
      <c r="O146" s="58">
        <f t="shared" si="10"/>
        <v>17.899999999999999</v>
      </c>
      <c r="P146">
        <f t="shared" si="7"/>
        <v>62.193020134248258</v>
      </c>
      <c r="Q146">
        <v>28.781364792000002</v>
      </c>
    </row>
    <row r="147" spans="1:17" ht="15.75" customHeight="1">
      <c r="A147" s="194" t="s">
        <v>43</v>
      </c>
      <c r="B147" s="194" t="s">
        <v>113</v>
      </c>
      <c r="C147" s="58">
        <v>293</v>
      </c>
      <c r="D147" s="58">
        <v>2</v>
      </c>
      <c r="E147" s="58">
        <v>0</v>
      </c>
      <c r="F147" s="193">
        <v>0.89177489177489178</v>
      </c>
      <c r="G147" s="58">
        <v>321.73913043478262</v>
      </c>
      <c r="H147" s="58">
        <v>1.4431079526192441</v>
      </c>
      <c r="I147" s="58">
        <f t="shared" si="8"/>
        <v>640.69264069264068</v>
      </c>
      <c r="J147" s="58">
        <v>2.31</v>
      </c>
      <c r="K147" s="58">
        <v>4.37</v>
      </c>
      <c r="L147" s="58">
        <v>19.399999999999999</v>
      </c>
      <c r="M147" s="58">
        <f t="shared" si="0"/>
        <v>17.34</v>
      </c>
      <c r="N147" s="58">
        <f t="shared" si="9"/>
        <v>582.67716535433078</v>
      </c>
      <c r="O147" s="58">
        <f t="shared" si="10"/>
        <v>14.799999999999999</v>
      </c>
      <c r="P147">
        <f t="shared" si="7"/>
        <v>49.72277440387888</v>
      </c>
      <c r="Q147">
        <v>29.765032578000007</v>
      </c>
    </row>
    <row r="148" spans="1:17" ht="15.75" customHeight="1">
      <c r="A148" s="194" t="s">
        <v>43</v>
      </c>
      <c r="B148" s="194" t="s">
        <v>113</v>
      </c>
      <c r="C148" s="58">
        <v>294</v>
      </c>
      <c r="D148" s="58">
        <v>2</v>
      </c>
      <c r="E148" s="58">
        <v>0</v>
      </c>
      <c r="F148" s="193">
        <v>0.83414634146341471</v>
      </c>
      <c r="G148" s="58">
        <v>353.84615384615381</v>
      </c>
      <c r="H148" s="58">
        <v>-1.1572659762689614</v>
      </c>
      <c r="I148" s="58">
        <f t="shared" si="8"/>
        <v>673.17073170731703</v>
      </c>
      <c r="J148" s="58">
        <v>2.0499999999999998</v>
      </c>
      <c r="K148" s="58">
        <v>3.76</v>
      </c>
      <c r="L148" s="58">
        <v>17.7</v>
      </c>
      <c r="M148" s="58">
        <f t="shared" si="0"/>
        <v>15.989999999999998</v>
      </c>
      <c r="N148" s="58">
        <f t="shared" si="9"/>
        <v>630.1369863013698</v>
      </c>
      <c r="O148" s="58">
        <f t="shared" si="10"/>
        <v>13.799999999999999</v>
      </c>
      <c r="P148">
        <f t="shared" si="7"/>
        <v>48.604546305485222</v>
      </c>
      <c r="Q148">
        <v>28.392405749999998</v>
      </c>
    </row>
    <row r="149" spans="1:17" ht="15.75" customHeight="1">
      <c r="A149" s="194" t="s">
        <v>43</v>
      </c>
      <c r="B149" s="194" t="s">
        <v>113</v>
      </c>
      <c r="C149" s="58">
        <v>295</v>
      </c>
      <c r="D149" s="58">
        <v>2</v>
      </c>
      <c r="E149" s="58">
        <v>0</v>
      </c>
      <c r="F149" s="193">
        <v>0.88127853881278551</v>
      </c>
      <c r="G149" s="58">
        <v>323.25581395348837</v>
      </c>
      <c r="H149" s="58">
        <v>-5.6148154035631226</v>
      </c>
      <c r="I149" s="58">
        <f t="shared" si="8"/>
        <v>634.70319634703185</v>
      </c>
      <c r="J149" s="58">
        <v>2.19</v>
      </c>
      <c r="K149" s="58">
        <v>4.12</v>
      </c>
      <c r="L149" s="58">
        <v>18.2</v>
      </c>
      <c r="M149" s="58">
        <f t="shared" si="0"/>
        <v>16.27</v>
      </c>
      <c r="N149" s="58">
        <f t="shared" si="9"/>
        <v>586.49789029535862</v>
      </c>
      <c r="O149" s="58">
        <f t="shared" si="10"/>
        <v>13.899999999999999</v>
      </c>
      <c r="P149">
        <f t="shared" si="7"/>
        <v>51.400295970447829</v>
      </c>
      <c r="Q149">
        <v>27.042645840000002</v>
      </c>
    </row>
    <row r="150" spans="1:17" ht="15.75" customHeight="1">
      <c r="A150" s="194" t="s">
        <v>43</v>
      </c>
      <c r="B150" s="194" t="s">
        <v>114</v>
      </c>
      <c r="C150" s="58">
        <v>316</v>
      </c>
      <c r="D150" s="58">
        <v>2</v>
      </c>
      <c r="E150" s="58">
        <v>0</v>
      </c>
      <c r="F150" s="193">
        <v>0.80073800738007384</v>
      </c>
      <c r="G150" s="58">
        <v>392.15686274509807</v>
      </c>
      <c r="H150" s="58">
        <v>-0.46103761019748757</v>
      </c>
      <c r="I150" s="58">
        <f t="shared" si="8"/>
        <v>738.00738007380073</v>
      </c>
      <c r="J150" s="58">
        <v>2.71</v>
      </c>
      <c r="K150" s="58">
        <v>4.88</v>
      </c>
      <c r="L150" s="58">
        <v>25.1</v>
      </c>
      <c r="M150" s="58">
        <f t="shared" si="0"/>
        <v>22.93</v>
      </c>
      <c r="N150" s="58">
        <f t="shared" si="9"/>
        <v>682.5938566552901</v>
      </c>
      <c r="O150" s="58">
        <f t="shared" si="10"/>
        <v>20</v>
      </c>
      <c r="P150">
        <f t="shared" si="7"/>
        <v>66.972096497985291</v>
      </c>
      <c r="Q150">
        <v>29.863183394</v>
      </c>
    </row>
    <row r="151" spans="1:17" ht="15.75" customHeight="1">
      <c r="A151" s="194" t="s">
        <v>43</v>
      </c>
      <c r="B151" s="194" t="s">
        <v>114</v>
      </c>
      <c r="C151" s="58">
        <v>317</v>
      </c>
      <c r="D151" s="58">
        <v>2</v>
      </c>
      <c r="E151" s="58">
        <v>0</v>
      </c>
      <c r="F151" s="193">
        <v>0.79411764705882337</v>
      </c>
      <c r="G151" s="58">
        <v>392.15686274509807</v>
      </c>
      <c r="H151" s="58">
        <v>-3.1864028053184992</v>
      </c>
      <c r="I151" s="58">
        <f t="shared" si="8"/>
        <v>735.29411764705878</v>
      </c>
      <c r="J151" s="58">
        <v>2.72</v>
      </c>
      <c r="K151" s="58">
        <v>4.88</v>
      </c>
      <c r="L151" s="58">
        <v>25.1</v>
      </c>
      <c r="M151" s="58">
        <f t="shared" si="0"/>
        <v>22.94</v>
      </c>
      <c r="N151" s="58">
        <f t="shared" si="9"/>
        <v>680.27210884353747</v>
      </c>
      <c r="O151" s="58">
        <f t="shared" si="10"/>
        <v>20</v>
      </c>
      <c r="P151">
        <f t="shared" si="7"/>
        <v>66.270179597766315</v>
      </c>
      <c r="Q151">
        <v>30.179486643000001</v>
      </c>
    </row>
    <row r="152" spans="1:17" ht="15.75" customHeight="1">
      <c r="A152" s="194" t="s">
        <v>43</v>
      </c>
      <c r="B152" s="194" t="s">
        <v>114</v>
      </c>
      <c r="C152" s="58">
        <v>318</v>
      </c>
      <c r="D152" s="58">
        <v>2</v>
      </c>
      <c r="E152" s="58">
        <v>0</v>
      </c>
      <c r="F152" s="193">
        <v>0.77777777777777779</v>
      </c>
      <c r="G152" s="58">
        <v>379.24528301886789</v>
      </c>
      <c r="H152" s="58">
        <v>-0.31693448034651578</v>
      </c>
      <c r="I152" s="58">
        <f t="shared" si="8"/>
        <v>720.43010752688156</v>
      </c>
      <c r="J152" s="58">
        <v>2.79</v>
      </c>
      <c r="K152" s="58">
        <v>4.96</v>
      </c>
      <c r="L152" s="58">
        <v>25.4</v>
      </c>
      <c r="M152" s="58">
        <f t="shared" si="0"/>
        <v>23.229999999999997</v>
      </c>
      <c r="N152" s="58">
        <f t="shared" si="9"/>
        <v>642.17252396166134</v>
      </c>
      <c r="O152" s="58">
        <f t="shared" si="10"/>
        <v>20.099999999999998</v>
      </c>
      <c r="P152">
        <f t="shared" si="7"/>
        <v>67.327642882241364</v>
      </c>
      <c r="Q152">
        <v>29.854008160000003</v>
      </c>
    </row>
    <row r="153" spans="1:17" ht="15.75" customHeight="1">
      <c r="A153" s="194" t="s">
        <v>43</v>
      </c>
      <c r="B153" s="194" t="s">
        <v>114</v>
      </c>
      <c r="C153" s="58">
        <v>319</v>
      </c>
      <c r="D153" s="58">
        <v>2</v>
      </c>
      <c r="E153" s="58">
        <v>0</v>
      </c>
      <c r="F153" s="193">
        <v>0.7738515901060069</v>
      </c>
      <c r="G153" s="58">
        <v>383.01886792452831</v>
      </c>
      <c r="H153" s="58">
        <v>3.0186191640914051</v>
      </c>
      <c r="I153" s="58">
        <f t="shared" si="8"/>
        <v>717.31448763250887</v>
      </c>
      <c r="J153" s="58">
        <v>2.83</v>
      </c>
      <c r="K153" s="58">
        <v>5.0199999999999996</v>
      </c>
      <c r="L153" s="58">
        <v>25.6</v>
      </c>
      <c r="M153" s="58">
        <f t="shared" si="0"/>
        <v>23.410000000000004</v>
      </c>
      <c r="N153" s="58">
        <f t="shared" si="9"/>
        <v>652.733118971061</v>
      </c>
      <c r="O153" s="58">
        <f t="shared" si="10"/>
        <v>20.3</v>
      </c>
      <c r="P153">
        <f t="shared" si="7"/>
        <v>64.876063349238763</v>
      </c>
      <c r="Q153">
        <v>31.290431249999997</v>
      </c>
    </row>
    <row r="154" spans="1:17" ht="15.75" customHeight="1">
      <c r="A154" s="194" t="s">
        <v>43</v>
      </c>
      <c r="B154" s="194" t="s">
        <v>114</v>
      </c>
      <c r="C154" s="58">
        <v>320</v>
      </c>
      <c r="D154" s="58">
        <v>2</v>
      </c>
      <c r="E154" s="58">
        <v>0</v>
      </c>
      <c r="F154" s="193">
        <v>0.7943262411347517</v>
      </c>
      <c r="G154" s="58">
        <v>348.14814814814804</v>
      </c>
      <c r="H154" s="58">
        <v>1.6917035803394713</v>
      </c>
      <c r="I154" s="58">
        <f t="shared" si="8"/>
        <v>666.66666666666663</v>
      </c>
      <c r="J154" s="58">
        <v>2.82</v>
      </c>
      <c r="K154" s="58">
        <v>5.0599999999999996</v>
      </c>
      <c r="L154" s="58">
        <v>24.2</v>
      </c>
      <c r="M154" s="58">
        <f t="shared" si="0"/>
        <v>21.96</v>
      </c>
      <c r="N154" s="58">
        <f t="shared" si="9"/>
        <v>594.93670886075927</v>
      </c>
      <c r="O154" s="58">
        <f t="shared" si="10"/>
        <v>18.799999999999997</v>
      </c>
      <c r="P154">
        <f t="shared" si="7"/>
        <v>59.945902038806111</v>
      </c>
      <c r="Q154">
        <v>31.361609986000005</v>
      </c>
    </row>
    <row r="155" spans="1:17" ht="15.75" customHeight="1">
      <c r="A155" s="194" t="s">
        <v>43</v>
      </c>
      <c r="B155" s="194" t="s">
        <v>115</v>
      </c>
      <c r="C155" s="58">
        <v>241</v>
      </c>
      <c r="D155" s="58">
        <v>2</v>
      </c>
      <c r="E155" s="58">
        <v>0</v>
      </c>
      <c r="F155" s="193">
        <v>0.57758620689655182</v>
      </c>
      <c r="G155" s="58">
        <v>265.51724137931035</v>
      </c>
      <c r="H155" s="58">
        <v>-0.15514146954877342</v>
      </c>
      <c r="I155" s="58">
        <f t="shared" si="8"/>
        <v>442.52873563218384</v>
      </c>
      <c r="J155" s="58">
        <v>3.48</v>
      </c>
      <c r="K155" s="58">
        <v>5.49</v>
      </c>
      <c r="L155" s="58">
        <v>21.2</v>
      </c>
      <c r="M155" s="58">
        <f t="shared" si="0"/>
        <v>19.189999999999998</v>
      </c>
      <c r="N155" s="58">
        <f t="shared" si="9"/>
        <v>406.3324538258575</v>
      </c>
      <c r="O155" s="58">
        <f t="shared" si="10"/>
        <v>15.399999999999999</v>
      </c>
      <c r="P155">
        <f t="shared" si="7"/>
        <v>52.298648839232563</v>
      </c>
      <c r="Q155">
        <v>29.446267431000003</v>
      </c>
    </row>
    <row r="156" spans="1:17" ht="15.75" customHeight="1">
      <c r="A156" s="194" t="s">
        <v>43</v>
      </c>
      <c r="B156" s="194" t="s">
        <v>115</v>
      </c>
      <c r="C156" s="58">
        <v>242</v>
      </c>
      <c r="D156" s="58">
        <v>2</v>
      </c>
      <c r="E156" s="58">
        <v>0</v>
      </c>
      <c r="F156" s="193">
        <v>0.56473829201101922</v>
      </c>
      <c r="G156" s="58">
        <v>281.66666666666663</v>
      </c>
      <c r="H156" s="58">
        <v>1.069037176777204</v>
      </c>
      <c r="I156" s="58">
        <f t="shared" si="8"/>
        <v>465.56473829201099</v>
      </c>
      <c r="J156" s="58">
        <v>3.63</v>
      </c>
      <c r="K156" s="58">
        <v>5.68</v>
      </c>
      <c r="L156" s="58">
        <v>22.9</v>
      </c>
      <c r="M156" s="58">
        <f t="shared" si="0"/>
        <v>20.849999999999998</v>
      </c>
      <c r="N156" s="58">
        <f t="shared" si="9"/>
        <v>427.84810126582278</v>
      </c>
      <c r="O156" s="58">
        <f t="shared" si="10"/>
        <v>16.899999999999999</v>
      </c>
      <c r="P156">
        <f t="shared" si="7"/>
        <v>57.074757019102798</v>
      </c>
      <c r="Q156">
        <v>29.610288125</v>
      </c>
    </row>
    <row r="157" spans="1:17" ht="15.75" customHeight="1">
      <c r="A157" s="194" t="s">
        <v>43</v>
      </c>
      <c r="B157" s="194" t="s">
        <v>115</v>
      </c>
      <c r="C157" s="58">
        <v>243</v>
      </c>
      <c r="D157" s="58">
        <v>2</v>
      </c>
      <c r="E157" s="58">
        <v>0</v>
      </c>
      <c r="F157" s="193">
        <v>0.55124653739612184</v>
      </c>
      <c r="G157" s="58">
        <v>296.61016949152537</v>
      </c>
      <c r="H157" s="58">
        <v>2.6789060303685224</v>
      </c>
      <c r="I157" s="58">
        <f t="shared" si="8"/>
        <v>484.76454293628814</v>
      </c>
      <c r="J157" s="58">
        <v>3.61</v>
      </c>
      <c r="K157" s="58">
        <v>5.6</v>
      </c>
      <c r="L157" s="58">
        <v>23.4</v>
      </c>
      <c r="M157" s="58">
        <f t="shared" si="0"/>
        <v>21.41</v>
      </c>
      <c r="N157" s="58">
        <f t="shared" si="9"/>
        <v>447.57033248081831</v>
      </c>
      <c r="O157" s="58">
        <f t="shared" si="10"/>
        <v>17.5</v>
      </c>
      <c r="P157">
        <f t="shared" si="7"/>
        <v>57.986761882043027</v>
      </c>
      <c r="Q157">
        <v>30.179302019999998</v>
      </c>
    </row>
    <row r="158" spans="1:17" ht="15.75" customHeight="1">
      <c r="A158" s="194" t="s">
        <v>43</v>
      </c>
      <c r="B158" s="194" t="s">
        <v>115</v>
      </c>
      <c r="C158" s="58">
        <v>244</v>
      </c>
      <c r="D158" s="58">
        <v>2</v>
      </c>
      <c r="E158" s="58">
        <v>0</v>
      </c>
      <c r="F158" s="193">
        <v>0.50824175824175821</v>
      </c>
      <c r="G158" s="58">
        <v>153.44827586206895</v>
      </c>
      <c r="H158" s="58">
        <v>1.7528167327944499</v>
      </c>
      <c r="I158" s="58">
        <f t="shared" si="8"/>
        <v>244.50549450549443</v>
      </c>
      <c r="J158" s="58">
        <v>3.64</v>
      </c>
      <c r="K158" s="58">
        <v>5.49</v>
      </c>
      <c r="L158" s="58">
        <v>14.7</v>
      </c>
      <c r="M158" s="58">
        <f t="shared" si="0"/>
        <v>12.85</v>
      </c>
      <c r="N158" s="58">
        <f t="shared" si="9"/>
        <v>225.3164556962025</v>
      </c>
      <c r="O158" s="58">
        <f t="shared" si="10"/>
        <v>8.8999999999999986</v>
      </c>
      <c r="P158">
        <f t="shared" si="7"/>
        <v>29.977861361510399</v>
      </c>
      <c r="Q158">
        <v>29.688575487999998</v>
      </c>
    </row>
    <row r="159" spans="1:17" ht="15.75" customHeight="1">
      <c r="A159" s="194" t="s">
        <v>43</v>
      </c>
      <c r="B159" s="194" t="s">
        <v>115</v>
      </c>
      <c r="C159" s="58">
        <v>245</v>
      </c>
      <c r="D159" s="58">
        <v>2</v>
      </c>
      <c r="E159" s="58">
        <v>0</v>
      </c>
      <c r="F159" s="193">
        <v>0.57507082152974498</v>
      </c>
      <c r="G159" s="58">
        <v>298.27586206896552</v>
      </c>
      <c r="H159" s="58">
        <v>5.0439949622091262</v>
      </c>
      <c r="I159" s="58">
        <f t="shared" si="8"/>
        <v>490.08498583569411</v>
      </c>
      <c r="J159" s="58">
        <v>3.53</v>
      </c>
      <c r="K159" s="58">
        <v>5.56</v>
      </c>
      <c r="L159" s="58">
        <v>23.1</v>
      </c>
      <c r="M159" s="58">
        <f t="shared" si="0"/>
        <v>21.07</v>
      </c>
      <c r="N159" s="58">
        <f t="shared" si="9"/>
        <v>458.88594164456231</v>
      </c>
      <c r="O159" s="58">
        <f t="shared" si="10"/>
        <v>17.3</v>
      </c>
      <c r="P159">
        <f t="shared" si="7"/>
        <v>56.126081565261657</v>
      </c>
      <c r="Q159">
        <v>30.823459463999999</v>
      </c>
    </row>
    <row r="160" spans="1:17" ht="15.75" customHeight="1">
      <c r="A160" s="194" t="s">
        <v>43</v>
      </c>
      <c r="B160" s="194" t="s">
        <v>116</v>
      </c>
      <c r="C160" s="58">
        <v>261</v>
      </c>
      <c r="D160" s="58">
        <v>2</v>
      </c>
      <c r="E160" s="58">
        <v>0</v>
      </c>
      <c r="F160" s="193">
        <v>0.84188034188034178</v>
      </c>
      <c r="G160" s="58">
        <v>415.55555555555549</v>
      </c>
      <c r="H160" s="58">
        <v>-2.8298360016603024</v>
      </c>
      <c r="I160" s="58">
        <f t="shared" si="8"/>
        <v>799.14529914529919</v>
      </c>
      <c r="J160" s="58">
        <v>2.34</v>
      </c>
      <c r="K160" s="58">
        <v>4.3099999999999996</v>
      </c>
      <c r="L160" s="58">
        <v>23.2</v>
      </c>
      <c r="M160" s="58">
        <f t="shared" si="0"/>
        <v>21.23</v>
      </c>
      <c r="N160" s="58">
        <f t="shared" si="9"/>
        <v>739.13043478260863</v>
      </c>
      <c r="O160" s="58">
        <f t="shared" si="10"/>
        <v>18.7</v>
      </c>
      <c r="P160">
        <f t="shared" si="7"/>
        <v>64.348828737760215</v>
      </c>
      <c r="Q160">
        <v>29.060358000000001</v>
      </c>
    </row>
    <row r="161" spans="1:17" ht="15.75" customHeight="1">
      <c r="A161" s="194" t="s">
        <v>43</v>
      </c>
      <c r="B161" s="194" t="s">
        <v>116</v>
      </c>
      <c r="C161" s="58">
        <v>262</v>
      </c>
      <c r="D161" s="58">
        <v>2</v>
      </c>
      <c r="E161" s="58">
        <v>0</v>
      </c>
      <c r="F161" s="193">
        <v>0.82426778242677823</v>
      </c>
      <c r="G161" s="58">
        <v>404.34782608695656</v>
      </c>
      <c r="H161" s="58">
        <v>-3.5165386675297943</v>
      </c>
      <c r="I161" s="58">
        <f t="shared" si="8"/>
        <v>778.24267782426784</v>
      </c>
      <c r="J161" s="58">
        <v>2.39</v>
      </c>
      <c r="K161" s="58">
        <v>4.3600000000000003</v>
      </c>
      <c r="L161" s="58">
        <v>23.2</v>
      </c>
      <c r="M161" s="58">
        <f t="shared" si="0"/>
        <v>21.23</v>
      </c>
      <c r="N161" s="58">
        <f t="shared" si="9"/>
        <v>707.2243346007607</v>
      </c>
      <c r="O161" s="58">
        <f t="shared" si="10"/>
        <v>18.600000000000001</v>
      </c>
      <c r="P161">
        <f t="shared" si="7"/>
        <v>63.090177788914737</v>
      </c>
      <c r="Q161">
        <v>29.481609739999996</v>
      </c>
    </row>
    <row r="162" spans="1:17" ht="15.75" customHeight="1">
      <c r="A162" s="194" t="s">
        <v>43</v>
      </c>
      <c r="B162" s="194" t="s">
        <v>116</v>
      </c>
      <c r="C162" s="58">
        <v>263</v>
      </c>
      <c r="D162" s="58">
        <v>2</v>
      </c>
      <c r="E162" s="58">
        <v>0</v>
      </c>
      <c r="F162" s="193">
        <v>0.83196721311475408</v>
      </c>
      <c r="G162" s="58">
        <v>408.695652173913</v>
      </c>
      <c r="H162" s="58">
        <v>1.8668936393210416</v>
      </c>
      <c r="I162" s="58">
        <f t="shared" si="8"/>
        <v>770.49180327868839</v>
      </c>
      <c r="J162" s="58">
        <v>2.44</v>
      </c>
      <c r="K162" s="58">
        <v>4.47</v>
      </c>
      <c r="L162" s="58">
        <v>23.4</v>
      </c>
      <c r="M162" s="58">
        <f t="shared" si="0"/>
        <v>21.369999999999997</v>
      </c>
      <c r="N162" s="58">
        <f t="shared" si="9"/>
        <v>731.51750972762648</v>
      </c>
      <c r="O162" s="58">
        <f t="shared" si="10"/>
        <v>18.799999999999997</v>
      </c>
      <c r="P162">
        <f t="shared" si="7"/>
        <v>60.827239331285853</v>
      </c>
      <c r="Q162">
        <v>30.907205730000001</v>
      </c>
    </row>
    <row r="163" spans="1:17" ht="15.75" customHeight="1">
      <c r="A163" s="194" t="s">
        <v>43</v>
      </c>
      <c r="B163" s="194" t="s">
        <v>116</v>
      </c>
      <c r="C163" s="58">
        <v>264</v>
      </c>
      <c r="D163" s="58">
        <v>2</v>
      </c>
      <c r="E163" s="58">
        <v>0</v>
      </c>
      <c r="F163" s="193">
        <v>0.83898305084745761</v>
      </c>
      <c r="G163" s="58">
        <v>334.78260869565219</v>
      </c>
      <c r="H163" s="58">
        <v>0.35647097702077624</v>
      </c>
      <c r="I163" s="58">
        <f t="shared" si="8"/>
        <v>652.54237288135596</v>
      </c>
      <c r="J163" s="58">
        <v>2.36</v>
      </c>
      <c r="K163" s="58">
        <v>4.34</v>
      </c>
      <c r="L163" s="58">
        <v>20</v>
      </c>
      <c r="M163" s="58">
        <f t="shared" si="0"/>
        <v>18.02</v>
      </c>
      <c r="N163" s="58">
        <f t="shared" si="9"/>
        <v>587.7862595419848</v>
      </c>
      <c r="O163" s="58">
        <f t="shared" si="10"/>
        <v>15.4</v>
      </c>
      <c r="P163">
        <f t="shared" si="7"/>
        <v>50.885969031279018</v>
      </c>
      <c r="Q163">
        <v>30.263745180000004</v>
      </c>
    </row>
    <row r="164" spans="1:17" ht="15.75" customHeight="1">
      <c r="A164" s="194" t="s">
        <v>43</v>
      </c>
      <c r="B164" s="194" t="s">
        <v>116</v>
      </c>
      <c r="C164" s="58">
        <v>265</v>
      </c>
      <c r="D164" s="58">
        <v>2</v>
      </c>
      <c r="E164" s="58">
        <v>0</v>
      </c>
      <c r="F164" s="193">
        <v>0.83333333333333348</v>
      </c>
      <c r="G164" s="58">
        <v>391.11111111111114</v>
      </c>
      <c r="H164" s="58">
        <v>1.0672248464497454</v>
      </c>
      <c r="I164" s="58">
        <f t="shared" si="8"/>
        <v>752.13675213675219</v>
      </c>
      <c r="J164" s="58">
        <v>2.34</v>
      </c>
      <c r="K164" s="58">
        <v>4.29</v>
      </c>
      <c r="L164" s="58">
        <v>22.1</v>
      </c>
      <c r="M164" s="58">
        <f t="shared" si="0"/>
        <v>20.150000000000002</v>
      </c>
      <c r="N164" s="58">
        <f t="shared" si="9"/>
        <v>690.19607843137271</v>
      </c>
      <c r="O164" s="58">
        <f t="shared" si="10"/>
        <v>17.600000000000001</v>
      </c>
      <c r="P164">
        <f t="shared" si="7"/>
        <v>59.095797934259245</v>
      </c>
      <c r="Q164">
        <v>29.782151380000002</v>
      </c>
    </row>
    <row r="165" spans="1:17" ht="15.75" customHeight="1">
      <c r="A165" s="194" t="s">
        <v>43</v>
      </c>
      <c r="B165" s="194" t="s">
        <v>113</v>
      </c>
      <c r="C165" s="58">
        <v>291</v>
      </c>
      <c r="D165" s="58">
        <v>24</v>
      </c>
      <c r="E165" s="58">
        <v>0</v>
      </c>
      <c r="F165" s="193">
        <v>0.95049504950495045</v>
      </c>
      <c r="G165" s="58">
        <v>395.23809523809524</v>
      </c>
      <c r="H165" s="58">
        <v>1.938088579887566</v>
      </c>
      <c r="I165" s="58">
        <f t="shared" ref="I165:I184" si="11">(L165-L125)/J125*100</f>
        <v>821.78217821782175</v>
      </c>
      <c r="J165" s="58">
        <v>2.02</v>
      </c>
      <c r="K165" s="58">
        <v>3.94</v>
      </c>
      <c r="L165" s="58">
        <v>20.8</v>
      </c>
      <c r="M165" s="58">
        <f t="shared" si="0"/>
        <v>18.880000000000003</v>
      </c>
      <c r="N165" s="58">
        <f t="shared" ref="N165:N184" si="12">(L165-L125)/M125*100</f>
        <v>728.07017543859649</v>
      </c>
      <c r="O165" s="58">
        <f t="shared" ref="O165:O184" si="13">L165-L125</f>
        <v>16.600000000000001</v>
      </c>
      <c r="P165">
        <f t="shared" si="7"/>
        <v>57.501229746932445</v>
      </c>
      <c r="Q165">
        <v>28.868947800000001</v>
      </c>
    </row>
    <row r="166" spans="1:17" ht="15.75" customHeight="1">
      <c r="A166" s="194" t="s">
        <v>43</v>
      </c>
      <c r="B166" s="194" t="s">
        <v>113</v>
      </c>
      <c r="C166" s="58">
        <v>292</v>
      </c>
      <c r="D166" s="58">
        <v>24</v>
      </c>
      <c r="E166" s="58">
        <v>0</v>
      </c>
      <c r="F166" s="193">
        <v>0.90624999999999967</v>
      </c>
      <c r="G166" s="58">
        <v>404.44444444444446</v>
      </c>
      <c r="H166" s="58">
        <v>-1.3788506725376366</v>
      </c>
      <c r="I166" s="58">
        <f t="shared" si="11"/>
        <v>812.49999999999977</v>
      </c>
      <c r="J166" s="58">
        <v>2.2400000000000002</v>
      </c>
      <c r="K166" s="58">
        <v>4.2699999999999996</v>
      </c>
      <c r="L166" s="58">
        <v>22.7</v>
      </c>
      <c r="M166" s="58">
        <f t="shared" si="0"/>
        <v>20.67</v>
      </c>
      <c r="N166" s="58">
        <f t="shared" si="12"/>
        <v>736.84210526315769</v>
      </c>
      <c r="O166" s="58">
        <f t="shared" si="13"/>
        <v>18.2</v>
      </c>
      <c r="P166">
        <f t="shared" si="7"/>
        <v>64.1194730390431</v>
      </c>
      <c r="Q166">
        <v>28.384512749999999</v>
      </c>
    </row>
    <row r="167" spans="1:17" ht="15.75" customHeight="1">
      <c r="A167" s="194" t="s">
        <v>43</v>
      </c>
      <c r="B167" s="194" t="s">
        <v>113</v>
      </c>
      <c r="C167" s="58">
        <v>293</v>
      </c>
      <c r="D167" s="58">
        <v>24</v>
      </c>
      <c r="E167" s="58">
        <v>0</v>
      </c>
      <c r="F167" s="193">
        <v>0.89177489177489178</v>
      </c>
      <c r="G167" s="58">
        <v>391.304347826087</v>
      </c>
      <c r="H167" s="58">
        <v>-5.0825419862572749</v>
      </c>
      <c r="I167" s="58">
        <f t="shared" si="11"/>
        <v>779.22077922077926</v>
      </c>
      <c r="J167" s="58">
        <v>2.31</v>
      </c>
      <c r="K167" s="58">
        <v>4.37</v>
      </c>
      <c r="L167" s="58">
        <v>22.6</v>
      </c>
      <c r="M167" s="58">
        <f t="shared" si="0"/>
        <v>20.540000000000003</v>
      </c>
      <c r="N167" s="58">
        <f t="shared" si="12"/>
        <v>708.66141732283472</v>
      </c>
      <c r="O167" s="58">
        <f t="shared" si="13"/>
        <v>18</v>
      </c>
      <c r="P167">
        <f t="shared" si="7"/>
        <v>63.711824790443053</v>
      </c>
      <c r="Q167">
        <v>28.2522123</v>
      </c>
    </row>
    <row r="168" spans="1:17" ht="15.75" customHeight="1">
      <c r="A168" s="194" t="s">
        <v>43</v>
      </c>
      <c r="B168" s="194" t="s">
        <v>113</v>
      </c>
      <c r="C168" s="58">
        <v>294</v>
      </c>
      <c r="D168" s="58">
        <v>24</v>
      </c>
      <c r="E168" s="58">
        <v>0</v>
      </c>
      <c r="F168" s="193">
        <v>0.83414634146341471</v>
      </c>
      <c r="G168" s="58">
        <v>389.74358974358978</v>
      </c>
      <c r="H168" s="58">
        <v>-4.1159448068256683</v>
      </c>
      <c r="I168" s="58">
        <f t="shared" si="11"/>
        <v>741.46341463414649</v>
      </c>
      <c r="J168" s="58">
        <v>2.0499999999999998</v>
      </c>
      <c r="K168" s="58">
        <v>3.76</v>
      </c>
      <c r="L168" s="58">
        <v>19.100000000000001</v>
      </c>
      <c r="M168" s="58">
        <f t="shared" si="0"/>
        <v>17.39</v>
      </c>
      <c r="N168" s="58">
        <f t="shared" si="12"/>
        <v>694.06392694063936</v>
      </c>
      <c r="O168" s="58">
        <f t="shared" si="13"/>
        <v>15.200000000000001</v>
      </c>
      <c r="P168">
        <f t="shared" si="7"/>
        <v>55.833519138958977</v>
      </c>
      <c r="Q168">
        <v>27.223790000000001</v>
      </c>
    </row>
    <row r="169" spans="1:17" ht="15.75" customHeight="1">
      <c r="A169" s="194" t="s">
        <v>43</v>
      </c>
      <c r="B169" s="194" t="s">
        <v>113</v>
      </c>
      <c r="C169" s="58">
        <v>295</v>
      </c>
      <c r="D169" s="58">
        <v>24</v>
      </c>
      <c r="E169" s="58">
        <v>0</v>
      </c>
      <c r="F169" s="193">
        <v>0.88127853881278551</v>
      </c>
      <c r="G169" s="58">
        <v>404.6511627906977</v>
      </c>
      <c r="H169" s="58">
        <v>1.9385685783177811</v>
      </c>
      <c r="I169" s="58">
        <f t="shared" si="11"/>
        <v>794.52054794520541</v>
      </c>
      <c r="J169" s="58">
        <v>2.19</v>
      </c>
      <c r="K169" s="58">
        <v>4.12</v>
      </c>
      <c r="L169" s="58">
        <v>21.7</v>
      </c>
      <c r="M169" s="58">
        <f t="shared" si="0"/>
        <v>19.77</v>
      </c>
      <c r="N169" s="58">
        <f t="shared" si="12"/>
        <v>734.17721518987344</v>
      </c>
      <c r="O169" s="58">
        <f t="shared" si="13"/>
        <v>17.399999999999999</v>
      </c>
      <c r="P169">
        <f t="shared" si="7"/>
        <v>63.119207416683153</v>
      </c>
      <c r="Q169">
        <v>27.566886075000003</v>
      </c>
    </row>
    <row r="170" spans="1:17" ht="15.75" customHeight="1">
      <c r="A170" s="194" t="s">
        <v>43</v>
      </c>
      <c r="B170" s="194" t="s">
        <v>114</v>
      </c>
      <c r="C170" s="58">
        <v>316</v>
      </c>
      <c r="D170" s="58">
        <v>24</v>
      </c>
      <c r="E170" s="58">
        <v>0</v>
      </c>
      <c r="F170" s="193">
        <v>0.80073800738007384</v>
      </c>
      <c r="G170" s="58">
        <v>398.03921568627447</v>
      </c>
      <c r="H170" s="58">
        <v>-0.57819332829297032</v>
      </c>
      <c r="I170" s="58">
        <f t="shared" si="11"/>
        <v>749.07749077490769</v>
      </c>
      <c r="J170" s="58">
        <v>2.71</v>
      </c>
      <c r="K170" s="58">
        <v>4.88</v>
      </c>
      <c r="L170" s="58">
        <v>25.4</v>
      </c>
      <c r="M170" s="58">
        <f t="shared" si="0"/>
        <v>23.229999999999997</v>
      </c>
      <c r="N170" s="58">
        <f t="shared" si="12"/>
        <v>692.83276450511937</v>
      </c>
      <c r="O170" s="58">
        <f t="shared" si="13"/>
        <v>20.299999999999997</v>
      </c>
      <c r="P170">
        <f t="shared" si="7"/>
        <v>68.372000289549689</v>
      </c>
      <c r="Q170">
        <v>29.690516459999998</v>
      </c>
    </row>
    <row r="171" spans="1:17" ht="15.75" customHeight="1">
      <c r="A171" s="194" t="s">
        <v>43</v>
      </c>
      <c r="B171" s="194" t="s">
        <v>114</v>
      </c>
      <c r="C171" s="58">
        <v>317</v>
      </c>
      <c r="D171" s="58">
        <v>24</v>
      </c>
      <c r="E171" s="58">
        <v>0</v>
      </c>
      <c r="F171" s="193">
        <v>0.79411764705882337</v>
      </c>
      <c r="G171" s="58">
        <v>400</v>
      </c>
      <c r="H171" s="58">
        <v>1.4002180752733755</v>
      </c>
      <c r="I171" s="58">
        <f t="shared" si="11"/>
        <v>749.99999999999989</v>
      </c>
      <c r="J171" s="58">
        <v>2.72</v>
      </c>
      <c r="K171" s="58">
        <v>4.88</v>
      </c>
      <c r="L171" s="58">
        <v>25.5</v>
      </c>
      <c r="M171" s="58">
        <f t="shared" si="0"/>
        <v>23.34</v>
      </c>
      <c r="N171" s="58">
        <f t="shared" si="12"/>
        <v>693.87755102040819</v>
      </c>
      <c r="O171" s="58">
        <f t="shared" si="13"/>
        <v>20.399999999999999</v>
      </c>
      <c r="P171">
        <f t="shared" si="7"/>
        <v>66.662167471417845</v>
      </c>
      <c r="Q171">
        <v>30.602065270000001</v>
      </c>
    </row>
    <row r="172" spans="1:17" ht="15.75" customHeight="1">
      <c r="A172" s="194" t="s">
        <v>43</v>
      </c>
      <c r="B172" s="194" t="s">
        <v>114</v>
      </c>
      <c r="C172" s="58">
        <v>318</v>
      </c>
      <c r="D172" s="58">
        <v>24</v>
      </c>
      <c r="E172" s="58">
        <v>0</v>
      </c>
      <c r="F172" s="193">
        <v>0.77777777777777779</v>
      </c>
      <c r="G172" s="58">
        <v>388.67924528301882</v>
      </c>
      <c r="H172" s="58">
        <v>2.1917224732211613</v>
      </c>
      <c r="I172" s="58">
        <f t="shared" si="11"/>
        <v>738.35125448028668</v>
      </c>
      <c r="J172" s="58">
        <v>2.79</v>
      </c>
      <c r="K172" s="58">
        <v>4.96</v>
      </c>
      <c r="L172" s="58">
        <v>25.9</v>
      </c>
      <c r="M172" s="58">
        <f t="shared" si="0"/>
        <v>23.729999999999997</v>
      </c>
      <c r="N172" s="58">
        <f t="shared" si="12"/>
        <v>658.14696485623006</v>
      </c>
      <c r="O172" s="58">
        <f t="shared" si="13"/>
        <v>20.599999999999998</v>
      </c>
      <c r="P172">
        <f t="shared" si="7"/>
        <v>67.522552902896365</v>
      </c>
      <c r="Q172">
        <v>30.508325166000002</v>
      </c>
    </row>
    <row r="173" spans="1:17" ht="15.75" customHeight="1">
      <c r="A173" s="194" t="s">
        <v>43</v>
      </c>
      <c r="B173" s="194" t="s">
        <v>114</v>
      </c>
      <c r="C173" s="58">
        <v>319</v>
      </c>
      <c r="D173" s="58">
        <v>24</v>
      </c>
      <c r="E173" s="58">
        <v>0</v>
      </c>
      <c r="F173" s="193">
        <v>0.7738515901060069</v>
      </c>
      <c r="G173" s="58">
        <v>394.33962264150944</v>
      </c>
      <c r="H173" s="58">
        <v>-2.6248393939920538</v>
      </c>
      <c r="I173" s="58">
        <f t="shared" si="11"/>
        <v>738.51590106007063</v>
      </c>
      <c r="J173" s="58">
        <v>2.83</v>
      </c>
      <c r="K173" s="58">
        <v>5.0199999999999996</v>
      </c>
      <c r="L173" s="58">
        <v>26.2</v>
      </c>
      <c r="M173" s="58">
        <f t="shared" si="0"/>
        <v>24.009999999999998</v>
      </c>
      <c r="N173" s="58">
        <f t="shared" si="12"/>
        <v>672.02572347266869</v>
      </c>
      <c r="O173" s="58">
        <f t="shared" si="13"/>
        <v>20.9</v>
      </c>
      <c r="P173">
        <f t="shared" si="7"/>
        <v>68.594066543586536</v>
      </c>
      <c r="Q173">
        <v>30.469107683999997</v>
      </c>
    </row>
    <row r="174" spans="1:17" ht="15.75" customHeight="1">
      <c r="A174" s="194" t="s">
        <v>43</v>
      </c>
      <c r="B174" s="194" t="s">
        <v>114</v>
      </c>
      <c r="C174" s="58">
        <v>320</v>
      </c>
      <c r="D174" s="58">
        <v>24</v>
      </c>
      <c r="E174" s="58">
        <v>0</v>
      </c>
      <c r="F174" s="193">
        <v>0.7943262411347517</v>
      </c>
      <c r="G174" s="58">
        <v>387.03703703703695</v>
      </c>
      <c r="H174" s="58">
        <v>-0.17484097922421377</v>
      </c>
      <c r="I174" s="58">
        <f t="shared" si="11"/>
        <v>741.13475177304963</v>
      </c>
      <c r="J174" s="58">
        <v>2.82</v>
      </c>
      <c r="K174" s="58">
        <v>5.0599999999999996</v>
      </c>
      <c r="L174" s="58">
        <v>26.3</v>
      </c>
      <c r="M174" s="58">
        <f t="shared" si="0"/>
        <v>24.060000000000002</v>
      </c>
      <c r="N174" s="58">
        <f t="shared" si="12"/>
        <v>661.39240506329088</v>
      </c>
      <c r="O174" s="58">
        <f t="shared" si="13"/>
        <v>20.9</v>
      </c>
      <c r="P174">
        <f t="shared" si="7"/>
        <v>66.758708420533068</v>
      </c>
      <c r="Q174">
        <v>31.306777040000004</v>
      </c>
    </row>
    <row r="175" spans="1:17" ht="15.75" customHeight="1">
      <c r="A175" s="194" t="s">
        <v>43</v>
      </c>
      <c r="B175" s="194" t="s">
        <v>115</v>
      </c>
      <c r="C175" s="58">
        <v>241</v>
      </c>
      <c r="D175" s="58">
        <v>24</v>
      </c>
      <c r="E175" s="58">
        <v>0</v>
      </c>
      <c r="F175" s="193">
        <v>0.57758620689655182</v>
      </c>
      <c r="G175" s="58">
        <v>343.10344827586204</v>
      </c>
      <c r="H175" s="58">
        <v>1.0043617707847201</v>
      </c>
      <c r="I175" s="58">
        <f t="shared" si="11"/>
        <v>571.83908045977012</v>
      </c>
      <c r="J175" s="58">
        <v>3.48</v>
      </c>
      <c r="K175" s="58">
        <v>5.49</v>
      </c>
      <c r="L175" s="58">
        <v>25.7</v>
      </c>
      <c r="M175" s="58">
        <f t="shared" si="0"/>
        <v>23.689999999999998</v>
      </c>
      <c r="N175" s="58">
        <f t="shared" si="12"/>
        <v>525.06596306068604</v>
      </c>
      <c r="O175" s="58">
        <f t="shared" si="13"/>
        <v>19.899999999999999</v>
      </c>
      <c r="P175">
        <f t="shared" si="7"/>
        <v>66.908715987295992</v>
      </c>
      <c r="Q175">
        <v>29.742014483999998</v>
      </c>
    </row>
    <row r="176" spans="1:17" ht="15.75" customHeight="1">
      <c r="A176" s="194" t="s">
        <v>43</v>
      </c>
      <c r="B176" s="194" t="s">
        <v>115</v>
      </c>
      <c r="C176" s="58">
        <v>242</v>
      </c>
      <c r="D176" s="58">
        <v>24</v>
      </c>
      <c r="E176" s="58">
        <v>0</v>
      </c>
      <c r="F176" s="193">
        <v>0.56473829201101922</v>
      </c>
      <c r="G176" s="58">
        <v>341.66666666666663</v>
      </c>
      <c r="H176" s="58">
        <v>3.13088177692293</v>
      </c>
      <c r="I176" s="58">
        <f t="shared" si="11"/>
        <v>564.73829201101933</v>
      </c>
      <c r="J176" s="58">
        <v>3.63</v>
      </c>
      <c r="K176" s="58">
        <v>5.68</v>
      </c>
      <c r="L176" s="58">
        <v>26.5</v>
      </c>
      <c r="M176" s="58">
        <f t="shared" si="0"/>
        <v>24.45</v>
      </c>
      <c r="N176" s="58">
        <f t="shared" si="12"/>
        <v>518.98734177215192</v>
      </c>
      <c r="O176" s="58">
        <f t="shared" si="13"/>
        <v>20.5</v>
      </c>
      <c r="P176">
        <f t="shared" si="7"/>
        <v>67.130904179887224</v>
      </c>
      <c r="Q176">
        <v>30.53735124</v>
      </c>
    </row>
    <row r="177" spans="1:28" ht="15.75" customHeight="1">
      <c r="A177" s="194" t="s">
        <v>43</v>
      </c>
      <c r="B177" s="194" t="s">
        <v>115</v>
      </c>
      <c r="C177" s="58">
        <v>243</v>
      </c>
      <c r="D177" s="58">
        <v>24</v>
      </c>
      <c r="E177" s="58">
        <v>0</v>
      </c>
      <c r="F177" s="193">
        <v>0.55124653739612184</v>
      </c>
      <c r="G177" s="58">
        <v>335.59322033898297</v>
      </c>
      <c r="H177" s="58">
        <v>-0.16003046050564754</v>
      </c>
      <c r="I177" s="58">
        <f t="shared" si="11"/>
        <v>548.47645429362876</v>
      </c>
      <c r="J177" s="58">
        <v>3.61</v>
      </c>
      <c r="K177" s="58">
        <v>5.6</v>
      </c>
      <c r="L177" s="58">
        <v>25.7</v>
      </c>
      <c r="M177" s="58">
        <f t="shared" si="0"/>
        <v>23.71</v>
      </c>
      <c r="N177" s="58">
        <f t="shared" si="12"/>
        <v>506.393861892583</v>
      </c>
      <c r="O177" s="58">
        <f t="shared" si="13"/>
        <v>19.799999999999997</v>
      </c>
      <c r="P177">
        <f t="shared" si="7"/>
        <v>65.713040038554624</v>
      </c>
      <c r="Q177">
        <v>30.131005944000002</v>
      </c>
    </row>
    <row r="178" spans="1:28" ht="15.75" customHeight="1">
      <c r="A178" s="194" t="s">
        <v>43</v>
      </c>
      <c r="B178" s="194" t="s">
        <v>115</v>
      </c>
      <c r="C178" s="58">
        <v>244</v>
      </c>
      <c r="D178" s="58">
        <v>24</v>
      </c>
      <c r="E178" s="58">
        <v>0</v>
      </c>
      <c r="F178" s="193">
        <v>0.50824175824175821</v>
      </c>
      <c r="G178" s="58">
        <v>336.20689655172413</v>
      </c>
      <c r="H178" s="58">
        <v>1.0015552686931266</v>
      </c>
      <c r="I178" s="58">
        <f t="shared" si="11"/>
        <v>535.71428571428567</v>
      </c>
      <c r="J178" s="58">
        <v>3.64</v>
      </c>
      <c r="K178" s="58">
        <v>5.49</v>
      </c>
      <c r="L178" s="58">
        <v>25.3</v>
      </c>
      <c r="M178" s="58">
        <f t="shared" si="0"/>
        <v>23.45</v>
      </c>
      <c r="N178" s="58">
        <f t="shared" si="12"/>
        <v>493.6708860759494</v>
      </c>
      <c r="O178" s="58">
        <f t="shared" si="13"/>
        <v>19.5</v>
      </c>
      <c r="P178">
        <f t="shared" si="7"/>
        <v>65.030514528454248</v>
      </c>
      <c r="Q178">
        <v>29.985922979999998</v>
      </c>
    </row>
    <row r="179" spans="1:28" ht="15.75" customHeight="1">
      <c r="A179" s="194" t="s">
        <v>43</v>
      </c>
      <c r="B179" s="194" t="s">
        <v>115</v>
      </c>
      <c r="C179" s="58">
        <v>245</v>
      </c>
      <c r="D179" s="58">
        <v>24</v>
      </c>
      <c r="E179" s="58">
        <v>0</v>
      </c>
      <c r="F179" s="193">
        <v>0.57507082152974498</v>
      </c>
      <c r="G179" s="58">
        <v>358.62068965517244</v>
      </c>
      <c r="H179" s="58">
        <v>-2.1820536555461576</v>
      </c>
      <c r="I179" s="58">
        <f t="shared" si="11"/>
        <v>589.2351274787535</v>
      </c>
      <c r="J179" s="58">
        <v>3.53</v>
      </c>
      <c r="K179" s="58">
        <v>5.56</v>
      </c>
      <c r="L179" s="58">
        <v>26.6</v>
      </c>
      <c r="M179" s="58">
        <f t="shared" si="0"/>
        <v>24.57</v>
      </c>
      <c r="N179" s="58">
        <f t="shared" si="12"/>
        <v>551.72413793103453</v>
      </c>
      <c r="O179" s="58">
        <f t="shared" si="13"/>
        <v>20.8</v>
      </c>
      <c r="P179">
        <f t="shared" si="7"/>
        <v>68.986389192371519</v>
      </c>
      <c r="Q179">
        <v>30.150875039999999</v>
      </c>
    </row>
    <row r="180" spans="1:28" ht="15.75" customHeight="1">
      <c r="A180" s="194" t="s">
        <v>43</v>
      </c>
      <c r="B180" s="194" t="s">
        <v>116</v>
      </c>
      <c r="C180" s="58">
        <v>261</v>
      </c>
      <c r="D180" s="58">
        <v>24</v>
      </c>
      <c r="E180" s="58">
        <v>0</v>
      </c>
      <c r="F180" s="193">
        <v>0.84188034188034178</v>
      </c>
      <c r="G180" s="58">
        <v>426.66666666666669</v>
      </c>
      <c r="H180" s="58">
        <v>0.16850988552859902</v>
      </c>
      <c r="I180" s="58">
        <f t="shared" si="11"/>
        <v>820.51282051282067</v>
      </c>
      <c r="J180" s="58">
        <v>2.34</v>
      </c>
      <c r="K180" s="58">
        <v>4.3099999999999996</v>
      </c>
      <c r="L180" s="58">
        <v>23.7</v>
      </c>
      <c r="M180" s="58">
        <f t="shared" si="0"/>
        <v>21.73</v>
      </c>
      <c r="N180" s="58">
        <f t="shared" si="12"/>
        <v>758.89328063241101</v>
      </c>
      <c r="O180" s="58">
        <f t="shared" si="13"/>
        <v>19.2</v>
      </c>
      <c r="P180">
        <f t="shared" si="7"/>
        <v>65.958239502000637</v>
      </c>
      <c r="Q180">
        <v>29.109327576000002</v>
      </c>
    </row>
    <row r="181" spans="1:28" ht="15.75" customHeight="1">
      <c r="A181" s="194" t="s">
        <v>43</v>
      </c>
      <c r="B181" s="194" t="s">
        <v>116</v>
      </c>
      <c r="C181" s="58">
        <v>262</v>
      </c>
      <c r="D181" s="58">
        <v>24</v>
      </c>
      <c r="E181" s="58">
        <v>0</v>
      </c>
      <c r="F181" s="193">
        <v>0.82426778242677823</v>
      </c>
      <c r="G181" s="58">
        <v>417.39130434782618</v>
      </c>
      <c r="H181" s="58">
        <v>-0.70904277562693174</v>
      </c>
      <c r="I181" s="58">
        <f t="shared" si="11"/>
        <v>803.34728033472823</v>
      </c>
      <c r="J181" s="58">
        <v>2.39</v>
      </c>
      <c r="K181" s="58">
        <v>4.3600000000000003</v>
      </c>
      <c r="L181" s="58">
        <v>23.8</v>
      </c>
      <c r="M181" s="58">
        <f t="shared" si="0"/>
        <v>21.830000000000002</v>
      </c>
      <c r="N181" s="58">
        <f t="shared" si="12"/>
        <v>730.03802281368849</v>
      </c>
      <c r="O181" s="58">
        <f t="shared" si="13"/>
        <v>19.200000000000003</v>
      </c>
      <c r="P181">
        <f t="shared" si="7"/>
        <v>65.590408869960228</v>
      </c>
      <c r="Q181">
        <v>29.272572516</v>
      </c>
    </row>
    <row r="182" spans="1:28" ht="15.75" customHeight="1">
      <c r="A182" s="194" t="s">
        <v>43</v>
      </c>
      <c r="B182" s="194" t="s">
        <v>116</v>
      </c>
      <c r="C182" s="58">
        <v>263</v>
      </c>
      <c r="D182" s="58">
        <v>24</v>
      </c>
      <c r="E182" s="58">
        <v>0</v>
      </c>
      <c r="F182" s="193">
        <v>0.83196721311475408</v>
      </c>
      <c r="G182" s="193">
        <v>419.56521739130432</v>
      </c>
      <c r="H182" s="58">
        <v>-5.2025531329065906</v>
      </c>
      <c r="I182" s="58">
        <f t="shared" si="11"/>
        <v>790.98360655737702</v>
      </c>
      <c r="J182" s="58">
        <v>2.44</v>
      </c>
      <c r="K182" s="58">
        <v>4.47</v>
      </c>
      <c r="L182" s="58">
        <v>23.9</v>
      </c>
      <c r="M182" s="58">
        <f t="shared" si="0"/>
        <v>21.869999999999997</v>
      </c>
      <c r="N182" s="58">
        <f t="shared" si="12"/>
        <v>750.97276264591426</v>
      </c>
      <c r="O182" s="58">
        <f t="shared" si="13"/>
        <v>19.299999999999997</v>
      </c>
      <c r="P182">
        <f t="shared" si="7"/>
        <v>65.872011453778924</v>
      </c>
      <c r="Q182">
        <v>29.299241930000001</v>
      </c>
    </row>
    <row r="183" spans="1:28" ht="15.75" customHeight="1">
      <c r="A183" s="194" t="s">
        <v>43</v>
      </c>
      <c r="B183" s="194" t="s">
        <v>116</v>
      </c>
      <c r="C183" s="58">
        <v>264</v>
      </c>
      <c r="D183" s="58">
        <v>24</v>
      </c>
      <c r="E183" s="58">
        <v>0</v>
      </c>
      <c r="F183" s="193">
        <v>0.83898305084745761</v>
      </c>
      <c r="G183" s="58">
        <v>408.695652173913</v>
      </c>
      <c r="H183" s="58">
        <v>-3.2876508974095322</v>
      </c>
      <c r="I183" s="58">
        <f t="shared" si="11"/>
        <v>796.61016949152531</v>
      </c>
      <c r="J183" s="58">
        <v>2.36</v>
      </c>
      <c r="K183" s="58">
        <v>4.34</v>
      </c>
      <c r="L183" s="58">
        <v>23.4</v>
      </c>
      <c r="M183" s="58">
        <f t="shared" si="0"/>
        <v>21.419999999999998</v>
      </c>
      <c r="N183" s="58">
        <f t="shared" si="12"/>
        <v>717.55725190839689</v>
      </c>
      <c r="O183" s="58">
        <f t="shared" si="13"/>
        <v>18.799999999999997</v>
      </c>
      <c r="P183">
        <f t="shared" si="7"/>
        <v>64.232266302108087</v>
      </c>
      <c r="Q183">
        <v>29.26877889</v>
      </c>
    </row>
    <row r="184" spans="1:28" ht="15.75" customHeight="1">
      <c r="A184" s="194" t="s">
        <v>43</v>
      </c>
      <c r="B184" s="194" t="s">
        <v>116</v>
      </c>
      <c r="C184" s="58">
        <v>265</v>
      </c>
      <c r="D184" s="58">
        <v>24</v>
      </c>
      <c r="E184" s="58">
        <v>0</v>
      </c>
      <c r="F184" s="193">
        <v>0.83333333333333348</v>
      </c>
      <c r="G184" s="58">
        <v>422.22222222222223</v>
      </c>
      <c r="H184" s="58">
        <v>1.6058211238599795</v>
      </c>
      <c r="I184" s="58">
        <f t="shared" si="11"/>
        <v>811.96581196581212</v>
      </c>
      <c r="J184" s="58">
        <v>2.34</v>
      </c>
      <c r="K184" s="58">
        <v>4.29</v>
      </c>
      <c r="L184" s="58">
        <v>23.5</v>
      </c>
      <c r="M184" s="58">
        <f t="shared" si="0"/>
        <v>21.55</v>
      </c>
      <c r="N184" s="58">
        <f t="shared" si="12"/>
        <v>745.0980392156863</v>
      </c>
      <c r="O184" s="58">
        <f t="shared" si="13"/>
        <v>19</v>
      </c>
      <c r="P184">
        <f t="shared" si="7"/>
        <v>62.788331748135384</v>
      </c>
      <c r="Q184">
        <v>30.260399457999998</v>
      </c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</row>
    <row r="185" spans="1:28" ht="15.75" customHeight="1">
      <c r="A185" s="58" t="s">
        <v>112</v>
      </c>
      <c r="B185" s="58" t="s">
        <v>113</v>
      </c>
      <c r="C185" s="58">
        <v>106</v>
      </c>
      <c r="D185" s="58">
        <v>0</v>
      </c>
      <c r="E185" s="246">
        <v>2.7624309392265217E-2</v>
      </c>
      <c r="F185" s="246">
        <v>1.0322580645161288</v>
      </c>
      <c r="G185" s="58">
        <v>0</v>
      </c>
      <c r="H185" s="58">
        <v>0</v>
      </c>
      <c r="I185" s="58">
        <v>0</v>
      </c>
      <c r="J185" s="58">
        <v>1.81</v>
      </c>
      <c r="K185" s="58">
        <v>3.78</v>
      </c>
      <c r="L185" s="58">
        <v>3.9</v>
      </c>
      <c r="M185" s="58">
        <f t="shared" si="0"/>
        <v>1.9300000000000002</v>
      </c>
      <c r="N185" s="58">
        <v>0</v>
      </c>
      <c r="O185" s="58">
        <v>0</v>
      </c>
      <c r="P185">
        <f t="shared" si="7"/>
        <v>0</v>
      </c>
      <c r="Q185">
        <v>23.606133978000003</v>
      </c>
      <c r="W185" s="246"/>
      <c r="X185" s="247"/>
      <c r="Y185" s="247"/>
      <c r="Z185" s="58"/>
      <c r="AA185" s="246"/>
      <c r="AB185" s="246"/>
    </row>
    <row r="186" spans="1:28" ht="15.75" customHeight="1">
      <c r="A186" s="58" t="s">
        <v>112</v>
      </c>
      <c r="B186" s="58" t="s">
        <v>113</v>
      </c>
      <c r="C186" s="58">
        <v>307</v>
      </c>
      <c r="D186" s="58">
        <v>0</v>
      </c>
      <c r="E186" s="246">
        <v>8.1447963800905049E-2</v>
      </c>
      <c r="F186" s="246">
        <v>0.99581589958158967</v>
      </c>
      <c r="G186" s="58">
        <v>0</v>
      </c>
      <c r="H186" s="58">
        <v>0</v>
      </c>
      <c r="I186" s="58">
        <v>0</v>
      </c>
      <c r="J186" s="58">
        <v>2.21</v>
      </c>
      <c r="K186" s="58">
        <v>4.7699999999999996</v>
      </c>
      <c r="L186" s="58">
        <v>4.8</v>
      </c>
      <c r="M186" s="58">
        <f t="shared" si="0"/>
        <v>2.2400000000000002</v>
      </c>
      <c r="N186" s="58">
        <v>0</v>
      </c>
      <c r="O186" s="58">
        <v>0</v>
      </c>
      <c r="P186">
        <f t="shared" si="7"/>
        <v>0</v>
      </c>
      <c r="Q186">
        <v>28.147874367999997</v>
      </c>
      <c r="W186" s="246"/>
      <c r="X186" s="247"/>
      <c r="Y186" s="247"/>
      <c r="Z186" s="58"/>
      <c r="AA186" s="246"/>
      <c r="AB186" s="246"/>
    </row>
    <row r="187" spans="1:28" ht="15.75" customHeight="1">
      <c r="A187" s="58" t="s">
        <v>112</v>
      </c>
      <c r="B187" s="58" t="s">
        <v>113</v>
      </c>
      <c r="C187" s="58">
        <v>310</v>
      </c>
      <c r="D187" s="58">
        <v>0</v>
      </c>
      <c r="E187" s="246">
        <v>6.0000000000000053E-2</v>
      </c>
      <c r="F187" s="246">
        <v>1.0377358490566038</v>
      </c>
      <c r="G187" s="58">
        <v>0</v>
      </c>
      <c r="H187" s="58">
        <v>0</v>
      </c>
      <c r="I187" s="58">
        <v>0</v>
      </c>
      <c r="J187" s="58">
        <v>2</v>
      </c>
      <c r="K187" s="58">
        <v>4.32</v>
      </c>
      <c r="L187" s="58">
        <v>4.4000000000000004</v>
      </c>
      <c r="M187" s="58">
        <f t="shared" si="0"/>
        <v>2.08</v>
      </c>
      <c r="N187" s="58">
        <v>0</v>
      </c>
      <c r="O187" s="58">
        <v>0</v>
      </c>
      <c r="P187">
        <f t="shared" si="7"/>
        <v>0</v>
      </c>
      <c r="Q187">
        <v>28.360651199999996</v>
      </c>
      <c r="W187" s="246"/>
      <c r="X187" s="247"/>
      <c r="Y187" s="247"/>
      <c r="Z187" s="58"/>
      <c r="AA187" s="246"/>
      <c r="AB187" s="246"/>
    </row>
    <row r="188" spans="1:28" ht="15.75" customHeight="1">
      <c r="A188" s="58" t="s">
        <v>112</v>
      </c>
      <c r="B188" s="58" t="s">
        <v>113</v>
      </c>
      <c r="C188" s="58">
        <v>286</v>
      </c>
      <c r="D188" s="58">
        <v>0</v>
      </c>
      <c r="E188" s="246">
        <v>8.4158415841584122E-2</v>
      </c>
      <c r="F188" s="246">
        <v>1.0410958904109588</v>
      </c>
      <c r="G188" s="58">
        <v>0</v>
      </c>
      <c r="H188" s="58">
        <v>0</v>
      </c>
      <c r="I188" s="58">
        <v>0</v>
      </c>
      <c r="J188" s="58">
        <v>2.02</v>
      </c>
      <c r="K188" s="58">
        <v>4.47</v>
      </c>
      <c r="L188" s="58">
        <v>4.5999999999999996</v>
      </c>
      <c r="M188" s="58">
        <f t="shared" si="0"/>
        <v>2.15</v>
      </c>
      <c r="N188" s="58">
        <v>0</v>
      </c>
      <c r="O188" s="58">
        <v>0</v>
      </c>
      <c r="P188">
        <f t="shared" si="7"/>
        <v>0</v>
      </c>
      <c r="Q188">
        <v>28.517119540000003</v>
      </c>
      <c r="W188" s="246"/>
      <c r="X188" s="247"/>
      <c r="Y188" s="247"/>
      <c r="Z188" s="58"/>
      <c r="AA188" s="246"/>
      <c r="AB188" s="246"/>
    </row>
    <row r="189" spans="1:28" ht="15.75" customHeight="1">
      <c r="A189" s="58" t="s">
        <v>112</v>
      </c>
      <c r="B189" s="58" t="s">
        <v>113</v>
      </c>
      <c r="C189" s="58">
        <v>328</v>
      </c>
      <c r="D189" s="58">
        <v>0</v>
      </c>
      <c r="E189" s="246">
        <v>0.23469387755102039</v>
      </c>
      <c r="F189" s="246">
        <v>0.7520661157024795</v>
      </c>
      <c r="G189" s="58">
        <v>0</v>
      </c>
      <c r="H189" s="58">
        <v>0</v>
      </c>
      <c r="I189" s="58">
        <v>0</v>
      </c>
      <c r="J189" s="58">
        <v>1.96</v>
      </c>
      <c r="K189" s="58">
        <v>4.24</v>
      </c>
      <c r="L189" s="58">
        <v>4.4000000000000004</v>
      </c>
      <c r="M189" s="58">
        <f t="shared" si="0"/>
        <v>2.12</v>
      </c>
      <c r="N189" s="58">
        <v>0</v>
      </c>
      <c r="O189" s="58">
        <v>0</v>
      </c>
      <c r="P189">
        <f t="shared" si="7"/>
        <v>0</v>
      </c>
      <c r="Q189">
        <v>29.32933212</v>
      </c>
      <c r="W189" s="246"/>
      <c r="X189" s="247"/>
      <c r="Y189" s="247"/>
      <c r="Z189" s="58"/>
      <c r="AA189" s="246"/>
      <c r="AB189" s="246"/>
    </row>
    <row r="190" spans="1:28" ht="15.75" customHeight="1">
      <c r="A190" s="58" t="s">
        <v>112</v>
      </c>
      <c r="B190" s="58" t="s">
        <v>114</v>
      </c>
      <c r="C190" s="58">
        <v>206</v>
      </c>
      <c r="D190" s="58">
        <v>0</v>
      </c>
      <c r="E190" s="246">
        <v>7.1969696969696947E-2</v>
      </c>
      <c r="F190" s="246">
        <v>0.84452296819787975</v>
      </c>
      <c r="G190" s="58">
        <v>0</v>
      </c>
      <c r="H190" s="58">
        <v>0</v>
      </c>
      <c r="I190" s="58">
        <v>0</v>
      </c>
      <c r="J190" s="58">
        <v>2.64</v>
      </c>
      <c r="K190" s="58">
        <v>5.22</v>
      </c>
      <c r="L190" s="58">
        <v>5.3</v>
      </c>
      <c r="M190" s="58">
        <f t="shared" si="0"/>
        <v>2.72</v>
      </c>
      <c r="N190" s="58">
        <v>0</v>
      </c>
      <c r="O190" s="58">
        <v>0</v>
      </c>
      <c r="P190">
        <f t="shared" si="7"/>
        <v>0</v>
      </c>
      <c r="Q190">
        <v>29.074967039999997</v>
      </c>
      <c r="W190" s="246"/>
      <c r="X190" s="247"/>
      <c r="Y190" s="247"/>
      <c r="Z190" s="58"/>
      <c r="AA190" s="246"/>
      <c r="AB190" s="246"/>
    </row>
    <row r="191" spans="1:28" ht="15.75" customHeight="1">
      <c r="A191" s="58" t="s">
        <v>112</v>
      </c>
      <c r="B191" s="58" t="s">
        <v>114</v>
      </c>
      <c r="C191" s="58">
        <v>312</v>
      </c>
      <c r="D191" s="58">
        <v>0</v>
      </c>
      <c r="E191" s="246">
        <v>5.26315789473683E-2</v>
      </c>
      <c r="F191" s="246">
        <v>0.88928571428571446</v>
      </c>
      <c r="G191" s="58">
        <v>0</v>
      </c>
      <c r="H191" s="58">
        <v>0</v>
      </c>
      <c r="I191" s="58">
        <v>0</v>
      </c>
      <c r="J191" s="58">
        <v>2.66</v>
      </c>
      <c r="K191" s="58">
        <v>5.29</v>
      </c>
      <c r="L191" s="58">
        <v>5.4</v>
      </c>
      <c r="M191" s="58">
        <f t="shared" si="0"/>
        <v>2.7700000000000005</v>
      </c>
      <c r="N191" s="58">
        <v>0</v>
      </c>
      <c r="O191" s="58">
        <v>0</v>
      </c>
      <c r="P191">
        <f t="shared" si="7"/>
        <v>0</v>
      </c>
      <c r="Q191">
        <v>29.079499999999999</v>
      </c>
      <c r="W191" s="246"/>
      <c r="X191" s="247"/>
      <c r="Y191" s="247"/>
      <c r="Z191" s="58"/>
      <c r="AA191" s="246"/>
      <c r="AB191" s="246"/>
    </row>
    <row r="192" spans="1:28" ht="15.75" customHeight="1">
      <c r="A192" s="58" t="s">
        <v>112</v>
      </c>
      <c r="B192" s="58" t="s">
        <v>114</v>
      </c>
      <c r="C192" s="58">
        <v>315</v>
      </c>
      <c r="D192" s="58">
        <v>0</v>
      </c>
      <c r="E192" s="246">
        <v>6.6176470588235184E-2</v>
      </c>
      <c r="F192" s="246">
        <v>0.88965517241379333</v>
      </c>
      <c r="G192" s="58">
        <v>0</v>
      </c>
      <c r="H192" s="58">
        <v>0</v>
      </c>
      <c r="I192" s="58">
        <v>0</v>
      </c>
      <c r="J192" s="58">
        <v>2.72</v>
      </c>
      <c r="K192" s="58">
        <v>5.48</v>
      </c>
      <c r="L192" s="58">
        <v>5.6</v>
      </c>
      <c r="M192" s="58">
        <f t="shared" si="0"/>
        <v>2.8399999999999994</v>
      </c>
      <c r="N192" s="58">
        <v>0</v>
      </c>
      <c r="O192" s="58">
        <v>0</v>
      </c>
      <c r="P192">
        <f t="shared" si="7"/>
        <v>0</v>
      </c>
      <c r="Q192">
        <v>30.583829825999999</v>
      </c>
      <c r="W192" s="246"/>
      <c r="X192" s="247"/>
      <c r="Y192" s="247"/>
      <c r="Z192" s="58"/>
      <c r="AA192" s="246"/>
      <c r="AB192" s="246"/>
    </row>
    <row r="193" spans="1:28" ht="15.75" customHeight="1">
      <c r="A193" s="58" t="s">
        <v>112</v>
      </c>
      <c r="B193" s="58" t="s">
        <v>114</v>
      </c>
      <c r="C193" s="58">
        <v>276</v>
      </c>
      <c r="D193" s="58">
        <v>0</v>
      </c>
      <c r="E193" s="246">
        <v>5.5147058823529375E-2</v>
      </c>
      <c r="F193" s="246">
        <v>0.81184668989547037</v>
      </c>
      <c r="G193" s="58">
        <v>0</v>
      </c>
      <c r="H193" s="58">
        <v>0</v>
      </c>
      <c r="I193" s="58">
        <v>0</v>
      </c>
      <c r="J193" s="58">
        <v>2.72</v>
      </c>
      <c r="K193" s="58">
        <v>5.2</v>
      </c>
      <c r="L193" s="58">
        <v>5.3</v>
      </c>
      <c r="M193" s="58">
        <f t="shared" si="0"/>
        <v>2.82</v>
      </c>
      <c r="N193" s="58">
        <v>0</v>
      </c>
      <c r="O193" s="58">
        <v>0</v>
      </c>
      <c r="P193">
        <f t="shared" si="7"/>
        <v>0</v>
      </c>
      <c r="Q193">
        <v>30.702487823999999</v>
      </c>
      <c r="W193" s="246"/>
      <c r="X193" s="247"/>
      <c r="Y193" s="247"/>
      <c r="Z193" s="58"/>
      <c r="AA193" s="246"/>
      <c r="AB193" s="246"/>
    </row>
    <row r="194" spans="1:28" ht="15.75" customHeight="1">
      <c r="A194" s="58" t="s">
        <v>112</v>
      </c>
      <c r="B194" s="58" t="s">
        <v>114</v>
      </c>
      <c r="C194" s="58">
        <v>269</v>
      </c>
      <c r="D194" s="58">
        <v>0</v>
      </c>
      <c r="E194" s="246">
        <v>5.776173285198561E-2</v>
      </c>
      <c r="F194" s="246">
        <v>0.97269624573378832</v>
      </c>
      <c r="G194" s="58">
        <v>0</v>
      </c>
      <c r="H194" s="58">
        <v>0</v>
      </c>
      <c r="I194" s="58">
        <v>0</v>
      </c>
      <c r="J194" s="58">
        <v>2.77</v>
      </c>
      <c r="K194" s="58">
        <v>5.78</v>
      </c>
      <c r="L194" s="58">
        <v>5.3</v>
      </c>
      <c r="M194" s="58">
        <f t="shared" si="0"/>
        <v>2.2899999999999996</v>
      </c>
      <c r="N194" s="58">
        <v>0</v>
      </c>
      <c r="O194" s="58">
        <v>0</v>
      </c>
      <c r="P194">
        <f t="shared" si="7"/>
        <v>0</v>
      </c>
      <c r="Q194">
        <v>29.069806727</v>
      </c>
      <c r="W194" s="246"/>
      <c r="X194" s="247"/>
      <c r="Y194" s="247"/>
      <c r="Z194" s="58"/>
      <c r="AA194" s="246"/>
      <c r="AB194" s="246"/>
    </row>
    <row r="195" spans="1:28" ht="15.75" customHeight="1">
      <c r="A195" s="58" t="s">
        <v>112</v>
      </c>
      <c r="B195" s="58" t="s">
        <v>115</v>
      </c>
      <c r="C195" s="58">
        <v>171</v>
      </c>
      <c r="D195" s="58">
        <v>0</v>
      </c>
      <c r="E195" s="246">
        <v>2.9850746268656744E-2</v>
      </c>
      <c r="F195" s="246">
        <v>0.69275362318840572</v>
      </c>
      <c r="G195" s="58">
        <v>0</v>
      </c>
      <c r="H195" s="58">
        <v>0</v>
      </c>
      <c r="I195" s="58">
        <v>0</v>
      </c>
      <c r="J195" s="58">
        <v>3.35</v>
      </c>
      <c r="K195" s="58">
        <v>5.84</v>
      </c>
      <c r="L195" s="58">
        <v>6</v>
      </c>
      <c r="M195" s="58">
        <f t="shared" si="0"/>
        <v>3.5100000000000002</v>
      </c>
      <c r="N195" s="58">
        <v>0</v>
      </c>
      <c r="O195" s="58">
        <v>0</v>
      </c>
      <c r="P195">
        <f t="shared" ref="P195:P244" si="14">O195/Q195*100</f>
        <v>0</v>
      </c>
      <c r="Q195">
        <v>27.951418880000002</v>
      </c>
      <c r="W195" s="246"/>
      <c r="X195" s="247"/>
      <c r="Y195" s="247"/>
      <c r="Z195" s="58"/>
      <c r="AA195" s="246"/>
      <c r="AB195" s="246"/>
    </row>
    <row r="196" spans="1:28" ht="15.75" customHeight="1">
      <c r="A196" s="58" t="s">
        <v>112</v>
      </c>
      <c r="B196" s="58" t="s">
        <v>115</v>
      </c>
      <c r="C196" s="58">
        <v>227</v>
      </c>
      <c r="D196" s="58">
        <v>0</v>
      </c>
      <c r="E196" s="246">
        <v>3.1884057971014457E-2</v>
      </c>
      <c r="F196" s="246">
        <v>0.6460674157303371</v>
      </c>
      <c r="G196" s="58">
        <v>0</v>
      </c>
      <c r="H196" s="58">
        <v>0</v>
      </c>
      <c r="I196" s="58">
        <v>0</v>
      </c>
      <c r="J196" s="58">
        <v>3.45</v>
      </c>
      <c r="K196" s="58">
        <v>5.86</v>
      </c>
      <c r="L196" s="58">
        <v>6</v>
      </c>
      <c r="M196" s="58">
        <f t="shared" si="0"/>
        <v>3.59</v>
      </c>
      <c r="N196" s="58">
        <v>0</v>
      </c>
      <c r="O196" s="58">
        <v>0</v>
      </c>
      <c r="P196">
        <f t="shared" si="14"/>
        <v>0</v>
      </c>
      <c r="Q196">
        <v>28.164407381999997</v>
      </c>
      <c r="W196" s="246"/>
      <c r="X196" s="247"/>
      <c r="Y196" s="247"/>
      <c r="Z196" s="58"/>
      <c r="AA196" s="246"/>
      <c r="AB196" s="246"/>
    </row>
    <row r="197" spans="1:28" ht="15.75" customHeight="1">
      <c r="A197" s="58" t="s">
        <v>112</v>
      </c>
      <c r="B197" s="58" t="s">
        <v>115</v>
      </c>
      <c r="C197" s="58">
        <v>346</v>
      </c>
      <c r="D197" s="58">
        <v>0</v>
      </c>
      <c r="E197" s="246">
        <v>7.4626865671641784E-2</v>
      </c>
      <c r="F197" s="246">
        <v>0.59444444444444444</v>
      </c>
      <c r="G197" s="58">
        <v>0</v>
      </c>
      <c r="H197" s="58">
        <v>0</v>
      </c>
      <c r="I197" s="58">
        <v>0</v>
      </c>
      <c r="J197" s="58">
        <v>3.35</v>
      </c>
      <c r="K197" s="58">
        <v>5.74</v>
      </c>
      <c r="L197" s="58">
        <v>5.9</v>
      </c>
      <c r="M197" s="58">
        <f t="shared" si="0"/>
        <v>3.5100000000000002</v>
      </c>
      <c r="N197" s="58">
        <v>0</v>
      </c>
      <c r="O197" s="58">
        <v>0</v>
      </c>
      <c r="P197">
        <f t="shared" si="14"/>
        <v>0</v>
      </c>
      <c r="Q197">
        <v>28.859341252</v>
      </c>
      <c r="W197" s="246"/>
      <c r="X197" s="247"/>
      <c r="Y197" s="247"/>
      <c r="Z197" s="58"/>
      <c r="AA197" s="246"/>
      <c r="AB197" s="246"/>
    </row>
    <row r="198" spans="1:28" ht="15.75" customHeight="1">
      <c r="A198" s="58" t="s">
        <v>112</v>
      </c>
      <c r="B198" s="58" t="s">
        <v>115</v>
      </c>
      <c r="C198" s="58">
        <v>51</v>
      </c>
      <c r="D198" s="58">
        <v>0</v>
      </c>
      <c r="E198" s="246">
        <v>-4.5576407506702395E-2</v>
      </c>
      <c r="F198" s="246">
        <v>0.76685393258426959</v>
      </c>
      <c r="G198" s="58">
        <v>0</v>
      </c>
      <c r="H198" s="58">
        <v>0</v>
      </c>
      <c r="I198" s="58">
        <v>0</v>
      </c>
      <c r="J198" s="58">
        <v>3.73</v>
      </c>
      <c r="K198" s="58">
        <v>6.29</v>
      </c>
      <c r="L198" s="58">
        <v>6.4</v>
      </c>
      <c r="M198" s="58">
        <f t="shared" si="0"/>
        <v>3.8400000000000003</v>
      </c>
      <c r="N198" s="58">
        <v>0</v>
      </c>
      <c r="O198" s="58">
        <v>0</v>
      </c>
      <c r="P198">
        <f t="shared" si="14"/>
        <v>0</v>
      </c>
      <c r="Q198">
        <v>31.730705423999996</v>
      </c>
      <c r="W198" s="246"/>
      <c r="X198" s="247"/>
      <c r="Y198" s="247"/>
      <c r="Z198" s="58"/>
      <c r="AA198" s="246"/>
      <c r="AB198" s="246"/>
    </row>
    <row r="199" spans="1:28" ht="15.75" customHeight="1">
      <c r="A199" s="58" t="s">
        <v>112</v>
      </c>
      <c r="B199" s="58" t="s">
        <v>115</v>
      </c>
      <c r="C199" s="58">
        <v>55</v>
      </c>
      <c r="D199" s="58">
        <v>0</v>
      </c>
      <c r="E199" s="246">
        <v>-1.8817204301075346E-2</v>
      </c>
      <c r="F199" s="246">
        <v>0.68493150684931525</v>
      </c>
      <c r="G199" s="58">
        <v>0</v>
      </c>
      <c r="H199" s="58">
        <v>0</v>
      </c>
      <c r="I199" s="58">
        <v>0</v>
      </c>
      <c r="J199" s="58">
        <v>3.72</v>
      </c>
      <c r="K199" s="58">
        <v>6.15</v>
      </c>
      <c r="L199" s="58">
        <v>6.3</v>
      </c>
      <c r="M199" s="58">
        <f t="shared" si="0"/>
        <v>3.8699999999999997</v>
      </c>
      <c r="N199" s="58">
        <v>0</v>
      </c>
      <c r="O199" s="58">
        <v>0</v>
      </c>
      <c r="P199">
        <f t="shared" si="14"/>
        <v>0</v>
      </c>
      <c r="Q199">
        <v>30.542832788999998</v>
      </c>
      <c r="W199" s="246"/>
      <c r="X199" s="247"/>
      <c r="Y199" s="247"/>
      <c r="Z199" s="58"/>
      <c r="AA199" s="246"/>
      <c r="AB199" s="246"/>
    </row>
    <row r="200" spans="1:28" ht="15.75" customHeight="1">
      <c r="A200" s="58" t="s">
        <v>112</v>
      </c>
      <c r="B200" s="58" t="s">
        <v>116</v>
      </c>
      <c r="C200" s="58">
        <v>191</v>
      </c>
      <c r="D200" s="58">
        <v>0</v>
      </c>
      <c r="E200" s="246">
        <v>4.6296296296296127E-2</v>
      </c>
      <c r="F200" s="246">
        <v>0.9734513274336285</v>
      </c>
      <c r="G200" s="58">
        <v>0</v>
      </c>
      <c r="H200" s="58">
        <v>0</v>
      </c>
      <c r="I200" s="58">
        <v>0</v>
      </c>
      <c r="J200" s="58">
        <v>2.16</v>
      </c>
      <c r="K200" s="58">
        <v>4.46</v>
      </c>
      <c r="L200" s="58">
        <v>4.5</v>
      </c>
      <c r="M200" s="58">
        <f t="shared" si="0"/>
        <v>2.2000000000000002</v>
      </c>
      <c r="N200" s="58">
        <v>0</v>
      </c>
      <c r="O200" s="58">
        <v>0</v>
      </c>
      <c r="P200">
        <f t="shared" si="14"/>
        <v>0</v>
      </c>
      <c r="Q200">
        <v>27.661936559999997</v>
      </c>
      <c r="W200" s="246"/>
      <c r="X200" s="247"/>
      <c r="Y200" s="247"/>
      <c r="Z200" s="58"/>
      <c r="AA200" s="246"/>
      <c r="AB200" s="246"/>
    </row>
    <row r="201" spans="1:28" ht="15.75" customHeight="1">
      <c r="A201" s="58" t="s">
        <v>112</v>
      </c>
      <c r="B201" s="58" t="s">
        <v>116</v>
      </c>
      <c r="C201" s="58">
        <v>157</v>
      </c>
      <c r="D201" s="58">
        <v>0</v>
      </c>
      <c r="E201" s="246">
        <v>4.2194092827004252E-2</v>
      </c>
      <c r="F201" s="246">
        <v>0.91497975708502022</v>
      </c>
      <c r="G201" s="58">
        <v>0</v>
      </c>
      <c r="H201" s="58">
        <v>0</v>
      </c>
      <c r="I201" s="58">
        <v>0</v>
      </c>
      <c r="J201" s="58">
        <v>2.37</v>
      </c>
      <c r="K201" s="58">
        <v>4.7300000000000004</v>
      </c>
      <c r="L201" s="58">
        <v>4.8</v>
      </c>
      <c r="M201" s="58">
        <f t="shared" si="0"/>
        <v>2.4399999999999995</v>
      </c>
      <c r="N201" s="58">
        <v>0</v>
      </c>
      <c r="O201" s="58">
        <v>0</v>
      </c>
      <c r="P201">
        <f t="shared" si="14"/>
        <v>0</v>
      </c>
      <c r="Q201">
        <v>28.640364479999999</v>
      </c>
      <c r="W201" s="246"/>
      <c r="X201" s="247"/>
      <c r="Y201" s="247"/>
      <c r="Z201" s="58"/>
      <c r="AA201" s="246"/>
      <c r="AB201" s="246"/>
    </row>
    <row r="202" spans="1:28" ht="15.75" customHeight="1">
      <c r="A202" s="58" t="s">
        <v>112</v>
      </c>
      <c r="B202" s="58" t="s">
        <v>116</v>
      </c>
      <c r="C202" s="58">
        <v>251</v>
      </c>
      <c r="D202" s="58">
        <v>0</v>
      </c>
      <c r="E202" s="246">
        <v>0.13461538461538453</v>
      </c>
      <c r="F202" s="246">
        <v>0.87288135593220351</v>
      </c>
      <c r="G202" s="58">
        <v>0</v>
      </c>
      <c r="H202" s="58">
        <v>0</v>
      </c>
      <c r="I202" s="58">
        <v>0</v>
      </c>
      <c r="J202" s="58">
        <v>2.08</v>
      </c>
      <c r="K202" s="58">
        <v>4.42</v>
      </c>
      <c r="L202" s="58">
        <v>4.5</v>
      </c>
      <c r="M202" s="58">
        <f t="shared" si="0"/>
        <v>2.16</v>
      </c>
      <c r="N202" s="58">
        <v>0</v>
      </c>
      <c r="O202" s="58">
        <v>0</v>
      </c>
      <c r="P202">
        <f t="shared" si="14"/>
        <v>0</v>
      </c>
      <c r="Q202">
        <v>29.540201774999996</v>
      </c>
      <c r="W202" s="246"/>
      <c r="X202" s="247"/>
      <c r="Y202" s="247"/>
      <c r="Z202" s="58"/>
      <c r="AA202" s="246"/>
      <c r="AB202" s="246"/>
    </row>
    <row r="203" spans="1:28" ht="15.75" customHeight="1">
      <c r="A203" s="58" t="s">
        <v>112</v>
      </c>
      <c r="B203" s="58" t="s">
        <v>116</v>
      </c>
      <c r="C203" s="58">
        <v>255</v>
      </c>
      <c r="D203" s="58">
        <v>0</v>
      </c>
      <c r="E203" s="246">
        <v>0.10447761194029873</v>
      </c>
      <c r="F203" s="246">
        <v>0.85135135135135132</v>
      </c>
      <c r="G203" s="58">
        <v>0</v>
      </c>
      <c r="H203" s="58">
        <v>0</v>
      </c>
      <c r="I203" s="58">
        <v>0</v>
      </c>
      <c r="J203" s="58">
        <v>2.0099999999999998</v>
      </c>
      <c r="K203" s="58">
        <v>4.1100000000000003</v>
      </c>
      <c r="L203" s="58">
        <v>4.2</v>
      </c>
      <c r="M203" s="58">
        <f t="shared" si="0"/>
        <v>2.0999999999999996</v>
      </c>
      <c r="N203" s="58">
        <v>0</v>
      </c>
      <c r="O203" s="58">
        <v>0</v>
      </c>
      <c r="P203">
        <f t="shared" si="14"/>
        <v>0</v>
      </c>
      <c r="Q203">
        <v>26.810998365000003</v>
      </c>
      <c r="W203" s="246"/>
      <c r="X203" s="247"/>
      <c r="Y203" s="247"/>
      <c r="Z203" s="58"/>
      <c r="AA203" s="246"/>
      <c r="AB203" s="246"/>
    </row>
    <row r="204" spans="1:28" ht="15.75" customHeight="1">
      <c r="A204" s="58" t="s">
        <v>112</v>
      </c>
      <c r="B204" s="58" t="s">
        <v>116</v>
      </c>
      <c r="C204" s="58">
        <v>216</v>
      </c>
      <c r="D204" s="58">
        <v>0</v>
      </c>
      <c r="E204" s="246">
        <v>-5.3811659192825163E-2</v>
      </c>
      <c r="F204" s="246">
        <v>1.1421800947867298</v>
      </c>
      <c r="G204" s="58">
        <v>0</v>
      </c>
      <c r="H204" s="58">
        <v>0</v>
      </c>
      <c r="I204" s="58">
        <v>0</v>
      </c>
      <c r="J204" s="58">
        <v>2.23</v>
      </c>
      <c r="K204" s="58">
        <v>4.5199999999999996</v>
      </c>
      <c r="L204" s="58">
        <v>4.5999999999999996</v>
      </c>
      <c r="M204" s="58">
        <f t="shared" si="0"/>
        <v>2.31</v>
      </c>
      <c r="N204" s="58">
        <v>0</v>
      </c>
      <c r="O204" s="58">
        <v>0</v>
      </c>
      <c r="P204">
        <f t="shared" si="14"/>
        <v>0</v>
      </c>
      <c r="Q204">
        <v>26.560796448999998</v>
      </c>
      <c r="W204" s="246"/>
      <c r="X204" s="247"/>
      <c r="Y204" s="247"/>
      <c r="Z204" s="58"/>
      <c r="AA204" s="246"/>
      <c r="AB204" s="246"/>
    </row>
    <row r="205" spans="1:28" ht="15.75" customHeight="1">
      <c r="A205" s="58" t="s">
        <v>112</v>
      </c>
      <c r="B205" s="58" t="s">
        <v>113</v>
      </c>
      <c r="C205" s="58">
        <v>106</v>
      </c>
      <c r="D205" s="58">
        <v>2</v>
      </c>
      <c r="E205" s="246">
        <v>2.7624309392265217E-2</v>
      </c>
      <c r="F205" s="246">
        <v>1.0322580645161288</v>
      </c>
      <c r="G205" s="248">
        <v>305.12820512820514</v>
      </c>
      <c r="H205" s="248">
        <v>6.8660384606413247</v>
      </c>
      <c r="I205" s="58">
        <f t="shared" ref="I205:I224" si="15">(L205-L185)/J185*100</f>
        <v>657.45856353591159</v>
      </c>
      <c r="J205" s="58">
        <v>1.81</v>
      </c>
      <c r="K205" s="58">
        <v>3.78</v>
      </c>
      <c r="L205" s="58">
        <v>15.8</v>
      </c>
      <c r="M205" s="58">
        <f t="shared" si="0"/>
        <v>13.830000000000002</v>
      </c>
      <c r="N205" s="58">
        <f t="shared" ref="N205:N224" si="16">(L205-L185)/M185*100</f>
        <v>616.58031088082896</v>
      </c>
      <c r="O205" s="194">
        <f t="shared" ref="O205:O224" si="17">L205-L185</f>
        <v>11.9</v>
      </c>
      <c r="P205">
        <f t="shared" si="14"/>
        <v>47.171792924979911</v>
      </c>
      <c r="Q205">
        <v>25.226940216000003</v>
      </c>
    </row>
    <row r="206" spans="1:28" ht="15.75" customHeight="1">
      <c r="A206" s="58" t="s">
        <v>112</v>
      </c>
      <c r="B206" s="58" t="s">
        <v>113</v>
      </c>
      <c r="C206" s="58">
        <v>307</v>
      </c>
      <c r="D206" s="58">
        <v>2</v>
      </c>
      <c r="E206" s="246">
        <v>8.1447963800905049E-2</v>
      </c>
      <c r="F206" s="246">
        <v>0.99581589958158967</v>
      </c>
      <c r="G206" s="248">
        <v>260.41666666666669</v>
      </c>
      <c r="H206" s="248">
        <v>6.848448244431232</v>
      </c>
      <c r="I206" s="58">
        <f t="shared" si="15"/>
        <v>565.61085972850685</v>
      </c>
      <c r="J206" s="58">
        <v>2.21</v>
      </c>
      <c r="K206" s="58">
        <v>4.7699999999999996</v>
      </c>
      <c r="L206" s="58">
        <v>17.3</v>
      </c>
      <c r="M206" s="58">
        <f t="shared" si="0"/>
        <v>14.740000000000002</v>
      </c>
      <c r="N206" s="58">
        <f t="shared" si="16"/>
        <v>558.03571428571422</v>
      </c>
      <c r="O206" s="194">
        <f t="shared" si="17"/>
        <v>12.5</v>
      </c>
      <c r="P206">
        <f t="shared" si="14"/>
        <v>41.56197623797042</v>
      </c>
      <c r="Q206">
        <v>30.075566976000001</v>
      </c>
    </row>
    <row r="207" spans="1:28" ht="15.75" customHeight="1">
      <c r="A207" s="58" t="s">
        <v>112</v>
      </c>
      <c r="B207" s="58" t="s">
        <v>113</v>
      </c>
      <c r="C207" s="58">
        <v>310</v>
      </c>
      <c r="D207" s="58">
        <v>2</v>
      </c>
      <c r="E207" s="246">
        <v>6.0000000000000053E-2</v>
      </c>
      <c r="F207" s="246">
        <v>1.0377358490566038</v>
      </c>
      <c r="G207" s="248">
        <v>259.09090909090907</v>
      </c>
      <c r="H207" s="248">
        <v>4.939811043548989</v>
      </c>
      <c r="I207" s="58">
        <f t="shared" si="15"/>
        <v>570</v>
      </c>
      <c r="J207" s="58">
        <v>2</v>
      </c>
      <c r="K207" s="58">
        <v>4.32</v>
      </c>
      <c r="L207" s="58">
        <v>15.8</v>
      </c>
      <c r="M207" s="58">
        <f t="shared" si="0"/>
        <v>13.48</v>
      </c>
      <c r="N207" s="58">
        <f t="shared" si="16"/>
        <v>548.07692307692309</v>
      </c>
      <c r="O207" s="194">
        <f t="shared" si="17"/>
        <v>11.4</v>
      </c>
      <c r="P207">
        <f t="shared" si="14"/>
        <v>38.304374501563061</v>
      </c>
      <c r="Q207">
        <v>29.761613780000005</v>
      </c>
    </row>
    <row r="208" spans="1:28" ht="15.75" customHeight="1">
      <c r="A208" s="58" t="s">
        <v>112</v>
      </c>
      <c r="B208" s="58" t="s">
        <v>113</v>
      </c>
      <c r="C208" s="58">
        <v>286</v>
      </c>
      <c r="D208" s="58">
        <v>2</v>
      </c>
      <c r="E208" s="246">
        <v>8.4158415841584122E-2</v>
      </c>
      <c r="F208" s="246">
        <v>1.0410958904109588</v>
      </c>
      <c r="G208" s="248">
        <v>297.82608695652175</v>
      </c>
      <c r="H208" s="248">
        <v>-0.64248316434277219</v>
      </c>
      <c r="I208" s="58">
        <f t="shared" si="15"/>
        <v>678.21782178217825</v>
      </c>
      <c r="J208" s="58">
        <v>2.02</v>
      </c>
      <c r="K208" s="58">
        <v>4.47</v>
      </c>
      <c r="L208" s="58">
        <v>18.3</v>
      </c>
      <c r="M208" s="58">
        <f t="shared" si="0"/>
        <v>15.850000000000001</v>
      </c>
      <c r="N208" s="58">
        <f t="shared" si="16"/>
        <v>637.20930232558146</v>
      </c>
      <c r="O208" s="194">
        <f t="shared" si="17"/>
        <v>13.700000000000001</v>
      </c>
      <c r="P208">
        <f t="shared" si="14"/>
        <v>48.351970983364723</v>
      </c>
      <c r="Q208">
        <v>28.333901848</v>
      </c>
    </row>
    <row r="209" spans="1:17" ht="15.75" customHeight="1">
      <c r="A209" s="58" t="s">
        <v>112</v>
      </c>
      <c r="B209" s="58" t="s">
        <v>113</v>
      </c>
      <c r="C209" s="58">
        <v>328</v>
      </c>
      <c r="D209" s="58">
        <v>2</v>
      </c>
      <c r="E209" s="246">
        <v>0.23469387755102039</v>
      </c>
      <c r="F209" s="246">
        <v>0.7520661157024795</v>
      </c>
      <c r="G209" s="248">
        <v>309.09090909090907</v>
      </c>
      <c r="H209" s="248">
        <v>-2.0833527422307929</v>
      </c>
      <c r="I209" s="58">
        <f t="shared" si="15"/>
        <v>693.87755102040819</v>
      </c>
      <c r="J209" s="58">
        <v>1.96</v>
      </c>
      <c r="K209" s="58">
        <v>4.24</v>
      </c>
      <c r="L209" s="58">
        <v>18</v>
      </c>
      <c r="M209" s="58">
        <f t="shared" si="0"/>
        <v>15.719999999999999</v>
      </c>
      <c r="N209" s="58">
        <f t="shared" si="16"/>
        <v>641.5094339622641</v>
      </c>
      <c r="O209" s="194">
        <f t="shared" si="17"/>
        <v>13.6</v>
      </c>
      <c r="P209">
        <f t="shared" si="14"/>
        <v>47.356565769820968</v>
      </c>
      <c r="Q209">
        <v>28.718298675000003</v>
      </c>
    </row>
    <row r="210" spans="1:17" ht="15.75" customHeight="1">
      <c r="A210" s="58" t="s">
        <v>112</v>
      </c>
      <c r="B210" s="58" t="s">
        <v>114</v>
      </c>
      <c r="C210" s="58">
        <v>206</v>
      </c>
      <c r="D210" s="58">
        <v>2</v>
      </c>
      <c r="E210" s="246">
        <v>7.1969696969696947E-2</v>
      </c>
      <c r="F210" s="246">
        <v>0.84452296819787975</v>
      </c>
      <c r="G210" s="248">
        <v>132.07547169811323</v>
      </c>
      <c r="H210" s="248">
        <v>5.8428516794631502</v>
      </c>
      <c r="I210" s="58">
        <f t="shared" si="15"/>
        <v>265.15151515151518</v>
      </c>
      <c r="J210" s="58">
        <v>2.64</v>
      </c>
      <c r="K210" s="58">
        <v>5.22</v>
      </c>
      <c r="L210" s="58">
        <v>12.3</v>
      </c>
      <c r="M210" s="58">
        <f t="shared" si="0"/>
        <v>9.7200000000000006</v>
      </c>
      <c r="N210" s="58">
        <f t="shared" si="16"/>
        <v>257.35294117647061</v>
      </c>
      <c r="O210" s="194">
        <f t="shared" si="17"/>
        <v>7.0000000000000009</v>
      </c>
      <c r="P210">
        <f t="shared" si="14"/>
        <v>22.746641167274653</v>
      </c>
      <c r="Q210">
        <v>30.773774239999995</v>
      </c>
    </row>
    <row r="211" spans="1:17" ht="15.75" customHeight="1">
      <c r="A211" s="58" t="s">
        <v>112</v>
      </c>
      <c r="B211" s="58" t="s">
        <v>114</v>
      </c>
      <c r="C211" s="58">
        <v>312</v>
      </c>
      <c r="D211" s="58">
        <v>2</v>
      </c>
      <c r="E211" s="246">
        <v>5.26315789473683E-2</v>
      </c>
      <c r="F211" s="246">
        <v>0.88928571428571446</v>
      </c>
      <c r="G211" s="248">
        <v>101.85185185185183</v>
      </c>
      <c r="H211" s="248">
        <v>4.2730766897642614</v>
      </c>
      <c r="I211" s="58">
        <f t="shared" si="15"/>
        <v>206.76691729323306</v>
      </c>
      <c r="J211" s="58">
        <v>2.66</v>
      </c>
      <c r="K211" s="58">
        <v>5.29</v>
      </c>
      <c r="L211" s="58">
        <v>10.9</v>
      </c>
      <c r="M211" s="58">
        <f t="shared" si="0"/>
        <v>8.27</v>
      </c>
      <c r="N211" s="58">
        <f t="shared" si="16"/>
        <v>198.55595667870031</v>
      </c>
      <c r="O211" s="194">
        <f t="shared" si="17"/>
        <v>5.5</v>
      </c>
      <c r="P211">
        <f t="shared" si="14"/>
        <v>18.138591767388888</v>
      </c>
      <c r="Q211">
        <v>30.322089335999998</v>
      </c>
    </row>
    <row r="212" spans="1:17" ht="15.75" customHeight="1">
      <c r="A212" s="58" t="s">
        <v>112</v>
      </c>
      <c r="B212" s="58" t="s">
        <v>114</v>
      </c>
      <c r="C212" s="58">
        <v>315</v>
      </c>
      <c r="D212" s="58">
        <v>2</v>
      </c>
      <c r="E212" s="246">
        <v>6.6176470588235184E-2</v>
      </c>
      <c r="F212" s="246">
        <v>0.88965517241379333</v>
      </c>
      <c r="G212" s="248">
        <v>192.85714285714286</v>
      </c>
      <c r="H212" s="248">
        <v>2.6745395022588654</v>
      </c>
      <c r="I212" s="58">
        <f t="shared" si="15"/>
        <v>397.05882352941171</v>
      </c>
      <c r="J212" s="58">
        <v>2.72</v>
      </c>
      <c r="K212" s="58">
        <v>5.48</v>
      </c>
      <c r="L212" s="58">
        <v>16.399999999999999</v>
      </c>
      <c r="M212" s="58">
        <f t="shared" si="0"/>
        <v>13.639999999999999</v>
      </c>
      <c r="N212" s="58">
        <f t="shared" si="16"/>
        <v>380.28169014084511</v>
      </c>
      <c r="O212" s="194">
        <f t="shared" si="17"/>
        <v>10.799999999999999</v>
      </c>
      <c r="P212">
        <f t="shared" si="14"/>
        <v>34.392925840147036</v>
      </c>
      <c r="Q212">
        <v>31.401806435999998</v>
      </c>
    </row>
    <row r="213" spans="1:17" ht="15.75" customHeight="1">
      <c r="A213" s="58" t="s">
        <v>112</v>
      </c>
      <c r="B213" s="58" t="s">
        <v>114</v>
      </c>
      <c r="C213" s="58">
        <v>276</v>
      </c>
      <c r="D213" s="58">
        <v>2</v>
      </c>
      <c r="E213" s="246">
        <v>5.5147058823529375E-2</v>
      </c>
      <c r="F213" s="246">
        <v>0.81184668989547037</v>
      </c>
      <c r="G213" s="248">
        <v>128.30188679245282</v>
      </c>
      <c r="H213" s="248">
        <v>-0.36936205186392385</v>
      </c>
      <c r="I213" s="58">
        <f t="shared" si="15"/>
        <v>249.99999999999994</v>
      </c>
      <c r="J213" s="58">
        <v>2.72</v>
      </c>
      <c r="K213" s="58">
        <v>5.2</v>
      </c>
      <c r="L213" s="58">
        <v>12.1</v>
      </c>
      <c r="M213" s="58">
        <f t="shared" si="0"/>
        <v>9.6199999999999992</v>
      </c>
      <c r="N213" s="58">
        <f t="shared" si="16"/>
        <v>241.13475177304963</v>
      </c>
      <c r="O213" s="194">
        <f t="shared" si="17"/>
        <v>6.8</v>
      </c>
      <c r="P213">
        <f t="shared" si="14"/>
        <v>22.230152077073516</v>
      </c>
      <c r="Q213">
        <v>30.589084485000001</v>
      </c>
    </row>
    <row r="214" spans="1:17" ht="15.75" customHeight="1">
      <c r="A214" s="58" t="s">
        <v>112</v>
      </c>
      <c r="B214" s="58" t="s">
        <v>114</v>
      </c>
      <c r="C214" s="58">
        <v>269</v>
      </c>
      <c r="D214" s="58">
        <v>2</v>
      </c>
      <c r="E214" s="246">
        <v>5.776173285198561E-2</v>
      </c>
      <c r="F214" s="246">
        <v>0.97269624573378832</v>
      </c>
      <c r="G214" s="248">
        <v>266.03773584905656</v>
      </c>
      <c r="H214" s="248">
        <v>6.934236219492167</v>
      </c>
      <c r="I214" s="58">
        <f t="shared" si="15"/>
        <v>509.0252707581227</v>
      </c>
      <c r="J214" s="58">
        <v>2.77</v>
      </c>
      <c r="K214" s="58">
        <v>5.78</v>
      </c>
      <c r="L214" s="58">
        <v>19.399999999999999</v>
      </c>
      <c r="M214" s="58">
        <f t="shared" si="0"/>
        <v>16.389999999999997</v>
      </c>
      <c r="N214" s="58">
        <f t="shared" si="16"/>
        <v>615.72052401746726</v>
      </c>
      <c r="O214" s="194">
        <f t="shared" si="17"/>
        <v>14.099999999999998</v>
      </c>
      <c r="P214">
        <f t="shared" si="14"/>
        <v>45.358657962261439</v>
      </c>
      <c r="Q214">
        <v>31.085575794000004</v>
      </c>
    </row>
    <row r="215" spans="1:17" ht="15.75" customHeight="1">
      <c r="A215" s="58" t="s">
        <v>112</v>
      </c>
      <c r="B215" s="58" t="s">
        <v>115</v>
      </c>
      <c r="C215" s="58">
        <v>171</v>
      </c>
      <c r="D215" s="58">
        <v>2</v>
      </c>
      <c r="E215" s="246">
        <v>2.9850746268656744E-2</v>
      </c>
      <c r="F215" s="246">
        <v>0.69275362318840572</v>
      </c>
      <c r="G215" s="248">
        <v>150</v>
      </c>
      <c r="H215" s="248">
        <v>6.3329798733995339</v>
      </c>
      <c r="I215" s="58">
        <f t="shared" si="15"/>
        <v>268.65671641791045</v>
      </c>
      <c r="J215" s="58">
        <v>3.35</v>
      </c>
      <c r="K215" s="58">
        <v>5.84</v>
      </c>
      <c r="L215" s="58">
        <v>15</v>
      </c>
      <c r="M215" s="58">
        <f t="shared" si="0"/>
        <v>12.51</v>
      </c>
      <c r="N215" s="58">
        <f t="shared" si="16"/>
        <v>256.41025641025641</v>
      </c>
      <c r="O215" s="194">
        <f t="shared" si="17"/>
        <v>9</v>
      </c>
      <c r="P215">
        <f t="shared" si="14"/>
        <v>30.281031580156071</v>
      </c>
      <c r="Q215">
        <v>29.721576612</v>
      </c>
    </row>
    <row r="216" spans="1:17" ht="15.75" customHeight="1">
      <c r="A216" s="58" t="s">
        <v>112</v>
      </c>
      <c r="B216" s="58" t="s">
        <v>115</v>
      </c>
      <c r="C216" s="58">
        <v>227</v>
      </c>
      <c r="D216" s="58">
        <v>2</v>
      </c>
      <c r="E216" s="246">
        <v>3.1884057971014457E-2</v>
      </c>
      <c r="F216" s="246">
        <v>0.6460674157303371</v>
      </c>
      <c r="G216" s="248">
        <v>218.33333333333337</v>
      </c>
      <c r="H216" s="248">
        <v>5.5962530175846368</v>
      </c>
      <c r="I216" s="58">
        <f t="shared" si="15"/>
        <v>379.71014492753625</v>
      </c>
      <c r="J216" s="58">
        <v>3.45</v>
      </c>
      <c r="K216" s="58">
        <v>5.86</v>
      </c>
      <c r="L216" s="58">
        <v>19.100000000000001</v>
      </c>
      <c r="M216" s="58">
        <f t="shared" si="0"/>
        <v>16.690000000000001</v>
      </c>
      <c r="N216" s="58">
        <f t="shared" si="16"/>
        <v>364.90250696378837</v>
      </c>
      <c r="O216" s="194">
        <f t="shared" si="17"/>
        <v>13.100000000000001</v>
      </c>
      <c r="P216">
        <f t="shared" si="14"/>
        <v>44.047591885737965</v>
      </c>
      <c r="Q216">
        <v>29.740558880000002</v>
      </c>
    </row>
    <row r="217" spans="1:17" ht="15.75" customHeight="1">
      <c r="A217" s="58" t="s">
        <v>112</v>
      </c>
      <c r="B217" s="58" t="s">
        <v>115</v>
      </c>
      <c r="C217" s="58">
        <v>346</v>
      </c>
      <c r="D217" s="58">
        <v>2</v>
      </c>
      <c r="E217" s="246">
        <v>7.4626865671641784E-2</v>
      </c>
      <c r="F217" s="246">
        <v>0.59444444444444444</v>
      </c>
      <c r="G217" s="248">
        <v>18.644067796610162</v>
      </c>
      <c r="H217" s="248">
        <v>3.6725799828384873</v>
      </c>
      <c r="I217" s="58">
        <f t="shared" si="15"/>
        <v>32.835820895522374</v>
      </c>
      <c r="J217" s="58">
        <v>3.35</v>
      </c>
      <c r="K217" s="58">
        <v>5.74</v>
      </c>
      <c r="L217" s="58">
        <v>7</v>
      </c>
      <c r="M217" s="58">
        <f t="shared" si="0"/>
        <v>4.6099999999999994</v>
      </c>
      <c r="N217" s="58">
        <f t="shared" si="16"/>
        <v>31.339031339031326</v>
      </c>
      <c r="O217" s="194">
        <f t="shared" si="17"/>
        <v>1.0999999999999996</v>
      </c>
      <c r="P217">
        <f t="shared" si="14"/>
        <v>3.6765659870125837</v>
      </c>
      <c r="Q217">
        <v>29.919223642000002</v>
      </c>
    </row>
    <row r="218" spans="1:17" ht="15.75" customHeight="1">
      <c r="A218" s="58" t="s">
        <v>112</v>
      </c>
      <c r="B218" s="58" t="s">
        <v>115</v>
      </c>
      <c r="C218" s="58">
        <v>51</v>
      </c>
      <c r="D218" s="58">
        <v>2</v>
      </c>
      <c r="E218" s="246">
        <v>-4.5576407506702395E-2</v>
      </c>
      <c r="F218" s="246">
        <v>0.76685393258426959</v>
      </c>
      <c r="G218" s="248">
        <v>92.1875</v>
      </c>
      <c r="H218" s="248">
        <v>-0.34423036784228939</v>
      </c>
      <c r="I218" s="58">
        <f t="shared" si="15"/>
        <v>158.17694369973191</v>
      </c>
      <c r="J218" s="58">
        <v>3.73</v>
      </c>
      <c r="K218" s="58">
        <v>6.29</v>
      </c>
      <c r="L218" s="58">
        <v>12.3</v>
      </c>
      <c r="M218" s="58">
        <f t="shared" si="0"/>
        <v>9.74</v>
      </c>
      <c r="N218" s="58">
        <f t="shared" si="16"/>
        <v>153.64583333333331</v>
      </c>
      <c r="O218" s="194">
        <f t="shared" si="17"/>
        <v>5.9</v>
      </c>
      <c r="P218">
        <f t="shared" si="14"/>
        <v>18.658203988417526</v>
      </c>
      <c r="Q218">
        <v>31.621478700000008</v>
      </c>
    </row>
    <row r="219" spans="1:17" ht="15.75" customHeight="1">
      <c r="A219" s="58" t="s">
        <v>112</v>
      </c>
      <c r="B219" s="58" t="s">
        <v>115</v>
      </c>
      <c r="C219" s="58">
        <v>55</v>
      </c>
      <c r="D219" s="58">
        <v>2</v>
      </c>
      <c r="E219" s="246">
        <v>-1.8817204301075346E-2</v>
      </c>
      <c r="F219" s="246">
        <v>0.68493150684931525</v>
      </c>
      <c r="G219" s="248">
        <v>57.142857142857153</v>
      </c>
      <c r="H219" s="248">
        <v>2.2374323158594471</v>
      </c>
      <c r="I219" s="58">
        <f t="shared" si="15"/>
        <v>96.774193548387117</v>
      </c>
      <c r="J219" s="58">
        <v>3.72</v>
      </c>
      <c r="K219" s="58">
        <v>6.15</v>
      </c>
      <c r="L219" s="58">
        <v>9.9</v>
      </c>
      <c r="M219" s="58">
        <f t="shared" si="0"/>
        <v>7.4700000000000006</v>
      </c>
      <c r="N219" s="58">
        <f t="shared" si="16"/>
        <v>93.023255813953512</v>
      </c>
      <c r="O219" s="194">
        <f t="shared" si="17"/>
        <v>3.6000000000000005</v>
      </c>
      <c r="P219">
        <f t="shared" si="14"/>
        <v>11.528777365474543</v>
      </c>
      <c r="Q219">
        <v>31.226208</v>
      </c>
    </row>
    <row r="220" spans="1:17" ht="15.75" customHeight="1">
      <c r="A220" s="58" t="s">
        <v>112</v>
      </c>
      <c r="B220" s="58" t="s">
        <v>116</v>
      </c>
      <c r="C220" s="58">
        <v>191</v>
      </c>
      <c r="D220" s="58">
        <v>2</v>
      </c>
      <c r="E220" s="246">
        <v>4.6296296296296127E-2</v>
      </c>
      <c r="F220" s="246">
        <v>0.9734513274336285</v>
      </c>
      <c r="G220" s="248">
        <v>257.77777777777777</v>
      </c>
      <c r="H220" s="248">
        <v>-0.50452428627793355</v>
      </c>
      <c r="I220" s="58">
        <f t="shared" si="15"/>
        <v>537.03703703703707</v>
      </c>
      <c r="J220" s="58">
        <v>2.16</v>
      </c>
      <c r="K220" s="58">
        <v>4.46</v>
      </c>
      <c r="L220" s="58">
        <v>16.100000000000001</v>
      </c>
      <c r="M220" s="58">
        <f t="shared" si="0"/>
        <v>13.8</v>
      </c>
      <c r="N220" s="58">
        <f t="shared" si="16"/>
        <v>527.27272727272737</v>
      </c>
      <c r="O220" s="194">
        <f t="shared" si="17"/>
        <v>11.600000000000001</v>
      </c>
      <c r="P220">
        <f t="shared" si="14"/>
        <v>42.147524852819593</v>
      </c>
      <c r="Q220">
        <v>27.522375372000003</v>
      </c>
    </row>
    <row r="221" spans="1:17" ht="15.75" customHeight="1">
      <c r="A221" s="58" t="s">
        <v>112</v>
      </c>
      <c r="B221" s="58" t="s">
        <v>116</v>
      </c>
      <c r="C221" s="58">
        <v>157</v>
      </c>
      <c r="D221" s="58">
        <v>2</v>
      </c>
      <c r="E221" s="246">
        <v>4.2194092827004252E-2</v>
      </c>
      <c r="F221" s="246">
        <v>0.91497975708502022</v>
      </c>
      <c r="G221" s="248">
        <v>68.75</v>
      </c>
      <c r="H221" s="248">
        <v>3.2448439706448973</v>
      </c>
      <c r="I221" s="58">
        <f t="shared" si="15"/>
        <v>139.24050632911391</v>
      </c>
      <c r="J221" s="58">
        <v>2.37</v>
      </c>
      <c r="K221" s="58">
        <v>4.7300000000000004</v>
      </c>
      <c r="L221" s="58">
        <v>8.1</v>
      </c>
      <c r="M221" s="58">
        <f t="shared" si="0"/>
        <v>5.7399999999999993</v>
      </c>
      <c r="N221" s="58">
        <f t="shared" si="16"/>
        <v>135.24590163934428</v>
      </c>
      <c r="O221" s="194">
        <f t="shared" si="17"/>
        <v>3.3</v>
      </c>
      <c r="P221">
        <f t="shared" si="14"/>
        <v>11.160072785345392</v>
      </c>
      <c r="Q221">
        <v>29.569699620000002</v>
      </c>
    </row>
    <row r="222" spans="1:17" ht="15.75" customHeight="1">
      <c r="A222" s="58" t="s">
        <v>112</v>
      </c>
      <c r="B222" s="58" t="s">
        <v>116</v>
      </c>
      <c r="C222" s="58">
        <v>251</v>
      </c>
      <c r="D222" s="58">
        <v>2</v>
      </c>
      <c r="E222" s="246">
        <v>0.13461538461538453</v>
      </c>
      <c r="F222" s="246">
        <v>0.87288135593220351</v>
      </c>
      <c r="G222" s="248">
        <v>293.33333333333331</v>
      </c>
      <c r="H222" s="248">
        <v>-0.94578086205370604</v>
      </c>
      <c r="I222" s="58">
        <f t="shared" si="15"/>
        <v>634.61538461538453</v>
      </c>
      <c r="J222" s="58">
        <v>2.08</v>
      </c>
      <c r="K222" s="58">
        <v>4.42</v>
      </c>
      <c r="L222" s="58">
        <v>17.7</v>
      </c>
      <c r="M222" s="58">
        <f t="shared" si="0"/>
        <v>15.36</v>
      </c>
      <c r="N222" s="58">
        <f t="shared" si="16"/>
        <v>611.11111111111109</v>
      </c>
      <c r="O222" s="194">
        <f t="shared" si="17"/>
        <v>13.2</v>
      </c>
      <c r="P222">
        <f t="shared" si="14"/>
        <v>45.111523580808388</v>
      </c>
      <c r="Q222">
        <v>29.260816199999997</v>
      </c>
    </row>
    <row r="223" spans="1:17" ht="15.75" customHeight="1">
      <c r="A223" s="58" t="s">
        <v>112</v>
      </c>
      <c r="B223" s="58" t="s">
        <v>116</v>
      </c>
      <c r="C223" s="58">
        <v>255</v>
      </c>
      <c r="D223" s="58">
        <v>2</v>
      </c>
      <c r="E223" s="246">
        <v>0.10447761194029873</v>
      </c>
      <c r="F223" s="246">
        <v>0.85135135135135132</v>
      </c>
      <c r="G223" s="248">
        <v>278.57142857142856</v>
      </c>
      <c r="H223" s="248">
        <v>5.0563488928846478</v>
      </c>
      <c r="I223" s="58">
        <f t="shared" si="15"/>
        <v>582.08955223880605</v>
      </c>
      <c r="J223" s="58">
        <v>2.0099999999999998</v>
      </c>
      <c r="K223" s="58">
        <v>4.1100000000000003</v>
      </c>
      <c r="L223" s="58">
        <v>15.9</v>
      </c>
      <c r="M223" s="58">
        <f t="shared" si="0"/>
        <v>13.8</v>
      </c>
      <c r="N223" s="58">
        <f t="shared" si="16"/>
        <v>557.14285714285722</v>
      </c>
      <c r="O223" s="194">
        <f t="shared" si="17"/>
        <v>11.7</v>
      </c>
      <c r="P223">
        <f t="shared" si="14"/>
        <v>41.538477292604966</v>
      </c>
      <c r="Q223">
        <v>28.166655984000002</v>
      </c>
    </row>
    <row r="224" spans="1:17" ht="15.75" customHeight="1">
      <c r="A224" s="58" t="s">
        <v>112</v>
      </c>
      <c r="B224" s="58" t="s">
        <v>116</v>
      </c>
      <c r="C224" s="58">
        <v>216</v>
      </c>
      <c r="D224" s="58">
        <v>2</v>
      </c>
      <c r="E224" s="246">
        <v>-5.3811659192825163E-2</v>
      </c>
      <c r="F224" s="246">
        <v>1.1421800947867298</v>
      </c>
      <c r="G224" s="248">
        <v>197.82608695652175</v>
      </c>
      <c r="H224" s="248">
        <v>8.0604034638449669</v>
      </c>
      <c r="I224" s="58">
        <f t="shared" si="15"/>
        <v>408.07174887892376</v>
      </c>
      <c r="J224" s="58">
        <v>2.23</v>
      </c>
      <c r="K224" s="58">
        <v>4.5199999999999996</v>
      </c>
      <c r="L224" s="58">
        <v>13.7</v>
      </c>
      <c r="M224" s="58">
        <f t="shared" si="0"/>
        <v>11.41</v>
      </c>
      <c r="N224" s="58">
        <f t="shared" si="16"/>
        <v>393.93939393939388</v>
      </c>
      <c r="O224" s="194">
        <f t="shared" si="17"/>
        <v>9.1</v>
      </c>
      <c r="P224">
        <f t="shared" si="14"/>
        <v>31.705434846337145</v>
      </c>
      <c r="Q224">
        <v>28.701703806000005</v>
      </c>
    </row>
    <row r="225" spans="1:17" ht="15.75" customHeight="1">
      <c r="A225" s="58" t="s">
        <v>112</v>
      </c>
      <c r="B225" s="58" t="s">
        <v>113</v>
      </c>
      <c r="C225" s="58">
        <v>106</v>
      </c>
      <c r="D225" s="58">
        <v>24</v>
      </c>
      <c r="E225" s="246">
        <v>2.7624309392265217E-2</v>
      </c>
      <c r="F225" s="246">
        <v>1.0322580645161288</v>
      </c>
      <c r="G225" s="248">
        <v>348.71794871794873</v>
      </c>
      <c r="H225" s="248">
        <v>-9.8484547817826965E-2</v>
      </c>
      <c r="I225" s="58">
        <f t="shared" ref="I225:I244" si="18">(L225-L185)/J185*100</f>
        <v>751.38121546961315</v>
      </c>
      <c r="J225" s="58">
        <v>1.81</v>
      </c>
      <c r="K225" s="58">
        <v>3.78</v>
      </c>
      <c r="L225" s="58">
        <v>17.5</v>
      </c>
      <c r="M225" s="58">
        <f t="shared" si="0"/>
        <v>15.530000000000001</v>
      </c>
      <c r="N225" s="58">
        <f t="shared" ref="N225:N244" si="19">(L225-L185)/M185*100</f>
        <v>704.66321243523305</v>
      </c>
      <c r="O225" s="194">
        <f t="shared" ref="O225:O244" si="20">L225-L185</f>
        <v>13.6</v>
      </c>
      <c r="P225">
        <f t="shared" si="14"/>
        <v>53.96376645707204</v>
      </c>
      <c r="Q225">
        <v>25.202095578000002</v>
      </c>
    </row>
    <row r="226" spans="1:17" ht="15.75" customHeight="1">
      <c r="A226" s="58" t="s">
        <v>112</v>
      </c>
      <c r="B226" s="58" t="s">
        <v>113</v>
      </c>
      <c r="C226" s="58">
        <v>307</v>
      </c>
      <c r="D226" s="58">
        <v>24</v>
      </c>
      <c r="E226" s="246">
        <v>8.1447963800905049E-2</v>
      </c>
      <c r="F226" s="246">
        <v>0.99581589958158967</v>
      </c>
      <c r="G226" s="248">
        <v>318.75000000000006</v>
      </c>
      <c r="H226" s="248">
        <v>-7.126992364634309</v>
      </c>
      <c r="I226" s="58">
        <f t="shared" si="18"/>
        <v>692.30769230769238</v>
      </c>
      <c r="J226" s="58">
        <v>2.21</v>
      </c>
      <c r="K226" s="58">
        <v>4.7699999999999996</v>
      </c>
      <c r="L226" s="58">
        <v>20.100000000000001</v>
      </c>
      <c r="M226" s="58">
        <f t="shared" si="0"/>
        <v>17.540000000000003</v>
      </c>
      <c r="N226" s="58">
        <f t="shared" si="19"/>
        <v>683.03571428571422</v>
      </c>
      <c r="O226" s="194">
        <f t="shared" si="20"/>
        <v>15.3</v>
      </c>
      <c r="P226">
        <f t="shared" si="14"/>
        <v>54.775720320167586</v>
      </c>
      <c r="Q226">
        <v>27.932083614000003</v>
      </c>
    </row>
    <row r="227" spans="1:17" ht="15.75" customHeight="1">
      <c r="A227" s="58" t="s">
        <v>112</v>
      </c>
      <c r="B227" s="58" t="s">
        <v>113</v>
      </c>
      <c r="C227" s="58">
        <v>310</v>
      </c>
      <c r="D227" s="58">
        <v>24</v>
      </c>
      <c r="E227" s="246">
        <v>6.0000000000000053E-2</v>
      </c>
      <c r="F227" s="246">
        <v>1.0377358490566038</v>
      </c>
      <c r="G227" s="248">
        <v>356.81818181818181</v>
      </c>
      <c r="H227" s="248">
        <v>-7.806821166268092</v>
      </c>
      <c r="I227" s="58">
        <f t="shared" si="18"/>
        <v>785</v>
      </c>
      <c r="J227" s="58">
        <v>2</v>
      </c>
      <c r="K227" s="58">
        <v>4.32</v>
      </c>
      <c r="L227" s="58">
        <v>20.100000000000001</v>
      </c>
      <c r="M227" s="58">
        <f t="shared" si="0"/>
        <v>17.78</v>
      </c>
      <c r="N227" s="58">
        <f t="shared" si="19"/>
        <v>754.80769230769238</v>
      </c>
      <c r="O227" s="194">
        <f t="shared" si="20"/>
        <v>15.700000000000001</v>
      </c>
      <c r="P227">
        <f t="shared" si="14"/>
        <v>57.219543168223339</v>
      </c>
      <c r="Q227">
        <v>27.438177816000003</v>
      </c>
    </row>
    <row r="228" spans="1:17" ht="15.75" customHeight="1">
      <c r="A228" s="58" t="s">
        <v>112</v>
      </c>
      <c r="B228" s="58" t="s">
        <v>113</v>
      </c>
      <c r="C228" s="58">
        <v>286</v>
      </c>
      <c r="D228" s="58">
        <v>24</v>
      </c>
      <c r="E228" s="246">
        <v>8.4158415841584122E-2</v>
      </c>
      <c r="F228" s="246">
        <v>1.0410958904109588</v>
      </c>
      <c r="G228" s="248">
        <v>352.17391304347836</v>
      </c>
      <c r="H228" s="248">
        <v>-2.1501542190279057</v>
      </c>
      <c r="I228" s="58">
        <f t="shared" si="18"/>
        <v>801.98019801980217</v>
      </c>
      <c r="J228" s="58">
        <v>2.02</v>
      </c>
      <c r="K228" s="58">
        <v>4.47</v>
      </c>
      <c r="L228" s="58">
        <v>20.8</v>
      </c>
      <c r="M228" s="58">
        <f t="shared" si="0"/>
        <v>18.350000000000001</v>
      </c>
      <c r="N228" s="58">
        <f t="shared" si="19"/>
        <v>753.48837209302349</v>
      </c>
      <c r="O228" s="194">
        <f t="shared" si="20"/>
        <v>16.200000000000003</v>
      </c>
      <c r="P228">
        <f t="shared" si="14"/>
        <v>58.431694905859722</v>
      </c>
      <c r="Q228">
        <v>27.724679262000002</v>
      </c>
    </row>
    <row r="229" spans="1:17" ht="15.75" customHeight="1">
      <c r="A229" s="58" t="s">
        <v>112</v>
      </c>
      <c r="B229" s="58" t="s">
        <v>113</v>
      </c>
      <c r="C229" s="58">
        <v>328</v>
      </c>
      <c r="D229" s="58">
        <v>24</v>
      </c>
      <c r="E229" s="246">
        <v>0.23469387755102039</v>
      </c>
      <c r="F229" s="246">
        <v>0.7520661157024795</v>
      </c>
      <c r="G229" s="248">
        <v>354.5454545454545</v>
      </c>
      <c r="H229" s="248">
        <v>-2.8970944289408012</v>
      </c>
      <c r="I229" s="58">
        <f t="shared" si="18"/>
        <v>795.91836734693879</v>
      </c>
      <c r="J229" s="58">
        <v>1.96</v>
      </c>
      <c r="K229" s="58">
        <v>4.24</v>
      </c>
      <c r="L229" s="58">
        <v>20</v>
      </c>
      <c r="M229" s="58">
        <f t="shared" si="0"/>
        <v>17.72</v>
      </c>
      <c r="N229" s="58">
        <f t="shared" si="19"/>
        <v>735.84905660377353</v>
      </c>
      <c r="O229" s="194">
        <f t="shared" si="20"/>
        <v>15.6</v>
      </c>
      <c r="P229">
        <f t="shared" si="14"/>
        <v>55.941443048346798</v>
      </c>
      <c r="Q229">
        <v>27.886302443999998</v>
      </c>
    </row>
    <row r="230" spans="1:17" ht="15.75" customHeight="1">
      <c r="A230" s="58" t="s">
        <v>112</v>
      </c>
      <c r="B230" s="58" t="s">
        <v>114</v>
      </c>
      <c r="C230" s="58">
        <v>206</v>
      </c>
      <c r="D230" s="58">
        <v>24</v>
      </c>
      <c r="E230" s="246">
        <v>7.1969696969696947E-2</v>
      </c>
      <c r="F230" s="246">
        <v>0.84452296819787975</v>
      </c>
      <c r="G230" s="248">
        <v>288.67924528301887</v>
      </c>
      <c r="H230" s="248">
        <v>-3.8014227857674436</v>
      </c>
      <c r="I230" s="58">
        <f t="shared" si="18"/>
        <v>579.54545454545462</v>
      </c>
      <c r="J230" s="58">
        <v>2.64</v>
      </c>
      <c r="K230" s="58">
        <v>5.22</v>
      </c>
      <c r="L230" s="58">
        <v>20.6</v>
      </c>
      <c r="M230" s="58">
        <f t="shared" si="0"/>
        <v>18.020000000000003</v>
      </c>
      <c r="N230" s="58">
        <f t="shared" si="19"/>
        <v>562.5</v>
      </c>
      <c r="O230" s="194">
        <f t="shared" si="20"/>
        <v>15.3</v>
      </c>
      <c r="P230">
        <f t="shared" si="14"/>
        <v>51.682322120636485</v>
      </c>
      <c r="Q230">
        <v>29.603932974000003</v>
      </c>
    </row>
    <row r="231" spans="1:17" ht="15.75" customHeight="1">
      <c r="A231" s="58" t="s">
        <v>112</v>
      </c>
      <c r="B231" s="58" t="s">
        <v>114</v>
      </c>
      <c r="C231" s="58">
        <v>312</v>
      </c>
      <c r="D231" s="58">
        <v>24</v>
      </c>
      <c r="E231" s="246">
        <v>5.26315789473683E-2</v>
      </c>
      <c r="F231" s="246">
        <v>0.88928571428571446</v>
      </c>
      <c r="G231" s="248">
        <v>309.2592592592593</v>
      </c>
      <c r="H231" s="248">
        <v>-3.2106323914960768</v>
      </c>
      <c r="I231" s="58">
        <f t="shared" si="18"/>
        <v>627.81954887218058</v>
      </c>
      <c r="J231" s="58">
        <v>2.66</v>
      </c>
      <c r="K231" s="58">
        <v>5.29</v>
      </c>
      <c r="L231" s="58">
        <v>22.1</v>
      </c>
      <c r="M231" s="58">
        <f t="shared" si="0"/>
        <v>19.470000000000002</v>
      </c>
      <c r="N231" s="58">
        <f t="shared" si="19"/>
        <v>602.88808664259932</v>
      </c>
      <c r="O231" s="194">
        <f t="shared" si="20"/>
        <v>16.700000000000003</v>
      </c>
      <c r="P231">
        <f t="shared" si="14"/>
        <v>56.902283606309588</v>
      </c>
      <c r="Q231">
        <v>29.348558514000004</v>
      </c>
    </row>
    <row r="232" spans="1:17" ht="15.75" customHeight="1">
      <c r="A232" s="58" t="s">
        <v>112</v>
      </c>
      <c r="B232" s="58" t="s">
        <v>114</v>
      </c>
      <c r="C232" s="58">
        <v>315</v>
      </c>
      <c r="D232" s="58">
        <v>24</v>
      </c>
      <c r="E232" s="246">
        <v>6.6176470588235184E-2</v>
      </c>
      <c r="F232" s="246">
        <v>0.88965517241379333</v>
      </c>
      <c r="G232" s="248">
        <v>291.07142857142856</v>
      </c>
      <c r="H232" s="248">
        <v>0.98131378087448018</v>
      </c>
      <c r="I232" s="58">
        <f t="shared" si="18"/>
        <v>599.26470588235281</v>
      </c>
      <c r="J232" s="58">
        <v>2.72</v>
      </c>
      <c r="K232" s="58">
        <v>5.48</v>
      </c>
      <c r="L232" s="58">
        <v>21.9</v>
      </c>
      <c r="M232" s="58">
        <f t="shared" si="0"/>
        <v>19.139999999999997</v>
      </c>
      <c r="N232" s="58">
        <f t="shared" si="19"/>
        <v>573.94366197183103</v>
      </c>
      <c r="O232" s="194">
        <f t="shared" si="20"/>
        <v>16.299999999999997</v>
      </c>
      <c r="P232">
        <f t="shared" si="14"/>
        <v>51.403413001634092</v>
      </c>
      <c r="Q232">
        <v>31.709956689999995</v>
      </c>
    </row>
    <row r="233" spans="1:17" ht="15.75" customHeight="1">
      <c r="A233" s="58" t="s">
        <v>112</v>
      </c>
      <c r="B233" s="58" t="s">
        <v>114</v>
      </c>
      <c r="C233" s="58">
        <v>276</v>
      </c>
      <c r="D233" s="58">
        <v>24</v>
      </c>
      <c r="E233" s="246">
        <v>5.5147058823529375E-2</v>
      </c>
      <c r="F233" s="246">
        <v>0.81184668989547037</v>
      </c>
      <c r="G233" s="248">
        <v>311.32075471698113</v>
      </c>
      <c r="H233" s="248">
        <v>-1.6421673464805073</v>
      </c>
      <c r="I233" s="58">
        <f t="shared" si="18"/>
        <v>606.61764705882342</v>
      </c>
      <c r="J233" s="58">
        <v>2.72</v>
      </c>
      <c r="K233" s="58">
        <v>5.2</v>
      </c>
      <c r="L233" s="58">
        <v>21.8</v>
      </c>
      <c r="M233" s="58">
        <f t="shared" si="0"/>
        <v>19.32</v>
      </c>
      <c r="N233" s="58">
        <f t="shared" si="19"/>
        <v>585.10638297872345</v>
      </c>
      <c r="O233" s="194">
        <f t="shared" si="20"/>
        <v>16.5</v>
      </c>
      <c r="P233">
        <f t="shared" si="14"/>
        <v>54.841397712606557</v>
      </c>
      <c r="Q233">
        <v>30.086760527999996</v>
      </c>
    </row>
    <row r="234" spans="1:17" ht="15.75" customHeight="1">
      <c r="A234" s="58" t="s">
        <v>112</v>
      </c>
      <c r="B234" s="58" t="s">
        <v>114</v>
      </c>
      <c r="C234" s="58">
        <v>269</v>
      </c>
      <c r="D234" s="58">
        <v>24</v>
      </c>
      <c r="E234" s="246">
        <v>5.776173285198561E-2</v>
      </c>
      <c r="F234" s="246">
        <v>0.97269624573378832</v>
      </c>
      <c r="G234" s="248">
        <v>360.37735849056605</v>
      </c>
      <c r="H234" s="248">
        <v>-0.44594314069858604</v>
      </c>
      <c r="I234" s="58">
        <f t="shared" si="18"/>
        <v>689.53068592057753</v>
      </c>
      <c r="J234" s="58">
        <v>2.77</v>
      </c>
      <c r="K234" s="58">
        <v>5.78</v>
      </c>
      <c r="L234" s="58">
        <v>24.4</v>
      </c>
      <c r="M234" s="58">
        <f t="shared" si="0"/>
        <v>21.389999999999997</v>
      </c>
      <c r="N234" s="58">
        <f t="shared" si="19"/>
        <v>834.06113537117915</v>
      </c>
      <c r="O234" s="194">
        <f t="shared" si="20"/>
        <v>19.099999999999998</v>
      </c>
      <c r="P234">
        <f t="shared" si="14"/>
        <v>61.718517942638897</v>
      </c>
      <c r="Q234">
        <v>30.946951801000001</v>
      </c>
    </row>
    <row r="235" spans="1:17" ht="15.75" customHeight="1">
      <c r="A235" s="58" t="s">
        <v>112</v>
      </c>
      <c r="B235" s="58" t="s">
        <v>115</v>
      </c>
      <c r="C235" s="58">
        <v>171</v>
      </c>
      <c r="D235" s="58">
        <v>24</v>
      </c>
      <c r="E235" s="246">
        <v>2.9850746268656744E-2</v>
      </c>
      <c r="F235" s="246">
        <v>0.69275362318840572</v>
      </c>
      <c r="G235" s="248">
        <v>290</v>
      </c>
      <c r="H235" s="248">
        <v>0.49205252436357533</v>
      </c>
      <c r="I235" s="58">
        <f t="shared" si="18"/>
        <v>519.40298507462671</v>
      </c>
      <c r="J235" s="58">
        <v>3.35</v>
      </c>
      <c r="K235" s="58">
        <v>5.84</v>
      </c>
      <c r="L235" s="58">
        <v>23.4</v>
      </c>
      <c r="M235" s="58">
        <f t="shared" si="0"/>
        <v>20.91</v>
      </c>
      <c r="N235" s="58">
        <f t="shared" si="19"/>
        <v>495.72649572649567</v>
      </c>
      <c r="O235" s="194">
        <f t="shared" si="20"/>
        <v>17.399999999999999</v>
      </c>
      <c r="P235">
        <f t="shared" si="14"/>
        <v>58.256674285204447</v>
      </c>
      <c r="Q235">
        <v>29.86782238</v>
      </c>
    </row>
    <row r="236" spans="1:17" ht="15.75" customHeight="1">
      <c r="A236" s="58" t="s">
        <v>112</v>
      </c>
      <c r="B236" s="58" t="s">
        <v>115</v>
      </c>
      <c r="C236" s="58">
        <v>227</v>
      </c>
      <c r="D236" s="58">
        <v>24</v>
      </c>
      <c r="E236" s="246">
        <v>3.1884057971014457E-2</v>
      </c>
      <c r="F236" s="246">
        <v>0.6460674157303371</v>
      </c>
      <c r="G236" s="248">
        <v>293.33333333333337</v>
      </c>
      <c r="H236" s="248">
        <v>-1.2178238931601451</v>
      </c>
      <c r="I236" s="58">
        <f t="shared" si="18"/>
        <v>510.14492753623193</v>
      </c>
      <c r="J236" s="58">
        <v>3.45</v>
      </c>
      <c r="K236" s="58">
        <v>5.86</v>
      </c>
      <c r="L236" s="58">
        <v>23.6</v>
      </c>
      <c r="M236" s="58">
        <f t="shared" si="0"/>
        <v>21.19</v>
      </c>
      <c r="N236" s="58">
        <f t="shared" si="19"/>
        <v>490.25069637883013</v>
      </c>
      <c r="O236" s="194">
        <f t="shared" si="20"/>
        <v>17.600000000000001</v>
      </c>
      <c r="P236">
        <f t="shared" si="14"/>
        <v>59.908018220030357</v>
      </c>
      <c r="Q236">
        <v>29.378371248000001</v>
      </c>
    </row>
    <row r="237" spans="1:17" ht="15.75" customHeight="1">
      <c r="A237" s="58" t="s">
        <v>112</v>
      </c>
      <c r="B237" s="58" t="s">
        <v>115</v>
      </c>
      <c r="C237" s="58">
        <v>346</v>
      </c>
      <c r="D237" s="58">
        <v>24</v>
      </c>
      <c r="E237" s="246">
        <v>7.4626865671641784E-2</v>
      </c>
      <c r="F237" s="246">
        <v>0.59444444444444444</v>
      </c>
      <c r="G237" s="248">
        <v>81.355932203389798</v>
      </c>
      <c r="H237" s="248">
        <v>-1.941717168036676</v>
      </c>
      <c r="I237" s="58">
        <f t="shared" si="18"/>
        <v>143.2835820895522</v>
      </c>
      <c r="J237" s="58">
        <v>3.35</v>
      </c>
      <c r="K237" s="58">
        <v>5.74</v>
      </c>
      <c r="L237" s="58">
        <v>10.7</v>
      </c>
      <c r="M237" s="58">
        <f t="shared" si="0"/>
        <v>8.3099999999999987</v>
      </c>
      <c r="N237" s="58">
        <f t="shared" si="19"/>
        <v>136.75213675213672</v>
      </c>
      <c r="O237" s="194">
        <f t="shared" si="20"/>
        <v>4.7999999999999989</v>
      </c>
      <c r="P237">
        <f t="shared" si="14"/>
        <v>16.360879031227793</v>
      </c>
      <c r="Q237">
        <v>29.33827694</v>
      </c>
    </row>
    <row r="238" spans="1:17" ht="15.75" customHeight="1">
      <c r="A238" s="58" t="s">
        <v>112</v>
      </c>
      <c r="B238" s="58" t="s">
        <v>115</v>
      </c>
      <c r="C238" s="58">
        <v>51</v>
      </c>
      <c r="D238" s="58">
        <v>24</v>
      </c>
      <c r="E238" s="246">
        <v>-4.5576407506702395E-2</v>
      </c>
      <c r="F238" s="246">
        <v>0.76685393258426959</v>
      </c>
      <c r="G238" s="248">
        <v>296.875</v>
      </c>
      <c r="H238" s="248">
        <v>-0.52727842547101689</v>
      </c>
      <c r="I238" s="58">
        <f t="shared" si="18"/>
        <v>509.38337801608577</v>
      </c>
      <c r="J238" s="58">
        <v>3.73</v>
      </c>
      <c r="K238" s="58">
        <v>6.29</v>
      </c>
      <c r="L238" s="58">
        <v>25.4</v>
      </c>
      <c r="M238" s="58">
        <f t="shared" si="0"/>
        <v>22.84</v>
      </c>
      <c r="N238" s="58">
        <f t="shared" si="19"/>
        <v>494.79166666666663</v>
      </c>
      <c r="O238" s="194">
        <f t="shared" si="20"/>
        <v>19</v>
      </c>
      <c r="P238">
        <f t="shared" si="14"/>
        <v>60.404240184176615</v>
      </c>
      <c r="Q238">
        <v>31.454745464999995</v>
      </c>
    </row>
    <row r="239" spans="1:17" ht="15.75" customHeight="1">
      <c r="A239" s="58" t="s">
        <v>112</v>
      </c>
      <c r="B239" s="58" t="s">
        <v>115</v>
      </c>
      <c r="C239" s="58">
        <v>55</v>
      </c>
      <c r="D239" s="58">
        <v>24</v>
      </c>
      <c r="E239" s="246">
        <v>-1.8817204301075346E-2</v>
      </c>
      <c r="F239" s="246">
        <v>0.68493150684931525</v>
      </c>
      <c r="G239" s="248">
        <v>252.38095238095238</v>
      </c>
      <c r="H239" s="248">
        <v>-4.1878764145809999</v>
      </c>
      <c r="I239" s="58">
        <f t="shared" si="18"/>
        <v>427.41935483870964</v>
      </c>
      <c r="J239" s="58">
        <v>3.72</v>
      </c>
      <c r="K239" s="58">
        <v>6.15</v>
      </c>
      <c r="L239" s="58">
        <v>22.2</v>
      </c>
      <c r="M239" s="58">
        <f t="shared" si="0"/>
        <v>19.77</v>
      </c>
      <c r="N239" s="58">
        <f t="shared" si="19"/>
        <v>410.85271317829461</v>
      </c>
      <c r="O239" s="194">
        <f t="shared" si="20"/>
        <v>15.899999999999999</v>
      </c>
      <c r="P239">
        <f t="shared" si="14"/>
        <v>53.144387987723853</v>
      </c>
      <c r="Q239">
        <v>29.918492999999994</v>
      </c>
    </row>
    <row r="240" spans="1:17" ht="15.75" customHeight="1">
      <c r="A240" s="58" t="s">
        <v>112</v>
      </c>
      <c r="B240" s="58" t="s">
        <v>116</v>
      </c>
      <c r="C240" s="58">
        <v>191</v>
      </c>
      <c r="D240" s="58">
        <v>24</v>
      </c>
      <c r="E240" s="246">
        <v>4.6296296296296127E-2</v>
      </c>
      <c r="F240" s="246">
        <v>0.9734513274336285</v>
      </c>
      <c r="G240" s="248">
        <v>333.33333333333337</v>
      </c>
      <c r="H240" s="248">
        <v>0.22733936716686753</v>
      </c>
      <c r="I240" s="58">
        <f t="shared" si="18"/>
        <v>694.44444444444434</v>
      </c>
      <c r="J240" s="58">
        <v>2.16</v>
      </c>
      <c r="K240" s="58">
        <v>4.46</v>
      </c>
      <c r="L240" s="58">
        <v>19.5</v>
      </c>
      <c r="M240" s="58">
        <f t="shared" si="0"/>
        <v>17.2</v>
      </c>
      <c r="N240" s="58">
        <f t="shared" si="19"/>
        <v>681.81818181818176</v>
      </c>
      <c r="O240" s="194">
        <f t="shared" si="20"/>
        <v>15</v>
      </c>
      <c r="P240">
        <f t="shared" si="14"/>
        <v>54.377488285723608</v>
      </c>
      <c r="Q240">
        <v>27.584944565999997</v>
      </c>
    </row>
    <row r="241" spans="1:17" ht="15.75" customHeight="1">
      <c r="A241" s="58" t="s">
        <v>112</v>
      </c>
      <c r="B241" s="58" t="s">
        <v>116</v>
      </c>
      <c r="C241" s="58">
        <v>157</v>
      </c>
      <c r="D241" s="58">
        <v>24</v>
      </c>
      <c r="E241" s="246">
        <v>4.2194092827004252E-2</v>
      </c>
      <c r="F241" s="246">
        <v>0.91497975708502022</v>
      </c>
      <c r="G241" s="248">
        <v>231.25000000000006</v>
      </c>
      <c r="H241" s="248">
        <v>-4.8821563578669931</v>
      </c>
      <c r="I241" s="58">
        <f t="shared" si="18"/>
        <v>468.35443037974687</v>
      </c>
      <c r="J241" s="58">
        <v>2.37</v>
      </c>
      <c r="K241" s="58">
        <v>4.7300000000000004</v>
      </c>
      <c r="L241" s="58">
        <v>15.9</v>
      </c>
      <c r="M241" s="58">
        <f t="shared" si="0"/>
        <v>13.54</v>
      </c>
      <c r="N241" s="58">
        <f t="shared" si="19"/>
        <v>454.91803278688536</v>
      </c>
      <c r="O241" s="194">
        <f t="shared" si="20"/>
        <v>11.100000000000001</v>
      </c>
      <c r="P241">
        <f t="shared" si="14"/>
        <v>39.465178355860516</v>
      </c>
      <c r="Q241">
        <v>28.126060649999999</v>
      </c>
    </row>
    <row r="242" spans="1:17" ht="15.75" customHeight="1">
      <c r="A242" s="58" t="s">
        <v>112</v>
      </c>
      <c r="B242" s="58" t="s">
        <v>116</v>
      </c>
      <c r="C242" s="58">
        <v>251</v>
      </c>
      <c r="D242" s="58">
        <v>24</v>
      </c>
      <c r="E242" s="246">
        <v>0.13461538461538453</v>
      </c>
      <c r="F242" s="246">
        <v>0.87288135593220351</v>
      </c>
      <c r="G242" s="248">
        <v>359.99999999999994</v>
      </c>
      <c r="H242" s="248">
        <v>-0.48546684080533337</v>
      </c>
      <c r="I242" s="58">
        <f t="shared" si="18"/>
        <v>778.8461538461537</v>
      </c>
      <c r="J242" s="58">
        <v>2.08</v>
      </c>
      <c r="K242" s="58">
        <v>4.42</v>
      </c>
      <c r="L242" s="58">
        <v>20.7</v>
      </c>
      <c r="M242" s="58">
        <f t="shared" si="0"/>
        <v>18.36</v>
      </c>
      <c r="N242" s="58">
        <f t="shared" si="19"/>
        <v>749.99999999999989</v>
      </c>
      <c r="O242" s="194">
        <f t="shared" si="20"/>
        <v>16.2</v>
      </c>
      <c r="P242">
        <f t="shared" si="14"/>
        <v>55.634228307015157</v>
      </c>
      <c r="Q242">
        <v>29.118764640000002</v>
      </c>
    </row>
    <row r="243" spans="1:17" ht="15.75" customHeight="1">
      <c r="A243" s="58" t="s">
        <v>112</v>
      </c>
      <c r="B243" s="58" t="s">
        <v>116</v>
      </c>
      <c r="C243" s="58">
        <v>255</v>
      </c>
      <c r="D243" s="58">
        <v>24</v>
      </c>
      <c r="E243" s="246">
        <v>0.10447761194029873</v>
      </c>
      <c r="F243" s="246">
        <v>0.85135135135135132</v>
      </c>
      <c r="G243" s="248">
        <v>361.90476190476187</v>
      </c>
      <c r="H243" s="248">
        <v>-3.1230022814908684</v>
      </c>
      <c r="I243" s="58">
        <f t="shared" si="18"/>
        <v>756.21890547263683</v>
      </c>
      <c r="J243" s="58">
        <v>2.0099999999999998</v>
      </c>
      <c r="K243" s="58">
        <v>4.1100000000000003</v>
      </c>
      <c r="L243" s="58">
        <v>19.399999999999999</v>
      </c>
      <c r="M243" s="58">
        <f t="shared" si="0"/>
        <v>17.299999999999997</v>
      </c>
      <c r="N243" s="58">
        <f t="shared" si="19"/>
        <v>723.80952380952385</v>
      </c>
      <c r="O243" s="194">
        <f t="shared" si="20"/>
        <v>15.2</v>
      </c>
      <c r="P243">
        <f t="shared" si="14"/>
        <v>55.704159686227705</v>
      </c>
      <c r="Q243">
        <v>27.287010674999998</v>
      </c>
    </row>
    <row r="244" spans="1:17" ht="15.75" customHeight="1">
      <c r="A244" s="58" t="s">
        <v>112</v>
      </c>
      <c r="B244" s="58" t="s">
        <v>116</v>
      </c>
      <c r="C244" s="58">
        <v>216</v>
      </c>
      <c r="D244" s="58">
        <v>24</v>
      </c>
      <c r="E244" s="246">
        <v>-5.3811659192825163E-2</v>
      </c>
      <c r="F244" s="246">
        <v>1.1421800947867298</v>
      </c>
      <c r="G244" s="248">
        <v>306.52173913043481</v>
      </c>
      <c r="H244" s="248">
        <v>-3.2730079069509004</v>
      </c>
      <c r="I244" s="58">
        <f t="shared" si="18"/>
        <v>632.28699551569503</v>
      </c>
      <c r="J244" s="58">
        <v>2.23</v>
      </c>
      <c r="K244" s="58">
        <v>4.5199999999999996</v>
      </c>
      <c r="L244" s="58">
        <v>18.7</v>
      </c>
      <c r="M244" s="58">
        <f t="shared" si="0"/>
        <v>16.41</v>
      </c>
      <c r="N244" s="58">
        <f t="shared" si="19"/>
        <v>610.38961038961043</v>
      </c>
      <c r="O244" s="194">
        <f t="shared" si="20"/>
        <v>14.1</v>
      </c>
      <c r="P244">
        <f t="shared" si="14"/>
        <v>50.788308806261249</v>
      </c>
      <c r="Q244">
        <v>27.762294770999997</v>
      </c>
    </row>
    <row r="245" spans="1:17" ht="15.75" customHeight="1"/>
    <row r="246" spans="1:17" ht="15.75" customHeight="1"/>
    <row r="247" spans="1:17" ht="15.75" customHeight="1"/>
    <row r="248" spans="1:17" ht="15.75" customHeight="1"/>
    <row r="249" spans="1:17" ht="15.75" customHeight="1"/>
    <row r="250" spans="1:17" ht="15.75" customHeight="1"/>
    <row r="251" spans="1:17" ht="15.75" customHeight="1"/>
    <row r="252" spans="1:17" ht="15.75" customHeight="1"/>
    <row r="253" spans="1:17" ht="15.75" customHeight="1"/>
    <row r="254" spans="1:17" ht="15.75" customHeight="1"/>
    <row r="255" spans="1:17" ht="15.75" customHeight="1"/>
    <row r="256" spans="1:1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99"/>
  <sheetViews>
    <sheetView workbookViewId="0"/>
  </sheetViews>
  <sheetFormatPr defaultColWidth="14.453125" defaultRowHeight="15" customHeight="1"/>
  <cols>
    <col min="1" max="26" width="10" customWidth="1"/>
  </cols>
  <sheetData>
    <row r="1" spans="1:26" ht="15.5">
      <c r="A1" s="249" t="s">
        <v>144</v>
      </c>
      <c r="B1" s="249" t="s">
        <v>41</v>
      </c>
      <c r="C1" s="67" t="s">
        <v>145</v>
      </c>
      <c r="D1" s="67" t="s">
        <v>67</v>
      </c>
      <c r="E1" s="67" t="s">
        <v>68</v>
      </c>
      <c r="F1" s="67" t="s">
        <v>82</v>
      </c>
      <c r="G1" s="67" t="s">
        <v>83</v>
      </c>
      <c r="H1" s="67" t="s">
        <v>84</v>
      </c>
      <c r="I1" s="67" t="s">
        <v>85</v>
      </c>
      <c r="J1" s="67" t="s">
        <v>86</v>
      </c>
      <c r="K1" s="67" t="s">
        <v>69</v>
      </c>
      <c r="L1" s="67" t="s">
        <v>70</v>
      </c>
      <c r="M1" s="67" t="s">
        <v>71</v>
      </c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</row>
    <row r="2" spans="1:26" ht="15.5">
      <c r="A2" s="58" t="s">
        <v>146</v>
      </c>
      <c r="B2" s="98" t="s">
        <v>112</v>
      </c>
      <c r="C2" s="68">
        <v>1</v>
      </c>
      <c r="D2" s="68">
        <v>4.78</v>
      </c>
      <c r="E2" s="68">
        <v>5.0599999999999996</v>
      </c>
      <c r="F2" s="68">
        <v>6.97</v>
      </c>
      <c r="G2" s="68">
        <f t="shared" ref="G2:G75" si="0">E2-D2</f>
        <v>0.27999999999999936</v>
      </c>
      <c r="H2" s="95">
        <f t="shared" ref="H2:H75" si="1">G2/D2</f>
        <v>5.8577405857740447E-2</v>
      </c>
      <c r="I2" s="99">
        <f t="shared" ref="I2:I75" si="2">G2/(9*6)</f>
        <v>5.1851851851851738E-3</v>
      </c>
      <c r="J2" s="99">
        <f t="shared" ref="J2:J75" si="3">G2/27</f>
        <v>1.0370370370370348E-2</v>
      </c>
      <c r="K2" s="68">
        <f t="shared" ref="K2:K75" si="4">F2-E2</f>
        <v>1.9100000000000001</v>
      </c>
      <c r="L2" s="95">
        <f t="shared" ref="L2:L75" si="5">K2/E2</f>
        <v>0.37747035573122534</v>
      </c>
      <c r="M2" s="95">
        <f t="shared" ref="M2:M155" si="6">K2/27</f>
        <v>7.0740740740740743E-2</v>
      </c>
    </row>
    <row r="3" spans="1:26" ht="15.5">
      <c r="A3" s="58" t="s">
        <v>146</v>
      </c>
      <c r="B3" s="98" t="s">
        <v>112</v>
      </c>
      <c r="C3" s="68">
        <v>2</v>
      </c>
      <c r="D3" s="68">
        <v>4.38</v>
      </c>
      <c r="E3" s="68">
        <v>4.63</v>
      </c>
      <c r="F3" s="68">
        <v>6.89</v>
      </c>
      <c r="G3" s="68">
        <f t="shared" si="0"/>
        <v>0.25</v>
      </c>
      <c r="H3" s="95">
        <f t="shared" si="1"/>
        <v>5.7077625570776259E-2</v>
      </c>
      <c r="I3" s="99">
        <f t="shared" si="2"/>
        <v>4.6296296296296294E-3</v>
      </c>
      <c r="J3" s="99">
        <f t="shared" si="3"/>
        <v>9.2592592592592587E-3</v>
      </c>
      <c r="K3" s="68">
        <f t="shared" si="4"/>
        <v>2.2599999999999998</v>
      </c>
      <c r="L3" s="95">
        <f t="shared" si="5"/>
        <v>0.48812095032397407</v>
      </c>
      <c r="M3" s="95">
        <f t="shared" si="6"/>
        <v>8.3703703703703697E-2</v>
      </c>
    </row>
    <row r="4" spans="1:26" ht="15.5">
      <c r="A4" s="58" t="s">
        <v>146</v>
      </c>
      <c r="B4" s="98" t="s">
        <v>112</v>
      </c>
      <c r="C4" s="68">
        <v>5</v>
      </c>
      <c r="D4" s="68">
        <v>4.51</v>
      </c>
      <c r="E4" s="68">
        <v>4.75</v>
      </c>
      <c r="F4" s="68">
        <v>7.2</v>
      </c>
      <c r="G4" s="68">
        <f t="shared" si="0"/>
        <v>0.24000000000000021</v>
      </c>
      <c r="H4" s="95">
        <f t="shared" si="1"/>
        <v>5.3215077605321556E-2</v>
      </c>
      <c r="I4" s="99">
        <f t="shared" si="2"/>
        <v>4.4444444444444488E-3</v>
      </c>
      <c r="J4" s="99">
        <f t="shared" si="3"/>
        <v>8.8888888888888976E-3</v>
      </c>
      <c r="K4" s="68">
        <f t="shared" si="4"/>
        <v>2.4500000000000002</v>
      </c>
      <c r="L4" s="95">
        <f t="shared" si="5"/>
        <v>0.51578947368421058</v>
      </c>
      <c r="M4" s="95">
        <f t="shared" si="6"/>
        <v>9.0740740740740747E-2</v>
      </c>
    </row>
    <row r="5" spans="1:26" ht="15.5">
      <c r="A5" s="58" t="s">
        <v>146</v>
      </c>
      <c r="B5" s="98" t="s">
        <v>112</v>
      </c>
      <c r="C5" s="68">
        <v>6</v>
      </c>
      <c r="D5" s="68">
        <v>4.7300000000000004</v>
      </c>
      <c r="E5" s="68">
        <v>4.99</v>
      </c>
      <c r="F5" s="68">
        <v>7.19</v>
      </c>
      <c r="G5" s="68">
        <f t="shared" si="0"/>
        <v>0.25999999999999979</v>
      </c>
      <c r="H5" s="95">
        <f t="shared" si="1"/>
        <v>5.4968287526427011E-2</v>
      </c>
      <c r="I5" s="99">
        <f t="shared" si="2"/>
        <v>4.8148148148148108E-3</v>
      </c>
      <c r="J5" s="99">
        <f t="shared" si="3"/>
        <v>9.6296296296296217E-3</v>
      </c>
      <c r="K5" s="68">
        <f t="shared" si="4"/>
        <v>2.2000000000000002</v>
      </c>
      <c r="L5" s="95">
        <f t="shared" si="5"/>
        <v>0.4408817635270541</v>
      </c>
      <c r="M5" s="95">
        <f t="shared" si="6"/>
        <v>8.1481481481481488E-2</v>
      </c>
    </row>
    <row r="6" spans="1:26" ht="15.5">
      <c r="A6" s="58" t="s">
        <v>146</v>
      </c>
      <c r="B6" s="98" t="s">
        <v>112</v>
      </c>
      <c r="C6" s="68">
        <v>10</v>
      </c>
      <c r="D6" s="68">
        <v>4.72</v>
      </c>
      <c r="E6" s="68">
        <v>5.0199999999999996</v>
      </c>
      <c r="F6" s="68">
        <v>7.3</v>
      </c>
      <c r="G6" s="68">
        <f t="shared" si="0"/>
        <v>0.29999999999999982</v>
      </c>
      <c r="H6" s="95">
        <f t="shared" si="1"/>
        <v>6.3559322033898275E-2</v>
      </c>
      <c r="I6" s="99">
        <f t="shared" si="2"/>
        <v>5.5555555555555523E-3</v>
      </c>
      <c r="J6" s="99">
        <f t="shared" si="3"/>
        <v>1.1111111111111105E-2</v>
      </c>
      <c r="K6" s="68">
        <f t="shared" si="4"/>
        <v>2.2800000000000002</v>
      </c>
      <c r="L6" s="95">
        <f t="shared" si="5"/>
        <v>0.45418326693227101</v>
      </c>
      <c r="M6" s="95">
        <f t="shared" si="6"/>
        <v>8.4444444444444447E-2</v>
      </c>
    </row>
    <row r="7" spans="1:26" ht="15.5">
      <c r="A7" s="58" t="s">
        <v>146</v>
      </c>
      <c r="B7" s="98" t="s">
        <v>112</v>
      </c>
      <c r="C7" s="68">
        <v>11</v>
      </c>
      <c r="D7" s="68">
        <v>4.76</v>
      </c>
      <c r="E7" s="68">
        <v>5</v>
      </c>
      <c r="F7" s="68">
        <v>6.91</v>
      </c>
      <c r="G7" s="68">
        <f t="shared" si="0"/>
        <v>0.24000000000000021</v>
      </c>
      <c r="H7" s="95">
        <f t="shared" si="1"/>
        <v>5.0420168067226941E-2</v>
      </c>
      <c r="I7" s="99">
        <f t="shared" si="2"/>
        <v>4.4444444444444488E-3</v>
      </c>
      <c r="J7" s="99">
        <f t="shared" si="3"/>
        <v>8.8888888888888976E-3</v>
      </c>
      <c r="K7" s="68">
        <f t="shared" si="4"/>
        <v>1.9100000000000001</v>
      </c>
      <c r="L7" s="95">
        <f t="shared" si="5"/>
        <v>0.38200000000000001</v>
      </c>
      <c r="M7" s="95">
        <f t="shared" si="6"/>
        <v>7.0740740740740743E-2</v>
      </c>
    </row>
    <row r="8" spans="1:26" ht="15.5">
      <c r="A8" s="58" t="s">
        <v>146</v>
      </c>
      <c r="B8" s="98" t="s">
        <v>112</v>
      </c>
      <c r="C8" s="68">
        <v>14</v>
      </c>
      <c r="D8" s="68">
        <v>4.6500000000000004</v>
      </c>
      <c r="E8" s="68">
        <v>4.93</v>
      </c>
      <c r="F8" s="68">
        <v>7.19</v>
      </c>
      <c r="G8" s="68">
        <f t="shared" si="0"/>
        <v>0.27999999999999936</v>
      </c>
      <c r="H8" s="95">
        <f t="shared" si="1"/>
        <v>6.0215053763440718E-2</v>
      </c>
      <c r="I8" s="99">
        <f t="shared" si="2"/>
        <v>5.1851851851851738E-3</v>
      </c>
      <c r="J8" s="99">
        <f t="shared" si="3"/>
        <v>1.0370370370370348E-2</v>
      </c>
      <c r="K8" s="68">
        <f t="shared" si="4"/>
        <v>2.2600000000000007</v>
      </c>
      <c r="L8" s="95">
        <f t="shared" si="5"/>
        <v>0.45841784989858031</v>
      </c>
      <c r="M8" s="95">
        <f t="shared" si="6"/>
        <v>8.3703703703703725E-2</v>
      </c>
    </row>
    <row r="9" spans="1:26" ht="15.5">
      <c r="A9" s="58" t="s">
        <v>146</v>
      </c>
      <c r="B9" s="98" t="s">
        <v>112</v>
      </c>
      <c r="C9" s="68">
        <v>16</v>
      </c>
      <c r="D9" s="68">
        <v>4.46</v>
      </c>
      <c r="E9" s="68">
        <v>4.67</v>
      </c>
      <c r="F9" s="68">
        <v>6.66</v>
      </c>
      <c r="G9" s="68">
        <f t="shared" si="0"/>
        <v>0.20999999999999996</v>
      </c>
      <c r="H9" s="95">
        <f t="shared" si="1"/>
        <v>4.7085201793721963E-2</v>
      </c>
      <c r="I9" s="99">
        <f t="shared" si="2"/>
        <v>3.8888888888888883E-3</v>
      </c>
      <c r="J9" s="99">
        <f t="shared" si="3"/>
        <v>7.7777777777777767E-3</v>
      </c>
      <c r="K9" s="68">
        <f t="shared" si="4"/>
        <v>1.9900000000000002</v>
      </c>
      <c r="L9" s="95">
        <f t="shared" si="5"/>
        <v>0.42612419700214138</v>
      </c>
      <c r="M9" s="95">
        <f t="shared" si="6"/>
        <v>7.3703703703703716E-2</v>
      </c>
    </row>
    <row r="10" spans="1:26" ht="15.5">
      <c r="A10" s="58" t="s">
        <v>146</v>
      </c>
      <c r="B10" s="98" t="s">
        <v>112</v>
      </c>
      <c r="C10" s="68">
        <v>17</v>
      </c>
      <c r="D10" s="68">
        <v>4.3499999999999996</v>
      </c>
      <c r="E10" s="68">
        <v>4.59</v>
      </c>
      <c r="F10" s="68">
        <v>7.18</v>
      </c>
      <c r="G10" s="68">
        <f t="shared" si="0"/>
        <v>0.24000000000000021</v>
      </c>
      <c r="H10" s="95">
        <f t="shared" si="1"/>
        <v>5.5172413793103503E-2</v>
      </c>
      <c r="I10" s="99">
        <f t="shared" si="2"/>
        <v>4.4444444444444488E-3</v>
      </c>
      <c r="J10" s="99">
        <f t="shared" si="3"/>
        <v>8.8888888888888976E-3</v>
      </c>
      <c r="K10" s="68">
        <f t="shared" si="4"/>
        <v>2.59</v>
      </c>
      <c r="L10" s="95">
        <f t="shared" si="5"/>
        <v>0.56427015250544665</v>
      </c>
      <c r="M10" s="95">
        <f t="shared" si="6"/>
        <v>9.5925925925925914E-2</v>
      </c>
    </row>
    <row r="11" spans="1:26" ht="15.5">
      <c r="A11" s="58" t="s">
        <v>146</v>
      </c>
      <c r="B11" s="98" t="s">
        <v>112</v>
      </c>
      <c r="C11" s="68">
        <v>19</v>
      </c>
      <c r="D11" s="68">
        <v>4.58</v>
      </c>
      <c r="E11" s="68">
        <v>4.82</v>
      </c>
      <c r="F11" s="68">
        <v>7.3</v>
      </c>
      <c r="G11" s="68">
        <f t="shared" si="0"/>
        <v>0.24000000000000021</v>
      </c>
      <c r="H11" s="95">
        <f t="shared" si="1"/>
        <v>5.2401746724890876E-2</v>
      </c>
      <c r="I11" s="99">
        <f t="shared" si="2"/>
        <v>4.4444444444444488E-3</v>
      </c>
      <c r="J11" s="99">
        <f t="shared" si="3"/>
        <v>8.8888888888888976E-3</v>
      </c>
      <c r="K11" s="68">
        <f t="shared" si="4"/>
        <v>2.4799999999999995</v>
      </c>
      <c r="L11" s="95">
        <f t="shared" si="5"/>
        <v>0.51452282157676332</v>
      </c>
      <c r="M11" s="95">
        <f t="shared" si="6"/>
        <v>9.1851851851851837E-2</v>
      </c>
    </row>
    <row r="12" spans="1:26" ht="15.5">
      <c r="A12" s="58" t="s">
        <v>146</v>
      </c>
      <c r="B12" s="98" t="s">
        <v>112</v>
      </c>
      <c r="C12" s="68">
        <v>20</v>
      </c>
      <c r="D12" s="68">
        <v>4.83</v>
      </c>
      <c r="E12" s="68">
        <v>5.07</v>
      </c>
      <c r="F12" s="68">
        <v>6.97</v>
      </c>
      <c r="G12" s="68">
        <f t="shared" si="0"/>
        <v>0.24000000000000021</v>
      </c>
      <c r="H12" s="95">
        <f t="shared" si="1"/>
        <v>4.9689440993788865E-2</v>
      </c>
      <c r="I12" s="99">
        <f t="shared" si="2"/>
        <v>4.4444444444444488E-3</v>
      </c>
      <c r="J12" s="99">
        <f t="shared" si="3"/>
        <v>8.8888888888888976E-3</v>
      </c>
      <c r="K12" s="68">
        <f t="shared" si="4"/>
        <v>1.8999999999999995</v>
      </c>
      <c r="L12" s="95">
        <f t="shared" si="5"/>
        <v>0.37475345167652846</v>
      </c>
      <c r="M12" s="95">
        <f t="shared" si="6"/>
        <v>7.0370370370370347E-2</v>
      </c>
    </row>
    <row r="13" spans="1:26" ht="15.5">
      <c r="A13" s="58" t="s">
        <v>146</v>
      </c>
      <c r="B13" s="98" t="s">
        <v>112</v>
      </c>
      <c r="C13" s="68">
        <v>24</v>
      </c>
      <c r="D13" s="68">
        <v>4.33</v>
      </c>
      <c r="E13" s="68">
        <v>4.57</v>
      </c>
      <c r="F13" s="68">
        <v>6.94</v>
      </c>
      <c r="G13" s="68">
        <f t="shared" si="0"/>
        <v>0.24000000000000021</v>
      </c>
      <c r="H13" s="95">
        <f t="shared" si="1"/>
        <v>5.5427251732101668E-2</v>
      </c>
      <c r="I13" s="99">
        <f t="shared" si="2"/>
        <v>4.4444444444444488E-3</v>
      </c>
      <c r="J13" s="99">
        <f t="shared" si="3"/>
        <v>8.8888888888888976E-3</v>
      </c>
      <c r="K13" s="68">
        <f t="shared" si="4"/>
        <v>2.37</v>
      </c>
      <c r="L13" s="95">
        <f t="shared" si="5"/>
        <v>0.51859956236323845</v>
      </c>
      <c r="M13" s="95">
        <f t="shared" si="6"/>
        <v>8.7777777777777788E-2</v>
      </c>
    </row>
    <row r="14" spans="1:26" ht="15.5">
      <c r="A14" s="58" t="s">
        <v>146</v>
      </c>
      <c r="B14" s="98" t="s">
        <v>112</v>
      </c>
      <c r="C14" s="68">
        <v>26</v>
      </c>
      <c r="D14" s="68">
        <v>4.59</v>
      </c>
      <c r="E14" s="68">
        <v>4.8499999999999996</v>
      </c>
      <c r="F14" s="68">
        <v>7.41</v>
      </c>
      <c r="G14" s="68">
        <f t="shared" si="0"/>
        <v>0.25999999999999979</v>
      </c>
      <c r="H14" s="95">
        <f t="shared" si="1"/>
        <v>5.6644880174291895E-2</v>
      </c>
      <c r="I14" s="99">
        <f t="shared" si="2"/>
        <v>4.8148148148148108E-3</v>
      </c>
      <c r="J14" s="99">
        <f t="shared" si="3"/>
        <v>9.6296296296296217E-3</v>
      </c>
      <c r="K14" s="68">
        <f t="shared" si="4"/>
        <v>2.5600000000000005</v>
      </c>
      <c r="L14" s="95">
        <f t="shared" si="5"/>
        <v>0.52783505154639188</v>
      </c>
      <c r="M14" s="95">
        <f t="shared" si="6"/>
        <v>9.4814814814814838E-2</v>
      </c>
    </row>
    <row r="15" spans="1:26" ht="15.5">
      <c r="A15" s="58" t="s">
        <v>146</v>
      </c>
      <c r="B15" s="98" t="s">
        <v>112</v>
      </c>
      <c r="C15" s="68">
        <v>29</v>
      </c>
      <c r="D15" s="68">
        <v>4.3</v>
      </c>
      <c r="E15" s="68">
        <v>4.55</v>
      </c>
      <c r="F15" s="68">
        <v>6.69</v>
      </c>
      <c r="G15" s="68">
        <f t="shared" si="0"/>
        <v>0.25</v>
      </c>
      <c r="H15" s="95">
        <f t="shared" si="1"/>
        <v>5.8139534883720929E-2</v>
      </c>
      <c r="I15" s="99">
        <f t="shared" si="2"/>
        <v>4.6296296296296294E-3</v>
      </c>
      <c r="J15" s="99">
        <f t="shared" si="3"/>
        <v>9.2592592592592587E-3</v>
      </c>
      <c r="K15" s="68">
        <f t="shared" si="4"/>
        <v>2.1400000000000006</v>
      </c>
      <c r="L15" s="95">
        <f t="shared" si="5"/>
        <v>0.47032967032967049</v>
      </c>
      <c r="M15" s="95">
        <f t="shared" si="6"/>
        <v>7.9259259259259279E-2</v>
      </c>
    </row>
    <row r="16" spans="1:26" ht="15.5">
      <c r="A16" s="58" t="s">
        <v>146</v>
      </c>
      <c r="B16" s="98" t="s">
        <v>112</v>
      </c>
      <c r="C16" s="68">
        <v>31</v>
      </c>
      <c r="D16" s="68">
        <v>3.42</v>
      </c>
      <c r="E16" s="68">
        <v>3.7</v>
      </c>
      <c r="F16" s="68">
        <v>5.93</v>
      </c>
      <c r="G16" s="68">
        <f t="shared" si="0"/>
        <v>0.28000000000000025</v>
      </c>
      <c r="H16" s="95">
        <f t="shared" si="1"/>
        <v>8.1871345029239845E-2</v>
      </c>
      <c r="I16" s="99">
        <f t="shared" si="2"/>
        <v>5.1851851851851894E-3</v>
      </c>
      <c r="J16" s="99">
        <f t="shared" si="3"/>
        <v>1.0370370370370379E-2</v>
      </c>
      <c r="K16" s="68">
        <f t="shared" si="4"/>
        <v>2.2299999999999995</v>
      </c>
      <c r="L16" s="95">
        <f t="shared" si="5"/>
        <v>0.60270270270270254</v>
      </c>
      <c r="M16" s="95">
        <f t="shared" si="6"/>
        <v>8.2592592592592579E-2</v>
      </c>
    </row>
    <row r="17" spans="1:13" ht="15.5">
      <c r="A17" s="58" t="s">
        <v>146</v>
      </c>
      <c r="B17" s="98" t="s">
        <v>112</v>
      </c>
      <c r="C17" s="68">
        <v>32</v>
      </c>
      <c r="D17" s="68">
        <v>3.41</v>
      </c>
      <c r="E17" s="68">
        <v>3.69</v>
      </c>
      <c r="F17" s="68">
        <v>6.13</v>
      </c>
      <c r="G17" s="68">
        <f t="shared" si="0"/>
        <v>0.2799999999999998</v>
      </c>
      <c r="H17" s="95">
        <f t="shared" si="1"/>
        <v>8.2111436950146569E-2</v>
      </c>
      <c r="I17" s="99">
        <f t="shared" si="2"/>
        <v>5.1851851851851816E-3</v>
      </c>
      <c r="J17" s="99">
        <f t="shared" si="3"/>
        <v>1.0370370370370363E-2</v>
      </c>
      <c r="K17" s="68">
        <f t="shared" si="4"/>
        <v>2.44</v>
      </c>
      <c r="L17" s="95">
        <f t="shared" si="5"/>
        <v>0.66124661246612471</v>
      </c>
      <c r="M17" s="95">
        <f t="shared" si="6"/>
        <v>9.0370370370370365E-2</v>
      </c>
    </row>
    <row r="18" spans="1:13" ht="15.5">
      <c r="A18" s="58" t="s">
        <v>146</v>
      </c>
      <c r="B18" s="98" t="s">
        <v>112</v>
      </c>
      <c r="C18" s="68">
        <v>35</v>
      </c>
      <c r="D18" s="68">
        <v>3.43</v>
      </c>
      <c r="E18" s="68">
        <v>3.72</v>
      </c>
      <c r="F18" s="68">
        <v>6.04</v>
      </c>
      <c r="G18" s="68">
        <f t="shared" si="0"/>
        <v>0.29000000000000004</v>
      </c>
      <c r="H18" s="95">
        <f t="shared" si="1"/>
        <v>8.454810495626823E-2</v>
      </c>
      <c r="I18" s="99">
        <f t="shared" si="2"/>
        <v>5.3703703703703708E-3</v>
      </c>
      <c r="J18" s="99">
        <f t="shared" si="3"/>
        <v>1.0740740740740742E-2</v>
      </c>
      <c r="K18" s="68">
        <f t="shared" si="4"/>
        <v>2.3199999999999998</v>
      </c>
      <c r="L18" s="95">
        <f t="shared" si="5"/>
        <v>0.62365591397849451</v>
      </c>
      <c r="M18" s="95">
        <f t="shared" si="6"/>
        <v>8.5925925925925919E-2</v>
      </c>
    </row>
    <row r="19" spans="1:13" ht="15.5">
      <c r="A19" s="58" t="s">
        <v>146</v>
      </c>
      <c r="B19" s="98" t="s">
        <v>112</v>
      </c>
      <c r="C19" s="68">
        <v>37</v>
      </c>
      <c r="D19" s="68">
        <v>3.25</v>
      </c>
      <c r="E19" s="68">
        <v>3.51</v>
      </c>
      <c r="F19" s="68">
        <v>5.67</v>
      </c>
      <c r="G19" s="68">
        <f t="shared" si="0"/>
        <v>0.25999999999999979</v>
      </c>
      <c r="H19" s="95">
        <f t="shared" si="1"/>
        <v>7.9999999999999932E-2</v>
      </c>
      <c r="I19" s="99">
        <f t="shared" si="2"/>
        <v>4.8148148148148108E-3</v>
      </c>
      <c r="J19" s="99">
        <f t="shared" si="3"/>
        <v>9.6296296296296217E-3</v>
      </c>
      <c r="K19" s="68">
        <f t="shared" si="4"/>
        <v>2.16</v>
      </c>
      <c r="L19" s="95">
        <f t="shared" si="5"/>
        <v>0.61538461538461542</v>
      </c>
      <c r="M19" s="95">
        <f t="shared" si="6"/>
        <v>0.08</v>
      </c>
    </row>
    <row r="20" spans="1:13" ht="15.5">
      <c r="A20" s="58" t="s">
        <v>146</v>
      </c>
      <c r="B20" s="98" t="s">
        <v>112</v>
      </c>
      <c r="C20" s="68">
        <v>44</v>
      </c>
      <c r="D20" s="68">
        <v>3.25</v>
      </c>
      <c r="E20" s="68">
        <v>3.55</v>
      </c>
      <c r="F20" s="68">
        <v>5.95</v>
      </c>
      <c r="G20" s="68">
        <f t="shared" si="0"/>
        <v>0.29999999999999982</v>
      </c>
      <c r="H20" s="95">
        <f t="shared" si="1"/>
        <v>9.2307692307692257E-2</v>
      </c>
      <c r="I20" s="99">
        <f t="shared" si="2"/>
        <v>5.5555555555555523E-3</v>
      </c>
      <c r="J20" s="99">
        <f t="shared" si="3"/>
        <v>1.1111111111111105E-2</v>
      </c>
      <c r="K20" s="68">
        <f t="shared" si="4"/>
        <v>2.4000000000000004</v>
      </c>
      <c r="L20" s="95">
        <f t="shared" si="5"/>
        <v>0.67605633802816911</v>
      </c>
      <c r="M20" s="95">
        <f t="shared" si="6"/>
        <v>8.8888888888888906E-2</v>
      </c>
    </row>
    <row r="21" spans="1:13" ht="15.75" customHeight="1">
      <c r="A21" s="58" t="s">
        <v>146</v>
      </c>
      <c r="B21" s="98" t="s">
        <v>112</v>
      </c>
      <c r="C21" s="68">
        <v>47</v>
      </c>
      <c r="D21" s="68">
        <v>3.32</v>
      </c>
      <c r="E21" s="68">
        <v>3.67</v>
      </c>
      <c r="F21" s="68">
        <v>6.15</v>
      </c>
      <c r="G21" s="68">
        <f t="shared" si="0"/>
        <v>0.35000000000000009</v>
      </c>
      <c r="H21" s="95">
        <f t="shared" si="1"/>
        <v>0.10542168674698799</v>
      </c>
      <c r="I21" s="99">
        <f t="shared" si="2"/>
        <v>6.481481481481483E-3</v>
      </c>
      <c r="J21" s="99">
        <f t="shared" si="3"/>
        <v>1.2962962962962966E-2</v>
      </c>
      <c r="K21" s="68">
        <f t="shared" si="4"/>
        <v>2.4800000000000004</v>
      </c>
      <c r="L21" s="95">
        <f t="shared" si="5"/>
        <v>0.67574931880109002</v>
      </c>
      <c r="M21" s="95">
        <f t="shared" si="6"/>
        <v>9.1851851851851865E-2</v>
      </c>
    </row>
    <row r="22" spans="1:13" ht="15.75" customHeight="1">
      <c r="A22" s="58" t="s">
        <v>146</v>
      </c>
      <c r="B22" s="98" t="s">
        <v>112</v>
      </c>
      <c r="C22" s="68">
        <v>49</v>
      </c>
      <c r="D22" s="68">
        <v>3.23</v>
      </c>
      <c r="E22" s="68">
        <v>3.77</v>
      </c>
      <c r="F22" s="68">
        <v>6.12</v>
      </c>
      <c r="G22" s="68">
        <f t="shared" si="0"/>
        <v>0.54</v>
      </c>
      <c r="H22" s="95">
        <f t="shared" si="1"/>
        <v>0.16718266253869971</v>
      </c>
      <c r="I22" s="99">
        <f t="shared" si="2"/>
        <v>0.01</v>
      </c>
      <c r="J22" s="99">
        <f t="shared" si="3"/>
        <v>0.02</v>
      </c>
      <c r="K22" s="68">
        <f t="shared" si="4"/>
        <v>2.35</v>
      </c>
      <c r="L22" s="95">
        <f t="shared" si="5"/>
        <v>0.62334217506631306</v>
      </c>
      <c r="M22" s="95">
        <f t="shared" si="6"/>
        <v>8.7037037037037038E-2</v>
      </c>
    </row>
    <row r="23" spans="1:13" ht="15.75" customHeight="1">
      <c r="A23" s="58" t="s">
        <v>146</v>
      </c>
      <c r="B23" s="98" t="s">
        <v>112</v>
      </c>
      <c r="C23" s="68">
        <v>50</v>
      </c>
      <c r="D23" s="68">
        <v>3.31</v>
      </c>
      <c r="E23" s="68">
        <v>3.79</v>
      </c>
      <c r="F23" s="68">
        <v>6.15</v>
      </c>
      <c r="G23" s="68">
        <f t="shared" si="0"/>
        <v>0.48</v>
      </c>
      <c r="H23" s="95">
        <f t="shared" si="1"/>
        <v>0.14501510574018125</v>
      </c>
      <c r="I23" s="99">
        <f t="shared" si="2"/>
        <v>8.8888888888888889E-3</v>
      </c>
      <c r="J23" s="99">
        <f t="shared" si="3"/>
        <v>1.7777777777777778E-2</v>
      </c>
      <c r="K23" s="68">
        <f t="shared" si="4"/>
        <v>2.3600000000000003</v>
      </c>
      <c r="L23" s="95">
        <f t="shared" si="5"/>
        <v>0.62269129287598957</v>
      </c>
      <c r="M23" s="95">
        <f t="shared" si="6"/>
        <v>8.740740740740742E-2</v>
      </c>
    </row>
    <row r="24" spans="1:13" ht="15.75" customHeight="1">
      <c r="A24" s="58" t="s">
        <v>146</v>
      </c>
      <c r="B24" s="98" t="s">
        <v>112</v>
      </c>
      <c r="C24" s="68">
        <v>53</v>
      </c>
      <c r="D24" s="68">
        <v>3.37</v>
      </c>
      <c r="E24" s="68">
        <v>3.92</v>
      </c>
      <c r="F24" s="68">
        <v>6.17</v>
      </c>
      <c r="G24" s="68">
        <f t="shared" si="0"/>
        <v>0.54999999999999982</v>
      </c>
      <c r="H24" s="95">
        <f t="shared" si="1"/>
        <v>0.16320474777448066</v>
      </c>
      <c r="I24" s="99">
        <f t="shared" si="2"/>
        <v>1.0185185185185183E-2</v>
      </c>
      <c r="J24" s="99">
        <f t="shared" si="3"/>
        <v>2.0370370370370365E-2</v>
      </c>
      <c r="K24" s="68">
        <f t="shared" si="4"/>
        <v>2.25</v>
      </c>
      <c r="L24" s="95">
        <f t="shared" si="5"/>
        <v>0.57397959183673475</v>
      </c>
      <c r="M24" s="95">
        <f t="shared" si="6"/>
        <v>8.3333333333333329E-2</v>
      </c>
    </row>
    <row r="25" spans="1:13" ht="15.75" customHeight="1">
      <c r="A25" s="58" t="s">
        <v>146</v>
      </c>
      <c r="B25" s="98" t="s">
        <v>112</v>
      </c>
      <c r="C25" s="68">
        <v>57</v>
      </c>
      <c r="D25" s="68">
        <v>3.41</v>
      </c>
      <c r="E25" s="68">
        <v>3.93</v>
      </c>
      <c r="F25" s="68">
        <v>6.29</v>
      </c>
      <c r="G25" s="68">
        <f t="shared" si="0"/>
        <v>0.52</v>
      </c>
      <c r="H25" s="95">
        <f t="shared" si="1"/>
        <v>0.15249266862170088</v>
      </c>
      <c r="I25" s="99">
        <f t="shared" si="2"/>
        <v>9.6296296296296303E-3</v>
      </c>
      <c r="J25" s="99">
        <f t="shared" si="3"/>
        <v>1.9259259259259261E-2</v>
      </c>
      <c r="K25" s="68">
        <f t="shared" si="4"/>
        <v>2.36</v>
      </c>
      <c r="L25" s="95">
        <f t="shared" si="5"/>
        <v>0.60050890585241723</v>
      </c>
      <c r="M25" s="95">
        <f t="shared" si="6"/>
        <v>8.7407407407407406E-2</v>
      </c>
    </row>
    <row r="26" spans="1:13" ht="15.75" customHeight="1">
      <c r="A26" s="58" t="s">
        <v>146</v>
      </c>
      <c r="B26" s="98" t="s">
        <v>112</v>
      </c>
      <c r="C26" s="68">
        <v>59</v>
      </c>
      <c r="D26" s="68">
        <v>3.21</v>
      </c>
      <c r="E26" s="68">
        <v>4.0999999999999996</v>
      </c>
      <c r="F26" s="68">
        <v>6.17</v>
      </c>
      <c r="G26" s="68">
        <f t="shared" si="0"/>
        <v>0.88999999999999968</v>
      </c>
      <c r="H26" s="95">
        <f t="shared" si="1"/>
        <v>0.27725856697819307</v>
      </c>
      <c r="I26" s="99">
        <f t="shared" si="2"/>
        <v>1.6481481481481475E-2</v>
      </c>
      <c r="J26" s="99">
        <f t="shared" si="3"/>
        <v>3.2962962962962951E-2</v>
      </c>
      <c r="K26" s="68">
        <f t="shared" si="4"/>
        <v>2.0700000000000003</v>
      </c>
      <c r="L26" s="95">
        <f t="shared" si="5"/>
        <v>0.50487804878048792</v>
      </c>
      <c r="M26" s="95">
        <f t="shared" si="6"/>
        <v>7.6666666666666675E-2</v>
      </c>
    </row>
    <row r="27" spans="1:13" ht="15.75" customHeight="1">
      <c r="A27" s="58" t="s">
        <v>146</v>
      </c>
      <c r="B27" s="98" t="s">
        <v>112</v>
      </c>
      <c r="C27" s="68">
        <v>62</v>
      </c>
      <c r="D27" s="68">
        <v>3.2</v>
      </c>
      <c r="E27" s="68">
        <v>3.7</v>
      </c>
      <c r="F27" s="68">
        <v>5.96</v>
      </c>
      <c r="G27" s="68">
        <f t="shared" si="0"/>
        <v>0.5</v>
      </c>
      <c r="H27" s="95">
        <f t="shared" si="1"/>
        <v>0.15625</v>
      </c>
      <c r="I27" s="99">
        <f t="shared" si="2"/>
        <v>9.2592592592592587E-3</v>
      </c>
      <c r="J27" s="99">
        <f t="shared" si="3"/>
        <v>1.8518518518518517E-2</v>
      </c>
      <c r="K27" s="68">
        <f t="shared" si="4"/>
        <v>2.2599999999999998</v>
      </c>
      <c r="L27" s="95">
        <f t="shared" si="5"/>
        <v>0.61081081081081068</v>
      </c>
      <c r="M27" s="95">
        <f t="shared" si="6"/>
        <v>8.3703703703703697E-2</v>
      </c>
    </row>
    <row r="28" spans="1:13" ht="15.75" customHeight="1">
      <c r="A28" s="58" t="s">
        <v>146</v>
      </c>
      <c r="B28" s="98" t="s">
        <v>112</v>
      </c>
      <c r="C28" s="68">
        <v>64</v>
      </c>
      <c r="D28" s="68">
        <v>4.51</v>
      </c>
      <c r="E28" s="68">
        <v>4.83</v>
      </c>
      <c r="F28" s="68">
        <v>7.15</v>
      </c>
      <c r="G28" s="68">
        <f t="shared" si="0"/>
        <v>0.32000000000000028</v>
      </c>
      <c r="H28" s="95">
        <f t="shared" si="1"/>
        <v>7.0953436807095413E-2</v>
      </c>
      <c r="I28" s="99">
        <f t="shared" si="2"/>
        <v>5.9259259259259308E-3</v>
      </c>
      <c r="J28" s="99">
        <f t="shared" si="3"/>
        <v>1.1851851851851862E-2</v>
      </c>
      <c r="K28" s="68">
        <f t="shared" si="4"/>
        <v>2.3200000000000003</v>
      </c>
      <c r="L28" s="95">
        <f t="shared" si="5"/>
        <v>0.48033126293995865</v>
      </c>
      <c r="M28" s="95">
        <f t="shared" si="6"/>
        <v>8.5925925925925933E-2</v>
      </c>
    </row>
    <row r="29" spans="1:13" ht="15.75" customHeight="1">
      <c r="A29" s="58" t="s">
        <v>146</v>
      </c>
      <c r="B29" s="98" t="s">
        <v>112</v>
      </c>
      <c r="C29" s="68">
        <v>68</v>
      </c>
      <c r="D29" s="68">
        <v>4.54</v>
      </c>
      <c r="E29" s="68">
        <v>4.88</v>
      </c>
      <c r="F29" s="68">
        <v>7.18</v>
      </c>
      <c r="G29" s="68">
        <f t="shared" si="0"/>
        <v>0.33999999999999986</v>
      </c>
      <c r="H29" s="95">
        <f t="shared" si="1"/>
        <v>7.4889867841409663E-2</v>
      </c>
      <c r="I29" s="99">
        <f t="shared" si="2"/>
        <v>6.2962962962962938E-3</v>
      </c>
      <c r="J29" s="99">
        <f t="shared" si="3"/>
        <v>1.2592592592592588E-2</v>
      </c>
      <c r="K29" s="68">
        <f t="shared" si="4"/>
        <v>2.2999999999999998</v>
      </c>
      <c r="L29" s="95">
        <f t="shared" si="5"/>
        <v>0.47131147540983603</v>
      </c>
      <c r="M29" s="95">
        <f t="shared" si="6"/>
        <v>8.5185185185185183E-2</v>
      </c>
    </row>
    <row r="30" spans="1:13" ht="15.75" customHeight="1">
      <c r="A30" s="58" t="s">
        <v>146</v>
      </c>
      <c r="B30" s="98" t="s">
        <v>112</v>
      </c>
      <c r="C30" s="68">
        <v>73</v>
      </c>
      <c r="D30" s="68">
        <v>4.76</v>
      </c>
      <c r="E30" s="68">
        <v>5.17</v>
      </c>
      <c r="F30" s="68">
        <v>7.42</v>
      </c>
      <c r="G30" s="68">
        <f t="shared" si="0"/>
        <v>0.41000000000000014</v>
      </c>
      <c r="H30" s="95">
        <f t="shared" si="1"/>
        <v>8.6134453781512632E-2</v>
      </c>
      <c r="I30" s="99">
        <f t="shared" si="2"/>
        <v>7.5925925925925952E-3</v>
      </c>
      <c r="J30" s="99">
        <f t="shared" si="3"/>
        <v>1.518518518518519E-2</v>
      </c>
      <c r="K30" s="68">
        <f t="shared" si="4"/>
        <v>2.25</v>
      </c>
      <c r="L30" s="95">
        <f t="shared" si="5"/>
        <v>0.43520309477756286</v>
      </c>
      <c r="M30" s="95">
        <f t="shared" si="6"/>
        <v>8.3333333333333329E-2</v>
      </c>
    </row>
    <row r="31" spans="1:13" ht="15.75" customHeight="1">
      <c r="A31" s="58" t="s">
        <v>146</v>
      </c>
      <c r="B31" s="98" t="s">
        <v>112</v>
      </c>
      <c r="C31" s="68">
        <v>74</v>
      </c>
      <c r="D31" s="68">
        <v>4.7699999999999996</v>
      </c>
      <c r="E31" s="68">
        <v>5.47</v>
      </c>
      <c r="F31" s="68">
        <v>7.85</v>
      </c>
      <c r="G31" s="68">
        <f t="shared" si="0"/>
        <v>0.70000000000000018</v>
      </c>
      <c r="H31" s="95">
        <f t="shared" si="1"/>
        <v>0.14675052410901473</v>
      </c>
      <c r="I31" s="99">
        <f t="shared" si="2"/>
        <v>1.2962962962962966E-2</v>
      </c>
      <c r="J31" s="99">
        <f t="shared" si="3"/>
        <v>2.5925925925925932E-2</v>
      </c>
      <c r="K31" s="68">
        <f t="shared" si="4"/>
        <v>2.38</v>
      </c>
      <c r="L31" s="95">
        <f t="shared" si="5"/>
        <v>0.43510054844606949</v>
      </c>
      <c r="M31" s="95">
        <f t="shared" si="6"/>
        <v>8.8148148148148142E-2</v>
      </c>
    </row>
    <row r="32" spans="1:13" ht="15.75" customHeight="1">
      <c r="A32" s="58" t="s">
        <v>146</v>
      </c>
      <c r="B32" s="98" t="s">
        <v>112</v>
      </c>
      <c r="C32" s="68">
        <v>78</v>
      </c>
      <c r="D32" s="68">
        <v>4.7300000000000004</v>
      </c>
      <c r="E32" s="68">
        <v>5.0599999999999996</v>
      </c>
      <c r="F32" s="68">
        <v>7.76</v>
      </c>
      <c r="G32" s="68">
        <f t="shared" si="0"/>
        <v>0.32999999999999918</v>
      </c>
      <c r="H32" s="95">
        <f t="shared" si="1"/>
        <v>6.9767441860464935E-2</v>
      </c>
      <c r="I32" s="99">
        <f t="shared" si="2"/>
        <v>6.1111111111110958E-3</v>
      </c>
      <c r="J32" s="99">
        <f t="shared" si="3"/>
        <v>1.2222222222222192E-2</v>
      </c>
      <c r="K32" s="68">
        <f t="shared" si="4"/>
        <v>2.7</v>
      </c>
      <c r="L32" s="95">
        <f t="shared" si="5"/>
        <v>0.53359683794466406</v>
      </c>
      <c r="M32" s="95">
        <f t="shared" si="6"/>
        <v>0.1</v>
      </c>
    </row>
    <row r="33" spans="1:13" ht="15.75" customHeight="1">
      <c r="A33" s="58" t="s">
        <v>146</v>
      </c>
      <c r="B33" s="98" t="s">
        <v>112</v>
      </c>
      <c r="C33" s="68">
        <v>79</v>
      </c>
      <c r="D33" s="68">
        <v>4.75</v>
      </c>
      <c r="E33" s="68">
        <v>5.18</v>
      </c>
      <c r="F33" s="68">
        <v>7.81</v>
      </c>
      <c r="G33" s="68">
        <f t="shared" si="0"/>
        <v>0.42999999999999972</v>
      </c>
      <c r="H33" s="95">
        <f t="shared" si="1"/>
        <v>9.0526315789473621E-2</v>
      </c>
      <c r="I33" s="99">
        <f t="shared" si="2"/>
        <v>7.9629629629629581E-3</v>
      </c>
      <c r="J33" s="99">
        <f t="shared" si="3"/>
        <v>1.5925925925925916E-2</v>
      </c>
      <c r="K33" s="68">
        <f t="shared" si="4"/>
        <v>2.63</v>
      </c>
      <c r="L33" s="95">
        <f t="shared" si="5"/>
        <v>0.50772200772200771</v>
      </c>
      <c r="M33" s="95">
        <f t="shared" si="6"/>
        <v>9.7407407407407401E-2</v>
      </c>
    </row>
    <row r="34" spans="1:13" ht="15.75" customHeight="1">
      <c r="A34" s="58" t="s">
        <v>146</v>
      </c>
      <c r="B34" s="98" t="s">
        <v>112</v>
      </c>
      <c r="C34" s="68">
        <v>84</v>
      </c>
      <c r="D34" s="68">
        <v>4.84</v>
      </c>
      <c r="E34" s="68">
        <v>5.14</v>
      </c>
      <c r="F34" s="68">
        <v>7.76</v>
      </c>
      <c r="G34" s="68">
        <f t="shared" si="0"/>
        <v>0.29999999999999982</v>
      </c>
      <c r="H34" s="95">
        <f t="shared" si="1"/>
        <v>6.1983471074380132E-2</v>
      </c>
      <c r="I34" s="99">
        <f t="shared" si="2"/>
        <v>5.5555555555555523E-3</v>
      </c>
      <c r="J34" s="99">
        <f t="shared" si="3"/>
        <v>1.1111111111111105E-2</v>
      </c>
      <c r="K34" s="68">
        <f t="shared" si="4"/>
        <v>2.62</v>
      </c>
      <c r="L34" s="95">
        <f t="shared" si="5"/>
        <v>0.50972762645914405</v>
      </c>
      <c r="M34" s="95">
        <f t="shared" si="6"/>
        <v>9.7037037037037047E-2</v>
      </c>
    </row>
    <row r="35" spans="1:13" ht="15.75" customHeight="1">
      <c r="A35" s="58" t="s">
        <v>146</v>
      </c>
      <c r="B35" s="98" t="s">
        <v>112</v>
      </c>
      <c r="C35" s="68">
        <v>87</v>
      </c>
      <c r="D35" s="68">
        <v>4.93</v>
      </c>
      <c r="E35" s="68">
        <v>5.28</v>
      </c>
      <c r="F35" s="68">
        <v>7.89</v>
      </c>
      <c r="G35" s="68">
        <f t="shared" si="0"/>
        <v>0.35000000000000053</v>
      </c>
      <c r="H35" s="95">
        <f t="shared" si="1"/>
        <v>7.0993914807302341E-2</v>
      </c>
      <c r="I35" s="99">
        <f t="shared" si="2"/>
        <v>6.4814814814814917E-3</v>
      </c>
      <c r="J35" s="99">
        <f t="shared" si="3"/>
        <v>1.2962962962962983E-2</v>
      </c>
      <c r="K35" s="68">
        <f t="shared" si="4"/>
        <v>2.6099999999999994</v>
      </c>
      <c r="L35" s="95">
        <f t="shared" si="5"/>
        <v>0.49431818181818171</v>
      </c>
      <c r="M35" s="95">
        <f t="shared" si="6"/>
        <v>9.6666666666666651E-2</v>
      </c>
    </row>
    <row r="36" spans="1:13" ht="15.75" customHeight="1">
      <c r="A36" s="58" t="s">
        <v>146</v>
      </c>
      <c r="B36" s="98" t="s">
        <v>112</v>
      </c>
      <c r="C36" s="68">
        <v>88</v>
      </c>
      <c r="D36" s="68">
        <v>5.09</v>
      </c>
      <c r="E36" s="68">
        <v>5.37</v>
      </c>
      <c r="F36" s="68">
        <v>8.17</v>
      </c>
      <c r="G36" s="68">
        <f t="shared" si="0"/>
        <v>0.28000000000000025</v>
      </c>
      <c r="H36" s="95">
        <f t="shared" si="1"/>
        <v>5.5009823182711248E-2</v>
      </c>
      <c r="I36" s="99">
        <f t="shared" si="2"/>
        <v>5.1851851851851894E-3</v>
      </c>
      <c r="J36" s="99">
        <f t="shared" si="3"/>
        <v>1.0370370370370379E-2</v>
      </c>
      <c r="K36" s="68">
        <f t="shared" si="4"/>
        <v>2.8</v>
      </c>
      <c r="L36" s="95">
        <f t="shared" si="5"/>
        <v>0.52141527001862198</v>
      </c>
      <c r="M36" s="95">
        <f t="shared" si="6"/>
        <v>0.1037037037037037</v>
      </c>
    </row>
    <row r="37" spans="1:13" ht="15.75" customHeight="1">
      <c r="A37" s="58" t="s">
        <v>146</v>
      </c>
      <c r="B37" s="98" t="s">
        <v>112</v>
      </c>
      <c r="C37" s="68">
        <v>89</v>
      </c>
      <c r="D37" s="68">
        <v>5.03</v>
      </c>
      <c r="E37" s="68">
        <v>5.34</v>
      </c>
      <c r="F37" s="68">
        <v>8.2100000000000009</v>
      </c>
      <c r="G37" s="68">
        <f t="shared" si="0"/>
        <v>0.30999999999999961</v>
      </c>
      <c r="H37" s="95">
        <f t="shared" si="1"/>
        <v>6.1630218687872683E-2</v>
      </c>
      <c r="I37" s="99">
        <f t="shared" si="2"/>
        <v>5.7407407407407338E-3</v>
      </c>
      <c r="J37" s="99">
        <f t="shared" si="3"/>
        <v>1.1481481481481468E-2</v>
      </c>
      <c r="K37" s="68">
        <f t="shared" si="4"/>
        <v>2.870000000000001</v>
      </c>
      <c r="L37" s="95">
        <f t="shared" si="5"/>
        <v>0.53745318352059945</v>
      </c>
      <c r="M37" s="95">
        <f t="shared" si="6"/>
        <v>0.10629629629629633</v>
      </c>
    </row>
    <row r="38" spans="1:13" ht="15.75" customHeight="1">
      <c r="A38" s="58" t="s">
        <v>146</v>
      </c>
      <c r="B38" s="98" t="s">
        <v>112</v>
      </c>
      <c r="C38" s="68">
        <v>93</v>
      </c>
      <c r="D38" s="68">
        <v>4.5999999999999996</v>
      </c>
      <c r="E38" s="68">
        <v>5.07</v>
      </c>
      <c r="F38" s="68">
        <v>7.76</v>
      </c>
      <c r="G38" s="68">
        <f t="shared" si="0"/>
        <v>0.47000000000000064</v>
      </c>
      <c r="H38" s="95">
        <f t="shared" si="1"/>
        <v>0.10217391304347841</v>
      </c>
      <c r="I38" s="99">
        <f t="shared" si="2"/>
        <v>8.7037037037037152E-3</v>
      </c>
      <c r="J38" s="99">
        <f t="shared" si="3"/>
        <v>1.740740740740743E-2</v>
      </c>
      <c r="K38" s="68">
        <f t="shared" si="4"/>
        <v>2.6899999999999995</v>
      </c>
      <c r="L38" s="95">
        <f t="shared" si="5"/>
        <v>0.53057199211045347</v>
      </c>
      <c r="M38" s="95">
        <f t="shared" si="6"/>
        <v>9.962962962962961E-2</v>
      </c>
    </row>
    <row r="39" spans="1:13" ht="15.75" customHeight="1">
      <c r="A39" s="58" t="s">
        <v>146</v>
      </c>
      <c r="B39" s="98" t="s">
        <v>112</v>
      </c>
      <c r="C39" s="68">
        <v>94</v>
      </c>
      <c r="D39" s="68">
        <v>4.68</v>
      </c>
      <c r="E39" s="68">
        <v>5.25</v>
      </c>
      <c r="F39" s="68">
        <v>7.82</v>
      </c>
      <c r="G39" s="68">
        <f t="shared" si="0"/>
        <v>0.57000000000000028</v>
      </c>
      <c r="H39" s="95">
        <f t="shared" si="1"/>
        <v>0.12179487179487186</v>
      </c>
      <c r="I39" s="99">
        <f t="shared" si="2"/>
        <v>1.0555555555555561E-2</v>
      </c>
      <c r="J39" s="99">
        <f t="shared" si="3"/>
        <v>2.1111111111111122E-2</v>
      </c>
      <c r="K39" s="68">
        <f t="shared" si="4"/>
        <v>2.5700000000000003</v>
      </c>
      <c r="L39" s="95">
        <f t="shared" si="5"/>
        <v>0.48952380952380958</v>
      </c>
      <c r="M39" s="95">
        <f t="shared" si="6"/>
        <v>9.5185185185185192E-2</v>
      </c>
    </row>
    <row r="40" spans="1:13" ht="15.75" customHeight="1">
      <c r="A40" s="58" t="s">
        <v>146</v>
      </c>
      <c r="B40" s="98" t="s">
        <v>112</v>
      </c>
      <c r="C40" s="68">
        <v>98</v>
      </c>
      <c r="D40" s="68">
        <v>4.74</v>
      </c>
      <c r="E40" s="68">
        <v>4.95</v>
      </c>
      <c r="F40" s="68">
        <v>7.78</v>
      </c>
      <c r="G40" s="68">
        <f t="shared" si="0"/>
        <v>0.20999999999999996</v>
      </c>
      <c r="H40" s="95">
        <f t="shared" si="1"/>
        <v>4.4303797468354424E-2</v>
      </c>
      <c r="I40" s="99">
        <f t="shared" si="2"/>
        <v>3.8888888888888883E-3</v>
      </c>
      <c r="J40" s="99">
        <f t="shared" si="3"/>
        <v>7.7777777777777767E-3</v>
      </c>
      <c r="K40" s="68">
        <f t="shared" si="4"/>
        <v>2.83</v>
      </c>
      <c r="L40" s="95">
        <f t="shared" si="5"/>
        <v>0.57171717171717173</v>
      </c>
      <c r="M40" s="95">
        <f t="shared" si="6"/>
        <v>0.10481481481481482</v>
      </c>
    </row>
    <row r="41" spans="1:13" ht="15.75" customHeight="1">
      <c r="A41" s="58" t="s">
        <v>146</v>
      </c>
      <c r="B41" s="98" t="s">
        <v>112</v>
      </c>
      <c r="C41" s="68">
        <v>99</v>
      </c>
      <c r="D41" s="68">
        <v>4.4000000000000004</v>
      </c>
      <c r="E41" s="68">
        <v>4.78</v>
      </c>
      <c r="F41" s="68">
        <v>7.29</v>
      </c>
      <c r="G41" s="68">
        <f t="shared" si="0"/>
        <v>0.37999999999999989</v>
      </c>
      <c r="H41" s="95">
        <f t="shared" si="1"/>
        <v>8.6363636363636337E-2</v>
      </c>
      <c r="I41" s="99">
        <f t="shared" si="2"/>
        <v>7.0370370370370352E-3</v>
      </c>
      <c r="J41" s="99">
        <f t="shared" si="3"/>
        <v>1.407407407407407E-2</v>
      </c>
      <c r="K41" s="68">
        <f t="shared" si="4"/>
        <v>2.5099999999999998</v>
      </c>
      <c r="L41" s="95">
        <f t="shared" si="5"/>
        <v>0.52510460251046021</v>
      </c>
      <c r="M41" s="95">
        <f t="shared" si="6"/>
        <v>9.2962962962962956E-2</v>
      </c>
    </row>
    <row r="42" spans="1:13" ht="15.75" customHeight="1">
      <c r="A42" s="58" t="s">
        <v>146</v>
      </c>
      <c r="B42" s="98" t="s">
        <v>112</v>
      </c>
      <c r="C42" s="68">
        <v>100</v>
      </c>
      <c r="D42" s="68">
        <v>4.46</v>
      </c>
      <c r="E42" s="68">
        <v>4.96</v>
      </c>
      <c r="F42" s="68">
        <v>7.17</v>
      </c>
      <c r="G42" s="68">
        <f t="shared" si="0"/>
        <v>0.5</v>
      </c>
      <c r="H42" s="95">
        <f t="shared" si="1"/>
        <v>0.11210762331838565</v>
      </c>
      <c r="I42" s="99">
        <f t="shared" si="2"/>
        <v>9.2592592592592587E-3</v>
      </c>
      <c r="J42" s="99">
        <f t="shared" si="3"/>
        <v>1.8518518518518517E-2</v>
      </c>
      <c r="K42" s="68">
        <f t="shared" si="4"/>
        <v>2.21</v>
      </c>
      <c r="L42" s="95">
        <f t="shared" si="5"/>
        <v>0.44556451612903225</v>
      </c>
      <c r="M42" s="95">
        <f t="shared" si="6"/>
        <v>8.1851851851851856E-2</v>
      </c>
    </row>
    <row r="43" spans="1:13" ht="15.75" customHeight="1">
      <c r="A43" s="58" t="s">
        <v>146</v>
      </c>
      <c r="B43" s="98" t="s">
        <v>112</v>
      </c>
      <c r="C43" s="68">
        <v>104</v>
      </c>
      <c r="D43" s="68">
        <v>4.58</v>
      </c>
      <c r="E43" s="68">
        <v>5.0199999999999996</v>
      </c>
      <c r="F43" s="68">
        <v>7.36</v>
      </c>
      <c r="G43" s="68">
        <f t="shared" si="0"/>
        <v>0.4399999999999995</v>
      </c>
      <c r="H43" s="95">
        <f t="shared" si="1"/>
        <v>9.6069868995633079E-2</v>
      </c>
      <c r="I43" s="99">
        <f t="shared" si="2"/>
        <v>8.1481481481481387E-3</v>
      </c>
      <c r="J43" s="99">
        <f t="shared" si="3"/>
        <v>1.6296296296296277E-2</v>
      </c>
      <c r="K43" s="68">
        <f t="shared" si="4"/>
        <v>2.3400000000000007</v>
      </c>
      <c r="L43" s="95">
        <f t="shared" si="5"/>
        <v>0.46613545816733087</v>
      </c>
      <c r="M43" s="95">
        <f t="shared" si="6"/>
        <v>8.6666666666666697E-2</v>
      </c>
    </row>
    <row r="44" spans="1:13" ht="15.75" customHeight="1">
      <c r="A44" s="58" t="s">
        <v>146</v>
      </c>
      <c r="B44" s="98" t="s">
        <v>112</v>
      </c>
      <c r="C44" s="68">
        <v>107</v>
      </c>
      <c r="D44" s="68">
        <v>4.41</v>
      </c>
      <c r="E44" s="68">
        <v>4.67</v>
      </c>
      <c r="F44" s="68">
        <v>6.99</v>
      </c>
      <c r="G44" s="68">
        <f t="shared" si="0"/>
        <v>0.25999999999999979</v>
      </c>
      <c r="H44" s="95">
        <f t="shared" si="1"/>
        <v>5.8956916099773195E-2</v>
      </c>
      <c r="I44" s="99">
        <f t="shared" si="2"/>
        <v>4.8148148148148108E-3</v>
      </c>
      <c r="J44" s="99">
        <f t="shared" si="3"/>
        <v>9.6296296296296217E-3</v>
      </c>
      <c r="K44" s="68">
        <f t="shared" si="4"/>
        <v>2.3200000000000003</v>
      </c>
      <c r="L44" s="95">
        <f t="shared" si="5"/>
        <v>0.49678800856531058</v>
      </c>
      <c r="M44" s="95">
        <f t="shared" si="6"/>
        <v>8.5925925925925933E-2</v>
      </c>
    </row>
    <row r="45" spans="1:13" ht="15.75" customHeight="1">
      <c r="A45" s="58" t="s">
        <v>146</v>
      </c>
      <c r="B45" s="98" t="s">
        <v>112</v>
      </c>
      <c r="C45" s="68">
        <v>116</v>
      </c>
      <c r="D45" s="68">
        <v>4.18</v>
      </c>
      <c r="E45" s="68">
        <v>4.3600000000000003</v>
      </c>
      <c r="F45" s="68">
        <v>6.55</v>
      </c>
      <c r="G45" s="68">
        <f t="shared" si="0"/>
        <v>0.1800000000000006</v>
      </c>
      <c r="H45" s="95">
        <f t="shared" si="1"/>
        <v>4.3062200956937947E-2</v>
      </c>
      <c r="I45" s="99">
        <f t="shared" si="2"/>
        <v>3.3333333333333444E-3</v>
      </c>
      <c r="J45" s="99">
        <f t="shared" si="3"/>
        <v>6.6666666666666888E-3</v>
      </c>
      <c r="K45" s="68">
        <f t="shared" si="4"/>
        <v>2.1899999999999995</v>
      </c>
      <c r="L45" s="95">
        <f t="shared" si="5"/>
        <v>0.5022935779816512</v>
      </c>
      <c r="M45" s="95">
        <f t="shared" si="6"/>
        <v>8.1111111111111092E-2</v>
      </c>
    </row>
    <row r="46" spans="1:13" ht="15.75" customHeight="1">
      <c r="A46" s="58" t="s">
        <v>146</v>
      </c>
      <c r="B46" s="98" t="s">
        <v>112</v>
      </c>
      <c r="C46" s="68">
        <v>117</v>
      </c>
      <c r="D46" s="68">
        <v>4.34</v>
      </c>
      <c r="E46" s="68">
        <v>4.5999999999999996</v>
      </c>
      <c r="F46" s="68">
        <v>6.8</v>
      </c>
      <c r="G46" s="68">
        <f t="shared" si="0"/>
        <v>0.25999999999999979</v>
      </c>
      <c r="H46" s="95">
        <f t="shared" si="1"/>
        <v>5.9907834101382444E-2</v>
      </c>
      <c r="I46" s="99">
        <f t="shared" si="2"/>
        <v>4.8148148148148108E-3</v>
      </c>
      <c r="J46" s="99">
        <f t="shared" si="3"/>
        <v>9.6296296296296217E-3</v>
      </c>
      <c r="K46" s="68">
        <f t="shared" si="4"/>
        <v>2.2000000000000002</v>
      </c>
      <c r="L46" s="95">
        <f t="shared" si="5"/>
        <v>0.47826086956521746</v>
      </c>
      <c r="M46" s="95">
        <f t="shared" si="6"/>
        <v>8.1481481481481488E-2</v>
      </c>
    </row>
    <row r="47" spans="1:13" ht="15.75" customHeight="1">
      <c r="A47" s="58" t="s">
        <v>146</v>
      </c>
      <c r="B47" s="98" t="s">
        <v>112</v>
      </c>
      <c r="C47" s="68">
        <v>120</v>
      </c>
      <c r="D47" s="68">
        <v>3.48</v>
      </c>
      <c r="E47" s="68">
        <v>3.72</v>
      </c>
      <c r="F47" s="68">
        <v>6.06</v>
      </c>
      <c r="G47" s="68">
        <f t="shared" si="0"/>
        <v>0.24000000000000021</v>
      </c>
      <c r="H47" s="95">
        <f t="shared" si="1"/>
        <v>6.8965517241379379E-2</v>
      </c>
      <c r="I47" s="99">
        <f t="shared" si="2"/>
        <v>4.4444444444444488E-3</v>
      </c>
      <c r="J47" s="99">
        <f t="shared" si="3"/>
        <v>8.8888888888888976E-3</v>
      </c>
      <c r="K47" s="68">
        <f t="shared" si="4"/>
        <v>2.3399999999999994</v>
      </c>
      <c r="L47" s="95">
        <f t="shared" si="5"/>
        <v>0.6290322580645159</v>
      </c>
      <c r="M47" s="95">
        <f t="shared" si="6"/>
        <v>8.6666666666666642E-2</v>
      </c>
    </row>
    <row r="48" spans="1:13" ht="15.75" customHeight="1">
      <c r="A48" s="58" t="s">
        <v>146</v>
      </c>
      <c r="B48" s="98" t="s">
        <v>112</v>
      </c>
      <c r="C48" s="68">
        <v>123</v>
      </c>
      <c r="D48" s="68">
        <v>3.23</v>
      </c>
      <c r="E48" s="68">
        <v>3.49</v>
      </c>
      <c r="F48" s="68">
        <v>6</v>
      </c>
      <c r="G48" s="68">
        <f t="shared" si="0"/>
        <v>0.26000000000000023</v>
      </c>
      <c r="H48" s="95">
        <f t="shared" si="1"/>
        <v>8.0495356037151772E-2</v>
      </c>
      <c r="I48" s="99">
        <f t="shared" si="2"/>
        <v>4.8148148148148195E-3</v>
      </c>
      <c r="J48" s="99">
        <f t="shared" si="3"/>
        <v>9.629629629629639E-3</v>
      </c>
      <c r="K48" s="68">
        <f t="shared" si="4"/>
        <v>2.5099999999999998</v>
      </c>
      <c r="L48" s="95">
        <f t="shared" si="5"/>
        <v>0.71919770773638958</v>
      </c>
      <c r="M48" s="95">
        <f t="shared" si="6"/>
        <v>9.2962962962962956E-2</v>
      </c>
    </row>
    <row r="49" spans="1:13" ht="15.75" customHeight="1">
      <c r="A49" s="58" t="s">
        <v>146</v>
      </c>
      <c r="B49" s="98" t="s">
        <v>112</v>
      </c>
      <c r="C49" s="68">
        <v>124</v>
      </c>
      <c r="D49" s="68">
        <v>3.21</v>
      </c>
      <c r="E49" s="68">
        <v>3.42</v>
      </c>
      <c r="F49" s="68">
        <v>5.84</v>
      </c>
      <c r="G49" s="68">
        <f t="shared" si="0"/>
        <v>0.20999999999999996</v>
      </c>
      <c r="H49" s="95">
        <f t="shared" si="1"/>
        <v>6.5420560747663545E-2</v>
      </c>
      <c r="I49" s="99">
        <f t="shared" si="2"/>
        <v>3.8888888888888883E-3</v>
      </c>
      <c r="J49" s="99">
        <f t="shared" si="3"/>
        <v>7.7777777777777767E-3</v>
      </c>
      <c r="K49" s="68">
        <f t="shared" si="4"/>
        <v>2.42</v>
      </c>
      <c r="L49" s="95">
        <f t="shared" si="5"/>
        <v>0.70760233918128657</v>
      </c>
      <c r="M49" s="95">
        <f t="shared" si="6"/>
        <v>8.9629629629629629E-2</v>
      </c>
    </row>
    <row r="50" spans="1:13" ht="15.75" customHeight="1">
      <c r="A50" s="58" t="s">
        <v>146</v>
      </c>
      <c r="B50" s="98" t="s">
        <v>112</v>
      </c>
      <c r="C50" s="68">
        <v>126</v>
      </c>
      <c r="D50" s="68">
        <v>3.34</v>
      </c>
      <c r="E50" s="68">
        <v>3.55</v>
      </c>
      <c r="F50" s="68">
        <v>5.81</v>
      </c>
      <c r="G50" s="68">
        <f t="shared" si="0"/>
        <v>0.20999999999999996</v>
      </c>
      <c r="H50" s="95">
        <f t="shared" si="1"/>
        <v>6.2874251497005984E-2</v>
      </c>
      <c r="I50" s="99">
        <f t="shared" si="2"/>
        <v>3.8888888888888883E-3</v>
      </c>
      <c r="J50" s="99">
        <f t="shared" si="3"/>
        <v>7.7777777777777767E-3</v>
      </c>
      <c r="K50" s="68">
        <f t="shared" si="4"/>
        <v>2.2599999999999998</v>
      </c>
      <c r="L50" s="95">
        <f t="shared" si="5"/>
        <v>0.63661971830985908</v>
      </c>
      <c r="M50" s="95">
        <f t="shared" si="6"/>
        <v>8.3703703703703697E-2</v>
      </c>
    </row>
    <row r="51" spans="1:13" ht="15.75" customHeight="1">
      <c r="A51" s="58" t="s">
        <v>146</v>
      </c>
      <c r="B51" s="98" t="s">
        <v>112</v>
      </c>
      <c r="C51" s="68">
        <v>127</v>
      </c>
      <c r="D51" s="68">
        <v>3.35</v>
      </c>
      <c r="E51" s="68">
        <v>3.61</v>
      </c>
      <c r="F51" s="68">
        <v>5.97</v>
      </c>
      <c r="G51" s="68">
        <f t="shared" si="0"/>
        <v>0.25999999999999979</v>
      </c>
      <c r="H51" s="95">
        <f t="shared" si="1"/>
        <v>7.7611940298507404E-2</v>
      </c>
      <c r="I51" s="99">
        <f t="shared" si="2"/>
        <v>4.8148148148148108E-3</v>
      </c>
      <c r="J51" s="99">
        <f t="shared" si="3"/>
        <v>9.6296296296296217E-3</v>
      </c>
      <c r="K51" s="68">
        <f t="shared" si="4"/>
        <v>2.36</v>
      </c>
      <c r="L51" s="95">
        <f t="shared" si="5"/>
        <v>0.65373961218836563</v>
      </c>
      <c r="M51" s="95">
        <f t="shared" si="6"/>
        <v>8.7407407407407406E-2</v>
      </c>
    </row>
    <row r="52" spans="1:13" ht="15.75" customHeight="1">
      <c r="A52" s="58" t="s">
        <v>146</v>
      </c>
      <c r="B52" s="98" t="s">
        <v>112</v>
      </c>
      <c r="C52" s="68">
        <v>130</v>
      </c>
      <c r="D52" s="68">
        <v>3.39</v>
      </c>
      <c r="E52" s="68">
        <v>3.63</v>
      </c>
      <c r="F52" s="68">
        <v>5.89</v>
      </c>
      <c r="G52" s="68">
        <f t="shared" si="0"/>
        <v>0.23999999999999977</v>
      </c>
      <c r="H52" s="95">
        <f t="shared" si="1"/>
        <v>7.079646017699108E-2</v>
      </c>
      <c r="I52" s="99">
        <f t="shared" si="2"/>
        <v>4.4444444444444401E-3</v>
      </c>
      <c r="J52" s="99">
        <f t="shared" si="3"/>
        <v>8.8888888888888802E-3</v>
      </c>
      <c r="K52" s="68">
        <f t="shared" si="4"/>
        <v>2.2599999999999998</v>
      </c>
      <c r="L52" s="95">
        <f t="shared" si="5"/>
        <v>0.62258953168044073</v>
      </c>
      <c r="M52" s="95">
        <f t="shared" si="6"/>
        <v>8.3703703703703697E-2</v>
      </c>
    </row>
    <row r="53" spans="1:13" ht="15.75" customHeight="1">
      <c r="A53" s="58" t="s">
        <v>146</v>
      </c>
      <c r="B53" s="98" t="s">
        <v>112</v>
      </c>
      <c r="C53" s="68">
        <v>134</v>
      </c>
      <c r="D53" s="68">
        <v>3.35</v>
      </c>
      <c r="E53" s="68">
        <v>3.55</v>
      </c>
      <c r="F53" s="68">
        <v>5.9</v>
      </c>
      <c r="G53" s="68">
        <f t="shared" si="0"/>
        <v>0.19999999999999973</v>
      </c>
      <c r="H53" s="95">
        <f t="shared" si="1"/>
        <v>5.9701492537313348E-2</v>
      </c>
      <c r="I53" s="99">
        <f t="shared" si="2"/>
        <v>3.7037037037036986E-3</v>
      </c>
      <c r="J53" s="99">
        <f t="shared" si="3"/>
        <v>7.4074074074073973E-3</v>
      </c>
      <c r="K53" s="68">
        <f t="shared" si="4"/>
        <v>2.3500000000000005</v>
      </c>
      <c r="L53" s="95">
        <f t="shared" si="5"/>
        <v>0.66197183098591572</v>
      </c>
      <c r="M53" s="95">
        <f t="shared" si="6"/>
        <v>8.7037037037037052E-2</v>
      </c>
    </row>
    <row r="54" spans="1:13" ht="15.75" customHeight="1">
      <c r="A54" s="58" t="s">
        <v>146</v>
      </c>
      <c r="B54" s="98" t="s">
        <v>112</v>
      </c>
      <c r="C54" s="68">
        <v>135</v>
      </c>
      <c r="D54" s="68">
        <v>3.39</v>
      </c>
      <c r="E54" s="68">
        <v>3.59</v>
      </c>
      <c r="F54" s="68">
        <v>6.11</v>
      </c>
      <c r="G54" s="68">
        <f t="shared" si="0"/>
        <v>0.19999999999999973</v>
      </c>
      <c r="H54" s="95">
        <f t="shared" si="1"/>
        <v>5.8997050147492541E-2</v>
      </c>
      <c r="I54" s="99">
        <f t="shared" si="2"/>
        <v>3.7037037037036986E-3</v>
      </c>
      <c r="J54" s="99">
        <f t="shared" si="3"/>
        <v>7.4074074074073973E-3</v>
      </c>
      <c r="K54" s="68">
        <f t="shared" si="4"/>
        <v>2.5200000000000005</v>
      </c>
      <c r="L54" s="95">
        <f t="shared" si="5"/>
        <v>0.70194986072423415</v>
      </c>
      <c r="M54" s="95">
        <f t="shared" si="6"/>
        <v>9.3333333333333351E-2</v>
      </c>
    </row>
    <row r="55" spans="1:13" ht="15.75" customHeight="1">
      <c r="A55" s="58" t="s">
        <v>146</v>
      </c>
      <c r="B55" s="98" t="s">
        <v>112</v>
      </c>
      <c r="C55" s="68">
        <v>139</v>
      </c>
      <c r="D55" s="68">
        <v>4.6500000000000004</v>
      </c>
      <c r="E55" s="68">
        <v>4.82</v>
      </c>
      <c r="F55" s="68">
        <v>7.28</v>
      </c>
      <c r="G55" s="68">
        <f t="shared" si="0"/>
        <v>0.16999999999999993</v>
      </c>
      <c r="H55" s="95">
        <f t="shared" si="1"/>
        <v>3.6559139784946217E-2</v>
      </c>
      <c r="I55" s="99">
        <f t="shared" si="2"/>
        <v>3.1481481481481469E-3</v>
      </c>
      <c r="J55" s="99">
        <f t="shared" si="3"/>
        <v>6.2962962962962938E-3</v>
      </c>
      <c r="K55" s="68">
        <f t="shared" si="4"/>
        <v>2.46</v>
      </c>
      <c r="L55" s="95">
        <f t="shared" si="5"/>
        <v>0.51037344398340245</v>
      </c>
      <c r="M55" s="95">
        <f t="shared" si="6"/>
        <v>9.1111111111111115E-2</v>
      </c>
    </row>
    <row r="56" spans="1:13" ht="15.75" customHeight="1">
      <c r="A56" s="58" t="s">
        <v>146</v>
      </c>
      <c r="B56" s="98" t="s">
        <v>112</v>
      </c>
      <c r="C56" s="68">
        <v>143</v>
      </c>
      <c r="D56" s="68">
        <v>4.67</v>
      </c>
      <c r="E56" s="68">
        <v>5.01</v>
      </c>
      <c r="F56" s="68">
        <v>7.32</v>
      </c>
      <c r="G56" s="68">
        <f t="shared" si="0"/>
        <v>0.33999999999999986</v>
      </c>
      <c r="H56" s="95">
        <f t="shared" si="1"/>
        <v>7.280513918629547E-2</v>
      </c>
      <c r="I56" s="99">
        <f t="shared" si="2"/>
        <v>6.2962962962962938E-3</v>
      </c>
      <c r="J56" s="99">
        <f t="shared" si="3"/>
        <v>1.2592592592592588E-2</v>
      </c>
      <c r="K56" s="68">
        <f t="shared" si="4"/>
        <v>2.3100000000000005</v>
      </c>
      <c r="L56" s="95">
        <f t="shared" si="5"/>
        <v>0.46107784431137738</v>
      </c>
      <c r="M56" s="95">
        <f t="shared" si="6"/>
        <v>8.5555555555555579E-2</v>
      </c>
    </row>
    <row r="57" spans="1:13" ht="15.75" customHeight="1">
      <c r="A57" s="58" t="s">
        <v>146</v>
      </c>
      <c r="B57" s="98" t="s">
        <v>112</v>
      </c>
      <c r="C57" s="68">
        <v>148</v>
      </c>
      <c r="D57" s="68">
        <v>4.93</v>
      </c>
      <c r="E57" s="68">
        <v>5.0999999999999996</v>
      </c>
      <c r="F57" s="68">
        <v>7.55</v>
      </c>
      <c r="G57" s="68">
        <f t="shared" si="0"/>
        <v>0.16999999999999993</v>
      </c>
      <c r="H57" s="95">
        <f t="shared" si="1"/>
        <v>3.4482758620689641E-2</v>
      </c>
      <c r="I57" s="99">
        <f t="shared" si="2"/>
        <v>3.1481481481481469E-3</v>
      </c>
      <c r="J57" s="99">
        <f t="shared" si="3"/>
        <v>6.2962962962962938E-3</v>
      </c>
      <c r="K57" s="68">
        <f t="shared" si="4"/>
        <v>2.4500000000000002</v>
      </c>
      <c r="L57" s="95">
        <f t="shared" si="5"/>
        <v>0.48039215686274517</v>
      </c>
      <c r="M57" s="95">
        <f t="shared" si="6"/>
        <v>9.0740740740740747E-2</v>
      </c>
    </row>
    <row r="58" spans="1:13" ht="15.75" customHeight="1">
      <c r="A58" s="58" t="s">
        <v>146</v>
      </c>
      <c r="B58" s="98" t="s">
        <v>112</v>
      </c>
      <c r="C58" s="68">
        <v>150</v>
      </c>
      <c r="D58" s="68">
        <v>4.8099999999999996</v>
      </c>
      <c r="E58" s="68">
        <v>5.13</v>
      </c>
      <c r="F58" s="68">
        <v>7.54</v>
      </c>
      <c r="G58" s="68">
        <f t="shared" si="0"/>
        <v>0.32000000000000028</v>
      </c>
      <c r="H58" s="95">
        <f t="shared" si="1"/>
        <v>6.6528066528066587E-2</v>
      </c>
      <c r="I58" s="99">
        <f t="shared" si="2"/>
        <v>5.9259259259259308E-3</v>
      </c>
      <c r="J58" s="99">
        <f t="shared" si="3"/>
        <v>1.1851851851851862E-2</v>
      </c>
      <c r="K58" s="68">
        <f t="shared" si="4"/>
        <v>2.41</v>
      </c>
      <c r="L58" s="95">
        <f t="shared" si="5"/>
        <v>0.46978557504873297</v>
      </c>
      <c r="M58" s="95">
        <f t="shared" si="6"/>
        <v>8.925925925925926E-2</v>
      </c>
    </row>
    <row r="59" spans="1:13" ht="15.75" customHeight="1">
      <c r="A59" s="58" t="s">
        <v>146</v>
      </c>
      <c r="B59" s="98" t="s">
        <v>112</v>
      </c>
      <c r="C59" s="68">
        <v>155</v>
      </c>
      <c r="D59" s="68">
        <v>4.4400000000000004</v>
      </c>
      <c r="E59" s="68">
        <v>6.36</v>
      </c>
      <c r="F59" s="68">
        <v>7.91</v>
      </c>
      <c r="G59" s="68">
        <f t="shared" si="0"/>
        <v>1.92</v>
      </c>
      <c r="H59" s="95">
        <f t="shared" si="1"/>
        <v>0.4324324324324324</v>
      </c>
      <c r="I59" s="99">
        <f t="shared" si="2"/>
        <v>3.5555555555555556E-2</v>
      </c>
      <c r="J59" s="99">
        <f t="shared" si="3"/>
        <v>7.1111111111111111E-2</v>
      </c>
      <c r="K59" s="68">
        <f t="shared" si="4"/>
        <v>1.5499999999999998</v>
      </c>
      <c r="L59" s="95">
        <f t="shared" si="5"/>
        <v>0.24371069182389934</v>
      </c>
      <c r="M59" s="95">
        <f t="shared" si="6"/>
        <v>5.74074074074074E-2</v>
      </c>
    </row>
    <row r="60" spans="1:13" ht="15.75" customHeight="1">
      <c r="A60" s="58" t="s">
        <v>146</v>
      </c>
      <c r="B60" s="98" t="s">
        <v>112</v>
      </c>
      <c r="C60" s="68">
        <v>157</v>
      </c>
      <c r="D60" s="68">
        <v>4.59</v>
      </c>
      <c r="E60" s="68">
        <v>4.72</v>
      </c>
      <c r="F60" s="68">
        <v>7.61</v>
      </c>
      <c r="G60" s="68">
        <f t="shared" si="0"/>
        <v>0.12999999999999989</v>
      </c>
      <c r="H60" s="95">
        <f t="shared" si="1"/>
        <v>2.8322440087145948E-2</v>
      </c>
      <c r="I60" s="99">
        <f t="shared" si="2"/>
        <v>2.4074074074074054E-3</v>
      </c>
      <c r="J60" s="99">
        <f t="shared" si="3"/>
        <v>4.8148148148148108E-3</v>
      </c>
      <c r="K60" s="68">
        <f t="shared" si="4"/>
        <v>2.8900000000000006</v>
      </c>
      <c r="L60" s="95">
        <f t="shared" si="5"/>
        <v>0.61228813559322048</v>
      </c>
      <c r="M60" s="95">
        <f t="shared" si="6"/>
        <v>0.10703703703703706</v>
      </c>
    </row>
    <row r="61" spans="1:13" ht="15.75" customHeight="1">
      <c r="A61" s="58" t="s">
        <v>146</v>
      </c>
      <c r="B61" s="98" t="s">
        <v>112</v>
      </c>
      <c r="C61" s="68">
        <v>158</v>
      </c>
      <c r="D61" s="68">
        <v>4.4800000000000004</v>
      </c>
      <c r="E61" s="68">
        <v>4.74</v>
      </c>
      <c r="F61" s="68">
        <v>7.54</v>
      </c>
      <c r="G61" s="68">
        <f t="shared" si="0"/>
        <v>0.25999999999999979</v>
      </c>
      <c r="H61" s="95">
        <f t="shared" si="1"/>
        <v>5.8035714285714232E-2</v>
      </c>
      <c r="I61" s="99">
        <f t="shared" si="2"/>
        <v>4.8148148148148108E-3</v>
      </c>
      <c r="J61" s="99">
        <f t="shared" si="3"/>
        <v>9.6296296296296217E-3</v>
      </c>
      <c r="K61" s="68">
        <f t="shared" si="4"/>
        <v>2.8</v>
      </c>
      <c r="L61" s="95">
        <f t="shared" si="5"/>
        <v>0.59071729957805896</v>
      </c>
      <c r="M61" s="95">
        <f t="shared" si="6"/>
        <v>0.1037037037037037</v>
      </c>
    </row>
    <row r="62" spans="1:13" ht="15.75" customHeight="1">
      <c r="A62" s="58" t="s">
        <v>146</v>
      </c>
      <c r="B62" s="98" t="s">
        <v>112</v>
      </c>
      <c r="C62" s="68">
        <v>161</v>
      </c>
      <c r="D62" s="68">
        <v>4.28</v>
      </c>
      <c r="E62" s="68">
        <v>4.59</v>
      </c>
      <c r="F62" s="68">
        <v>7.42</v>
      </c>
      <c r="G62" s="68">
        <f t="shared" si="0"/>
        <v>0.30999999999999961</v>
      </c>
      <c r="H62" s="95">
        <f t="shared" si="1"/>
        <v>7.2429906542055986E-2</v>
      </c>
      <c r="I62" s="99">
        <f t="shared" si="2"/>
        <v>5.7407407407407338E-3</v>
      </c>
      <c r="J62" s="99">
        <f t="shared" si="3"/>
        <v>1.1481481481481468E-2</v>
      </c>
      <c r="K62" s="68">
        <f t="shared" si="4"/>
        <v>2.83</v>
      </c>
      <c r="L62" s="95">
        <f t="shared" si="5"/>
        <v>0.6165577342047931</v>
      </c>
      <c r="M62" s="95">
        <f t="shared" si="6"/>
        <v>0.10481481481481482</v>
      </c>
    </row>
    <row r="63" spans="1:13" ht="15.75" customHeight="1">
      <c r="A63" s="58" t="s">
        <v>146</v>
      </c>
      <c r="B63" s="98" t="s">
        <v>112</v>
      </c>
      <c r="C63" s="68">
        <v>165</v>
      </c>
      <c r="D63" s="68">
        <v>4.66</v>
      </c>
      <c r="E63" s="68">
        <v>4.9400000000000004</v>
      </c>
      <c r="F63" s="68">
        <v>7.7</v>
      </c>
      <c r="G63" s="68">
        <f t="shared" si="0"/>
        <v>0.28000000000000025</v>
      </c>
      <c r="H63" s="95">
        <f t="shared" si="1"/>
        <v>6.0085836909871293E-2</v>
      </c>
      <c r="I63" s="99">
        <f t="shared" si="2"/>
        <v>5.1851851851851894E-3</v>
      </c>
      <c r="J63" s="99">
        <f t="shared" si="3"/>
        <v>1.0370370370370379E-2</v>
      </c>
      <c r="K63" s="68">
        <f t="shared" si="4"/>
        <v>2.76</v>
      </c>
      <c r="L63" s="95">
        <f t="shared" si="5"/>
        <v>0.55870445344129549</v>
      </c>
      <c r="M63" s="95">
        <f t="shared" si="6"/>
        <v>0.10222222222222221</v>
      </c>
    </row>
    <row r="64" spans="1:13" ht="15.75" customHeight="1">
      <c r="A64" s="58" t="s">
        <v>146</v>
      </c>
      <c r="B64" s="98" t="s">
        <v>112</v>
      </c>
      <c r="C64" s="68">
        <v>167</v>
      </c>
      <c r="D64" s="68">
        <v>4.6500000000000004</v>
      </c>
      <c r="E64" s="68">
        <v>5.15</v>
      </c>
      <c r="F64" s="68">
        <v>7.74</v>
      </c>
      <c r="G64" s="68">
        <f t="shared" si="0"/>
        <v>0.5</v>
      </c>
      <c r="H64" s="95">
        <f t="shared" si="1"/>
        <v>0.1075268817204301</v>
      </c>
      <c r="I64" s="99">
        <f t="shared" si="2"/>
        <v>9.2592592592592587E-3</v>
      </c>
      <c r="J64" s="99">
        <f t="shared" si="3"/>
        <v>1.8518518518518517E-2</v>
      </c>
      <c r="K64" s="68">
        <f t="shared" si="4"/>
        <v>2.59</v>
      </c>
      <c r="L64" s="95">
        <f t="shared" si="5"/>
        <v>0.50291262135922321</v>
      </c>
      <c r="M64" s="95">
        <f t="shared" si="6"/>
        <v>9.5925925925925914E-2</v>
      </c>
    </row>
    <row r="65" spans="1:13" ht="15.75" customHeight="1">
      <c r="A65" s="58" t="s">
        <v>146</v>
      </c>
      <c r="B65" s="98" t="s">
        <v>112</v>
      </c>
      <c r="C65" s="68">
        <v>168</v>
      </c>
      <c r="D65" s="68">
        <v>4.49</v>
      </c>
      <c r="E65" s="68">
        <v>4.71</v>
      </c>
      <c r="F65" s="68">
        <v>7.06</v>
      </c>
      <c r="G65" s="68">
        <f t="shared" si="0"/>
        <v>0.21999999999999975</v>
      </c>
      <c r="H65" s="95">
        <f t="shared" si="1"/>
        <v>4.8997772828507737E-2</v>
      </c>
      <c r="I65" s="99">
        <f t="shared" si="2"/>
        <v>4.0740740740740694E-3</v>
      </c>
      <c r="J65" s="99">
        <f t="shared" si="3"/>
        <v>8.1481481481481387E-3</v>
      </c>
      <c r="K65" s="68">
        <f t="shared" si="4"/>
        <v>2.3499999999999996</v>
      </c>
      <c r="L65" s="95">
        <f t="shared" si="5"/>
        <v>0.49893842887473455</v>
      </c>
      <c r="M65" s="95">
        <f t="shared" si="6"/>
        <v>8.7037037037037024E-2</v>
      </c>
    </row>
    <row r="66" spans="1:13" ht="15.75" customHeight="1">
      <c r="A66" s="58" t="s">
        <v>146</v>
      </c>
      <c r="B66" s="98" t="s">
        <v>112</v>
      </c>
      <c r="C66" s="68">
        <v>169</v>
      </c>
      <c r="D66" s="68">
        <v>4.68</v>
      </c>
      <c r="E66" s="68">
        <v>5.21</v>
      </c>
      <c r="F66" s="68">
        <v>7.86</v>
      </c>
      <c r="G66" s="68">
        <f t="shared" si="0"/>
        <v>0.53000000000000025</v>
      </c>
      <c r="H66" s="95">
        <f t="shared" si="1"/>
        <v>0.1132478632478633</v>
      </c>
      <c r="I66" s="99">
        <f t="shared" si="2"/>
        <v>9.8148148148148196E-3</v>
      </c>
      <c r="J66" s="99">
        <f t="shared" si="3"/>
        <v>1.9629629629629639E-2</v>
      </c>
      <c r="K66" s="68">
        <f t="shared" si="4"/>
        <v>2.6500000000000004</v>
      </c>
      <c r="L66" s="95">
        <f t="shared" si="5"/>
        <v>0.50863723608445299</v>
      </c>
      <c r="M66" s="95">
        <f t="shared" si="6"/>
        <v>9.8148148148148165E-2</v>
      </c>
    </row>
    <row r="67" spans="1:13" ht="15.75" customHeight="1">
      <c r="A67" s="58" t="s">
        <v>146</v>
      </c>
      <c r="B67" s="98" t="s">
        <v>112</v>
      </c>
      <c r="C67" s="68">
        <v>174</v>
      </c>
      <c r="D67" s="68">
        <v>4.5199999999999996</v>
      </c>
      <c r="E67" s="68">
        <v>5.0599999999999996</v>
      </c>
      <c r="F67" s="68">
        <v>7.57</v>
      </c>
      <c r="G67" s="68">
        <f t="shared" si="0"/>
        <v>0.54</v>
      </c>
      <c r="H67" s="95">
        <f t="shared" si="1"/>
        <v>0.11946902654867259</v>
      </c>
      <c r="I67" s="99">
        <f t="shared" si="2"/>
        <v>0.01</v>
      </c>
      <c r="J67" s="99">
        <f t="shared" si="3"/>
        <v>0.02</v>
      </c>
      <c r="K67" s="68">
        <f t="shared" si="4"/>
        <v>2.5100000000000007</v>
      </c>
      <c r="L67" s="95">
        <f t="shared" si="5"/>
        <v>0.49604743083003972</v>
      </c>
      <c r="M67" s="95">
        <f t="shared" si="6"/>
        <v>9.2962962962962983E-2</v>
      </c>
    </row>
    <row r="68" spans="1:13" ht="15.75" customHeight="1">
      <c r="A68" s="58" t="s">
        <v>146</v>
      </c>
      <c r="B68" s="98" t="s">
        <v>112</v>
      </c>
      <c r="C68" s="68">
        <v>187</v>
      </c>
      <c r="D68" s="68">
        <v>4.38</v>
      </c>
      <c r="E68" s="68">
        <v>4.6100000000000003</v>
      </c>
      <c r="F68" s="68">
        <v>7</v>
      </c>
      <c r="G68" s="68">
        <f t="shared" si="0"/>
        <v>0.23000000000000043</v>
      </c>
      <c r="H68" s="95">
        <f t="shared" si="1"/>
        <v>5.2511415525114256E-2</v>
      </c>
      <c r="I68" s="99">
        <f t="shared" si="2"/>
        <v>4.2592592592592673E-3</v>
      </c>
      <c r="J68" s="99">
        <f t="shared" si="3"/>
        <v>8.5185185185185346E-3</v>
      </c>
      <c r="K68" s="68">
        <f t="shared" si="4"/>
        <v>2.3899999999999997</v>
      </c>
      <c r="L68" s="95">
        <f t="shared" si="5"/>
        <v>0.51843817787418645</v>
      </c>
      <c r="M68" s="95">
        <f t="shared" si="6"/>
        <v>8.851851851851851E-2</v>
      </c>
    </row>
    <row r="69" spans="1:13" ht="15.75" customHeight="1">
      <c r="A69" s="58" t="s">
        <v>146</v>
      </c>
      <c r="B69" s="98" t="s">
        <v>112</v>
      </c>
      <c r="C69" s="68">
        <v>188</v>
      </c>
      <c r="D69" s="68">
        <v>4.43</v>
      </c>
      <c r="E69" s="68">
        <v>4.88</v>
      </c>
      <c r="F69" s="68">
        <v>7.63</v>
      </c>
      <c r="G69" s="68">
        <f t="shared" si="0"/>
        <v>0.45000000000000018</v>
      </c>
      <c r="H69" s="95">
        <f t="shared" si="1"/>
        <v>0.10158013544018063</v>
      </c>
      <c r="I69" s="99">
        <f t="shared" si="2"/>
        <v>8.3333333333333367E-3</v>
      </c>
      <c r="J69" s="99">
        <f t="shared" si="3"/>
        <v>1.6666666666666673E-2</v>
      </c>
      <c r="K69" s="68">
        <f t="shared" si="4"/>
        <v>2.75</v>
      </c>
      <c r="L69" s="95">
        <f t="shared" si="5"/>
        <v>0.56352459016393441</v>
      </c>
      <c r="M69" s="95">
        <f t="shared" si="6"/>
        <v>0.10185185185185185</v>
      </c>
    </row>
    <row r="70" spans="1:13" ht="15.75" customHeight="1">
      <c r="A70" s="58" t="s">
        <v>146</v>
      </c>
      <c r="B70" s="98" t="s">
        <v>112</v>
      </c>
      <c r="C70" s="68">
        <v>189</v>
      </c>
      <c r="D70" s="68">
        <v>4.4400000000000004</v>
      </c>
      <c r="E70" s="68">
        <v>4.5999999999999996</v>
      </c>
      <c r="F70" s="68">
        <v>7.15</v>
      </c>
      <c r="G70" s="68">
        <f t="shared" si="0"/>
        <v>0.15999999999999925</v>
      </c>
      <c r="H70" s="95">
        <f t="shared" si="1"/>
        <v>3.6036036036035862E-2</v>
      </c>
      <c r="I70" s="99">
        <f t="shared" si="2"/>
        <v>2.9629629629629489E-3</v>
      </c>
      <c r="J70" s="99">
        <f t="shared" si="3"/>
        <v>5.9259259259258979E-3</v>
      </c>
      <c r="K70" s="68">
        <f t="shared" si="4"/>
        <v>2.5500000000000007</v>
      </c>
      <c r="L70" s="95">
        <f t="shared" si="5"/>
        <v>0.55434782608695676</v>
      </c>
      <c r="M70" s="95">
        <f t="shared" si="6"/>
        <v>9.444444444444447E-2</v>
      </c>
    </row>
    <row r="71" spans="1:13" ht="15.75" customHeight="1">
      <c r="A71" s="58" t="s">
        <v>146</v>
      </c>
      <c r="B71" s="98" t="s">
        <v>112</v>
      </c>
      <c r="C71" s="68">
        <v>190</v>
      </c>
      <c r="D71" s="68">
        <v>4.38</v>
      </c>
      <c r="E71" s="68">
        <v>4.6100000000000003</v>
      </c>
      <c r="F71" s="68">
        <v>7.07</v>
      </c>
      <c r="G71" s="68">
        <f t="shared" si="0"/>
        <v>0.23000000000000043</v>
      </c>
      <c r="H71" s="95">
        <f t="shared" si="1"/>
        <v>5.2511415525114256E-2</v>
      </c>
      <c r="I71" s="99">
        <f t="shared" si="2"/>
        <v>4.2592592592592673E-3</v>
      </c>
      <c r="J71" s="99">
        <f t="shared" si="3"/>
        <v>8.5185185185185346E-3</v>
      </c>
      <c r="K71" s="68">
        <f t="shared" si="4"/>
        <v>2.46</v>
      </c>
      <c r="L71" s="95">
        <f t="shared" si="5"/>
        <v>0.53362255965292837</v>
      </c>
      <c r="M71" s="95">
        <f t="shared" si="6"/>
        <v>9.1111111111111115E-2</v>
      </c>
    </row>
    <row r="72" spans="1:13" ht="15.75" customHeight="1">
      <c r="A72" s="58" t="s">
        <v>146</v>
      </c>
      <c r="B72" s="98" t="s">
        <v>112</v>
      </c>
      <c r="C72" s="68">
        <v>191</v>
      </c>
      <c r="D72" s="68">
        <v>4.43</v>
      </c>
      <c r="E72" s="68">
        <v>4.79</v>
      </c>
      <c r="F72" s="68">
        <v>7.23</v>
      </c>
      <c r="G72" s="68">
        <f t="shared" si="0"/>
        <v>0.36000000000000032</v>
      </c>
      <c r="H72" s="95">
        <f t="shared" si="1"/>
        <v>8.1264108352144551E-2</v>
      </c>
      <c r="I72" s="99">
        <f t="shared" si="2"/>
        <v>6.6666666666666723E-3</v>
      </c>
      <c r="J72" s="99">
        <f t="shared" si="3"/>
        <v>1.3333333333333345E-2</v>
      </c>
      <c r="K72" s="68">
        <f t="shared" si="4"/>
        <v>2.4400000000000004</v>
      </c>
      <c r="L72" s="95">
        <f t="shared" si="5"/>
        <v>0.50939457202505223</v>
      </c>
      <c r="M72" s="95">
        <f t="shared" si="6"/>
        <v>9.0370370370370379E-2</v>
      </c>
    </row>
    <row r="73" spans="1:13" ht="15.75" customHeight="1">
      <c r="A73" s="58" t="s">
        <v>146</v>
      </c>
      <c r="B73" s="98" t="s">
        <v>112</v>
      </c>
      <c r="C73" s="68">
        <v>192</v>
      </c>
      <c r="D73" s="68">
        <v>4.4400000000000004</v>
      </c>
      <c r="E73" s="68">
        <v>4.71</v>
      </c>
      <c r="F73" s="68">
        <v>7.19</v>
      </c>
      <c r="G73" s="68">
        <f t="shared" si="0"/>
        <v>0.26999999999999957</v>
      </c>
      <c r="H73" s="95">
        <f t="shared" si="1"/>
        <v>6.081081081081071E-2</v>
      </c>
      <c r="I73" s="99">
        <f t="shared" si="2"/>
        <v>4.9999999999999923E-3</v>
      </c>
      <c r="J73" s="99">
        <f t="shared" si="3"/>
        <v>9.9999999999999846E-3</v>
      </c>
      <c r="K73" s="68">
        <f t="shared" si="4"/>
        <v>2.4800000000000004</v>
      </c>
      <c r="L73" s="95">
        <f t="shared" si="5"/>
        <v>0.52653927813163492</v>
      </c>
      <c r="M73" s="95">
        <f t="shared" si="6"/>
        <v>9.1851851851851865E-2</v>
      </c>
    </row>
    <row r="74" spans="1:13" ht="15.75" customHeight="1">
      <c r="A74" s="58" t="s">
        <v>146</v>
      </c>
      <c r="B74" s="98" t="s">
        <v>112</v>
      </c>
      <c r="C74" s="68">
        <v>193</v>
      </c>
      <c r="D74" s="68">
        <v>4.49</v>
      </c>
      <c r="E74" s="68">
        <v>4.75</v>
      </c>
      <c r="F74" s="68">
        <v>6.98</v>
      </c>
      <c r="G74" s="68">
        <f t="shared" si="0"/>
        <v>0.25999999999999979</v>
      </c>
      <c r="H74" s="95">
        <f t="shared" si="1"/>
        <v>5.7906458797327344E-2</v>
      </c>
      <c r="I74" s="99">
        <f t="shared" si="2"/>
        <v>4.8148148148148108E-3</v>
      </c>
      <c r="J74" s="99">
        <f t="shared" si="3"/>
        <v>9.6296296296296217E-3</v>
      </c>
      <c r="K74" s="68">
        <f t="shared" si="4"/>
        <v>2.2300000000000004</v>
      </c>
      <c r="L74" s="95">
        <f t="shared" si="5"/>
        <v>0.46947368421052643</v>
      </c>
      <c r="M74" s="95">
        <f t="shared" si="6"/>
        <v>8.2592592592592606E-2</v>
      </c>
    </row>
    <row r="75" spans="1:13" ht="15.75" customHeight="1">
      <c r="A75" s="58" t="s">
        <v>146</v>
      </c>
      <c r="B75" s="98" t="s">
        <v>112</v>
      </c>
      <c r="C75" s="68">
        <v>194</v>
      </c>
      <c r="D75" s="68">
        <v>4.37</v>
      </c>
      <c r="E75" s="68">
        <v>4.55</v>
      </c>
      <c r="F75" s="68">
        <v>7.22</v>
      </c>
      <c r="G75" s="68">
        <f t="shared" si="0"/>
        <v>0.17999999999999972</v>
      </c>
      <c r="H75" s="95">
        <f t="shared" si="1"/>
        <v>4.1189931350114353E-2</v>
      </c>
      <c r="I75" s="99">
        <f t="shared" si="2"/>
        <v>3.3333333333333279E-3</v>
      </c>
      <c r="J75" s="99">
        <f t="shared" si="3"/>
        <v>6.6666666666666558E-3</v>
      </c>
      <c r="K75" s="68">
        <f t="shared" si="4"/>
        <v>2.67</v>
      </c>
      <c r="L75" s="95">
        <f t="shared" si="5"/>
        <v>0.58681318681318684</v>
      </c>
      <c r="M75" s="95">
        <f t="shared" si="6"/>
        <v>9.8888888888888887E-2</v>
      </c>
    </row>
    <row r="76" spans="1:13" ht="15.75" customHeight="1">
      <c r="A76" s="58" t="s">
        <v>146</v>
      </c>
      <c r="B76" s="98" t="s">
        <v>43</v>
      </c>
      <c r="C76" s="68">
        <v>3</v>
      </c>
      <c r="D76" s="68">
        <v>4.5</v>
      </c>
      <c r="E76" s="68">
        <v>4.5</v>
      </c>
      <c r="F76" s="68">
        <v>7.12</v>
      </c>
      <c r="G76" s="98">
        <v>0</v>
      </c>
      <c r="H76" s="98">
        <v>0</v>
      </c>
      <c r="I76" s="98">
        <v>0</v>
      </c>
      <c r="J76" s="98">
        <v>0</v>
      </c>
      <c r="K76" s="68">
        <f t="shared" ref="K76:K155" si="7">F76-D76</f>
        <v>2.62</v>
      </c>
      <c r="L76" s="76">
        <f t="shared" ref="L76:L155" si="8">K76/D76</f>
        <v>0.5822222222222222</v>
      </c>
      <c r="M76" s="95">
        <f t="shared" si="6"/>
        <v>9.7037037037037047E-2</v>
      </c>
    </row>
    <row r="77" spans="1:13" ht="15.75" customHeight="1">
      <c r="A77" s="58" t="s">
        <v>146</v>
      </c>
      <c r="B77" s="98" t="s">
        <v>43</v>
      </c>
      <c r="C77" s="68">
        <v>4</v>
      </c>
      <c r="D77" s="68">
        <v>4.66</v>
      </c>
      <c r="E77" s="68">
        <v>4.66</v>
      </c>
      <c r="F77" s="68">
        <v>7.23</v>
      </c>
      <c r="G77" s="98">
        <v>0</v>
      </c>
      <c r="H77" s="98">
        <v>0</v>
      </c>
      <c r="I77" s="98">
        <v>0</v>
      </c>
      <c r="J77" s="98">
        <v>0</v>
      </c>
      <c r="K77" s="68">
        <f t="shared" si="7"/>
        <v>2.5700000000000003</v>
      </c>
      <c r="L77" s="76">
        <f t="shared" si="8"/>
        <v>0.55150214592274682</v>
      </c>
      <c r="M77" s="95">
        <f t="shared" si="6"/>
        <v>9.5185185185185192E-2</v>
      </c>
    </row>
    <row r="78" spans="1:13" ht="15.75" customHeight="1">
      <c r="A78" s="58" t="s">
        <v>146</v>
      </c>
      <c r="B78" s="98" t="s">
        <v>43</v>
      </c>
      <c r="C78" s="68">
        <v>7</v>
      </c>
      <c r="D78" s="68">
        <v>4.4400000000000004</v>
      </c>
      <c r="E78" s="68">
        <v>4.4400000000000004</v>
      </c>
      <c r="F78" s="68">
        <v>7.12</v>
      </c>
      <c r="G78" s="98">
        <v>0</v>
      </c>
      <c r="H78" s="98">
        <v>0</v>
      </c>
      <c r="I78" s="98">
        <v>0</v>
      </c>
      <c r="J78" s="98">
        <v>0</v>
      </c>
      <c r="K78" s="68">
        <f t="shared" si="7"/>
        <v>2.6799999999999997</v>
      </c>
      <c r="L78" s="76">
        <f t="shared" si="8"/>
        <v>0.60360360360360343</v>
      </c>
      <c r="M78" s="95">
        <f t="shared" si="6"/>
        <v>9.9259259259259255E-2</v>
      </c>
    </row>
    <row r="79" spans="1:13" ht="15.75" customHeight="1">
      <c r="A79" s="58" t="s">
        <v>146</v>
      </c>
      <c r="B79" s="98" t="s">
        <v>43</v>
      </c>
      <c r="C79" s="68">
        <v>8</v>
      </c>
      <c r="D79" s="68">
        <v>4.4800000000000004</v>
      </c>
      <c r="E79" s="68">
        <v>4.4800000000000004</v>
      </c>
      <c r="F79" s="68">
        <v>7.03</v>
      </c>
      <c r="G79" s="98">
        <v>0</v>
      </c>
      <c r="H79" s="98">
        <v>0</v>
      </c>
      <c r="I79" s="98">
        <v>0</v>
      </c>
      <c r="J79" s="98">
        <v>0</v>
      </c>
      <c r="K79" s="68">
        <f t="shared" si="7"/>
        <v>2.5499999999999998</v>
      </c>
      <c r="L79" s="76">
        <f t="shared" si="8"/>
        <v>0.56919642857142849</v>
      </c>
      <c r="M79" s="95">
        <f t="shared" si="6"/>
        <v>9.4444444444444442E-2</v>
      </c>
    </row>
    <row r="80" spans="1:13" ht="15.75" customHeight="1">
      <c r="A80" s="58" t="s">
        <v>146</v>
      </c>
      <c r="B80" s="98" t="s">
        <v>43</v>
      </c>
      <c r="C80" s="68">
        <v>9</v>
      </c>
      <c r="D80" s="68">
        <v>4.62</v>
      </c>
      <c r="E80" s="68">
        <v>4.62</v>
      </c>
      <c r="F80" s="68">
        <v>6.84</v>
      </c>
      <c r="G80" s="98">
        <v>0</v>
      </c>
      <c r="H80" s="98">
        <v>0</v>
      </c>
      <c r="I80" s="98">
        <v>0</v>
      </c>
      <c r="J80" s="98">
        <v>0</v>
      </c>
      <c r="K80" s="68">
        <f t="shared" si="7"/>
        <v>2.2199999999999998</v>
      </c>
      <c r="L80" s="76">
        <f t="shared" si="8"/>
        <v>0.48051948051948046</v>
      </c>
      <c r="M80" s="95">
        <f t="shared" si="6"/>
        <v>8.222222222222221E-2</v>
      </c>
    </row>
    <row r="81" spans="1:13" ht="15.75" customHeight="1">
      <c r="A81" s="58" t="s">
        <v>146</v>
      </c>
      <c r="B81" s="98" t="s">
        <v>43</v>
      </c>
      <c r="C81" s="68">
        <v>12</v>
      </c>
      <c r="D81" s="68">
        <v>4.54</v>
      </c>
      <c r="E81" s="68">
        <v>4.54</v>
      </c>
      <c r="F81" s="68">
        <v>6.93</v>
      </c>
      <c r="G81" s="98">
        <v>0</v>
      </c>
      <c r="H81" s="98">
        <v>0</v>
      </c>
      <c r="I81" s="98">
        <v>0</v>
      </c>
      <c r="J81" s="98">
        <v>0</v>
      </c>
      <c r="K81" s="68">
        <f t="shared" si="7"/>
        <v>2.3899999999999997</v>
      </c>
      <c r="L81" s="76">
        <f t="shared" si="8"/>
        <v>0.52643171806167388</v>
      </c>
      <c r="M81" s="95">
        <f t="shared" si="6"/>
        <v>8.851851851851851E-2</v>
      </c>
    </row>
    <row r="82" spans="1:13" ht="15.75" customHeight="1">
      <c r="A82" s="58" t="s">
        <v>146</v>
      </c>
      <c r="B82" s="98" t="s">
        <v>43</v>
      </c>
      <c r="C82" s="68">
        <v>13</v>
      </c>
      <c r="D82" s="68">
        <v>4.57</v>
      </c>
      <c r="E82" s="68">
        <v>4.57</v>
      </c>
      <c r="F82" s="68">
        <v>6.95</v>
      </c>
      <c r="G82" s="98">
        <v>0</v>
      </c>
      <c r="H82" s="98">
        <v>0</v>
      </c>
      <c r="I82" s="98">
        <v>0</v>
      </c>
      <c r="J82" s="98">
        <v>0</v>
      </c>
      <c r="K82" s="68">
        <f t="shared" si="7"/>
        <v>2.38</v>
      </c>
      <c r="L82" s="76">
        <f t="shared" si="8"/>
        <v>0.52078774617067825</v>
      </c>
      <c r="M82" s="95">
        <f t="shared" si="6"/>
        <v>8.8148148148148142E-2</v>
      </c>
    </row>
    <row r="83" spans="1:13" ht="15.75" customHeight="1">
      <c r="A83" s="58" t="s">
        <v>146</v>
      </c>
      <c r="B83" s="98" t="s">
        <v>43</v>
      </c>
      <c r="C83" s="68">
        <v>18</v>
      </c>
      <c r="D83" s="68">
        <v>6.16</v>
      </c>
      <c r="E83" s="68">
        <v>6.16</v>
      </c>
      <c r="F83" s="68">
        <v>8.8699999999999992</v>
      </c>
      <c r="G83" s="98">
        <v>0</v>
      </c>
      <c r="H83" s="98">
        <v>0</v>
      </c>
      <c r="I83" s="98">
        <v>0</v>
      </c>
      <c r="J83" s="98">
        <v>0</v>
      </c>
      <c r="K83" s="68">
        <f t="shared" si="7"/>
        <v>2.7099999999999991</v>
      </c>
      <c r="L83" s="76">
        <f t="shared" si="8"/>
        <v>0.43993506493506479</v>
      </c>
      <c r="M83" s="95">
        <f t="shared" si="6"/>
        <v>0.10037037037037033</v>
      </c>
    </row>
    <row r="84" spans="1:13" ht="15.75" customHeight="1">
      <c r="A84" s="58" t="s">
        <v>146</v>
      </c>
      <c r="B84" s="98" t="s">
        <v>43</v>
      </c>
      <c r="C84" s="68">
        <v>21</v>
      </c>
      <c r="D84" s="68">
        <v>4.24</v>
      </c>
      <c r="E84" s="68">
        <v>4.24</v>
      </c>
      <c r="F84" s="68">
        <v>6.85</v>
      </c>
      <c r="G84" s="98">
        <v>0</v>
      </c>
      <c r="H84" s="98">
        <v>0</v>
      </c>
      <c r="I84" s="98">
        <v>0</v>
      </c>
      <c r="J84" s="98">
        <v>0</v>
      </c>
      <c r="K84" s="68">
        <f t="shared" si="7"/>
        <v>2.6099999999999994</v>
      </c>
      <c r="L84" s="76">
        <f t="shared" si="8"/>
        <v>0.61556603773584884</v>
      </c>
      <c r="M84" s="95">
        <f t="shared" si="6"/>
        <v>9.6666666666666651E-2</v>
      </c>
    </row>
    <row r="85" spans="1:13" ht="15.75" customHeight="1">
      <c r="A85" s="58" t="s">
        <v>146</v>
      </c>
      <c r="B85" s="98" t="s">
        <v>43</v>
      </c>
      <c r="C85" s="68">
        <v>22</v>
      </c>
      <c r="D85" s="68">
        <v>4.2699999999999996</v>
      </c>
      <c r="E85" s="68">
        <v>4.2699999999999996</v>
      </c>
      <c r="F85" s="68">
        <v>6.92</v>
      </c>
      <c r="G85" s="98">
        <v>0</v>
      </c>
      <c r="H85" s="98">
        <v>0</v>
      </c>
      <c r="I85" s="98">
        <v>0</v>
      </c>
      <c r="J85" s="98">
        <v>0</v>
      </c>
      <c r="K85" s="68">
        <f t="shared" si="7"/>
        <v>2.6500000000000004</v>
      </c>
      <c r="L85" s="76">
        <f t="shared" si="8"/>
        <v>0.62060889929742402</v>
      </c>
      <c r="M85" s="95">
        <f t="shared" si="6"/>
        <v>9.8148148148148165E-2</v>
      </c>
    </row>
    <row r="86" spans="1:13" ht="15.75" customHeight="1">
      <c r="A86" s="58" t="s">
        <v>146</v>
      </c>
      <c r="B86" s="98" t="s">
        <v>43</v>
      </c>
      <c r="C86" s="68">
        <v>23</v>
      </c>
      <c r="D86" s="68">
        <v>4.38</v>
      </c>
      <c r="E86" s="68">
        <v>4.38</v>
      </c>
      <c r="F86" s="68">
        <v>6.85</v>
      </c>
      <c r="G86" s="98">
        <v>0</v>
      </c>
      <c r="H86" s="98">
        <v>0</v>
      </c>
      <c r="I86" s="98">
        <v>0</v>
      </c>
      <c r="J86" s="98">
        <v>0</v>
      </c>
      <c r="K86" s="68">
        <f t="shared" si="7"/>
        <v>2.4699999999999998</v>
      </c>
      <c r="L86" s="76">
        <f t="shared" si="8"/>
        <v>0.5639269406392694</v>
      </c>
      <c r="M86" s="95">
        <f t="shared" si="6"/>
        <v>9.1481481481481469E-2</v>
      </c>
    </row>
    <row r="87" spans="1:13" ht="15.75" customHeight="1">
      <c r="A87" s="58" t="s">
        <v>146</v>
      </c>
      <c r="B87" s="98" t="s">
        <v>43</v>
      </c>
      <c r="C87" s="68">
        <v>27</v>
      </c>
      <c r="D87" s="68">
        <v>4.5</v>
      </c>
      <c r="E87" s="68">
        <v>4.5</v>
      </c>
      <c r="F87" s="68">
        <v>7.15</v>
      </c>
      <c r="G87" s="98">
        <v>0</v>
      </c>
      <c r="H87" s="98">
        <v>0</v>
      </c>
      <c r="I87" s="98">
        <v>0</v>
      </c>
      <c r="J87" s="98">
        <v>0</v>
      </c>
      <c r="K87" s="68">
        <f t="shared" si="7"/>
        <v>2.6500000000000004</v>
      </c>
      <c r="L87" s="76">
        <f t="shared" si="8"/>
        <v>0.58888888888888902</v>
      </c>
      <c r="M87" s="95">
        <f t="shared" si="6"/>
        <v>9.8148148148148165E-2</v>
      </c>
    </row>
    <row r="88" spans="1:13" ht="15.75" customHeight="1">
      <c r="A88" s="58" t="s">
        <v>146</v>
      </c>
      <c r="B88" s="98" t="s">
        <v>43</v>
      </c>
      <c r="C88" s="68">
        <v>28</v>
      </c>
      <c r="D88" s="68">
        <v>4.26</v>
      </c>
      <c r="E88" s="68">
        <v>4.26</v>
      </c>
      <c r="F88" s="68">
        <v>6.96</v>
      </c>
      <c r="G88" s="98">
        <v>0</v>
      </c>
      <c r="H88" s="98">
        <v>0</v>
      </c>
      <c r="I88" s="98">
        <v>0</v>
      </c>
      <c r="J88" s="98">
        <v>0</v>
      </c>
      <c r="K88" s="68">
        <f t="shared" si="7"/>
        <v>2.7</v>
      </c>
      <c r="L88" s="76">
        <f t="shared" si="8"/>
        <v>0.63380281690140849</v>
      </c>
      <c r="M88" s="95">
        <f t="shared" si="6"/>
        <v>0.1</v>
      </c>
    </row>
    <row r="89" spans="1:13" ht="15.75" customHeight="1">
      <c r="A89" s="58" t="s">
        <v>146</v>
      </c>
      <c r="B89" s="98" t="s">
        <v>43</v>
      </c>
      <c r="C89" s="68">
        <v>33</v>
      </c>
      <c r="D89" s="68">
        <v>3.25</v>
      </c>
      <c r="E89" s="68">
        <v>3.25</v>
      </c>
      <c r="F89" s="68">
        <v>5.99</v>
      </c>
      <c r="G89" s="98">
        <v>0</v>
      </c>
      <c r="H89" s="98">
        <v>0</v>
      </c>
      <c r="I89" s="98">
        <v>0</v>
      </c>
      <c r="J89" s="98">
        <v>0</v>
      </c>
      <c r="K89" s="68">
        <f t="shared" si="7"/>
        <v>2.74</v>
      </c>
      <c r="L89" s="76">
        <f t="shared" si="8"/>
        <v>0.84307692307692317</v>
      </c>
      <c r="M89" s="95">
        <f t="shared" si="6"/>
        <v>0.10148148148148149</v>
      </c>
    </row>
    <row r="90" spans="1:13" ht="15.75" customHeight="1">
      <c r="A90" s="58" t="s">
        <v>146</v>
      </c>
      <c r="B90" s="98" t="s">
        <v>43</v>
      </c>
      <c r="C90" s="68">
        <v>34</v>
      </c>
      <c r="D90" s="68">
        <v>3.18</v>
      </c>
      <c r="E90" s="68">
        <v>3.18</v>
      </c>
      <c r="F90" s="4">
        <v>5.95</v>
      </c>
      <c r="G90" s="98">
        <v>0</v>
      </c>
      <c r="H90" s="98">
        <v>0</v>
      </c>
      <c r="I90" s="98">
        <v>0</v>
      </c>
      <c r="J90" s="98">
        <v>0</v>
      </c>
      <c r="K90" s="68">
        <f t="shared" si="7"/>
        <v>2.77</v>
      </c>
      <c r="L90" s="76">
        <f t="shared" si="8"/>
        <v>0.87106918238993702</v>
      </c>
      <c r="M90" s="95">
        <f t="shared" si="6"/>
        <v>0.1025925925925926</v>
      </c>
    </row>
    <row r="91" spans="1:13" ht="15.75" customHeight="1">
      <c r="A91" s="58" t="s">
        <v>146</v>
      </c>
      <c r="B91" s="98" t="s">
        <v>43</v>
      </c>
      <c r="C91" s="68">
        <v>38</v>
      </c>
      <c r="D91" s="68">
        <v>3.23</v>
      </c>
      <c r="E91" s="68">
        <v>3.23</v>
      </c>
      <c r="F91" s="68">
        <v>5.88</v>
      </c>
      <c r="G91" s="98">
        <v>0</v>
      </c>
      <c r="H91" s="98">
        <v>0</v>
      </c>
      <c r="I91" s="98">
        <v>0</v>
      </c>
      <c r="J91" s="98">
        <v>0</v>
      </c>
      <c r="K91" s="68">
        <f t="shared" si="7"/>
        <v>2.65</v>
      </c>
      <c r="L91" s="76">
        <f t="shared" si="8"/>
        <v>0.82043343653250767</v>
      </c>
      <c r="M91" s="95">
        <f t="shared" si="6"/>
        <v>9.8148148148148151E-2</v>
      </c>
    </row>
    <row r="92" spans="1:13" ht="15.75" customHeight="1">
      <c r="A92" s="58" t="s">
        <v>146</v>
      </c>
      <c r="B92" s="98" t="s">
        <v>43</v>
      </c>
      <c r="C92" s="68">
        <v>39</v>
      </c>
      <c r="D92" s="68">
        <v>2.25</v>
      </c>
      <c r="E92" s="68">
        <v>2.25</v>
      </c>
      <c r="F92" s="68">
        <v>5.87</v>
      </c>
      <c r="G92" s="98">
        <v>0</v>
      </c>
      <c r="H92" s="98">
        <v>0</v>
      </c>
      <c r="I92" s="98">
        <v>0</v>
      </c>
      <c r="J92" s="98">
        <v>0</v>
      </c>
      <c r="K92" s="68">
        <f t="shared" si="7"/>
        <v>3.62</v>
      </c>
      <c r="L92" s="76">
        <f t="shared" si="8"/>
        <v>1.608888888888889</v>
      </c>
      <c r="M92" s="95">
        <f t="shared" si="6"/>
        <v>0.13407407407407407</v>
      </c>
    </row>
    <row r="93" spans="1:13" ht="15.75" customHeight="1">
      <c r="A93" s="58" t="s">
        <v>146</v>
      </c>
      <c r="B93" s="98" t="s">
        <v>43</v>
      </c>
      <c r="C93" s="68">
        <v>40</v>
      </c>
      <c r="D93" s="68">
        <v>3.31</v>
      </c>
      <c r="E93" s="68">
        <v>3.31</v>
      </c>
      <c r="F93" s="68">
        <v>6.07</v>
      </c>
      <c r="G93" s="98">
        <v>0</v>
      </c>
      <c r="H93" s="98">
        <v>0</v>
      </c>
      <c r="I93" s="98">
        <v>0</v>
      </c>
      <c r="J93" s="98">
        <v>0</v>
      </c>
      <c r="K93" s="68">
        <f t="shared" si="7"/>
        <v>2.7600000000000002</v>
      </c>
      <c r="L93" s="76">
        <f t="shared" si="8"/>
        <v>0.83383685800604235</v>
      </c>
      <c r="M93" s="95">
        <f t="shared" si="6"/>
        <v>0.10222222222222223</v>
      </c>
    </row>
    <row r="94" spans="1:13" ht="15.75" customHeight="1">
      <c r="A94" s="58" t="s">
        <v>146</v>
      </c>
      <c r="B94" s="98" t="s">
        <v>43</v>
      </c>
      <c r="C94" s="68">
        <v>41</v>
      </c>
      <c r="D94" s="68">
        <v>3.32</v>
      </c>
      <c r="E94" s="68">
        <v>3.32</v>
      </c>
      <c r="F94" s="68">
        <v>6.03</v>
      </c>
      <c r="G94" s="98">
        <v>0</v>
      </c>
      <c r="H94" s="98">
        <v>0</v>
      </c>
      <c r="I94" s="98">
        <v>0</v>
      </c>
      <c r="J94" s="98">
        <v>0</v>
      </c>
      <c r="K94" s="68">
        <f t="shared" si="7"/>
        <v>2.7100000000000004</v>
      </c>
      <c r="L94" s="76">
        <f t="shared" si="8"/>
        <v>0.81626506024096401</v>
      </c>
      <c r="M94" s="95">
        <f t="shared" si="6"/>
        <v>0.10037037037037039</v>
      </c>
    </row>
    <row r="95" spans="1:13" ht="15.75" customHeight="1">
      <c r="A95" s="58" t="s">
        <v>146</v>
      </c>
      <c r="B95" s="98" t="s">
        <v>43</v>
      </c>
      <c r="C95" s="68">
        <v>45</v>
      </c>
      <c r="D95" s="68">
        <v>3.32</v>
      </c>
      <c r="E95" s="68">
        <v>3.32</v>
      </c>
      <c r="F95" s="68">
        <v>5.93</v>
      </c>
      <c r="G95" s="98">
        <v>0</v>
      </c>
      <c r="H95" s="98">
        <v>0</v>
      </c>
      <c r="I95" s="98">
        <v>0</v>
      </c>
      <c r="J95" s="98">
        <v>0</v>
      </c>
      <c r="K95" s="68">
        <f t="shared" si="7"/>
        <v>2.61</v>
      </c>
      <c r="L95" s="76">
        <f t="shared" si="8"/>
        <v>0.78614457831325302</v>
      </c>
      <c r="M95" s="95">
        <f t="shared" si="6"/>
        <v>9.6666666666666665E-2</v>
      </c>
    </row>
    <row r="96" spans="1:13" ht="15.75" customHeight="1">
      <c r="A96" s="58" t="s">
        <v>146</v>
      </c>
      <c r="B96" s="98" t="s">
        <v>43</v>
      </c>
      <c r="C96" s="68">
        <v>46</v>
      </c>
      <c r="D96" s="68">
        <v>3.38</v>
      </c>
      <c r="E96" s="68">
        <v>3.38</v>
      </c>
      <c r="F96" s="4">
        <v>6.09</v>
      </c>
      <c r="G96" s="98">
        <v>0</v>
      </c>
      <c r="H96" s="98">
        <v>0</v>
      </c>
      <c r="I96" s="98">
        <v>0</v>
      </c>
      <c r="J96" s="98">
        <v>0</v>
      </c>
      <c r="K96" s="68">
        <f t="shared" si="7"/>
        <v>2.71</v>
      </c>
      <c r="L96" s="76">
        <f t="shared" si="8"/>
        <v>0.80177514792899407</v>
      </c>
      <c r="M96" s="95">
        <f t="shared" si="6"/>
        <v>0.10037037037037037</v>
      </c>
    </row>
    <row r="97" spans="1:13" ht="15.75" customHeight="1">
      <c r="A97" s="58" t="s">
        <v>146</v>
      </c>
      <c r="B97" s="98" t="s">
        <v>43</v>
      </c>
      <c r="C97" s="68">
        <v>51</v>
      </c>
      <c r="D97" s="68">
        <v>3.48</v>
      </c>
      <c r="E97" s="68">
        <v>3.48</v>
      </c>
      <c r="F97" s="4">
        <v>6.22</v>
      </c>
      <c r="G97" s="98">
        <v>0</v>
      </c>
      <c r="H97" s="98">
        <v>0</v>
      </c>
      <c r="I97" s="98">
        <v>0</v>
      </c>
      <c r="J97" s="98">
        <v>0</v>
      </c>
      <c r="K97" s="68">
        <f t="shared" si="7"/>
        <v>2.7399999999999998</v>
      </c>
      <c r="L97" s="76">
        <f t="shared" si="8"/>
        <v>0.78735632183908044</v>
      </c>
      <c r="M97" s="95">
        <f t="shared" si="6"/>
        <v>0.10148148148148148</v>
      </c>
    </row>
    <row r="98" spans="1:13" ht="15.75" customHeight="1">
      <c r="A98" s="58" t="s">
        <v>146</v>
      </c>
      <c r="B98" s="98" t="s">
        <v>43</v>
      </c>
      <c r="C98" s="68">
        <v>52</v>
      </c>
      <c r="D98" s="68">
        <v>3.38</v>
      </c>
      <c r="E98" s="68">
        <v>3.38</v>
      </c>
      <c r="F98" s="68">
        <v>6.09</v>
      </c>
      <c r="G98" s="98">
        <v>0</v>
      </c>
      <c r="H98" s="98">
        <v>0</v>
      </c>
      <c r="I98" s="98">
        <v>0</v>
      </c>
      <c r="J98" s="98">
        <v>0</v>
      </c>
      <c r="K98" s="68">
        <f t="shared" si="7"/>
        <v>2.71</v>
      </c>
      <c r="L98" s="76">
        <f t="shared" si="8"/>
        <v>0.80177514792899407</v>
      </c>
      <c r="M98" s="95">
        <f t="shared" si="6"/>
        <v>0.10037037037037037</v>
      </c>
    </row>
    <row r="99" spans="1:13" ht="15.75" customHeight="1">
      <c r="A99" s="58" t="s">
        <v>146</v>
      </c>
      <c r="B99" s="98" t="s">
        <v>43</v>
      </c>
      <c r="C99" s="68">
        <v>55</v>
      </c>
      <c r="D99" s="68">
        <v>3.45</v>
      </c>
      <c r="E99" s="68">
        <v>3.45</v>
      </c>
      <c r="F99" s="68">
        <v>6.09</v>
      </c>
      <c r="G99" s="98">
        <v>0</v>
      </c>
      <c r="H99" s="98">
        <v>0</v>
      </c>
      <c r="I99" s="98">
        <v>0</v>
      </c>
      <c r="J99" s="98">
        <v>0</v>
      </c>
      <c r="K99" s="68">
        <f t="shared" si="7"/>
        <v>2.6399999999999997</v>
      </c>
      <c r="L99" s="76">
        <f t="shared" si="8"/>
        <v>0.76521739130434774</v>
      </c>
      <c r="M99" s="95">
        <f t="shared" si="6"/>
        <v>9.7777777777777769E-2</v>
      </c>
    </row>
    <row r="100" spans="1:13" ht="15.75" customHeight="1">
      <c r="A100" s="58" t="s">
        <v>146</v>
      </c>
      <c r="B100" s="98" t="s">
        <v>43</v>
      </c>
      <c r="C100" s="68">
        <v>56</v>
      </c>
      <c r="D100" s="68">
        <v>3.56</v>
      </c>
      <c r="E100" s="68">
        <v>3.56</v>
      </c>
      <c r="F100" s="68">
        <v>6.09</v>
      </c>
      <c r="G100" s="98">
        <v>0</v>
      </c>
      <c r="H100" s="98">
        <v>0</v>
      </c>
      <c r="I100" s="98">
        <v>0</v>
      </c>
      <c r="J100" s="98">
        <v>0</v>
      </c>
      <c r="K100" s="68">
        <f t="shared" si="7"/>
        <v>2.5299999999999998</v>
      </c>
      <c r="L100" s="76">
        <f t="shared" si="8"/>
        <v>0.71067415730337069</v>
      </c>
      <c r="M100" s="95">
        <f t="shared" si="6"/>
        <v>9.3703703703703692E-2</v>
      </c>
    </row>
    <row r="101" spans="1:13" ht="15.75" customHeight="1">
      <c r="A101" s="58" t="s">
        <v>146</v>
      </c>
      <c r="B101" s="98" t="s">
        <v>43</v>
      </c>
      <c r="C101" s="68">
        <v>60</v>
      </c>
      <c r="D101" s="68">
        <v>3.31</v>
      </c>
      <c r="E101" s="68">
        <v>3.31</v>
      </c>
      <c r="F101" s="68">
        <v>5.85</v>
      </c>
      <c r="G101" s="98">
        <v>0</v>
      </c>
      <c r="H101" s="98">
        <v>0</v>
      </c>
      <c r="I101" s="98">
        <v>0</v>
      </c>
      <c r="J101" s="98">
        <v>0</v>
      </c>
      <c r="K101" s="68">
        <f t="shared" si="7"/>
        <v>2.5399999999999996</v>
      </c>
      <c r="L101" s="76">
        <f t="shared" si="8"/>
        <v>0.76737160120845904</v>
      </c>
      <c r="M101" s="95">
        <f t="shared" si="6"/>
        <v>9.407407407407406E-2</v>
      </c>
    </row>
    <row r="102" spans="1:13" ht="15.75" customHeight="1">
      <c r="A102" s="58" t="s">
        <v>146</v>
      </c>
      <c r="B102" s="98" t="s">
        <v>43</v>
      </c>
      <c r="C102" s="68">
        <v>61</v>
      </c>
      <c r="D102" s="68">
        <v>3.46</v>
      </c>
      <c r="E102" s="68">
        <v>3.46</v>
      </c>
      <c r="F102" s="68">
        <v>6.1</v>
      </c>
      <c r="G102" s="98">
        <v>0</v>
      </c>
      <c r="H102" s="98">
        <v>0</v>
      </c>
      <c r="I102" s="98">
        <v>0</v>
      </c>
      <c r="J102" s="98">
        <v>0</v>
      </c>
      <c r="K102" s="68">
        <f t="shared" si="7"/>
        <v>2.6399999999999997</v>
      </c>
      <c r="L102" s="76">
        <f t="shared" si="8"/>
        <v>0.76300578034682076</v>
      </c>
      <c r="M102" s="95">
        <f t="shared" si="6"/>
        <v>9.7777777777777769E-2</v>
      </c>
    </row>
    <row r="103" spans="1:13" ht="15.75" customHeight="1">
      <c r="A103" s="58" t="s">
        <v>146</v>
      </c>
      <c r="B103" s="98" t="s">
        <v>43</v>
      </c>
      <c r="C103" s="68">
        <v>65</v>
      </c>
      <c r="D103" s="68">
        <v>4.45</v>
      </c>
      <c r="E103" s="68">
        <v>4.45</v>
      </c>
      <c r="F103" s="68">
        <v>7.23</v>
      </c>
      <c r="G103" s="98">
        <v>0</v>
      </c>
      <c r="H103" s="98">
        <v>0</v>
      </c>
      <c r="I103" s="98">
        <v>0</v>
      </c>
      <c r="J103" s="98">
        <v>0</v>
      </c>
      <c r="K103" s="68">
        <f t="shared" si="7"/>
        <v>2.7800000000000002</v>
      </c>
      <c r="L103" s="76">
        <f t="shared" si="8"/>
        <v>0.62471910112359552</v>
      </c>
      <c r="M103" s="95">
        <f t="shared" si="6"/>
        <v>0.10296296296296298</v>
      </c>
    </row>
    <row r="104" spans="1:13" ht="15.75" customHeight="1">
      <c r="A104" s="58" t="s">
        <v>146</v>
      </c>
      <c r="B104" s="98" t="s">
        <v>43</v>
      </c>
      <c r="C104" s="68">
        <v>66</v>
      </c>
      <c r="D104" s="68">
        <v>4.45</v>
      </c>
      <c r="E104" s="68">
        <v>4.45</v>
      </c>
      <c r="F104" s="68">
        <v>7.18</v>
      </c>
      <c r="G104" s="98">
        <v>0</v>
      </c>
      <c r="H104" s="98">
        <v>0</v>
      </c>
      <c r="I104" s="98">
        <v>0</v>
      </c>
      <c r="J104" s="98">
        <v>0</v>
      </c>
      <c r="K104" s="68">
        <f t="shared" si="7"/>
        <v>2.7299999999999995</v>
      </c>
      <c r="L104" s="76">
        <f t="shared" si="8"/>
        <v>0.61348314606741561</v>
      </c>
      <c r="M104" s="95">
        <f t="shared" si="6"/>
        <v>0.1011111111111111</v>
      </c>
    </row>
    <row r="105" spans="1:13" ht="15.75" customHeight="1">
      <c r="A105" s="58" t="s">
        <v>146</v>
      </c>
      <c r="B105" s="98" t="s">
        <v>43</v>
      </c>
      <c r="C105" s="68">
        <v>67</v>
      </c>
      <c r="D105" s="68">
        <v>4.5599999999999996</v>
      </c>
      <c r="E105" s="68">
        <v>4.5599999999999996</v>
      </c>
      <c r="F105" s="68">
        <v>7.18</v>
      </c>
      <c r="G105" s="98">
        <v>0</v>
      </c>
      <c r="H105" s="98">
        <v>0</v>
      </c>
      <c r="I105" s="98">
        <v>0</v>
      </c>
      <c r="J105" s="98">
        <v>0</v>
      </c>
      <c r="K105" s="68">
        <f t="shared" si="7"/>
        <v>2.62</v>
      </c>
      <c r="L105" s="76">
        <f t="shared" si="8"/>
        <v>0.57456140350877205</v>
      </c>
      <c r="M105" s="95">
        <f t="shared" si="6"/>
        <v>9.7037037037037047E-2</v>
      </c>
    </row>
    <row r="106" spans="1:13" ht="15.75" customHeight="1">
      <c r="A106" s="58" t="s">
        <v>146</v>
      </c>
      <c r="B106" s="98" t="s">
        <v>43</v>
      </c>
      <c r="C106" s="68">
        <v>69</v>
      </c>
      <c r="D106" s="68">
        <v>4.63</v>
      </c>
      <c r="E106" s="68">
        <v>4.63</v>
      </c>
      <c r="F106" s="68">
        <v>7.22</v>
      </c>
      <c r="G106" s="98">
        <v>0</v>
      </c>
      <c r="H106" s="98">
        <v>0</v>
      </c>
      <c r="I106" s="98">
        <v>0</v>
      </c>
      <c r="J106" s="98">
        <v>0</v>
      </c>
      <c r="K106" s="68">
        <f t="shared" si="7"/>
        <v>2.59</v>
      </c>
      <c r="L106" s="76">
        <f t="shared" si="8"/>
        <v>0.55939524838012955</v>
      </c>
      <c r="M106" s="95">
        <f t="shared" si="6"/>
        <v>9.5925925925925914E-2</v>
      </c>
    </row>
    <row r="107" spans="1:13" ht="15.75" customHeight="1">
      <c r="A107" s="58" t="s">
        <v>146</v>
      </c>
      <c r="B107" s="98" t="s">
        <v>43</v>
      </c>
      <c r="C107" s="68">
        <v>70</v>
      </c>
      <c r="D107" s="68">
        <v>4.46</v>
      </c>
      <c r="E107" s="68">
        <v>4.46</v>
      </c>
      <c r="F107" s="68">
        <v>7.13</v>
      </c>
      <c r="G107" s="98">
        <v>0</v>
      </c>
      <c r="H107" s="98">
        <v>0</v>
      </c>
      <c r="I107" s="98">
        <v>0</v>
      </c>
      <c r="J107" s="98">
        <v>0</v>
      </c>
      <c r="K107" s="68">
        <f t="shared" si="7"/>
        <v>2.67</v>
      </c>
      <c r="L107" s="76">
        <f t="shared" si="8"/>
        <v>0.59865470852017932</v>
      </c>
      <c r="M107" s="95">
        <f t="shared" si="6"/>
        <v>9.8888888888888887E-2</v>
      </c>
    </row>
    <row r="108" spans="1:13" ht="15.75" customHeight="1">
      <c r="A108" s="58" t="s">
        <v>146</v>
      </c>
      <c r="B108" s="98" t="s">
        <v>43</v>
      </c>
      <c r="C108" s="68">
        <v>71</v>
      </c>
      <c r="D108" s="68">
        <v>4.55</v>
      </c>
      <c r="E108" s="68">
        <v>4.55</v>
      </c>
      <c r="F108" s="68">
        <v>7.35</v>
      </c>
      <c r="G108" s="98">
        <v>0</v>
      </c>
      <c r="H108" s="98">
        <v>0</v>
      </c>
      <c r="I108" s="98">
        <v>0</v>
      </c>
      <c r="J108" s="98">
        <v>0</v>
      </c>
      <c r="K108" s="68">
        <f t="shared" si="7"/>
        <v>2.8</v>
      </c>
      <c r="L108" s="76">
        <f t="shared" si="8"/>
        <v>0.61538461538461542</v>
      </c>
      <c r="M108" s="95">
        <f t="shared" si="6"/>
        <v>0.1037037037037037</v>
      </c>
    </row>
    <row r="109" spans="1:13" ht="15.75" customHeight="1">
      <c r="A109" s="58" t="s">
        <v>146</v>
      </c>
      <c r="B109" s="98" t="s">
        <v>43</v>
      </c>
      <c r="C109" s="68">
        <v>72</v>
      </c>
      <c r="D109" s="68">
        <v>4.76</v>
      </c>
      <c r="E109" s="68">
        <v>4.76</v>
      </c>
      <c r="F109" s="68">
        <v>7.46</v>
      </c>
      <c r="G109" s="98">
        <v>0</v>
      </c>
      <c r="H109" s="98">
        <v>0</v>
      </c>
      <c r="I109" s="98">
        <v>0</v>
      </c>
      <c r="J109" s="98">
        <v>0</v>
      </c>
      <c r="K109" s="68">
        <f t="shared" si="7"/>
        <v>2.7</v>
      </c>
      <c r="L109" s="76">
        <f t="shared" si="8"/>
        <v>0.56722689075630262</v>
      </c>
      <c r="M109" s="95">
        <f t="shared" si="6"/>
        <v>0.1</v>
      </c>
    </row>
    <row r="110" spans="1:13" ht="15.75" customHeight="1">
      <c r="A110" s="58" t="s">
        <v>146</v>
      </c>
      <c r="B110" s="98" t="s">
        <v>43</v>
      </c>
      <c r="C110" s="68">
        <v>75</v>
      </c>
      <c r="D110" s="68">
        <v>4.75</v>
      </c>
      <c r="E110" s="68">
        <v>4.75</v>
      </c>
      <c r="F110" s="68">
        <v>7.57</v>
      </c>
      <c r="G110" s="98">
        <v>0</v>
      </c>
      <c r="H110" s="98">
        <v>0</v>
      </c>
      <c r="I110" s="98">
        <v>0</v>
      </c>
      <c r="J110" s="98">
        <v>0</v>
      </c>
      <c r="K110" s="68">
        <f t="shared" si="7"/>
        <v>2.8200000000000003</v>
      </c>
      <c r="L110" s="76">
        <f t="shared" si="8"/>
        <v>0.59368421052631581</v>
      </c>
      <c r="M110" s="95">
        <f t="shared" si="6"/>
        <v>0.10444444444444445</v>
      </c>
    </row>
    <row r="111" spans="1:13" ht="15.75" customHeight="1">
      <c r="A111" s="58" t="s">
        <v>146</v>
      </c>
      <c r="B111" s="98" t="s">
        <v>43</v>
      </c>
      <c r="C111" s="68">
        <v>76</v>
      </c>
      <c r="D111" s="68">
        <v>4.88</v>
      </c>
      <c r="E111" s="68">
        <v>4.88</v>
      </c>
      <c r="F111" s="68">
        <v>7.61</v>
      </c>
      <c r="G111" s="98">
        <v>0</v>
      </c>
      <c r="H111" s="98">
        <v>0</v>
      </c>
      <c r="I111" s="98">
        <v>0</v>
      </c>
      <c r="J111" s="98">
        <v>0</v>
      </c>
      <c r="K111" s="68">
        <f t="shared" si="7"/>
        <v>2.7300000000000004</v>
      </c>
      <c r="L111" s="76">
        <f t="shared" si="8"/>
        <v>0.55942622950819687</v>
      </c>
      <c r="M111" s="95">
        <f t="shared" si="6"/>
        <v>0.10111111111111112</v>
      </c>
    </row>
    <row r="112" spans="1:13" ht="15.75" customHeight="1">
      <c r="A112" s="58" t="s">
        <v>146</v>
      </c>
      <c r="B112" s="98" t="s">
        <v>43</v>
      </c>
      <c r="C112" s="68">
        <v>77</v>
      </c>
      <c r="D112" s="68">
        <v>4.66</v>
      </c>
      <c r="E112" s="68">
        <v>4.66</v>
      </c>
      <c r="F112" s="68">
        <v>7.53</v>
      </c>
      <c r="G112" s="98">
        <v>0</v>
      </c>
      <c r="H112" s="98">
        <v>0</v>
      </c>
      <c r="I112" s="98">
        <v>0</v>
      </c>
      <c r="J112" s="98">
        <v>0</v>
      </c>
      <c r="K112" s="68">
        <f t="shared" si="7"/>
        <v>2.87</v>
      </c>
      <c r="L112" s="76">
        <f t="shared" si="8"/>
        <v>0.61587982832618027</v>
      </c>
      <c r="M112" s="95">
        <f t="shared" si="6"/>
        <v>0.10629629629629631</v>
      </c>
    </row>
    <row r="113" spans="1:13" ht="15.75" customHeight="1">
      <c r="A113" s="58" t="s">
        <v>146</v>
      </c>
      <c r="B113" s="98" t="s">
        <v>43</v>
      </c>
      <c r="C113" s="68">
        <v>80</v>
      </c>
      <c r="D113" s="68">
        <v>4.83</v>
      </c>
      <c r="E113" s="68">
        <v>4.83</v>
      </c>
      <c r="F113" s="68">
        <v>7.78</v>
      </c>
      <c r="G113" s="98">
        <v>0</v>
      </c>
      <c r="H113" s="98">
        <v>0</v>
      </c>
      <c r="I113" s="98">
        <v>0</v>
      </c>
      <c r="J113" s="98">
        <v>0</v>
      </c>
      <c r="K113" s="68">
        <f t="shared" si="7"/>
        <v>2.95</v>
      </c>
      <c r="L113" s="76">
        <f t="shared" si="8"/>
        <v>0.61076604554865432</v>
      </c>
      <c r="M113" s="95">
        <f t="shared" si="6"/>
        <v>0.10925925925925926</v>
      </c>
    </row>
    <row r="114" spans="1:13" ht="15.75" customHeight="1">
      <c r="A114" s="58" t="s">
        <v>146</v>
      </c>
      <c r="B114" s="98" t="s">
        <v>43</v>
      </c>
      <c r="C114" s="68">
        <v>81</v>
      </c>
      <c r="D114" s="68">
        <v>4.78</v>
      </c>
      <c r="E114" s="68">
        <v>4.78</v>
      </c>
      <c r="F114" s="68">
        <v>7.61</v>
      </c>
      <c r="G114" s="98">
        <v>0</v>
      </c>
      <c r="H114" s="98">
        <v>0</v>
      </c>
      <c r="I114" s="98">
        <v>0</v>
      </c>
      <c r="J114" s="98">
        <v>0</v>
      </c>
      <c r="K114" s="68">
        <f t="shared" si="7"/>
        <v>2.83</v>
      </c>
      <c r="L114" s="76">
        <f t="shared" si="8"/>
        <v>0.59205020920502094</v>
      </c>
      <c r="M114" s="95">
        <f t="shared" si="6"/>
        <v>0.10481481481481482</v>
      </c>
    </row>
    <row r="115" spans="1:13" ht="15.75" customHeight="1">
      <c r="A115" s="58" t="s">
        <v>146</v>
      </c>
      <c r="B115" s="98" t="s">
        <v>43</v>
      </c>
      <c r="C115" s="68">
        <v>82</v>
      </c>
      <c r="D115" s="68">
        <v>4.93</v>
      </c>
      <c r="E115" s="68">
        <v>4.93</v>
      </c>
      <c r="F115" s="68">
        <v>7.9</v>
      </c>
      <c r="G115" s="98">
        <v>0</v>
      </c>
      <c r="H115" s="98">
        <v>0</v>
      </c>
      <c r="I115" s="98">
        <v>0</v>
      </c>
      <c r="J115" s="98">
        <v>0</v>
      </c>
      <c r="K115" s="68">
        <f t="shared" si="7"/>
        <v>2.9700000000000006</v>
      </c>
      <c r="L115" s="76">
        <f t="shared" si="8"/>
        <v>0.60243407707910768</v>
      </c>
      <c r="M115" s="95">
        <f t="shared" si="6"/>
        <v>0.11000000000000003</v>
      </c>
    </row>
    <row r="116" spans="1:13" ht="15.75" customHeight="1">
      <c r="A116" s="58" t="s">
        <v>146</v>
      </c>
      <c r="B116" s="98" t="s">
        <v>43</v>
      </c>
      <c r="C116" s="68">
        <v>83</v>
      </c>
      <c r="D116" s="68">
        <v>4.8600000000000003</v>
      </c>
      <c r="E116" s="68">
        <v>4.8600000000000003</v>
      </c>
      <c r="F116" s="68">
        <v>7.8</v>
      </c>
      <c r="G116" s="98">
        <v>0</v>
      </c>
      <c r="H116" s="98">
        <v>0</v>
      </c>
      <c r="I116" s="98">
        <v>0</v>
      </c>
      <c r="J116" s="98">
        <v>0</v>
      </c>
      <c r="K116" s="68">
        <f t="shared" si="7"/>
        <v>2.9399999999999995</v>
      </c>
      <c r="L116" s="76">
        <f t="shared" si="8"/>
        <v>0.60493827160493818</v>
      </c>
      <c r="M116" s="95">
        <f t="shared" si="6"/>
        <v>0.10888888888888887</v>
      </c>
    </row>
    <row r="117" spans="1:13" ht="15.75" customHeight="1">
      <c r="A117" s="58" t="s">
        <v>146</v>
      </c>
      <c r="B117" s="98" t="s">
        <v>43</v>
      </c>
      <c r="C117" s="68">
        <v>85</v>
      </c>
      <c r="D117" s="68">
        <v>4.63</v>
      </c>
      <c r="E117" s="68">
        <v>4.63</v>
      </c>
      <c r="F117" s="68">
        <v>7.61</v>
      </c>
      <c r="G117" s="98">
        <v>0</v>
      </c>
      <c r="H117" s="98">
        <v>0</v>
      </c>
      <c r="I117" s="98">
        <v>0</v>
      </c>
      <c r="J117" s="98">
        <v>0</v>
      </c>
      <c r="K117" s="68">
        <f t="shared" si="7"/>
        <v>2.9800000000000004</v>
      </c>
      <c r="L117" s="76">
        <f t="shared" si="8"/>
        <v>0.64362850971922259</v>
      </c>
      <c r="M117" s="95">
        <f t="shared" si="6"/>
        <v>0.11037037037037038</v>
      </c>
    </row>
    <row r="118" spans="1:13" ht="15.75" customHeight="1">
      <c r="A118" s="58" t="s">
        <v>146</v>
      </c>
      <c r="B118" s="98" t="s">
        <v>43</v>
      </c>
      <c r="C118" s="68">
        <v>86</v>
      </c>
      <c r="D118" s="68">
        <v>4.82</v>
      </c>
      <c r="E118" s="68">
        <v>4.82</v>
      </c>
      <c r="F118" s="68">
        <v>7.74</v>
      </c>
      <c r="G118" s="98">
        <v>0</v>
      </c>
      <c r="H118" s="98">
        <v>0</v>
      </c>
      <c r="I118" s="98">
        <v>0</v>
      </c>
      <c r="J118" s="98">
        <v>0</v>
      </c>
      <c r="K118" s="68">
        <f t="shared" si="7"/>
        <v>2.92</v>
      </c>
      <c r="L118" s="76">
        <f t="shared" si="8"/>
        <v>0.60580912863070535</v>
      </c>
      <c r="M118" s="95">
        <f t="shared" si="6"/>
        <v>0.10814814814814815</v>
      </c>
    </row>
    <row r="119" spans="1:13" ht="15.75" customHeight="1">
      <c r="A119" s="58" t="s">
        <v>146</v>
      </c>
      <c r="B119" s="98" t="s">
        <v>43</v>
      </c>
      <c r="C119" s="68">
        <v>90</v>
      </c>
      <c r="D119" s="68">
        <v>5.0199999999999996</v>
      </c>
      <c r="E119" s="68">
        <v>5.0199999999999996</v>
      </c>
      <c r="F119" s="68">
        <v>8.2100000000000009</v>
      </c>
      <c r="G119" s="98">
        <v>0</v>
      </c>
      <c r="H119" s="98">
        <v>0</v>
      </c>
      <c r="I119" s="98">
        <v>0</v>
      </c>
      <c r="J119" s="98">
        <v>0</v>
      </c>
      <c r="K119" s="68">
        <f t="shared" si="7"/>
        <v>3.1900000000000013</v>
      </c>
      <c r="L119" s="76">
        <f t="shared" si="8"/>
        <v>0.63545816733067761</v>
      </c>
      <c r="M119" s="95">
        <f t="shared" si="6"/>
        <v>0.1181481481481482</v>
      </c>
    </row>
    <row r="120" spans="1:13" ht="15.75" customHeight="1">
      <c r="A120" s="58" t="s">
        <v>146</v>
      </c>
      <c r="B120" s="98" t="s">
        <v>43</v>
      </c>
      <c r="C120" s="68">
        <v>91</v>
      </c>
      <c r="D120" s="68">
        <v>4.75</v>
      </c>
      <c r="E120" s="68">
        <v>4.75</v>
      </c>
      <c r="F120" s="68">
        <v>7.82</v>
      </c>
      <c r="G120" s="98">
        <v>0</v>
      </c>
      <c r="H120" s="98">
        <v>0</v>
      </c>
      <c r="I120" s="98">
        <v>0</v>
      </c>
      <c r="J120" s="98">
        <v>0</v>
      </c>
      <c r="K120" s="68">
        <f t="shared" si="7"/>
        <v>3.0700000000000003</v>
      </c>
      <c r="L120" s="76">
        <f t="shared" si="8"/>
        <v>0.64631578947368429</v>
      </c>
      <c r="M120" s="95">
        <f t="shared" si="6"/>
        <v>0.11370370370370371</v>
      </c>
    </row>
    <row r="121" spans="1:13" ht="15.75" customHeight="1">
      <c r="A121" s="58" t="s">
        <v>146</v>
      </c>
      <c r="B121" s="98" t="s">
        <v>43</v>
      </c>
      <c r="C121" s="68">
        <v>92</v>
      </c>
      <c r="D121" s="68">
        <v>4.6500000000000004</v>
      </c>
      <c r="E121" s="68">
        <v>4.6500000000000004</v>
      </c>
      <c r="F121" s="68">
        <v>7.73</v>
      </c>
      <c r="G121" s="98">
        <v>0</v>
      </c>
      <c r="H121" s="98">
        <v>0</v>
      </c>
      <c r="I121" s="98">
        <v>0</v>
      </c>
      <c r="J121" s="98">
        <v>0</v>
      </c>
      <c r="K121" s="68">
        <f t="shared" si="7"/>
        <v>3.08</v>
      </c>
      <c r="L121" s="76">
        <f t="shared" si="8"/>
        <v>0.66236559139784945</v>
      </c>
      <c r="M121" s="95">
        <f t="shared" si="6"/>
        <v>0.11407407407407408</v>
      </c>
    </row>
    <row r="122" spans="1:13" ht="15.75" customHeight="1">
      <c r="A122" s="58" t="s">
        <v>146</v>
      </c>
      <c r="B122" s="98" t="s">
        <v>43</v>
      </c>
      <c r="C122" s="68">
        <v>95</v>
      </c>
      <c r="D122" s="68">
        <v>4.6900000000000004</v>
      </c>
      <c r="E122" s="68">
        <v>4.6900000000000004</v>
      </c>
      <c r="F122" s="68">
        <v>7.85</v>
      </c>
      <c r="G122" s="98">
        <v>0</v>
      </c>
      <c r="H122" s="98">
        <v>0</v>
      </c>
      <c r="I122" s="98">
        <v>0</v>
      </c>
      <c r="J122" s="98">
        <v>0</v>
      </c>
      <c r="K122" s="68">
        <f t="shared" si="7"/>
        <v>3.1599999999999993</v>
      </c>
      <c r="L122" s="76">
        <f t="shared" si="8"/>
        <v>0.6737739872068228</v>
      </c>
      <c r="M122" s="95">
        <f t="shared" si="6"/>
        <v>0.11703703703703701</v>
      </c>
    </row>
    <row r="123" spans="1:13" ht="15.75" customHeight="1">
      <c r="A123" s="58" t="s">
        <v>146</v>
      </c>
      <c r="B123" s="98" t="s">
        <v>43</v>
      </c>
      <c r="C123" s="68">
        <v>96</v>
      </c>
      <c r="D123" s="68">
        <v>4.88</v>
      </c>
      <c r="E123" s="68">
        <v>4.88</v>
      </c>
      <c r="F123" s="68">
        <v>8.06</v>
      </c>
      <c r="G123" s="98">
        <v>0</v>
      </c>
      <c r="H123" s="98">
        <v>0</v>
      </c>
      <c r="I123" s="98">
        <v>0</v>
      </c>
      <c r="J123" s="98">
        <v>0</v>
      </c>
      <c r="K123" s="68">
        <f t="shared" si="7"/>
        <v>3.1800000000000006</v>
      </c>
      <c r="L123" s="76">
        <f t="shared" si="8"/>
        <v>0.65163934426229519</v>
      </c>
      <c r="M123" s="95">
        <f t="shared" si="6"/>
        <v>0.1177777777777778</v>
      </c>
    </row>
    <row r="124" spans="1:13" ht="15.75" customHeight="1">
      <c r="A124" s="58" t="s">
        <v>146</v>
      </c>
      <c r="B124" s="98" t="s">
        <v>43</v>
      </c>
      <c r="C124" s="68">
        <v>97</v>
      </c>
      <c r="D124" s="68">
        <v>4.79</v>
      </c>
      <c r="E124" s="68">
        <v>4.79</v>
      </c>
      <c r="F124" s="68">
        <v>7.95</v>
      </c>
      <c r="G124" s="98">
        <v>0</v>
      </c>
      <c r="H124" s="98">
        <v>0</v>
      </c>
      <c r="I124" s="98">
        <v>0</v>
      </c>
      <c r="J124" s="98">
        <v>0</v>
      </c>
      <c r="K124" s="68">
        <f t="shared" si="7"/>
        <v>3.16</v>
      </c>
      <c r="L124" s="76">
        <f t="shared" si="8"/>
        <v>0.65970772442588732</v>
      </c>
      <c r="M124" s="95">
        <f t="shared" si="6"/>
        <v>0.11703703703703704</v>
      </c>
    </row>
    <row r="125" spans="1:13" ht="15.75" customHeight="1">
      <c r="A125" s="58" t="s">
        <v>146</v>
      </c>
      <c r="B125" s="98" t="s">
        <v>43</v>
      </c>
      <c r="C125" s="68">
        <v>101</v>
      </c>
      <c r="D125" s="68">
        <v>4.4000000000000004</v>
      </c>
      <c r="E125" s="68">
        <v>4.4000000000000004</v>
      </c>
      <c r="F125" s="68">
        <v>7.29</v>
      </c>
      <c r="G125" s="98">
        <v>0</v>
      </c>
      <c r="H125" s="98">
        <v>0</v>
      </c>
      <c r="I125" s="98">
        <v>0</v>
      </c>
      <c r="J125" s="98">
        <v>0</v>
      </c>
      <c r="K125" s="68">
        <f t="shared" si="7"/>
        <v>2.8899999999999997</v>
      </c>
      <c r="L125" s="76">
        <f t="shared" si="8"/>
        <v>0.65681818181818175</v>
      </c>
      <c r="M125" s="95">
        <f t="shared" si="6"/>
        <v>0.10703703703703703</v>
      </c>
    </row>
    <row r="126" spans="1:13" ht="15.75" customHeight="1">
      <c r="A126" s="58" t="s">
        <v>146</v>
      </c>
      <c r="B126" s="98" t="s">
        <v>43</v>
      </c>
      <c r="C126" s="68">
        <v>102</v>
      </c>
      <c r="D126" s="68">
        <v>4.49</v>
      </c>
      <c r="E126" s="68">
        <v>4.49</v>
      </c>
      <c r="F126" s="68">
        <v>7.24</v>
      </c>
      <c r="G126" s="98">
        <v>0</v>
      </c>
      <c r="H126" s="98">
        <v>0</v>
      </c>
      <c r="I126" s="98">
        <v>0</v>
      </c>
      <c r="J126" s="98">
        <v>0</v>
      </c>
      <c r="K126" s="68">
        <f t="shared" si="7"/>
        <v>2.75</v>
      </c>
      <c r="L126" s="76">
        <f t="shared" si="8"/>
        <v>0.61247216035634744</v>
      </c>
      <c r="M126" s="95">
        <f t="shared" si="6"/>
        <v>0.10185185185185185</v>
      </c>
    </row>
    <row r="127" spans="1:13" ht="15.75" customHeight="1">
      <c r="A127" s="58" t="s">
        <v>146</v>
      </c>
      <c r="B127" s="98" t="s">
        <v>43</v>
      </c>
      <c r="C127" s="68">
        <v>105</v>
      </c>
      <c r="D127" s="68">
        <v>4.58</v>
      </c>
      <c r="E127" s="68">
        <v>4.58</v>
      </c>
      <c r="F127" s="68">
        <v>7.3</v>
      </c>
      <c r="G127" s="98">
        <v>0</v>
      </c>
      <c r="H127" s="98">
        <v>0</v>
      </c>
      <c r="I127" s="98">
        <v>0</v>
      </c>
      <c r="J127" s="98">
        <v>0</v>
      </c>
      <c r="K127" s="68">
        <f t="shared" si="7"/>
        <v>2.7199999999999998</v>
      </c>
      <c r="L127" s="76">
        <f t="shared" si="8"/>
        <v>0.59388646288209601</v>
      </c>
      <c r="M127" s="95">
        <f t="shared" si="6"/>
        <v>0.10074074074074073</v>
      </c>
    </row>
    <row r="128" spans="1:13" ht="15.75" customHeight="1">
      <c r="A128" s="58" t="s">
        <v>146</v>
      </c>
      <c r="B128" s="98" t="s">
        <v>43</v>
      </c>
      <c r="C128" s="68">
        <v>106</v>
      </c>
      <c r="D128" s="68">
        <v>4.4800000000000004</v>
      </c>
      <c r="E128" s="68">
        <v>4.4800000000000004</v>
      </c>
      <c r="F128" s="68">
        <v>7.12</v>
      </c>
      <c r="G128" s="98">
        <v>0</v>
      </c>
      <c r="H128" s="98">
        <v>0</v>
      </c>
      <c r="I128" s="98">
        <v>0</v>
      </c>
      <c r="J128" s="98">
        <v>0</v>
      </c>
      <c r="K128" s="68">
        <f t="shared" si="7"/>
        <v>2.6399999999999997</v>
      </c>
      <c r="L128" s="76">
        <f t="shared" si="8"/>
        <v>0.58928571428571419</v>
      </c>
      <c r="M128" s="95">
        <f t="shared" si="6"/>
        <v>9.7777777777777769E-2</v>
      </c>
    </row>
    <row r="129" spans="1:13" ht="15.75" customHeight="1">
      <c r="A129" s="58" t="s">
        <v>146</v>
      </c>
      <c r="B129" s="98" t="s">
        <v>43</v>
      </c>
      <c r="C129" s="68">
        <v>111</v>
      </c>
      <c r="D129" s="68">
        <v>4.3899999999999997</v>
      </c>
      <c r="E129" s="68">
        <v>4.3899999999999997</v>
      </c>
      <c r="F129" s="68">
        <v>7.18</v>
      </c>
      <c r="G129" s="98">
        <v>0</v>
      </c>
      <c r="H129" s="98">
        <v>0</v>
      </c>
      <c r="I129" s="98">
        <v>0</v>
      </c>
      <c r="J129" s="98">
        <v>0</v>
      </c>
      <c r="K129" s="68">
        <f t="shared" si="7"/>
        <v>2.79</v>
      </c>
      <c r="L129" s="76">
        <f t="shared" si="8"/>
        <v>0.63553530751708431</v>
      </c>
      <c r="M129" s="95">
        <f t="shared" si="6"/>
        <v>0.10333333333333333</v>
      </c>
    </row>
    <row r="130" spans="1:13" ht="15.75" customHeight="1">
      <c r="A130" s="58" t="s">
        <v>146</v>
      </c>
      <c r="B130" s="98" t="s">
        <v>43</v>
      </c>
      <c r="C130" s="68">
        <v>113</v>
      </c>
      <c r="D130" s="68">
        <v>4.28</v>
      </c>
      <c r="E130" s="68">
        <v>4.28</v>
      </c>
      <c r="F130" s="68">
        <v>6.74</v>
      </c>
      <c r="G130" s="98">
        <v>0</v>
      </c>
      <c r="H130" s="98">
        <v>0</v>
      </c>
      <c r="I130" s="98">
        <v>0</v>
      </c>
      <c r="J130" s="98">
        <v>0</v>
      </c>
      <c r="K130" s="68">
        <f t="shared" si="7"/>
        <v>2.46</v>
      </c>
      <c r="L130" s="76">
        <f t="shared" si="8"/>
        <v>0.57476635514018692</v>
      </c>
      <c r="M130" s="95">
        <f t="shared" si="6"/>
        <v>9.1111111111111115E-2</v>
      </c>
    </row>
    <row r="131" spans="1:13" ht="15.75" customHeight="1">
      <c r="A131" s="58" t="s">
        <v>146</v>
      </c>
      <c r="B131" s="98" t="s">
        <v>43</v>
      </c>
      <c r="C131" s="68">
        <v>115</v>
      </c>
      <c r="D131" s="68">
        <v>4.38</v>
      </c>
      <c r="E131" s="68">
        <v>4.38</v>
      </c>
      <c r="F131" s="68">
        <v>7.31</v>
      </c>
      <c r="G131" s="98">
        <v>0</v>
      </c>
      <c r="H131" s="98">
        <v>0</v>
      </c>
      <c r="I131" s="98">
        <v>0</v>
      </c>
      <c r="J131" s="98">
        <v>0</v>
      </c>
      <c r="K131" s="68">
        <f t="shared" si="7"/>
        <v>2.9299999999999997</v>
      </c>
      <c r="L131" s="76">
        <f t="shared" si="8"/>
        <v>0.66894977168949765</v>
      </c>
      <c r="M131" s="95">
        <f t="shared" si="6"/>
        <v>0.10851851851851851</v>
      </c>
    </row>
    <row r="132" spans="1:13" ht="15.75" customHeight="1">
      <c r="A132" s="58" t="s">
        <v>146</v>
      </c>
      <c r="B132" s="98" t="s">
        <v>43</v>
      </c>
      <c r="C132" s="68">
        <v>121</v>
      </c>
      <c r="D132" s="68">
        <v>3.45</v>
      </c>
      <c r="E132" s="68">
        <v>3.45</v>
      </c>
      <c r="F132" s="68">
        <v>6.21</v>
      </c>
      <c r="G132" s="98">
        <v>0</v>
      </c>
      <c r="H132" s="98">
        <v>0</v>
      </c>
      <c r="I132" s="98">
        <v>0</v>
      </c>
      <c r="J132" s="98">
        <v>0</v>
      </c>
      <c r="K132" s="68">
        <f t="shared" si="7"/>
        <v>2.76</v>
      </c>
      <c r="L132" s="76">
        <f t="shared" si="8"/>
        <v>0.79999999999999993</v>
      </c>
      <c r="M132" s="95">
        <f t="shared" si="6"/>
        <v>0.10222222222222221</v>
      </c>
    </row>
    <row r="133" spans="1:13" ht="15.75" customHeight="1">
      <c r="A133" s="58" t="s">
        <v>146</v>
      </c>
      <c r="B133" s="98" t="s">
        <v>43</v>
      </c>
      <c r="C133" s="68">
        <v>122</v>
      </c>
      <c r="D133" s="68">
        <v>3.28</v>
      </c>
      <c r="E133" s="68">
        <v>3.28</v>
      </c>
      <c r="F133" s="68">
        <v>6.18</v>
      </c>
      <c r="G133" s="98">
        <v>0</v>
      </c>
      <c r="H133" s="98">
        <v>0</v>
      </c>
      <c r="I133" s="98">
        <v>0</v>
      </c>
      <c r="J133" s="98">
        <v>0</v>
      </c>
      <c r="K133" s="68">
        <f t="shared" si="7"/>
        <v>2.9</v>
      </c>
      <c r="L133" s="76">
        <f t="shared" si="8"/>
        <v>0.88414634146341464</v>
      </c>
      <c r="M133" s="95">
        <f t="shared" si="6"/>
        <v>0.10740740740740741</v>
      </c>
    </row>
    <row r="134" spans="1:13" ht="15.75" customHeight="1">
      <c r="A134" s="58" t="s">
        <v>146</v>
      </c>
      <c r="B134" s="98" t="s">
        <v>43</v>
      </c>
      <c r="C134" s="68">
        <v>125</v>
      </c>
      <c r="D134" s="68">
        <v>3.34</v>
      </c>
      <c r="E134" s="68">
        <v>3.34</v>
      </c>
      <c r="F134" s="68">
        <v>6.17</v>
      </c>
      <c r="G134" s="98">
        <v>0</v>
      </c>
      <c r="H134" s="98">
        <v>0</v>
      </c>
      <c r="I134" s="98">
        <v>0</v>
      </c>
      <c r="J134" s="98">
        <v>0</v>
      </c>
      <c r="K134" s="68">
        <f t="shared" si="7"/>
        <v>2.83</v>
      </c>
      <c r="L134" s="76">
        <f t="shared" si="8"/>
        <v>0.84730538922155696</v>
      </c>
      <c r="M134" s="95">
        <f t="shared" si="6"/>
        <v>0.10481481481481482</v>
      </c>
    </row>
    <row r="135" spans="1:13" ht="15.75" customHeight="1">
      <c r="A135" s="58" t="s">
        <v>146</v>
      </c>
      <c r="B135" s="98" t="s">
        <v>43</v>
      </c>
      <c r="C135" s="68">
        <v>131</v>
      </c>
      <c r="D135" s="68">
        <v>3.36</v>
      </c>
      <c r="E135" s="68">
        <v>3.36</v>
      </c>
      <c r="F135" s="68">
        <v>6.18</v>
      </c>
      <c r="G135" s="98">
        <v>0</v>
      </c>
      <c r="H135" s="98">
        <v>0</v>
      </c>
      <c r="I135" s="98">
        <v>0</v>
      </c>
      <c r="J135" s="98">
        <v>0</v>
      </c>
      <c r="K135" s="68">
        <f t="shared" si="7"/>
        <v>2.82</v>
      </c>
      <c r="L135" s="76">
        <f t="shared" si="8"/>
        <v>0.8392857142857143</v>
      </c>
      <c r="M135" s="95">
        <f t="shared" si="6"/>
        <v>0.10444444444444444</v>
      </c>
    </row>
    <row r="136" spans="1:13" ht="15.75" customHeight="1">
      <c r="A136" s="58" t="s">
        <v>146</v>
      </c>
      <c r="B136" s="98" t="s">
        <v>43</v>
      </c>
      <c r="C136" s="68">
        <v>132</v>
      </c>
      <c r="D136" s="68">
        <v>3.49</v>
      </c>
      <c r="E136" s="68">
        <v>3.49</v>
      </c>
      <c r="F136" s="68">
        <v>6.2</v>
      </c>
      <c r="G136" s="98">
        <v>0</v>
      </c>
      <c r="H136" s="98">
        <v>0</v>
      </c>
      <c r="I136" s="98">
        <v>0</v>
      </c>
      <c r="J136" s="98">
        <v>0</v>
      </c>
      <c r="K136" s="68">
        <f t="shared" si="7"/>
        <v>2.71</v>
      </c>
      <c r="L136" s="76">
        <f t="shared" si="8"/>
        <v>0.77650429799426923</v>
      </c>
      <c r="M136" s="95">
        <f t="shared" si="6"/>
        <v>0.10037037037037037</v>
      </c>
    </row>
    <row r="137" spans="1:13" ht="15.75" customHeight="1">
      <c r="A137" s="58" t="s">
        <v>146</v>
      </c>
      <c r="B137" s="98" t="s">
        <v>43</v>
      </c>
      <c r="C137" s="68">
        <v>136</v>
      </c>
      <c r="D137" s="68">
        <v>3.47</v>
      </c>
      <c r="E137" s="68">
        <v>3.47</v>
      </c>
      <c r="F137" s="68">
        <v>6.34</v>
      </c>
      <c r="G137" s="98">
        <v>0</v>
      </c>
      <c r="H137" s="98">
        <v>0</v>
      </c>
      <c r="I137" s="98">
        <v>0</v>
      </c>
      <c r="J137" s="98">
        <v>0</v>
      </c>
      <c r="K137" s="68">
        <f t="shared" si="7"/>
        <v>2.8699999999999997</v>
      </c>
      <c r="L137" s="76">
        <f t="shared" si="8"/>
        <v>0.82708933717579236</v>
      </c>
      <c r="M137" s="95">
        <f t="shared" si="6"/>
        <v>0.10629629629629628</v>
      </c>
    </row>
    <row r="138" spans="1:13" ht="15.75" customHeight="1">
      <c r="A138" s="58" t="s">
        <v>146</v>
      </c>
      <c r="B138" s="98" t="s">
        <v>43</v>
      </c>
      <c r="C138" s="68">
        <v>140</v>
      </c>
      <c r="D138" s="68">
        <v>4.79</v>
      </c>
      <c r="E138" s="68">
        <v>4.79</v>
      </c>
      <c r="F138" s="68">
        <v>7.55</v>
      </c>
      <c r="G138" s="98">
        <v>0</v>
      </c>
      <c r="H138" s="98">
        <v>0</v>
      </c>
      <c r="I138" s="98">
        <v>0</v>
      </c>
      <c r="J138" s="98">
        <v>0</v>
      </c>
      <c r="K138" s="68">
        <f t="shared" si="7"/>
        <v>2.76</v>
      </c>
      <c r="L138" s="76">
        <f t="shared" si="8"/>
        <v>0.57620041753653439</v>
      </c>
      <c r="M138" s="95">
        <f t="shared" si="6"/>
        <v>0.10222222222222221</v>
      </c>
    </row>
    <row r="139" spans="1:13" ht="15.75" customHeight="1">
      <c r="A139" s="58" t="s">
        <v>146</v>
      </c>
      <c r="B139" s="98" t="s">
        <v>43</v>
      </c>
      <c r="C139" s="68">
        <v>141</v>
      </c>
      <c r="D139" s="68">
        <v>4.79</v>
      </c>
      <c r="E139" s="68">
        <v>4.79</v>
      </c>
      <c r="F139" s="68">
        <v>7.66</v>
      </c>
      <c r="G139" s="98">
        <v>0</v>
      </c>
      <c r="H139" s="98">
        <v>0</v>
      </c>
      <c r="I139" s="98">
        <v>0</v>
      </c>
      <c r="J139" s="98">
        <v>0</v>
      </c>
      <c r="K139" s="68">
        <f t="shared" si="7"/>
        <v>2.87</v>
      </c>
      <c r="L139" s="76">
        <f t="shared" si="8"/>
        <v>0.59916492693110646</v>
      </c>
      <c r="M139" s="95">
        <f t="shared" si="6"/>
        <v>0.10629629629629631</v>
      </c>
    </row>
    <row r="140" spans="1:13" ht="15.75" customHeight="1">
      <c r="A140" s="58" t="s">
        <v>146</v>
      </c>
      <c r="B140" s="98" t="s">
        <v>43</v>
      </c>
      <c r="C140" s="68">
        <v>142</v>
      </c>
      <c r="D140" s="68">
        <v>4.7699999999999996</v>
      </c>
      <c r="E140" s="68">
        <v>4.7699999999999996</v>
      </c>
      <c r="F140" s="4">
        <v>7.58</v>
      </c>
      <c r="G140" s="98">
        <v>0</v>
      </c>
      <c r="H140" s="98">
        <v>0</v>
      </c>
      <c r="I140" s="98">
        <v>0</v>
      </c>
      <c r="J140" s="98">
        <v>0</v>
      </c>
      <c r="K140" s="68">
        <f t="shared" si="7"/>
        <v>2.8100000000000005</v>
      </c>
      <c r="L140" s="76">
        <f t="shared" si="8"/>
        <v>0.58909853249475908</v>
      </c>
      <c r="M140" s="95">
        <f t="shared" si="6"/>
        <v>0.1040740740740741</v>
      </c>
    </row>
    <row r="141" spans="1:13" ht="15.75" customHeight="1">
      <c r="A141" s="58" t="s">
        <v>146</v>
      </c>
      <c r="B141" s="98" t="s">
        <v>43</v>
      </c>
      <c r="C141" s="68">
        <v>144</v>
      </c>
      <c r="D141" s="68">
        <v>4.87</v>
      </c>
      <c r="E141" s="68">
        <v>4.87</v>
      </c>
      <c r="F141" s="4">
        <v>7.66</v>
      </c>
      <c r="G141" s="98">
        <v>0</v>
      </c>
      <c r="H141" s="98">
        <v>0</v>
      </c>
      <c r="I141" s="98">
        <v>0</v>
      </c>
      <c r="J141" s="98">
        <v>0</v>
      </c>
      <c r="K141" s="68">
        <f t="shared" si="7"/>
        <v>2.79</v>
      </c>
      <c r="L141" s="76">
        <f t="shared" si="8"/>
        <v>0.5728952772073922</v>
      </c>
      <c r="M141" s="95">
        <f t="shared" si="6"/>
        <v>0.10333333333333333</v>
      </c>
    </row>
    <row r="142" spans="1:13" ht="15.75" customHeight="1">
      <c r="A142" s="58" t="s">
        <v>146</v>
      </c>
      <c r="B142" s="98" t="s">
        <v>43</v>
      </c>
      <c r="C142" s="68">
        <v>145</v>
      </c>
      <c r="D142" s="68">
        <v>4.96</v>
      </c>
      <c r="E142" s="68">
        <v>4.96</v>
      </c>
      <c r="F142" s="68">
        <v>7.71</v>
      </c>
      <c r="G142" s="98">
        <v>0</v>
      </c>
      <c r="H142" s="98">
        <v>0</v>
      </c>
      <c r="I142" s="98">
        <v>0</v>
      </c>
      <c r="J142" s="98">
        <v>0</v>
      </c>
      <c r="K142" s="68">
        <f t="shared" si="7"/>
        <v>2.75</v>
      </c>
      <c r="L142" s="76">
        <f t="shared" si="8"/>
        <v>0.55443548387096775</v>
      </c>
      <c r="M142" s="95">
        <f t="shared" si="6"/>
        <v>0.10185185185185185</v>
      </c>
    </row>
    <row r="143" spans="1:13" ht="15.75" customHeight="1">
      <c r="A143" s="58" t="s">
        <v>146</v>
      </c>
      <c r="B143" s="98" t="s">
        <v>43</v>
      </c>
      <c r="C143" s="68">
        <v>146</v>
      </c>
      <c r="D143" s="68">
        <v>4.78</v>
      </c>
      <c r="E143" s="68">
        <v>4.78</v>
      </c>
      <c r="F143" s="68">
        <v>7.5</v>
      </c>
      <c r="G143" s="98">
        <v>0</v>
      </c>
      <c r="H143" s="98">
        <v>0</v>
      </c>
      <c r="I143" s="98">
        <v>0</v>
      </c>
      <c r="J143" s="98">
        <v>0</v>
      </c>
      <c r="K143" s="68">
        <f t="shared" si="7"/>
        <v>2.7199999999999998</v>
      </c>
      <c r="L143" s="76">
        <f t="shared" si="8"/>
        <v>0.56903765690376562</v>
      </c>
      <c r="M143" s="95">
        <f t="shared" si="6"/>
        <v>0.10074074074074073</v>
      </c>
    </row>
    <row r="144" spans="1:13" ht="15.75" customHeight="1">
      <c r="A144" s="58" t="s">
        <v>146</v>
      </c>
      <c r="B144" s="98" t="s">
        <v>43</v>
      </c>
      <c r="C144" s="68">
        <v>147</v>
      </c>
      <c r="D144" s="68">
        <v>4.71</v>
      </c>
      <c r="E144" s="68">
        <v>4.71</v>
      </c>
      <c r="F144" s="68">
        <v>7.43</v>
      </c>
      <c r="G144" s="98">
        <v>0</v>
      </c>
      <c r="H144" s="98">
        <v>0</v>
      </c>
      <c r="I144" s="98">
        <v>0</v>
      </c>
      <c r="J144" s="98">
        <v>0</v>
      </c>
      <c r="K144" s="68">
        <f t="shared" si="7"/>
        <v>2.7199999999999998</v>
      </c>
      <c r="L144" s="76">
        <f t="shared" si="8"/>
        <v>0.57749469214437366</v>
      </c>
      <c r="M144" s="95">
        <f t="shared" si="6"/>
        <v>0.10074074074074073</v>
      </c>
    </row>
    <row r="145" spans="1:13" ht="15.75" customHeight="1">
      <c r="A145" s="58" t="s">
        <v>146</v>
      </c>
      <c r="B145" s="98" t="s">
        <v>43</v>
      </c>
      <c r="C145" s="68">
        <v>149</v>
      </c>
      <c r="D145" s="68">
        <v>4.8099999999999996</v>
      </c>
      <c r="E145" s="68">
        <v>4.8099999999999996</v>
      </c>
      <c r="F145" s="68">
        <v>7.58</v>
      </c>
      <c r="G145" s="98">
        <v>0</v>
      </c>
      <c r="H145" s="98">
        <v>0</v>
      </c>
      <c r="I145" s="98">
        <v>0</v>
      </c>
      <c r="J145" s="98">
        <v>0</v>
      </c>
      <c r="K145" s="68">
        <f t="shared" si="7"/>
        <v>2.7700000000000005</v>
      </c>
      <c r="L145" s="76">
        <f t="shared" si="8"/>
        <v>0.57588357588357597</v>
      </c>
      <c r="M145" s="95">
        <f t="shared" si="6"/>
        <v>0.10259259259259261</v>
      </c>
    </row>
    <row r="146" spans="1:13" ht="15.75" customHeight="1">
      <c r="A146" s="58" t="s">
        <v>146</v>
      </c>
      <c r="B146" s="98" t="s">
        <v>43</v>
      </c>
      <c r="C146" s="68">
        <v>151</v>
      </c>
      <c r="D146" s="68">
        <v>4.68</v>
      </c>
      <c r="E146" s="68">
        <v>4.68</v>
      </c>
      <c r="F146" s="68">
        <v>7.6</v>
      </c>
      <c r="G146" s="98">
        <v>0</v>
      </c>
      <c r="H146" s="98">
        <v>0</v>
      </c>
      <c r="I146" s="98">
        <v>0</v>
      </c>
      <c r="J146" s="98">
        <v>0</v>
      </c>
      <c r="K146" s="68">
        <f t="shared" si="7"/>
        <v>2.92</v>
      </c>
      <c r="L146" s="76">
        <f t="shared" si="8"/>
        <v>0.62393162393162394</v>
      </c>
      <c r="M146" s="95">
        <f t="shared" si="6"/>
        <v>0.10814814814814815</v>
      </c>
    </row>
    <row r="147" spans="1:13" ht="15.75" customHeight="1">
      <c r="A147" s="58" t="s">
        <v>146</v>
      </c>
      <c r="B147" s="98" t="s">
        <v>43</v>
      </c>
      <c r="C147" s="68">
        <v>152</v>
      </c>
      <c r="D147" s="68">
        <v>5.0999999999999996</v>
      </c>
      <c r="E147" s="68">
        <v>5.0999999999999996</v>
      </c>
      <c r="F147" s="68">
        <v>7.94</v>
      </c>
      <c r="G147" s="98">
        <v>0</v>
      </c>
      <c r="H147" s="98">
        <v>0</v>
      </c>
      <c r="I147" s="98">
        <v>0</v>
      </c>
      <c r="J147" s="98">
        <v>0</v>
      </c>
      <c r="K147" s="68">
        <f t="shared" si="7"/>
        <v>2.8400000000000007</v>
      </c>
      <c r="L147" s="76">
        <f t="shared" si="8"/>
        <v>0.55686274509803935</v>
      </c>
      <c r="M147" s="95">
        <f t="shared" si="6"/>
        <v>0.10518518518518521</v>
      </c>
    </row>
    <row r="148" spans="1:13" ht="15.75" customHeight="1">
      <c r="A148" s="58" t="s">
        <v>146</v>
      </c>
      <c r="B148" s="98" t="s">
        <v>43</v>
      </c>
      <c r="C148" s="69">
        <v>153</v>
      </c>
      <c r="D148" s="4">
        <v>4.59</v>
      </c>
      <c r="E148" s="4">
        <v>4.59</v>
      </c>
      <c r="F148" s="4">
        <v>7.37</v>
      </c>
      <c r="G148" s="98">
        <v>0</v>
      </c>
      <c r="H148" s="98">
        <v>0</v>
      </c>
      <c r="I148" s="98">
        <v>0</v>
      </c>
      <c r="J148" s="98">
        <v>0</v>
      </c>
      <c r="K148" s="68">
        <f t="shared" si="7"/>
        <v>2.7800000000000002</v>
      </c>
      <c r="L148" s="76">
        <f t="shared" si="8"/>
        <v>0.60566448801742923</v>
      </c>
      <c r="M148" s="95">
        <f t="shared" si="6"/>
        <v>0.10296296296296298</v>
      </c>
    </row>
    <row r="149" spans="1:13" ht="15.75" customHeight="1">
      <c r="A149" s="58" t="s">
        <v>146</v>
      </c>
      <c r="B149" s="98" t="s">
        <v>43</v>
      </c>
      <c r="C149" s="69">
        <v>154</v>
      </c>
      <c r="D149" s="68">
        <v>4.57</v>
      </c>
      <c r="E149" s="68">
        <v>4.57</v>
      </c>
      <c r="F149" s="68">
        <v>7.71</v>
      </c>
      <c r="G149" s="98">
        <v>0</v>
      </c>
      <c r="H149" s="98">
        <v>0</v>
      </c>
      <c r="I149" s="98">
        <v>0</v>
      </c>
      <c r="J149" s="98">
        <v>0</v>
      </c>
      <c r="K149" s="68">
        <f t="shared" si="7"/>
        <v>3.1399999999999997</v>
      </c>
      <c r="L149" s="76">
        <f t="shared" si="8"/>
        <v>0.68708971553610487</v>
      </c>
      <c r="M149" s="95">
        <f t="shared" si="6"/>
        <v>0.11629629629629629</v>
      </c>
    </row>
    <row r="150" spans="1:13" ht="15.75" customHeight="1">
      <c r="A150" s="58" t="s">
        <v>146</v>
      </c>
      <c r="B150" s="98" t="s">
        <v>43</v>
      </c>
      <c r="C150" s="68">
        <v>156</v>
      </c>
      <c r="D150" s="68">
        <v>4.42</v>
      </c>
      <c r="E150" s="68">
        <v>4.42</v>
      </c>
      <c r="F150" s="68">
        <v>7.45</v>
      </c>
      <c r="G150" s="98">
        <v>0</v>
      </c>
      <c r="H150" s="98">
        <v>0</v>
      </c>
      <c r="I150" s="98">
        <v>0</v>
      </c>
      <c r="J150" s="98">
        <v>0</v>
      </c>
      <c r="K150" s="68">
        <f t="shared" si="7"/>
        <v>3.0300000000000002</v>
      </c>
      <c r="L150" s="76">
        <f t="shared" si="8"/>
        <v>0.68552036199095034</v>
      </c>
      <c r="M150" s="95">
        <f t="shared" si="6"/>
        <v>0.11222222222222224</v>
      </c>
    </row>
    <row r="151" spans="1:13" ht="15.75" customHeight="1">
      <c r="A151" s="58" t="s">
        <v>146</v>
      </c>
      <c r="B151" s="98" t="s">
        <v>43</v>
      </c>
      <c r="C151" s="68">
        <v>160</v>
      </c>
      <c r="D151" s="68">
        <v>4.3600000000000003</v>
      </c>
      <c r="E151" s="68">
        <v>4.3600000000000003</v>
      </c>
      <c r="F151" s="4">
        <v>7.46</v>
      </c>
      <c r="G151" s="98">
        <v>0</v>
      </c>
      <c r="H151" s="98">
        <v>0</v>
      </c>
      <c r="I151" s="98">
        <v>0</v>
      </c>
      <c r="J151" s="98">
        <v>0</v>
      </c>
      <c r="K151" s="68">
        <f t="shared" si="7"/>
        <v>3.0999999999999996</v>
      </c>
      <c r="L151" s="76">
        <f t="shared" si="8"/>
        <v>0.71100917431192645</v>
      </c>
      <c r="M151" s="95">
        <f t="shared" si="6"/>
        <v>0.1148148148148148</v>
      </c>
    </row>
    <row r="152" spans="1:13" ht="15.75" customHeight="1">
      <c r="A152" s="58" t="s">
        <v>146</v>
      </c>
      <c r="B152" s="98" t="s">
        <v>43</v>
      </c>
      <c r="C152" s="68">
        <v>166</v>
      </c>
      <c r="D152" s="68">
        <v>4.58</v>
      </c>
      <c r="E152" s="68">
        <v>4.58</v>
      </c>
      <c r="F152" s="68">
        <v>7.66</v>
      </c>
      <c r="G152" s="98">
        <v>0</v>
      </c>
      <c r="H152" s="98">
        <v>0</v>
      </c>
      <c r="I152" s="98">
        <v>0</v>
      </c>
      <c r="J152" s="98">
        <v>0</v>
      </c>
      <c r="K152" s="68">
        <f t="shared" si="7"/>
        <v>3.08</v>
      </c>
      <c r="L152" s="76">
        <f t="shared" si="8"/>
        <v>0.67248908296943233</v>
      </c>
      <c r="M152" s="95">
        <f t="shared" si="6"/>
        <v>0.11407407407407408</v>
      </c>
    </row>
    <row r="153" spans="1:13" ht="15.75" customHeight="1">
      <c r="A153" s="58" t="s">
        <v>146</v>
      </c>
      <c r="B153" s="98" t="s">
        <v>43</v>
      </c>
      <c r="C153" s="68">
        <v>171</v>
      </c>
      <c r="D153" s="68">
        <v>4.47</v>
      </c>
      <c r="E153" s="68">
        <v>4.47</v>
      </c>
      <c r="F153" s="68">
        <v>7.58</v>
      </c>
      <c r="G153" s="98">
        <v>0</v>
      </c>
      <c r="H153" s="98">
        <v>0</v>
      </c>
      <c r="I153" s="98">
        <v>0</v>
      </c>
      <c r="J153" s="98">
        <v>0</v>
      </c>
      <c r="K153" s="68">
        <f t="shared" si="7"/>
        <v>3.1100000000000003</v>
      </c>
      <c r="L153" s="76">
        <f t="shared" si="8"/>
        <v>0.69574944071588374</v>
      </c>
      <c r="M153" s="95">
        <f t="shared" si="6"/>
        <v>0.1151851851851852</v>
      </c>
    </row>
    <row r="154" spans="1:13" ht="15.75" customHeight="1">
      <c r="A154" s="58" t="s">
        <v>146</v>
      </c>
      <c r="B154" s="98" t="s">
        <v>43</v>
      </c>
      <c r="C154" s="68">
        <v>172</v>
      </c>
      <c r="D154" s="68">
        <v>4.6100000000000003</v>
      </c>
      <c r="E154" s="68">
        <v>4.6100000000000003</v>
      </c>
      <c r="F154" s="68">
        <v>7.73</v>
      </c>
      <c r="G154" s="98">
        <v>0</v>
      </c>
      <c r="H154" s="98">
        <v>0</v>
      </c>
      <c r="I154" s="98">
        <v>0</v>
      </c>
      <c r="J154" s="98">
        <v>0</v>
      </c>
      <c r="K154" s="68">
        <f t="shared" si="7"/>
        <v>3.12</v>
      </c>
      <c r="L154" s="76">
        <f t="shared" si="8"/>
        <v>0.67678958785249455</v>
      </c>
      <c r="M154" s="95">
        <f t="shared" si="6"/>
        <v>0.11555555555555556</v>
      </c>
    </row>
    <row r="155" spans="1:13" ht="15.75" customHeight="1">
      <c r="A155" s="58" t="s">
        <v>146</v>
      </c>
      <c r="B155" s="98" t="s">
        <v>43</v>
      </c>
      <c r="C155" s="68">
        <v>175</v>
      </c>
      <c r="D155" s="68">
        <v>4.43</v>
      </c>
      <c r="E155" s="68">
        <v>4.43</v>
      </c>
      <c r="F155" s="68">
        <v>7.49</v>
      </c>
      <c r="G155" s="98">
        <v>0</v>
      </c>
      <c r="H155" s="98">
        <v>0</v>
      </c>
      <c r="I155" s="98">
        <v>0</v>
      </c>
      <c r="J155" s="98">
        <v>0</v>
      </c>
      <c r="K155" s="68">
        <f t="shared" si="7"/>
        <v>3.0600000000000005</v>
      </c>
      <c r="L155" s="76">
        <f t="shared" si="8"/>
        <v>0.69074492099322815</v>
      </c>
      <c r="M155" s="95">
        <f t="shared" si="6"/>
        <v>0.11333333333333336</v>
      </c>
    </row>
    <row r="156" spans="1:13" ht="15.75" customHeight="1">
      <c r="A156" s="58" t="s">
        <v>32</v>
      </c>
      <c r="B156" s="98" t="s">
        <v>43</v>
      </c>
      <c r="C156" s="58">
        <v>101</v>
      </c>
      <c r="D156" s="58">
        <v>1.87</v>
      </c>
      <c r="E156" s="58">
        <v>1.87</v>
      </c>
      <c r="F156" s="58">
        <v>3.63</v>
      </c>
      <c r="G156" s="98">
        <v>0</v>
      </c>
      <c r="H156" s="98">
        <v>0</v>
      </c>
      <c r="I156" s="98">
        <v>0</v>
      </c>
      <c r="J156" s="98">
        <v>0</v>
      </c>
      <c r="K156" s="58">
        <v>1.7599999999999998</v>
      </c>
      <c r="L156" s="193">
        <v>0.94117647058823517</v>
      </c>
      <c r="M156" s="193">
        <v>6.5185185185185179E-2</v>
      </c>
    </row>
    <row r="157" spans="1:13" ht="15.75" customHeight="1">
      <c r="A157" s="58" t="s">
        <v>32</v>
      </c>
      <c r="B157" s="98" t="s">
        <v>43</v>
      </c>
      <c r="C157" s="58">
        <v>102</v>
      </c>
      <c r="D157" s="58">
        <v>1.98</v>
      </c>
      <c r="E157" s="58">
        <v>1.98</v>
      </c>
      <c r="F157" s="58">
        <v>3.76</v>
      </c>
      <c r="G157" s="98">
        <v>0</v>
      </c>
      <c r="H157" s="98">
        <v>0</v>
      </c>
      <c r="I157" s="98">
        <v>0</v>
      </c>
      <c r="J157" s="98">
        <v>0</v>
      </c>
      <c r="K157" s="58">
        <v>1.7799999999999998</v>
      </c>
      <c r="L157" s="193">
        <v>0.89898989898989889</v>
      </c>
      <c r="M157" s="193">
        <v>6.5925925925925916E-2</v>
      </c>
    </row>
    <row r="158" spans="1:13" ht="15.75" customHeight="1">
      <c r="A158" s="58" t="s">
        <v>32</v>
      </c>
      <c r="B158" s="98" t="s">
        <v>43</v>
      </c>
      <c r="C158" s="58">
        <v>103</v>
      </c>
      <c r="D158" s="58">
        <v>2</v>
      </c>
      <c r="E158" s="58">
        <v>2</v>
      </c>
      <c r="F158" s="58">
        <v>3.89</v>
      </c>
      <c r="G158" s="98">
        <v>0</v>
      </c>
      <c r="H158" s="98">
        <v>0</v>
      </c>
      <c r="I158" s="98">
        <v>0</v>
      </c>
      <c r="J158" s="98">
        <v>0</v>
      </c>
      <c r="K158" s="58">
        <v>1.8900000000000001</v>
      </c>
      <c r="L158" s="193">
        <v>0.94500000000000006</v>
      </c>
      <c r="M158" s="193">
        <v>7.0000000000000007E-2</v>
      </c>
    </row>
    <row r="159" spans="1:13" ht="15.75" customHeight="1">
      <c r="A159" s="58" t="s">
        <v>32</v>
      </c>
      <c r="B159" s="98" t="s">
        <v>43</v>
      </c>
      <c r="C159" s="58">
        <v>104</v>
      </c>
      <c r="D159" s="58">
        <v>1.99</v>
      </c>
      <c r="E159" s="58">
        <v>1.99</v>
      </c>
      <c r="F159" s="58">
        <v>3.76</v>
      </c>
      <c r="G159" s="98">
        <v>0</v>
      </c>
      <c r="H159" s="98">
        <v>0</v>
      </c>
      <c r="I159" s="98">
        <v>0</v>
      </c>
      <c r="J159" s="98">
        <v>0</v>
      </c>
      <c r="K159" s="58">
        <v>1.7699999999999998</v>
      </c>
      <c r="L159" s="193">
        <v>0.88944723618090438</v>
      </c>
      <c r="M159" s="193">
        <v>6.5555555555555547E-2</v>
      </c>
    </row>
    <row r="160" spans="1:13" ht="15.75" customHeight="1">
      <c r="A160" s="58" t="s">
        <v>32</v>
      </c>
      <c r="B160" s="98" t="s">
        <v>43</v>
      </c>
      <c r="C160" s="58">
        <v>105</v>
      </c>
      <c r="D160" s="58">
        <v>2.08</v>
      </c>
      <c r="E160" s="58">
        <v>2.08</v>
      </c>
      <c r="F160" s="58">
        <v>4.0199999999999996</v>
      </c>
      <c r="G160" s="98">
        <v>0</v>
      </c>
      <c r="H160" s="98">
        <v>0</v>
      </c>
      <c r="I160" s="98">
        <v>0</v>
      </c>
      <c r="J160" s="98">
        <v>0</v>
      </c>
      <c r="K160" s="58">
        <v>1.9399999999999995</v>
      </c>
      <c r="L160" s="193">
        <v>0.93269230769230738</v>
      </c>
      <c r="M160" s="193">
        <v>7.1851851851851833E-2</v>
      </c>
    </row>
    <row r="161" spans="1:14" ht="15.75" customHeight="1">
      <c r="A161" s="58" t="s">
        <v>32</v>
      </c>
      <c r="B161" s="98" t="s">
        <v>43</v>
      </c>
      <c r="C161" s="58">
        <v>291</v>
      </c>
      <c r="D161" s="58">
        <v>2.02</v>
      </c>
      <c r="E161" s="58">
        <v>2.02</v>
      </c>
      <c r="F161" s="58">
        <v>3.94</v>
      </c>
      <c r="G161" s="98">
        <v>0</v>
      </c>
      <c r="H161" s="98">
        <v>0</v>
      </c>
      <c r="I161" s="98">
        <v>0</v>
      </c>
      <c r="J161" s="98">
        <v>0</v>
      </c>
      <c r="K161" s="58">
        <v>1.92</v>
      </c>
      <c r="L161" s="193">
        <v>0.95049504950495045</v>
      </c>
      <c r="M161" s="193">
        <v>7.1111111111111111E-2</v>
      </c>
      <c r="N161" s="194"/>
    </row>
    <row r="162" spans="1:14" ht="15.75" customHeight="1">
      <c r="A162" s="58" t="s">
        <v>32</v>
      </c>
      <c r="B162" s="98" t="s">
        <v>43</v>
      </c>
      <c r="C162" s="58">
        <v>292</v>
      </c>
      <c r="D162" s="58">
        <v>2.2400000000000002</v>
      </c>
      <c r="E162" s="58">
        <v>2.2400000000000002</v>
      </c>
      <c r="F162" s="58">
        <v>4.2699999999999996</v>
      </c>
      <c r="G162" s="98">
        <v>0</v>
      </c>
      <c r="H162" s="98">
        <v>0</v>
      </c>
      <c r="I162" s="98">
        <v>0</v>
      </c>
      <c r="J162" s="98">
        <v>0</v>
      </c>
      <c r="K162" s="58">
        <v>2.0299999999999994</v>
      </c>
      <c r="L162" s="193">
        <v>0.90624999999999967</v>
      </c>
      <c r="M162" s="193">
        <v>7.518518518518516E-2</v>
      </c>
      <c r="N162" s="194"/>
    </row>
    <row r="163" spans="1:14" ht="15.75" customHeight="1">
      <c r="A163" s="58" t="s">
        <v>32</v>
      </c>
      <c r="B163" s="98" t="s">
        <v>43</v>
      </c>
      <c r="C163" s="58">
        <v>293</v>
      </c>
      <c r="D163" s="58">
        <v>2.31</v>
      </c>
      <c r="E163" s="58">
        <v>2.31</v>
      </c>
      <c r="F163" s="58">
        <v>4.37</v>
      </c>
      <c r="G163" s="98">
        <v>0</v>
      </c>
      <c r="H163" s="98">
        <v>0</v>
      </c>
      <c r="I163" s="98">
        <v>0</v>
      </c>
      <c r="J163" s="98">
        <v>0</v>
      </c>
      <c r="K163" s="58">
        <v>2.06</v>
      </c>
      <c r="L163" s="193">
        <v>0.89177489177489178</v>
      </c>
      <c r="M163" s="193">
        <v>7.6296296296296293E-2</v>
      </c>
      <c r="N163" s="194"/>
    </row>
    <row r="164" spans="1:14" ht="15.75" customHeight="1">
      <c r="A164" s="58" t="s">
        <v>32</v>
      </c>
      <c r="B164" s="98" t="s">
        <v>43</v>
      </c>
      <c r="C164" s="58">
        <v>294</v>
      </c>
      <c r="D164" s="58">
        <v>2.0499999999999998</v>
      </c>
      <c r="E164" s="58">
        <v>2.0499999999999998</v>
      </c>
      <c r="F164" s="58">
        <v>3.76</v>
      </c>
      <c r="G164" s="98">
        <v>0</v>
      </c>
      <c r="H164" s="98">
        <v>0</v>
      </c>
      <c r="I164" s="98">
        <v>0</v>
      </c>
      <c r="J164" s="98">
        <v>0</v>
      </c>
      <c r="K164" s="58">
        <v>1.71</v>
      </c>
      <c r="L164" s="193">
        <v>0.83414634146341471</v>
      </c>
      <c r="M164" s="193">
        <v>6.3333333333333339E-2</v>
      </c>
      <c r="N164" s="194"/>
    </row>
    <row r="165" spans="1:14" ht="15.75" customHeight="1">
      <c r="A165" s="58" t="s">
        <v>32</v>
      </c>
      <c r="B165" s="98" t="s">
        <v>43</v>
      </c>
      <c r="C165" s="58">
        <v>295</v>
      </c>
      <c r="D165" s="58">
        <v>2.19</v>
      </c>
      <c r="E165" s="58">
        <v>2.19</v>
      </c>
      <c r="F165" s="58">
        <v>4.12</v>
      </c>
      <c r="G165" s="98">
        <v>0</v>
      </c>
      <c r="H165" s="98">
        <v>0</v>
      </c>
      <c r="I165" s="98">
        <v>0</v>
      </c>
      <c r="J165" s="98">
        <v>0</v>
      </c>
      <c r="K165" s="58">
        <v>1.9300000000000002</v>
      </c>
      <c r="L165" s="193">
        <v>0.88127853881278551</v>
      </c>
      <c r="M165" s="193">
        <v>7.1481481481481493E-2</v>
      </c>
      <c r="N165" s="194"/>
    </row>
    <row r="166" spans="1:14" ht="15.75" customHeight="1">
      <c r="A166" s="58" t="s">
        <v>32</v>
      </c>
      <c r="B166" s="98" t="s">
        <v>43</v>
      </c>
      <c r="C166" s="58">
        <v>281</v>
      </c>
      <c r="D166" s="58">
        <v>2.19</v>
      </c>
      <c r="E166" s="58">
        <v>2.19</v>
      </c>
      <c r="F166" s="58">
        <v>4.0199999999999996</v>
      </c>
      <c r="G166" s="98">
        <v>0</v>
      </c>
      <c r="H166" s="98">
        <v>0</v>
      </c>
      <c r="I166" s="98">
        <v>0</v>
      </c>
      <c r="J166" s="98">
        <v>0</v>
      </c>
      <c r="K166" s="58">
        <v>1.8299999999999996</v>
      </c>
      <c r="L166" s="193">
        <v>0.83561643835616428</v>
      </c>
      <c r="M166" s="193">
        <v>6.777777777777777E-2</v>
      </c>
    </row>
    <row r="167" spans="1:14" ht="15.75" customHeight="1">
      <c r="A167" s="58" t="s">
        <v>32</v>
      </c>
      <c r="B167" s="98" t="s">
        <v>43</v>
      </c>
      <c r="C167" s="58">
        <v>282</v>
      </c>
      <c r="D167" s="58">
        <v>1.99</v>
      </c>
      <c r="E167" s="58">
        <v>1.99</v>
      </c>
      <c r="F167" s="58">
        <v>3.71</v>
      </c>
      <c r="G167" s="98">
        <v>0</v>
      </c>
      <c r="H167" s="98">
        <v>0</v>
      </c>
      <c r="I167" s="98">
        <v>0</v>
      </c>
      <c r="J167" s="98">
        <v>0</v>
      </c>
      <c r="K167" s="58">
        <v>1.72</v>
      </c>
      <c r="L167" s="193">
        <v>0.86432160804020097</v>
      </c>
      <c r="M167" s="193">
        <v>6.3703703703703707E-2</v>
      </c>
    </row>
    <row r="168" spans="1:14" ht="15.75" customHeight="1">
      <c r="A168" s="58" t="s">
        <v>32</v>
      </c>
      <c r="B168" s="98" t="s">
        <v>43</v>
      </c>
      <c r="C168" s="58">
        <v>283</v>
      </c>
      <c r="D168" s="58">
        <v>2.08</v>
      </c>
      <c r="E168" s="58">
        <v>2.08</v>
      </c>
      <c r="F168" s="58">
        <v>3.77</v>
      </c>
      <c r="G168" s="98">
        <v>0</v>
      </c>
      <c r="H168" s="98">
        <v>0</v>
      </c>
      <c r="I168" s="98">
        <v>0</v>
      </c>
      <c r="J168" s="98">
        <v>0</v>
      </c>
      <c r="K168" s="58">
        <v>1.69</v>
      </c>
      <c r="L168" s="193">
        <v>0.8125</v>
      </c>
      <c r="M168" s="193">
        <v>6.2592592592592589E-2</v>
      </c>
    </row>
    <row r="169" spans="1:14" ht="15.75" customHeight="1">
      <c r="A169" s="58" t="s">
        <v>32</v>
      </c>
      <c r="B169" s="98" t="s">
        <v>43</v>
      </c>
      <c r="C169" s="58">
        <v>284</v>
      </c>
      <c r="D169" s="58">
        <v>2.02</v>
      </c>
      <c r="E169" s="58">
        <v>2.02</v>
      </c>
      <c r="F169" s="58">
        <v>3.76</v>
      </c>
      <c r="G169" s="98">
        <v>0</v>
      </c>
      <c r="H169" s="98">
        <v>0</v>
      </c>
      <c r="I169" s="98">
        <v>0</v>
      </c>
      <c r="J169" s="98">
        <v>0</v>
      </c>
      <c r="K169" s="58">
        <v>1.7399999999999998</v>
      </c>
      <c r="L169" s="193">
        <v>0.86138613861386126</v>
      </c>
      <c r="M169" s="193">
        <v>6.4444444444444429E-2</v>
      </c>
    </row>
    <row r="170" spans="1:14" ht="15.75" customHeight="1">
      <c r="A170" s="58" t="s">
        <v>32</v>
      </c>
      <c r="B170" s="98" t="s">
        <v>43</v>
      </c>
      <c r="C170" s="58">
        <v>285</v>
      </c>
      <c r="D170" s="58">
        <v>2.0699999999999998</v>
      </c>
      <c r="E170" s="58">
        <v>2.0699999999999998</v>
      </c>
      <c r="F170" s="58">
        <v>3.83</v>
      </c>
      <c r="G170" s="98">
        <v>0</v>
      </c>
      <c r="H170" s="98">
        <v>0</v>
      </c>
      <c r="I170" s="98">
        <v>0</v>
      </c>
      <c r="J170" s="98">
        <v>0</v>
      </c>
      <c r="K170" s="58">
        <v>1.7600000000000002</v>
      </c>
      <c r="L170" s="193">
        <v>0.85024154589372003</v>
      </c>
      <c r="M170" s="193">
        <v>6.5185185185185193E-2</v>
      </c>
    </row>
    <row r="171" spans="1:14" ht="15.75" customHeight="1">
      <c r="A171" s="58" t="s">
        <v>32</v>
      </c>
      <c r="B171" s="98" t="s">
        <v>43</v>
      </c>
      <c r="C171" s="58">
        <v>321</v>
      </c>
      <c r="D171" s="58">
        <v>2.3199999999999998</v>
      </c>
      <c r="E171" s="58">
        <v>2.3199999999999998</v>
      </c>
      <c r="F171" s="58">
        <v>3.98</v>
      </c>
      <c r="G171" s="98">
        <v>0</v>
      </c>
      <c r="H171" s="98">
        <v>0</v>
      </c>
      <c r="I171" s="98">
        <v>0</v>
      </c>
      <c r="J171" s="98">
        <v>0</v>
      </c>
      <c r="K171" s="58">
        <v>1.6600000000000001</v>
      </c>
      <c r="L171" s="193">
        <v>0.7155172413793105</v>
      </c>
      <c r="M171" s="193">
        <v>6.1481481481481484E-2</v>
      </c>
    </row>
    <row r="172" spans="1:14" ht="15.75" customHeight="1">
      <c r="A172" s="58" t="s">
        <v>32</v>
      </c>
      <c r="B172" s="98" t="s">
        <v>43</v>
      </c>
      <c r="C172" s="58">
        <v>322</v>
      </c>
      <c r="D172" s="58">
        <v>2.25</v>
      </c>
      <c r="E172" s="58">
        <v>2.25</v>
      </c>
      <c r="F172" s="58">
        <v>4.05</v>
      </c>
      <c r="G172" s="98">
        <v>0</v>
      </c>
      <c r="H172" s="98">
        <v>0</v>
      </c>
      <c r="I172" s="98">
        <v>0</v>
      </c>
      <c r="J172" s="98">
        <v>0</v>
      </c>
      <c r="K172" s="58">
        <v>1.7999999999999998</v>
      </c>
      <c r="L172" s="193">
        <v>0.79999999999999993</v>
      </c>
      <c r="M172" s="193">
        <v>6.6666666666666666E-2</v>
      </c>
    </row>
    <row r="173" spans="1:14" ht="15.75" customHeight="1">
      <c r="A173" s="58" t="s">
        <v>32</v>
      </c>
      <c r="B173" s="98" t="s">
        <v>43</v>
      </c>
      <c r="C173" s="58">
        <v>323</v>
      </c>
      <c r="D173" s="58">
        <v>2.2400000000000002</v>
      </c>
      <c r="E173" s="58">
        <v>2.2400000000000002</v>
      </c>
      <c r="F173" s="58">
        <v>4.16</v>
      </c>
      <c r="G173" s="98">
        <v>0</v>
      </c>
      <c r="H173" s="98">
        <v>0</v>
      </c>
      <c r="I173" s="98">
        <v>0</v>
      </c>
      <c r="J173" s="98">
        <v>0</v>
      </c>
      <c r="K173" s="58">
        <v>1.92</v>
      </c>
      <c r="L173" s="193">
        <v>0.85714285714285698</v>
      </c>
      <c r="M173" s="193">
        <v>7.1111111111111111E-2</v>
      </c>
    </row>
    <row r="174" spans="1:14" ht="15.75" customHeight="1">
      <c r="A174" s="58" t="s">
        <v>32</v>
      </c>
      <c r="B174" s="98" t="s">
        <v>43</v>
      </c>
      <c r="C174" s="58">
        <v>324</v>
      </c>
      <c r="D174" s="58">
        <v>2.0299999999999998</v>
      </c>
      <c r="E174" s="58">
        <v>2.0299999999999998</v>
      </c>
      <c r="F174" s="58">
        <v>3.86</v>
      </c>
      <c r="G174" s="98">
        <v>0</v>
      </c>
      <c r="H174" s="98">
        <v>0</v>
      </c>
      <c r="I174" s="98">
        <v>0</v>
      </c>
      <c r="J174" s="98">
        <v>0</v>
      </c>
      <c r="K174" s="58">
        <v>1.83</v>
      </c>
      <c r="L174" s="193">
        <v>0.90147783251231539</v>
      </c>
      <c r="M174" s="193">
        <v>6.7777777777777784E-2</v>
      </c>
    </row>
    <row r="175" spans="1:14" ht="15.75" customHeight="1">
      <c r="A175" s="58" t="s">
        <v>32</v>
      </c>
      <c r="B175" s="98" t="s">
        <v>43</v>
      </c>
      <c r="C175" s="58">
        <v>325</v>
      </c>
      <c r="D175" s="58">
        <v>2.38</v>
      </c>
      <c r="E175" s="58">
        <v>2.38</v>
      </c>
      <c r="F175" s="58">
        <v>4.3600000000000003</v>
      </c>
      <c r="G175" s="98">
        <v>0</v>
      </c>
      <c r="H175" s="98">
        <v>0</v>
      </c>
      <c r="I175" s="98">
        <v>0</v>
      </c>
      <c r="J175" s="98">
        <v>0</v>
      </c>
      <c r="K175" s="58">
        <v>1.9800000000000004</v>
      </c>
      <c r="L175" s="193">
        <v>0.83193277310924396</v>
      </c>
      <c r="M175" s="193">
        <v>7.3333333333333348E-2</v>
      </c>
    </row>
    <row r="176" spans="1:14" ht="15.75" customHeight="1">
      <c r="A176" s="58" t="s">
        <v>33</v>
      </c>
      <c r="B176" s="98" t="s">
        <v>43</v>
      </c>
      <c r="C176" s="58">
        <v>201</v>
      </c>
      <c r="D176" s="58">
        <v>2.73</v>
      </c>
      <c r="E176" s="58">
        <v>2.73</v>
      </c>
      <c r="F176" s="58">
        <v>4.96</v>
      </c>
      <c r="G176" s="98">
        <v>0</v>
      </c>
      <c r="H176" s="98">
        <v>0</v>
      </c>
      <c r="I176" s="98">
        <v>0</v>
      </c>
      <c r="J176" s="98">
        <v>0</v>
      </c>
      <c r="K176" s="58">
        <v>2.23</v>
      </c>
      <c r="L176" s="193">
        <v>0.81684981684981683</v>
      </c>
      <c r="M176" s="193">
        <v>8.2592592592592592E-2</v>
      </c>
    </row>
    <row r="177" spans="1:14" ht="15.75" customHeight="1">
      <c r="A177" s="58" t="s">
        <v>33</v>
      </c>
      <c r="B177" s="98" t="s">
        <v>43</v>
      </c>
      <c r="C177" s="58">
        <v>202</v>
      </c>
      <c r="D177" s="58">
        <v>2.65</v>
      </c>
      <c r="E177" s="58">
        <v>2.65</v>
      </c>
      <c r="F177" s="58">
        <v>4.8899999999999997</v>
      </c>
      <c r="G177" s="98">
        <v>0</v>
      </c>
      <c r="H177" s="98">
        <v>0</v>
      </c>
      <c r="I177" s="98">
        <v>0</v>
      </c>
      <c r="J177" s="98">
        <v>0</v>
      </c>
      <c r="K177" s="58">
        <v>2.2399999999999998</v>
      </c>
      <c r="L177" s="193">
        <v>0.84528301886792445</v>
      </c>
      <c r="M177" s="193">
        <v>8.2962962962962961E-2</v>
      </c>
    </row>
    <row r="178" spans="1:14" ht="15.75" customHeight="1">
      <c r="A178" s="58" t="s">
        <v>33</v>
      </c>
      <c r="B178" s="98" t="s">
        <v>43</v>
      </c>
      <c r="C178" s="58">
        <v>203</v>
      </c>
      <c r="D178" s="58">
        <v>2.7</v>
      </c>
      <c r="E178" s="58">
        <v>2.7</v>
      </c>
      <c r="F178" s="58">
        <v>4.92</v>
      </c>
      <c r="G178" s="98">
        <v>0</v>
      </c>
      <c r="H178" s="98">
        <v>0</v>
      </c>
      <c r="I178" s="98">
        <v>0</v>
      </c>
      <c r="J178" s="98">
        <v>0</v>
      </c>
      <c r="K178" s="58">
        <v>2.2199999999999998</v>
      </c>
      <c r="L178" s="193">
        <v>0.82222222222222208</v>
      </c>
      <c r="M178" s="193">
        <v>8.222222222222221E-2</v>
      </c>
    </row>
    <row r="179" spans="1:14" ht="15.75" customHeight="1">
      <c r="A179" s="58" t="s">
        <v>33</v>
      </c>
      <c r="B179" s="98" t="s">
        <v>43</v>
      </c>
      <c r="C179" s="58">
        <v>204</v>
      </c>
      <c r="D179" s="58">
        <v>2.64</v>
      </c>
      <c r="E179" s="58">
        <v>2.64</v>
      </c>
      <c r="F179" s="58">
        <v>4.82</v>
      </c>
      <c r="G179" s="98">
        <v>0</v>
      </c>
      <c r="H179" s="98">
        <v>0</v>
      </c>
      <c r="I179" s="98">
        <v>0</v>
      </c>
      <c r="J179" s="98">
        <v>0</v>
      </c>
      <c r="K179" s="58">
        <v>2.1800000000000002</v>
      </c>
      <c r="L179" s="193">
        <v>0.8257575757575758</v>
      </c>
      <c r="M179" s="193">
        <v>8.0740740740740752E-2</v>
      </c>
    </row>
    <row r="180" spans="1:14" ht="15.75" customHeight="1">
      <c r="A180" s="58" t="s">
        <v>33</v>
      </c>
      <c r="B180" s="98" t="s">
        <v>43</v>
      </c>
      <c r="C180" s="58">
        <v>205</v>
      </c>
      <c r="D180" s="58">
        <v>2.59</v>
      </c>
      <c r="E180" s="58">
        <v>2.59</v>
      </c>
      <c r="F180" s="58">
        <v>4.8</v>
      </c>
      <c r="G180" s="98">
        <v>0</v>
      </c>
      <c r="H180" s="98">
        <v>0</v>
      </c>
      <c r="I180" s="98">
        <v>0</v>
      </c>
      <c r="J180" s="98">
        <v>0</v>
      </c>
      <c r="K180" s="58">
        <v>2.21</v>
      </c>
      <c r="L180" s="193">
        <v>0.85328185328185335</v>
      </c>
      <c r="M180" s="193">
        <v>8.1851851851851856E-2</v>
      </c>
    </row>
    <row r="181" spans="1:14" ht="15.75" customHeight="1">
      <c r="A181" s="58" t="s">
        <v>33</v>
      </c>
      <c r="B181" s="98" t="s">
        <v>43</v>
      </c>
      <c r="C181" s="58">
        <v>316</v>
      </c>
      <c r="D181" s="58">
        <v>2.71</v>
      </c>
      <c r="E181" s="58">
        <v>2.71</v>
      </c>
      <c r="F181" s="58">
        <v>4.88</v>
      </c>
      <c r="G181" s="98">
        <v>0</v>
      </c>
      <c r="H181" s="98">
        <v>0</v>
      </c>
      <c r="I181" s="98">
        <v>0</v>
      </c>
      <c r="J181" s="98">
        <v>0</v>
      </c>
      <c r="K181" s="58">
        <v>2.17</v>
      </c>
      <c r="L181" s="193">
        <v>0.80073800738007384</v>
      </c>
      <c r="M181" s="193">
        <v>8.037037037037037E-2</v>
      </c>
      <c r="N181" s="194"/>
    </row>
    <row r="182" spans="1:14" ht="15.75" customHeight="1">
      <c r="A182" s="58" t="s">
        <v>33</v>
      </c>
      <c r="B182" s="98" t="s">
        <v>43</v>
      </c>
      <c r="C182" s="58">
        <v>317</v>
      </c>
      <c r="D182" s="58">
        <v>2.72</v>
      </c>
      <c r="E182" s="58">
        <v>2.72</v>
      </c>
      <c r="F182" s="58">
        <v>4.88</v>
      </c>
      <c r="G182" s="98">
        <v>0</v>
      </c>
      <c r="H182" s="98">
        <v>0</v>
      </c>
      <c r="I182" s="98">
        <v>0</v>
      </c>
      <c r="J182" s="98">
        <v>0</v>
      </c>
      <c r="K182" s="58">
        <v>2.1599999999999997</v>
      </c>
      <c r="L182" s="193">
        <v>0.79411764705882337</v>
      </c>
      <c r="M182" s="193">
        <v>7.9999999999999988E-2</v>
      </c>
      <c r="N182" s="194"/>
    </row>
    <row r="183" spans="1:14" ht="15.75" customHeight="1">
      <c r="A183" s="58" t="s">
        <v>33</v>
      </c>
      <c r="B183" s="98" t="s">
        <v>43</v>
      </c>
      <c r="C183" s="58">
        <v>318</v>
      </c>
      <c r="D183" s="58">
        <v>2.79</v>
      </c>
      <c r="E183" s="58">
        <v>2.79</v>
      </c>
      <c r="F183" s="58">
        <v>4.96</v>
      </c>
      <c r="G183" s="98">
        <v>0</v>
      </c>
      <c r="H183" s="98">
        <v>0</v>
      </c>
      <c r="I183" s="98">
        <v>0</v>
      </c>
      <c r="J183" s="98">
        <v>0</v>
      </c>
      <c r="K183" s="58">
        <v>2.17</v>
      </c>
      <c r="L183" s="193">
        <v>0.77777777777777779</v>
      </c>
      <c r="M183" s="193">
        <v>8.037037037037037E-2</v>
      </c>
      <c r="N183" s="194"/>
    </row>
    <row r="184" spans="1:14" ht="15.75" customHeight="1">
      <c r="A184" s="58" t="s">
        <v>33</v>
      </c>
      <c r="B184" s="98" t="s">
        <v>43</v>
      </c>
      <c r="C184" s="58">
        <v>319</v>
      </c>
      <c r="D184" s="58">
        <v>2.83</v>
      </c>
      <c r="E184" s="58">
        <v>2.83</v>
      </c>
      <c r="F184" s="58">
        <v>5.0199999999999996</v>
      </c>
      <c r="G184" s="98">
        <v>0</v>
      </c>
      <c r="H184" s="98">
        <v>0</v>
      </c>
      <c r="I184" s="98">
        <v>0</v>
      </c>
      <c r="J184" s="98">
        <v>0</v>
      </c>
      <c r="K184" s="58">
        <v>2.1899999999999995</v>
      </c>
      <c r="L184" s="193">
        <v>0.7738515901060069</v>
      </c>
      <c r="M184" s="193">
        <v>8.1111111111111092E-2</v>
      </c>
      <c r="N184" s="194"/>
    </row>
    <row r="185" spans="1:14" ht="15.75" customHeight="1">
      <c r="A185" s="58" t="s">
        <v>33</v>
      </c>
      <c r="B185" s="98" t="s">
        <v>43</v>
      </c>
      <c r="C185" s="58">
        <v>320</v>
      </c>
      <c r="D185" s="58">
        <v>2.82</v>
      </c>
      <c r="E185" s="58">
        <v>2.82</v>
      </c>
      <c r="F185" s="58">
        <v>5.0599999999999996</v>
      </c>
      <c r="G185" s="98">
        <v>0</v>
      </c>
      <c r="H185" s="98">
        <v>0</v>
      </c>
      <c r="I185" s="98">
        <v>0</v>
      </c>
      <c r="J185" s="98">
        <v>0</v>
      </c>
      <c r="K185" s="58">
        <v>2.2399999999999998</v>
      </c>
      <c r="L185" s="193">
        <v>0.7943262411347517</v>
      </c>
      <c r="M185" s="193">
        <v>8.2962962962962961E-2</v>
      </c>
      <c r="N185" s="194"/>
    </row>
    <row r="186" spans="1:14" ht="15.75" customHeight="1">
      <c r="A186" s="58" t="s">
        <v>33</v>
      </c>
      <c r="B186" s="98" t="s">
        <v>43</v>
      </c>
      <c r="C186" s="58">
        <v>271</v>
      </c>
      <c r="D186" s="58">
        <v>2.82</v>
      </c>
      <c r="E186" s="58">
        <v>2.82</v>
      </c>
      <c r="F186" s="58">
        <v>5.07</v>
      </c>
      <c r="G186" s="98">
        <v>0</v>
      </c>
      <c r="H186" s="98">
        <v>0</v>
      </c>
      <c r="I186" s="98">
        <v>0</v>
      </c>
      <c r="J186" s="98">
        <v>0</v>
      </c>
      <c r="K186" s="58">
        <v>2.2500000000000004</v>
      </c>
      <c r="L186" s="193">
        <v>0.79787234042553212</v>
      </c>
      <c r="M186" s="193">
        <v>8.3333333333333356E-2</v>
      </c>
    </row>
    <row r="187" spans="1:14" ht="15.75" customHeight="1">
      <c r="A187" s="58" t="s">
        <v>33</v>
      </c>
      <c r="B187" s="98" t="s">
        <v>43</v>
      </c>
      <c r="C187" s="58">
        <v>272</v>
      </c>
      <c r="D187" s="58">
        <v>2.8</v>
      </c>
      <c r="E187" s="58">
        <v>2.8</v>
      </c>
      <c r="F187" s="58">
        <v>5.08</v>
      </c>
      <c r="G187" s="98">
        <v>0</v>
      </c>
      <c r="H187" s="98">
        <v>0</v>
      </c>
      <c r="I187" s="98">
        <v>0</v>
      </c>
      <c r="J187" s="98">
        <v>0</v>
      </c>
      <c r="K187" s="58">
        <v>2.2800000000000002</v>
      </c>
      <c r="L187" s="193">
        <v>0.81428571428571439</v>
      </c>
      <c r="M187" s="193">
        <v>8.4444444444444447E-2</v>
      </c>
    </row>
    <row r="188" spans="1:14" ht="15.75" customHeight="1">
      <c r="A188" s="58" t="s">
        <v>33</v>
      </c>
      <c r="B188" s="98" t="s">
        <v>43</v>
      </c>
      <c r="C188" s="58">
        <v>273</v>
      </c>
      <c r="D188" s="58">
        <v>2.78</v>
      </c>
      <c r="E188" s="58">
        <v>2.78</v>
      </c>
      <c r="F188" s="58">
        <v>4.96</v>
      </c>
      <c r="G188" s="98">
        <v>0</v>
      </c>
      <c r="H188" s="98">
        <v>0</v>
      </c>
      <c r="I188" s="98">
        <v>0</v>
      </c>
      <c r="J188" s="98">
        <v>0</v>
      </c>
      <c r="K188" s="58">
        <v>2.1800000000000002</v>
      </c>
      <c r="L188" s="193">
        <v>0.78417266187050372</v>
      </c>
      <c r="M188" s="193">
        <v>8.0740740740740752E-2</v>
      </c>
    </row>
    <row r="189" spans="1:14" ht="15.75" customHeight="1">
      <c r="A189" s="58" t="s">
        <v>33</v>
      </c>
      <c r="B189" s="98" t="s">
        <v>43</v>
      </c>
      <c r="C189" s="58">
        <v>274</v>
      </c>
      <c r="D189" s="58">
        <v>2.67</v>
      </c>
      <c r="E189" s="58">
        <v>2.67</v>
      </c>
      <c r="F189" s="58">
        <v>4.83</v>
      </c>
      <c r="G189" s="98">
        <v>0</v>
      </c>
      <c r="H189" s="98">
        <v>0</v>
      </c>
      <c r="I189" s="98">
        <v>0</v>
      </c>
      <c r="J189" s="98">
        <v>0</v>
      </c>
      <c r="K189" s="58">
        <v>2.16</v>
      </c>
      <c r="L189" s="193">
        <v>0.80898876404494391</v>
      </c>
      <c r="M189" s="193">
        <v>0.08</v>
      </c>
    </row>
    <row r="190" spans="1:14" ht="15.75" customHeight="1">
      <c r="A190" s="58" t="s">
        <v>33</v>
      </c>
      <c r="B190" s="98" t="s">
        <v>43</v>
      </c>
      <c r="C190" s="58">
        <v>275</v>
      </c>
      <c r="D190" s="58">
        <v>2.76</v>
      </c>
      <c r="E190" s="58">
        <v>2.76</v>
      </c>
      <c r="F190" s="58">
        <v>4.8899999999999997</v>
      </c>
      <c r="G190" s="98">
        <v>0</v>
      </c>
      <c r="H190" s="98">
        <v>0</v>
      </c>
      <c r="I190" s="98">
        <v>0</v>
      </c>
      <c r="J190" s="98">
        <v>0</v>
      </c>
      <c r="K190" s="58">
        <v>2.13</v>
      </c>
      <c r="L190" s="193">
        <v>0.77173913043478259</v>
      </c>
      <c r="M190" s="193">
        <v>7.8888888888888883E-2</v>
      </c>
    </row>
    <row r="191" spans="1:14" ht="15.75" customHeight="1">
      <c r="A191" s="58" t="s">
        <v>33</v>
      </c>
      <c r="B191" s="98" t="s">
        <v>43</v>
      </c>
      <c r="C191" s="58">
        <v>266</v>
      </c>
      <c r="D191" s="58">
        <v>2.8</v>
      </c>
      <c r="E191" s="58">
        <v>2.8</v>
      </c>
      <c r="F191" s="58">
        <v>4.9800000000000004</v>
      </c>
      <c r="G191" s="98">
        <v>0</v>
      </c>
      <c r="H191" s="98">
        <v>0</v>
      </c>
      <c r="I191" s="98">
        <v>0</v>
      </c>
      <c r="J191" s="98">
        <v>0</v>
      </c>
      <c r="K191" s="58">
        <v>2.1800000000000006</v>
      </c>
      <c r="L191" s="193">
        <v>0.7785714285714288</v>
      </c>
      <c r="M191" s="193">
        <v>8.0740740740740766E-2</v>
      </c>
    </row>
    <row r="192" spans="1:14" ht="15.75" customHeight="1">
      <c r="A192" s="58" t="s">
        <v>33</v>
      </c>
      <c r="B192" s="98" t="s">
        <v>43</v>
      </c>
      <c r="C192" s="58">
        <v>267</v>
      </c>
      <c r="D192" s="58">
        <v>2.79</v>
      </c>
      <c r="E192" s="58">
        <v>2.79</v>
      </c>
      <c r="F192" s="58">
        <v>4.9800000000000004</v>
      </c>
      <c r="G192" s="98">
        <v>0</v>
      </c>
      <c r="H192" s="98">
        <v>0</v>
      </c>
      <c r="I192" s="98">
        <v>0</v>
      </c>
      <c r="J192" s="98">
        <v>0</v>
      </c>
      <c r="K192" s="58">
        <v>2.1900000000000004</v>
      </c>
      <c r="L192" s="193">
        <v>0.78494623655913986</v>
      </c>
      <c r="M192" s="193">
        <v>8.111111111111112E-2</v>
      </c>
    </row>
    <row r="193" spans="1:14" ht="15.75" customHeight="1">
      <c r="A193" s="58" t="s">
        <v>33</v>
      </c>
      <c r="B193" s="98" t="s">
        <v>43</v>
      </c>
      <c r="C193" s="58">
        <v>268</v>
      </c>
      <c r="D193" s="58">
        <v>2.7</v>
      </c>
      <c r="E193" s="58">
        <v>2.7</v>
      </c>
      <c r="F193" s="58">
        <v>4.87</v>
      </c>
      <c r="G193" s="98">
        <v>0</v>
      </c>
      <c r="H193" s="98">
        <v>0</v>
      </c>
      <c r="I193" s="98">
        <v>0</v>
      </c>
      <c r="J193" s="98">
        <v>0</v>
      </c>
      <c r="K193" s="58">
        <v>2.17</v>
      </c>
      <c r="L193" s="193">
        <v>0.80370370370370359</v>
      </c>
      <c r="M193" s="193">
        <v>8.037037037037037E-2</v>
      </c>
    </row>
    <row r="194" spans="1:14" ht="15.75" customHeight="1">
      <c r="A194" s="58" t="s">
        <v>35</v>
      </c>
      <c r="B194" s="98" t="s">
        <v>43</v>
      </c>
      <c r="C194" s="58">
        <v>166</v>
      </c>
      <c r="D194" s="58">
        <v>3.35</v>
      </c>
      <c r="E194" s="58">
        <v>3.35</v>
      </c>
      <c r="F194" s="58">
        <v>5.36</v>
      </c>
      <c r="G194" s="98">
        <v>0</v>
      </c>
      <c r="H194" s="98">
        <v>0</v>
      </c>
      <c r="I194" s="98">
        <v>0</v>
      </c>
      <c r="J194" s="98">
        <v>0</v>
      </c>
      <c r="K194" s="58">
        <v>2.0100000000000002</v>
      </c>
      <c r="L194" s="193">
        <v>0.60000000000000009</v>
      </c>
      <c r="M194" s="193">
        <v>7.4444444444444452E-2</v>
      </c>
    </row>
    <row r="195" spans="1:14" ht="15.75" customHeight="1">
      <c r="A195" s="58" t="s">
        <v>35</v>
      </c>
      <c r="B195" s="98" t="s">
        <v>43</v>
      </c>
      <c r="C195" s="58">
        <v>167</v>
      </c>
      <c r="D195" s="58">
        <v>3.49</v>
      </c>
      <c r="E195" s="58">
        <v>3.49</v>
      </c>
      <c r="F195" s="58">
        <v>5.5</v>
      </c>
      <c r="G195" s="98">
        <v>0</v>
      </c>
      <c r="H195" s="98">
        <v>0</v>
      </c>
      <c r="I195" s="98">
        <v>0</v>
      </c>
      <c r="J195" s="98">
        <v>0</v>
      </c>
      <c r="K195" s="58">
        <v>2.0099999999999998</v>
      </c>
      <c r="L195" s="193">
        <v>0.57593123209169039</v>
      </c>
      <c r="M195" s="193">
        <v>7.4444444444444438E-2</v>
      </c>
    </row>
    <row r="196" spans="1:14" ht="15.75" customHeight="1">
      <c r="A196" s="58" t="s">
        <v>35</v>
      </c>
      <c r="B196" s="98" t="s">
        <v>43</v>
      </c>
      <c r="C196" s="58">
        <v>168</v>
      </c>
      <c r="D196" s="58">
        <v>3.39</v>
      </c>
      <c r="E196" s="58">
        <v>3.39</v>
      </c>
      <c r="F196" s="58">
        <v>5.4</v>
      </c>
      <c r="G196" s="98">
        <v>0</v>
      </c>
      <c r="H196" s="98">
        <v>0</v>
      </c>
      <c r="I196" s="98">
        <v>0</v>
      </c>
      <c r="J196" s="98">
        <v>0</v>
      </c>
      <c r="K196" s="58">
        <v>2.0100000000000002</v>
      </c>
      <c r="L196" s="193">
        <v>0.59292035398230092</v>
      </c>
      <c r="M196" s="193">
        <v>7.4444444444444452E-2</v>
      </c>
      <c r="N196" s="194"/>
    </row>
    <row r="197" spans="1:14" ht="15.75" customHeight="1">
      <c r="A197" s="58" t="s">
        <v>35</v>
      </c>
      <c r="B197" s="98" t="s">
        <v>43</v>
      </c>
      <c r="C197" s="58">
        <v>169</v>
      </c>
      <c r="D197" s="58">
        <v>3.41</v>
      </c>
      <c r="E197" s="58">
        <v>3.41</v>
      </c>
      <c r="F197" s="58">
        <v>5.52</v>
      </c>
      <c r="G197" s="98">
        <v>0</v>
      </c>
      <c r="H197" s="98">
        <v>0</v>
      </c>
      <c r="I197" s="98">
        <v>0</v>
      </c>
      <c r="J197" s="98">
        <v>0</v>
      </c>
      <c r="K197" s="58">
        <v>2.1099999999999994</v>
      </c>
      <c r="L197" s="193">
        <v>0.61876832844574758</v>
      </c>
      <c r="M197" s="193">
        <v>7.8148148148148133E-2</v>
      </c>
      <c r="N197" s="194"/>
    </row>
    <row r="198" spans="1:14" ht="15.75" customHeight="1">
      <c r="A198" s="58" t="s">
        <v>35</v>
      </c>
      <c r="B198" s="98" t="s">
        <v>43</v>
      </c>
      <c r="C198" s="58">
        <v>170</v>
      </c>
      <c r="D198" s="58">
        <v>3.37</v>
      </c>
      <c r="E198" s="58">
        <v>3.37</v>
      </c>
      <c r="F198" s="58">
        <v>5.41</v>
      </c>
      <c r="G198" s="98">
        <v>0</v>
      </c>
      <c r="H198" s="98">
        <v>0</v>
      </c>
      <c r="I198" s="98">
        <v>0</v>
      </c>
      <c r="J198" s="98">
        <v>0</v>
      </c>
      <c r="K198" s="58">
        <v>2.04</v>
      </c>
      <c r="L198" s="193">
        <v>0.60534124629080122</v>
      </c>
      <c r="M198" s="193">
        <v>7.5555555555555556E-2</v>
      </c>
      <c r="N198" s="194"/>
    </row>
    <row r="199" spans="1:14" ht="15.75" customHeight="1">
      <c r="A199" s="58" t="s">
        <v>35</v>
      </c>
      <c r="B199" s="98" t="s">
        <v>43</v>
      </c>
      <c r="C199" s="58">
        <v>241</v>
      </c>
      <c r="D199" s="58">
        <v>3.48</v>
      </c>
      <c r="E199" s="58">
        <v>3.48</v>
      </c>
      <c r="F199" s="58">
        <v>5.49</v>
      </c>
      <c r="G199" s="98">
        <v>0</v>
      </c>
      <c r="H199" s="98">
        <v>0</v>
      </c>
      <c r="I199" s="98">
        <v>0</v>
      </c>
      <c r="J199" s="98">
        <v>0</v>
      </c>
      <c r="K199" s="58">
        <v>2.0100000000000002</v>
      </c>
      <c r="L199" s="193">
        <v>0.57758620689655182</v>
      </c>
      <c r="M199" s="193">
        <v>7.4444444444444452E-2</v>
      </c>
      <c r="N199" s="194"/>
    </row>
    <row r="200" spans="1:14" ht="15.75" customHeight="1">
      <c r="A200" s="58" t="s">
        <v>35</v>
      </c>
      <c r="B200" s="98" t="s">
        <v>43</v>
      </c>
      <c r="C200" s="58">
        <v>242</v>
      </c>
      <c r="D200" s="58">
        <v>3.63</v>
      </c>
      <c r="E200" s="58">
        <v>3.63</v>
      </c>
      <c r="F200" s="58">
        <v>5.68</v>
      </c>
      <c r="G200" s="98">
        <v>0</v>
      </c>
      <c r="H200" s="98">
        <v>0</v>
      </c>
      <c r="I200" s="98">
        <v>0</v>
      </c>
      <c r="J200" s="98">
        <v>0</v>
      </c>
      <c r="K200" s="58">
        <v>2.0499999999999998</v>
      </c>
      <c r="L200" s="193">
        <v>0.56473829201101922</v>
      </c>
      <c r="M200" s="193">
        <v>7.5925925925925924E-2</v>
      </c>
      <c r="N200" s="194"/>
    </row>
    <row r="201" spans="1:14" ht="15.75" customHeight="1">
      <c r="A201" s="58" t="s">
        <v>35</v>
      </c>
      <c r="B201" s="98" t="s">
        <v>43</v>
      </c>
      <c r="C201" s="58">
        <v>243</v>
      </c>
      <c r="D201" s="58">
        <v>3.61</v>
      </c>
      <c r="E201" s="58">
        <v>3.61</v>
      </c>
      <c r="F201" s="58">
        <v>5.6</v>
      </c>
      <c r="G201" s="98">
        <v>0</v>
      </c>
      <c r="H201" s="98">
        <v>0</v>
      </c>
      <c r="I201" s="98">
        <v>0</v>
      </c>
      <c r="J201" s="98">
        <v>0</v>
      </c>
      <c r="K201" s="58">
        <v>1.9899999999999998</v>
      </c>
      <c r="L201" s="193">
        <v>0.55124653739612184</v>
      </c>
      <c r="M201" s="193">
        <v>7.3703703703703702E-2</v>
      </c>
      <c r="N201" s="194"/>
    </row>
    <row r="202" spans="1:14" ht="15.75" customHeight="1">
      <c r="A202" s="58" t="s">
        <v>35</v>
      </c>
      <c r="B202" s="98" t="s">
        <v>43</v>
      </c>
      <c r="C202" s="58">
        <v>244</v>
      </c>
      <c r="D202" s="58">
        <v>3.64</v>
      </c>
      <c r="E202" s="58">
        <v>3.64</v>
      </c>
      <c r="F202" s="58">
        <v>5.49</v>
      </c>
      <c r="G202" s="98">
        <v>0</v>
      </c>
      <c r="H202" s="98">
        <v>0</v>
      </c>
      <c r="I202" s="98">
        <v>0</v>
      </c>
      <c r="J202" s="98">
        <v>0</v>
      </c>
      <c r="K202" s="58">
        <v>1.85</v>
      </c>
      <c r="L202" s="193">
        <v>0.50824175824175821</v>
      </c>
      <c r="M202" s="193">
        <v>6.851851851851852E-2</v>
      </c>
      <c r="N202" s="194"/>
    </row>
    <row r="203" spans="1:14" ht="15.75" customHeight="1">
      <c r="A203" s="58" t="s">
        <v>35</v>
      </c>
      <c r="B203" s="98" t="s">
        <v>43</v>
      </c>
      <c r="C203" s="58">
        <v>245</v>
      </c>
      <c r="D203" s="58">
        <v>3.53</v>
      </c>
      <c r="E203" s="58">
        <v>3.53</v>
      </c>
      <c r="F203" s="58">
        <v>5.56</v>
      </c>
      <c r="G203" s="98">
        <v>0</v>
      </c>
      <c r="H203" s="98">
        <v>0</v>
      </c>
      <c r="I203" s="98">
        <v>0</v>
      </c>
      <c r="J203" s="98">
        <v>0</v>
      </c>
      <c r="K203" s="58">
        <v>2.0299999999999998</v>
      </c>
      <c r="L203" s="193">
        <v>0.57507082152974498</v>
      </c>
      <c r="M203" s="193">
        <v>7.5185185185185174E-2</v>
      </c>
      <c r="N203" s="194"/>
    </row>
    <row r="204" spans="1:14" ht="15.75" customHeight="1">
      <c r="A204" s="58" t="s">
        <v>35</v>
      </c>
      <c r="B204" s="98" t="s">
        <v>43</v>
      </c>
      <c r="C204" s="58">
        <v>341</v>
      </c>
      <c r="D204" s="58">
        <v>3.46</v>
      </c>
      <c r="E204" s="58">
        <v>3.46</v>
      </c>
      <c r="F204" s="58">
        <v>5.32</v>
      </c>
      <c r="G204" s="98">
        <v>0</v>
      </c>
      <c r="H204" s="98">
        <v>0</v>
      </c>
      <c r="I204" s="98">
        <v>0</v>
      </c>
      <c r="J204" s="98">
        <v>0</v>
      </c>
      <c r="K204" s="58">
        <v>1.8600000000000003</v>
      </c>
      <c r="L204" s="193">
        <v>0.53757225433526024</v>
      </c>
      <c r="M204" s="193">
        <v>6.8888888888888902E-2</v>
      </c>
    </row>
    <row r="205" spans="1:14" ht="15.75" customHeight="1">
      <c r="A205" s="58" t="s">
        <v>35</v>
      </c>
      <c r="B205" s="98" t="s">
        <v>43</v>
      </c>
      <c r="C205" s="58">
        <v>342</v>
      </c>
      <c r="D205" s="58">
        <v>3.57</v>
      </c>
      <c r="E205" s="58">
        <v>3.57</v>
      </c>
      <c r="F205" s="58">
        <v>5.56</v>
      </c>
      <c r="G205" s="98">
        <v>0</v>
      </c>
      <c r="H205" s="98">
        <v>0</v>
      </c>
      <c r="I205" s="98">
        <v>0</v>
      </c>
      <c r="J205" s="98">
        <v>0</v>
      </c>
      <c r="K205" s="58">
        <v>1.9899999999999998</v>
      </c>
      <c r="L205" s="193">
        <v>0.55742296918767498</v>
      </c>
      <c r="M205" s="193">
        <v>7.3703703703703702E-2</v>
      </c>
    </row>
    <row r="206" spans="1:14" ht="15.75" customHeight="1">
      <c r="A206" s="58" t="s">
        <v>35</v>
      </c>
      <c r="B206" s="98" t="s">
        <v>43</v>
      </c>
      <c r="C206" s="58">
        <v>343</v>
      </c>
      <c r="D206" s="58">
        <v>3.7</v>
      </c>
      <c r="E206" s="58">
        <v>3.7</v>
      </c>
      <c r="F206" s="58">
        <v>5.64</v>
      </c>
      <c r="G206" s="98">
        <v>0</v>
      </c>
      <c r="H206" s="98">
        <v>0</v>
      </c>
      <c r="I206" s="98">
        <v>0</v>
      </c>
      <c r="J206" s="98">
        <v>0</v>
      </c>
      <c r="K206" s="58">
        <v>1.9399999999999995</v>
      </c>
      <c r="L206" s="193">
        <v>0.52432432432432419</v>
      </c>
      <c r="M206" s="193">
        <v>7.1851851851851833E-2</v>
      </c>
    </row>
    <row r="207" spans="1:14" ht="15.75" customHeight="1">
      <c r="A207" s="58" t="s">
        <v>35</v>
      </c>
      <c r="B207" s="98" t="s">
        <v>43</v>
      </c>
      <c r="C207" s="58">
        <v>344</v>
      </c>
      <c r="D207" s="58">
        <v>3.77</v>
      </c>
      <c r="E207" s="58">
        <v>3.77</v>
      </c>
      <c r="F207" s="58">
        <v>5.75</v>
      </c>
      <c r="G207" s="98">
        <v>0</v>
      </c>
      <c r="H207" s="98">
        <v>0</v>
      </c>
      <c r="I207" s="98">
        <v>0</v>
      </c>
      <c r="J207" s="98">
        <v>0</v>
      </c>
      <c r="K207" s="58">
        <v>1.98</v>
      </c>
      <c r="L207" s="193">
        <v>0.5251989389920424</v>
      </c>
      <c r="M207" s="193">
        <v>7.3333333333333334E-2</v>
      </c>
    </row>
    <row r="208" spans="1:14" ht="15.75" customHeight="1">
      <c r="A208" s="58" t="s">
        <v>35</v>
      </c>
      <c r="B208" s="98" t="s">
        <v>43</v>
      </c>
      <c r="C208" s="58">
        <v>345</v>
      </c>
      <c r="D208" s="58">
        <v>3.76</v>
      </c>
      <c r="E208" s="58">
        <v>3.76</v>
      </c>
      <c r="F208" s="58">
        <v>5.77</v>
      </c>
      <c r="G208" s="98">
        <v>0</v>
      </c>
      <c r="H208" s="98">
        <v>0</v>
      </c>
      <c r="I208" s="98">
        <v>0</v>
      </c>
      <c r="J208" s="98">
        <v>0</v>
      </c>
      <c r="K208" s="58">
        <v>2.0099999999999998</v>
      </c>
      <c r="L208" s="193">
        <v>0.53457446808510634</v>
      </c>
      <c r="M208" s="193">
        <v>7.4444444444444438E-2</v>
      </c>
    </row>
    <row r="209" spans="1:14" ht="15.75" customHeight="1">
      <c r="A209" s="58" t="s">
        <v>35</v>
      </c>
      <c r="B209" s="98" t="s">
        <v>43</v>
      </c>
      <c r="C209" s="58">
        <v>56</v>
      </c>
      <c r="D209" s="58">
        <v>3.68</v>
      </c>
      <c r="E209" s="58">
        <v>3.68</v>
      </c>
      <c r="F209" s="58">
        <v>5.71</v>
      </c>
      <c r="G209" s="98">
        <v>0</v>
      </c>
      <c r="H209" s="98">
        <v>0</v>
      </c>
      <c r="I209" s="98">
        <v>0</v>
      </c>
      <c r="J209" s="98">
        <v>0</v>
      </c>
      <c r="K209" s="58">
        <v>2.0299999999999998</v>
      </c>
      <c r="L209" s="193">
        <v>0.55163043478260865</v>
      </c>
      <c r="M209" s="193">
        <v>7.5185185185185174E-2</v>
      </c>
      <c r="N209" s="194"/>
    </row>
    <row r="210" spans="1:14" ht="15.75" customHeight="1">
      <c r="A210" s="58" t="s">
        <v>35</v>
      </c>
      <c r="B210" s="98" t="s">
        <v>43</v>
      </c>
      <c r="C210" s="58">
        <v>57</v>
      </c>
      <c r="D210" s="58">
        <v>3.77</v>
      </c>
      <c r="E210" s="58">
        <v>3.77</v>
      </c>
      <c r="F210" s="58">
        <v>5.88</v>
      </c>
      <c r="G210" s="98">
        <v>0</v>
      </c>
      <c r="H210" s="98">
        <v>0</v>
      </c>
      <c r="I210" s="98">
        <v>0</v>
      </c>
      <c r="J210" s="98">
        <v>0</v>
      </c>
      <c r="K210" s="58">
        <v>2.11</v>
      </c>
      <c r="L210" s="193">
        <v>0.55968169761273201</v>
      </c>
      <c r="M210" s="193">
        <v>7.8148148148148147E-2</v>
      </c>
      <c r="N210" s="194"/>
    </row>
    <row r="211" spans="1:14" ht="15.75" customHeight="1">
      <c r="A211" s="58" t="s">
        <v>35</v>
      </c>
      <c r="B211" s="98" t="s">
        <v>43</v>
      </c>
      <c r="C211" s="58">
        <v>58</v>
      </c>
      <c r="D211" s="58">
        <v>3.84</v>
      </c>
      <c r="E211" s="58">
        <v>3.84</v>
      </c>
      <c r="F211" s="58">
        <v>5.95</v>
      </c>
      <c r="G211" s="98">
        <v>0</v>
      </c>
      <c r="H211" s="98">
        <v>0</v>
      </c>
      <c r="I211" s="98">
        <v>0</v>
      </c>
      <c r="J211" s="98">
        <v>0</v>
      </c>
      <c r="K211" s="58">
        <v>2.1100000000000003</v>
      </c>
      <c r="L211" s="193">
        <v>0.54947916666666674</v>
      </c>
      <c r="M211" s="193">
        <v>7.8148148148148161E-2</v>
      </c>
      <c r="N211" s="194"/>
    </row>
    <row r="212" spans="1:14" ht="15.75" customHeight="1">
      <c r="A212" s="58" t="s">
        <v>35</v>
      </c>
      <c r="B212" s="98" t="s">
        <v>43</v>
      </c>
      <c r="C212" s="58">
        <v>59</v>
      </c>
      <c r="D212" s="58">
        <v>3.99</v>
      </c>
      <c r="E212" s="58">
        <v>3.99</v>
      </c>
      <c r="F212" s="58">
        <v>6.14</v>
      </c>
      <c r="G212" s="98">
        <v>0</v>
      </c>
      <c r="H212" s="98">
        <v>0</v>
      </c>
      <c r="I212" s="98">
        <v>0</v>
      </c>
      <c r="J212" s="98">
        <v>0</v>
      </c>
      <c r="K212" s="58">
        <v>2.1499999999999995</v>
      </c>
      <c r="L212" s="193">
        <v>0.53884711779448602</v>
      </c>
      <c r="M212" s="193">
        <v>7.9629629629629606E-2</v>
      </c>
      <c r="N212" s="194"/>
    </row>
    <row r="213" spans="1:14" ht="15.75" customHeight="1">
      <c r="A213" s="58" t="s">
        <v>35</v>
      </c>
      <c r="B213" s="98" t="s">
        <v>43</v>
      </c>
      <c r="C213" s="58">
        <v>60</v>
      </c>
      <c r="D213" s="58">
        <v>3.88</v>
      </c>
      <c r="E213" s="58">
        <v>3.88</v>
      </c>
      <c r="F213" s="58">
        <v>6.01</v>
      </c>
      <c r="G213" s="98">
        <v>0</v>
      </c>
      <c r="H213" s="98">
        <v>0</v>
      </c>
      <c r="I213" s="98">
        <v>0</v>
      </c>
      <c r="J213" s="98">
        <v>0</v>
      </c>
      <c r="K213" s="58">
        <v>2.13</v>
      </c>
      <c r="L213" s="193">
        <v>0.54896907216494839</v>
      </c>
      <c r="M213" s="193">
        <v>7.8888888888888883E-2</v>
      </c>
      <c r="N213" s="194"/>
    </row>
    <row r="214" spans="1:14" ht="15.75" customHeight="1">
      <c r="A214" s="58" t="s">
        <v>36</v>
      </c>
      <c r="B214" s="98" t="s">
        <v>43</v>
      </c>
      <c r="C214" s="58">
        <v>186</v>
      </c>
      <c r="D214" s="58">
        <v>2.2200000000000002</v>
      </c>
      <c r="E214" s="58">
        <v>2.2200000000000002</v>
      </c>
      <c r="F214" s="58">
        <v>4.1100000000000003</v>
      </c>
      <c r="G214" s="98">
        <v>0</v>
      </c>
      <c r="H214" s="98">
        <v>0</v>
      </c>
      <c r="I214" s="98">
        <v>0</v>
      </c>
      <c r="J214" s="98">
        <v>0</v>
      </c>
      <c r="K214" s="58">
        <v>1.8900000000000001</v>
      </c>
      <c r="L214" s="193">
        <v>0.85135135135135132</v>
      </c>
      <c r="M214" s="193">
        <v>7.0000000000000007E-2</v>
      </c>
      <c r="N214" s="194"/>
    </row>
    <row r="215" spans="1:14" ht="15.75" customHeight="1">
      <c r="A215" s="58" t="s">
        <v>36</v>
      </c>
      <c r="B215" s="98" t="s">
        <v>43</v>
      </c>
      <c r="C215" s="58">
        <v>187</v>
      </c>
      <c r="D215" s="58">
        <v>2.16</v>
      </c>
      <c r="E215" s="58">
        <v>2.16</v>
      </c>
      <c r="F215" s="58">
        <v>3.9</v>
      </c>
      <c r="G215" s="98">
        <v>0</v>
      </c>
      <c r="H215" s="98">
        <v>0</v>
      </c>
      <c r="I215" s="98">
        <v>0</v>
      </c>
      <c r="J215" s="98">
        <v>0</v>
      </c>
      <c r="K215" s="58">
        <v>1.7399999999999998</v>
      </c>
      <c r="L215" s="193">
        <v>0.80555555555555536</v>
      </c>
      <c r="M215" s="193">
        <v>6.4444444444444429E-2</v>
      </c>
      <c r="N215" s="194"/>
    </row>
    <row r="216" spans="1:14" ht="15.75" customHeight="1">
      <c r="A216" s="58" t="s">
        <v>36</v>
      </c>
      <c r="B216" s="98" t="s">
        <v>43</v>
      </c>
      <c r="C216" s="58">
        <v>188</v>
      </c>
      <c r="D216" s="58">
        <v>2.16</v>
      </c>
      <c r="E216" s="58">
        <v>2.16</v>
      </c>
      <c r="F216" s="58">
        <v>3.86</v>
      </c>
      <c r="G216" s="98">
        <v>0</v>
      </c>
      <c r="H216" s="98">
        <v>0</v>
      </c>
      <c r="I216" s="98">
        <v>0</v>
      </c>
      <c r="J216" s="98">
        <v>0</v>
      </c>
      <c r="K216" s="58">
        <v>1.6999999999999997</v>
      </c>
      <c r="L216" s="193">
        <v>0.78703703703703687</v>
      </c>
      <c r="M216" s="193">
        <v>6.2962962962962957E-2</v>
      </c>
      <c r="N216" s="194"/>
    </row>
    <row r="217" spans="1:14" ht="15.75" customHeight="1">
      <c r="A217" s="58" t="s">
        <v>36</v>
      </c>
      <c r="B217" s="98" t="s">
        <v>43</v>
      </c>
      <c r="C217" s="58">
        <v>189</v>
      </c>
      <c r="D217" s="58">
        <v>2.15</v>
      </c>
      <c r="E217" s="58">
        <v>2.15</v>
      </c>
      <c r="F217" s="58">
        <v>3.98</v>
      </c>
      <c r="G217" s="98">
        <v>0</v>
      </c>
      <c r="H217" s="98">
        <v>0</v>
      </c>
      <c r="I217" s="98">
        <v>0</v>
      </c>
      <c r="J217" s="98">
        <v>0</v>
      </c>
      <c r="K217" s="58">
        <v>1.83</v>
      </c>
      <c r="L217" s="193">
        <v>0.85116279069767453</v>
      </c>
      <c r="M217" s="193">
        <v>6.7777777777777784E-2</v>
      </c>
      <c r="N217" s="194"/>
    </row>
    <row r="218" spans="1:14" ht="15.75" customHeight="1">
      <c r="A218" s="58" t="s">
        <v>36</v>
      </c>
      <c r="B218" s="98" t="s">
        <v>43</v>
      </c>
      <c r="C218" s="58">
        <v>190</v>
      </c>
      <c r="D218" s="58">
        <v>2.1</v>
      </c>
      <c r="E218" s="58">
        <v>2.1</v>
      </c>
      <c r="F218" s="58">
        <v>3.78</v>
      </c>
      <c r="G218" s="98">
        <v>0</v>
      </c>
      <c r="H218" s="98">
        <v>0</v>
      </c>
      <c r="I218" s="98">
        <v>0</v>
      </c>
      <c r="J218" s="98">
        <v>0</v>
      </c>
      <c r="K218" s="58">
        <v>1.6799999999999997</v>
      </c>
      <c r="L218" s="193">
        <v>0.79999999999999982</v>
      </c>
      <c r="M218" s="193">
        <v>6.2222222222222213E-2</v>
      </c>
      <c r="N218" s="194"/>
    </row>
    <row r="219" spans="1:14" ht="15.75" customHeight="1">
      <c r="A219" s="58" t="s">
        <v>36</v>
      </c>
      <c r="B219" s="98" t="s">
        <v>43</v>
      </c>
      <c r="C219" s="58">
        <v>261</v>
      </c>
      <c r="D219" s="58">
        <v>2.34</v>
      </c>
      <c r="E219" s="58">
        <v>2.34</v>
      </c>
      <c r="F219" s="58">
        <v>4.3099999999999996</v>
      </c>
      <c r="G219" s="98">
        <v>0</v>
      </c>
      <c r="H219" s="98">
        <v>0</v>
      </c>
      <c r="I219" s="98">
        <v>0</v>
      </c>
      <c r="J219" s="98">
        <v>0</v>
      </c>
      <c r="K219" s="58">
        <v>1.9699999999999998</v>
      </c>
      <c r="L219" s="193">
        <v>0.84188034188034178</v>
      </c>
      <c r="M219" s="193">
        <v>7.2962962962962952E-2</v>
      </c>
      <c r="N219" s="194"/>
    </row>
    <row r="220" spans="1:14" ht="15.75" customHeight="1">
      <c r="A220" s="58" t="s">
        <v>36</v>
      </c>
      <c r="B220" s="98" t="s">
        <v>43</v>
      </c>
      <c r="C220" s="58">
        <v>262</v>
      </c>
      <c r="D220" s="58">
        <v>2.39</v>
      </c>
      <c r="E220" s="58">
        <v>2.39</v>
      </c>
      <c r="F220" s="58">
        <v>4.3600000000000003</v>
      </c>
      <c r="G220" s="98">
        <v>0</v>
      </c>
      <c r="H220" s="98">
        <v>0</v>
      </c>
      <c r="I220" s="98">
        <v>0</v>
      </c>
      <c r="J220" s="98">
        <v>0</v>
      </c>
      <c r="K220" s="58">
        <v>1.9700000000000002</v>
      </c>
      <c r="L220" s="193">
        <v>0.82426778242677823</v>
      </c>
      <c r="M220" s="193">
        <v>7.2962962962962966E-2</v>
      </c>
      <c r="N220" s="194"/>
    </row>
    <row r="221" spans="1:14" ht="15.75" customHeight="1">
      <c r="A221" s="58" t="s">
        <v>36</v>
      </c>
      <c r="B221" s="98" t="s">
        <v>43</v>
      </c>
      <c r="C221" s="58">
        <v>263</v>
      </c>
      <c r="D221" s="58">
        <v>2.44</v>
      </c>
      <c r="E221" s="58">
        <v>2.44</v>
      </c>
      <c r="F221" s="58">
        <v>4.47</v>
      </c>
      <c r="G221" s="98">
        <v>0</v>
      </c>
      <c r="H221" s="98">
        <v>0</v>
      </c>
      <c r="I221" s="98">
        <v>0</v>
      </c>
      <c r="J221" s="98">
        <v>0</v>
      </c>
      <c r="K221" s="58">
        <v>2.0299999999999998</v>
      </c>
      <c r="L221" s="193">
        <v>0.83196721311475408</v>
      </c>
      <c r="M221" s="193">
        <v>7.5185185185185174E-2</v>
      </c>
      <c r="N221" s="194"/>
    </row>
    <row r="222" spans="1:14" ht="15.75" customHeight="1">
      <c r="A222" s="58" t="s">
        <v>36</v>
      </c>
      <c r="B222" s="98" t="s">
        <v>43</v>
      </c>
      <c r="C222" s="58">
        <v>264</v>
      </c>
      <c r="D222" s="58">
        <v>2.36</v>
      </c>
      <c r="E222" s="58">
        <v>2.36</v>
      </c>
      <c r="F222" s="58">
        <v>4.34</v>
      </c>
      <c r="G222" s="98">
        <v>0</v>
      </c>
      <c r="H222" s="98">
        <v>0</v>
      </c>
      <c r="I222" s="98">
        <v>0</v>
      </c>
      <c r="J222" s="98">
        <v>0</v>
      </c>
      <c r="K222" s="58">
        <v>1.98</v>
      </c>
      <c r="L222" s="193">
        <v>0.83898305084745761</v>
      </c>
      <c r="M222" s="193">
        <v>7.3333333333333334E-2</v>
      </c>
      <c r="N222" s="194"/>
    </row>
    <row r="223" spans="1:14" ht="15.75" customHeight="1">
      <c r="A223" s="58" t="s">
        <v>36</v>
      </c>
      <c r="B223" s="98" t="s">
        <v>43</v>
      </c>
      <c r="C223" s="58">
        <v>265</v>
      </c>
      <c r="D223" s="58">
        <v>2.34</v>
      </c>
      <c r="E223" s="58">
        <v>2.34</v>
      </c>
      <c r="F223" s="58">
        <v>4.29</v>
      </c>
      <c r="G223" s="98">
        <v>0</v>
      </c>
      <c r="H223" s="98">
        <v>0</v>
      </c>
      <c r="I223" s="98">
        <v>0</v>
      </c>
      <c r="J223" s="98">
        <v>0</v>
      </c>
      <c r="K223" s="58">
        <v>1.9500000000000002</v>
      </c>
      <c r="L223" s="193">
        <v>0.83333333333333348</v>
      </c>
      <c r="M223" s="193">
        <v>7.2222222222222229E-2</v>
      </c>
      <c r="N223" s="194"/>
    </row>
    <row r="224" spans="1:14" ht="15.75" customHeight="1">
      <c r="A224" s="58" t="s">
        <v>36</v>
      </c>
      <c r="B224" s="98" t="s">
        <v>43</v>
      </c>
      <c r="C224" s="58">
        <v>246</v>
      </c>
      <c r="D224" s="58">
        <v>2.1800000000000002</v>
      </c>
      <c r="E224" s="58">
        <v>2.1800000000000002</v>
      </c>
      <c r="F224" s="58">
        <v>4.1500000000000004</v>
      </c>
      <c r="G224" s="98">
        <v>0</v>
      </c>
      <c r="H224" s="98">
        <v>0</v>
      </c>
      <c r="I224" s="98">
        <v>0</v>
      </c>
      <c r="J224" s="98">
        <v>0</v>
      </c>
      <c r="K224" s="58">
        <v>1.9700000000000002</v>
      </c>
      <c r="L224" s="193">
        <v>0.90366972477064222</v>
      </c>
      <c r="M224" s="193">
        <v>7.2962962962962966E-2</v>
      </c>
      <c r="N224" s="194"/>
    </row>
    <row r="225" spans="1:14" ht="15.75" customHeight="1">
      <c r="A225" s="58" t="s">
        <v>36</v>
      </c>
      <c r="B225" s="98" t="s">
        <v>43</v>
      </c>
      <c r="C225" s="58">
        <v>247</v>
      </c>
      <c r="D225" s="58">
        <v>1.86</v>
      </c>
      <c r="E225" s="58">
        <v>1.86</v>
      </c>
      <c r="F225" s="58">
        <v>3.56</v>
      </c>
      <c r="G225" s="98">
        <v>0</v>
      </c>
      <c r="H225" s="98">
        <v>0</v>
      </c>
      <c r="I225" s="98">
        <v>0</v>
      </c>
      <c r="J225" s="98">
        <v>0</v>
      </c>
      <c r="K225" s="58">
        <v>1.7</v>
      </c>
      <c r="L225" s="193">
        <v>0.91397849462365588</v>
      </c>
      <c r="M225" s="193">
        <v>6.2962962962962957E-2</v>
      </c>
      <c r="N225" s="194"/>
    </row>
    <row r="226" spans="1:14" ht="15.75" customHeight="1">
      <c r="A226" s="58" t="s">
        <v>36</v>
      </c>
      <c r="B226" s="98" t="s">
        <v>43</v>
      </c>
      <c r="C226" s="58">
        <v>248</v>
      </c>
      <c r="D226" s="58">
        <v>2.0299999999999998</v>
      </c>
      <c r="E226" s="58">
        <v>2.0299999999999998</v>
      </c>
      <c r="F226" s="58">
        <v>3.85</v>
      </c>
      <c r="G226" s="98">
        <v>0</v>
      </c>
      <c r="H226" s="98">
        <v>0</v>
      </c>
      <c r="I226" s="98">
        <v>0</v>
      </c>
      <c r="J226" s="98">
        <v>0</v>
      </c>
      <c r="K226" s="58">
        <v>1.8200000000000003</v>
      </c>
      <c r="L226" s="193">
        <v>0.89655172413793127</v>
      </c>
      <c r="M226" s="193">
        <v>6.7407407407407416E-2</v>
      </c>
      <c r="N226" s="194"/>
    </row>
    <row r="227" spans="1:14" ht="15.75" customHeight="1">
      <c r="A227" s="58" t="s">
        <v>36</v>
      </c>
      <c r="B227" s="98" t="s">
        <v>43</v>
      </c>
      <c r="C227" s="58">
        <v>249</v>
      </c>
      <c r="D227" s="58">
        <v>2.08</v>
      </c>
      <c r="E227" s="58">
        <v>2.08</v>
      </c>
      <c r="F227" s="58">
        <v>3.99</v>
      </c>
      <c r="G227" s="98">
        <v>0</v>
      </c>
      <c r="H227" s="98">
        <v>0</v>
      </c>
      <c r="I227" s="98">
        <v>0</v>
      </c>
      <c r="J227" s="98">
        <v>0</v>
      </c>
      <c r="K227" s="58">
        <v>1.9100000000000001</v>
      </c>
      <c r="L227" s="193">
        <v>0.91826923076923084</v>
      </c>
      <c r="M227" s="193">
        <v>7.0740740740740743E-2</v>
      </c>
      <c r="N227" s="194"/>
    </row>
    <row r="228" spans="1:14" ht="15.75" customHeight="1">
      <c r="A228" s="58" t="s">
        <v>36</v>
      </c>
      <c r="B228" s="98" t="s">
        <v>43</v>
      </c>
      <c r="C228" s="58">
        <v>250</v>
      </c>
      <c r="D228" s="58">
        <v>2.17</v>
      </c>
      <c r="E228" s="58">
        <v>2.17</v>
      </c>
      <c r="F228" s="58">
        <v>4.13</v>
      </c>
      <c r="G228" s="98">
        <v>0</v>
      </c>
      <c r="H228" s="98">
        <v>0</v>
      </c>
      <c r="I228" s="98">
        <v>0</v>
      </c>
      <c r="J228" s="98">
        <v>0</v>
      </c>
      <c r="K228" s="58">
        <v>1.96</v>
      </c>
      <c r="L228" s="193">
        <v>0.90322580645161288</v>
      </c>
      <c r="M228" s="193">
        <v>7.2592592592592597E-2</v>
      </c>
      <c r="N228" s="194"/>
    </row>
    <row r="229" spans="1:14" ht="15.75" customHeight="1">
      <c r="A229" s="58" t="s">
        <v>36</v>
      </c>
      <c r="B229" s="98" t="s">
        <v>43</v>
      </c>
      <c r="C229" s="58">
        <v>221</v>
      </c>
      <c r="D229" s="58">
        <v>2.2200000000000002</v>
      </c>
      <c r="E229" s="58">
        <v>2.2200000000000002</v>
      </c>
      <c r="F229" s="58">
        <v>4.16</v>
      </c>
      <c r="G229" s="98">
        <v>0</v>
      </c>
      <c r="H229" s="98">
        <v>0</v>
      </c>
      <c r="I229" s="98">
        <v>0</v>
      </c>
      <c r="J229" s="98">
        <v>0</v>
      </c>
      <c r="K229" s="58">
        <v>1.94</v>
      </c>
      <c r="L229" s="193">
        <v>0.87387387387387372</v>
      </c>
      <c r="M229" s="193">
        <v>7.1851851851851847E-2</v>
      </c>
      <c r="N229" s="194"/>
    </row>
    <row r="230" spans="1:14" ht="15.75" customHeight="1">
      <c r="A230" s="58" t="s">
        <v>36</v>
      </c>
      <c r="B230" s="98" t="s">
        <v>43</v>
      </c>
      <c r="C230" s="58">
        <v>211</v>
      </c>
      <c r="D230" s="58">
        <v>1.91</v>
      </c>
      <c r="E230" s="58">
        <v>1.91</v>
      </c>
      <c r="F230" s="58">
        <v>3.83</v>
      </c>
      <c r="G230" s="98">
        <v>0</v>
      </c>
      <c r="H230" s="98">
        <v>0</v>
      </c>
      <c r="I230" s="98">
        <v>0</v>
      </c>
      <c r="J230" s="98">
        <v>0</v>
      </c>
      <c r="K230" s="58">
        <v>1.9200000000000002</v>
      </c>
      <c r="L230" s="193">
        <v>1.005235602094241</v>
      </c>
      <c r="M230" s="193">
        <v>7.1111111111111111E-2</v>
      </c>
      <c r="N230" s="194"/>
    </row>
    <row r="231" spans="1:14" ht="15.75" customHeight="1">
      <c r="A231" s="58" t="s">
        <v>36</v>
      </c>
      <c r="B231" s="98" t="s">
        <v>43</v>
      </c>
      <c r="C231" s="58">
        <v>212</v>
      </c>
      <c r="D231" s="58">
        <v>1.94</v>
      </c>
      <c r="E231" s="58">
        <v>1.94</v>
      </c>
      <c r="F231" s="58">
        <v>3.94</v>
      </c>
      <c r="G231" s="98">
        <v>0</v>
      </c>
      <c r="H231" s="98">
        <v>0</v>
      </c>
      <c r="I231" s="98">
        <v>0</v>
      </c>
      <c r="J231" s="98">
        <v>0</v>
      </c>
      <c r="K231" s="58">
        <v>2</v>
      </c>
      <c r="L231" s="193">
        <v>1.0309278350515465</v>
      </c>
      <c r="M231" s="193">
        <v>7.407407407407407E-2</v>
      </c>
      <c r="N231" s="194"/>
    </row>
    <row r="232" spans="1:14" ht="15.75" customHeight="1">
      <c r="A232" s="58" t="s">
        <v>36</v>
      </c>
      <c r="B232" s="98" t="s">
        <v>43</v>
      </c>
      <c r="C232" s="58">
        <v>213</v>
      </c>
      <c r="D232" s="58">
        <v>1.96</v>
      </c>
      <c r="E232" s="58">
        <v>1.96</v>
      </c>
      <c r="F232" s="58">
        <v>3.9</v>
      </c>
      <c r="G232" s="98">
        <v>0</v>
      </c>
      <c r="H232" s="98">
        <v>0</v>
      </c>
      <c r="I232" s="98">
        <v>0</v>
      </c>
      <c r="J232" s="98">
        <v>0</v>
      </c>
      <c r="K232" s="58">
        <v>1.94</v>
      </c>
      <c r="L232" s="193">
        <v>0.98979591836734693</v>
      </c>
      <c r="M232" s="193">
        <v>7.1851851851851847E-2</v>
      </c>
      <c r="N232" s="194"/>
    </row>
    <row r="233" spans="1:14" ht="15.75" customHeight="1">
      <c r="A233" s="58" t="s">
        <v>36</v>
      </c>
      <c r="B233" s="98" t="s">
        <v>43</v>
      </c>
      <c r="C233" s="58">
        <v>214</v>
      </c>
      <c r="D233" s="58">
        <v>1.89</v>
      </c>
      <c r="E233" s="58">
        <v>1.89</v>
      </c>
      <c r="F233" s="58">
        <v>3.83</v>
      </c>
      <c r="G233" s="98">
        <v>0</v>
      </c>
      <c r="H233" s="98">
        <v>0</v>
      </c>
      <c r="I233" s="98">
        <v>0</v>
      </c>
      <c r="J233" s="98">
        <v>0</v>
      </c>
      <c r="K233" s="58">
        <v>1.9400000000000002</v>
      </c>
      <c r="L233" s="193">
        <v>1.0264550264550265</v>
      </c>
      <c r="M233" s="193">
        <v>7.1851851851851861E-2</v>
      </c>
      <c r="N233" s="194"/>
    </row>
    <row r="234" spans="1:14" ht="15.75" customHeight="1">
      <c r="A234" s="58" t="s">
        <v>32</v>
      </c>
      <c r="B234" s="98" t="s">
        <v>112</v>
      </c>
      <c r="C234" s="58">
        <v>106</v>
      </c>
      <c r="D234" s="58">
        <v>1.81</v>
      </c>
      <c r="E234" s="58">
        <v>1.86</v>
      </c>
      <c r="F234" s="58">
        <v>3.78</v>
      </c>
      <c r="G234" s="58">
        <v>5.0000000000000044E-2</v>
      </c>
      <c r="H234" s="250">
        <v>2.7624309392265217E-2</v>
      </c>
      <c r="I234" s="251">
        <v>9.2592592592592672E-4</v>
      </c>
      <c r="J234" s="251">
        <v>1.8518518518518534E-3</v>
      </c>
      <c r="K234" s="98">
        <v>1.9199999999999997</v>
      </c>
      <c r="L234" s="246">
        <v>1.0322580645161288</v>
      </c>
      <c r="M234" s="246">
        <v>7.1111111111111097E-2</v>
      </c>
      <c r="N234" s="194"/>
    </row>
    <row r="235" spans="1:14" ht="15.75" customHeight="1">
      <c r="A235" s="58" t="s">
        <v>32</v>
      </c>
      <c r="B235" s="98" t="s">
        <v>112</v>
      </c>
      <c r="C235" s="58">
        <v>107</v>
      </c>
      <c r="D235" s="58">
        <v>1.86</v>
      </c>
      <c r="E235" s="58">
        <v>1.85</v>
      </c>
      <c r="F235" s="58">
        <v>3.66</v>
      </c>
      <c r="G235" s="58">
        <v>-1.0000000000000009E-2</v>
      </c>
      <c r="H235" s="246">
        <v>-5.3763440860215101E-3</v>
      </c>
      <c r="I235" s="247">
        <v>-1.8518518518518534E-4</v>
      </c>
      <c r="J235" s="247">
        <v>-3.7037037037037068E-4</v>
      </c>
      <c r="K235" s="58">
        <v>1.81</v>
      </c>
      <c r="L235" s="246">
        <v>0.97837837837837838</v>
      </c>
      <c r="M235" s="246">
        <v>6.7037037037037034E-2</v>
      </c>
    </row>
    <row r="236" spans="1:14" ht="15.75" customHeight="1">
      <c r="A236" s="58" t="s">
        <v>32</v>
      </c>
      <c r="B236" s="98" t="s">
        <v>112</v>
      </c>
      <c r="C236" s="58">
        <v>108</v>
      </c>
      <c r="D236" s="58">
        <v>1.9</v>
      </c>
      <c r="E236" s="58">
        <v>1.96</v>
      </c>
      <c r="F236" s="58">
        <v>4</v>
      </c>
      <c r="G236" s="58">
        <v>6.0000000000000053E-2</v>
      </c>
      <c r="H236" s="246">
        <v>3.1578947368421081E-2</v>
      </c>
      <c r="I236" s="247">
        <v>1.1111111111111122E-3</v>
      </c>
      <c r="J236" s="247">
        <v>2.2222222222222244E-3</v>
      </c>
      <c r="K236" s="58">
        <v>2.04</v>
      </c>
      <c r="L236" s="246">
        <v>1.0408163265306123</v>
      </c>
      <c r="M236" s="246">
        <v>7.5555555555555556E-2</v>
      </c>
    </row>
    <row r="237" spans="1:14" ht="15.75" customHeight="1">
      <c r="A237" s="58" t="s">
        <v>32</v>
      </c>
      <c r="B237" s="98" t="s">
        <v>112</v>
      </c>
      <c r="C237" s="58">
        <v>109</v>
      </c>
      <c r="D237" s="58">
        <v>1.97</v>
      </c>
      <c r="E237" s="58">
        <v>1.99</v>
      </c>
      <c r="F237" s="58">
        <v>4.0599999999999996</v>
      </c>
      <c r="G237" s="58">
        <v>2.0000000000000018E-2</v>
      </c>
      <c r="H237" s="246">
        <v>1.01522842639594E-2</v>
      </c>
      <c r="I237" s="247">
        <v>3.7037037037037068E-4</v>
      </c>
      <c r="J237" s="247">
        <v>7.4074074074074135E-4</v>
      </c>
      <c r="K237" s="58">
        <v>2.0699999999999994</v>
      </c>
      <c r="L237" s="246">
        <v>1.0402010050251254</v>
      </c>
      <c r="M237" s="246">
        <v>7.6666666666666647E-2</v>
      </c>
    </row>
    <row r="238" spans="1:14" ht="15.75" customHeight="1">
      <c r="A238" s="58" t="s">
        <v>32</v>
      </c>
      <c r="B238" s="98" t="s">
        <v>112</v>
      </c>
      <c r="C238" s="58">
        <v>110</v>
      </c>
      <c r="D238" s="58">
        <v>2.12</v>
      </c>
      <c r="E238" s="58">
        <v>2.17</v>
      </c>
      <c r="F238" s="58">
        <v>4.42</v>
      </c>
      <c r="G238" s="58">
        <v>4.9999999999999822E-2</v>
      </c>
      <c r="H238" s="246">
        <v>2.3584905660377273E-2</v>
      </c>
      <c r="I238" s="247">
        <v>9.259259259259226E-4</v>
      </c>
      <c r="J238" s="247">
        <v>1.8518518518518452E-3</v>
      </c>
      <c r="K238" s="58">
        <v>2.25</v>
      </c>
      <c r="L238" s="246">
        <v>1.0368663594470047</v>
      </c>
      <c r="M238" s="246">
        <v>8.3333333333333329E-2</v>
      </c>
    </row>
    <row r="239" spans="1:14" ht="15.75" customHeight="1">
      <c r="A239" s="58" t="s">
        <v>32</v>
      </c>
      <c r="B239" s="98" t="s">
        <v>112</v>
      </c>
      <c r="C239" s="58">
        <v>306</v>
      </c>
      <c r="D239" s="58">
        <v>2.23</v>
      </c>
      <c r="E239" s="58">
        <v>2.41</v>
      </c>
      <c r="F239" s="58">
        <v>5.0199999999999996</v>
      </c>
      <c r="G239" s="58">
        <v>0.18000000000000016</v>
      </c>
      <c r="H239" s="246">
        <v>8.0717488789237735E-2</v>
      </c>
      <c r="I239" s="247">
        <v>3.3333333333333361E-3</v>
      </c>
      <c r="J239" s="247">
        <v>6.6666666666666723E-3</v>
      </c>
      <c r="K239" s="58">
        <v>2.6099999999999994</v>
      </c>
      <c r="L239" s="246">
        <v>1.0829875518672196</v>
      </c>
      <c r="M239" s="246">
        <v>9.6666666666666651E-2</v>
      </c>
    </row>
    <row r="240" spans="1:14" ht="15.75" customHeight="1">
      <c r="A240" s="58" t="s">
        <v>32</v>
      </c>
      <c r="B240" s="98" t="s">
        <v>112</v>
      </c>
      <c r="C240" s="58">
        <v>307</v>
      </c>
      <c r="D240" s="58">
        <v>2.21</v>
      </c>
      <c r="E240" s="58">
        <v>2.39</v>
      </c>
      <c r="F240" s="58">
        <v>4.7699999999999996</v>
      </c>
      <c r="G240" s="58">
        <v>0.18000000000000016</v>
      </c>
      <c r="H240" s="246">
        <v>8.1447963800905049E-2</v>
      </c>
      <c r="I240" s="247">
        <v>3.3333333333333361E-3</v>
      </c>
      <c r="J240" s="247">
        <v>6.6666666666666723E-3</v>
      </c>
      <c r="K240" s="58">
        <v>2.3799999999999994</v>
      </c>
      <c r="L240" s="246">
        <v>0.99581589958158967</v>
      </c>
      <c r="M240" s="246">
        <v>8.8148148148148128E-2</v>
      </c>
    </row>
    <row r="241" spans="1:13" ht="15.75" customHeight="1">
      <c r="A241" s="58" t="s">
        <v>32</v>
      </c>
      <c r="B241" s="98" t="s">
        <v>112</v>
      </c>
      <c r="C241" s="58">
        <v>308</v>
      </c>
      <c r="D241" s="58">
        <v>2.0499999999999998</v>
      </c>
      <c r="E241" s="58">
        <v>2.09</v>
      </c>
      <c r="F241" s="58">
        <v>4.1399999999999997</v>
      </c>
      <c r="G241" s="58">
        <v>4.0000000000000036E-2</v>
      </c>
      <c r="H241" s="246">
        <v>1.9512195121951237E-2</v>
      </c>
      <c r="I241" s="247">
        <v>7.4074074074074135E-4</v>
      </c>
      <c r="J241" s="247">
        <v>1.4814814814814827E-3</v>
      </c>
      <c r="K241" s="58">
        <v>2.0499999999999998</v>
      </c>
      <c r="L241" s="246">
        <v>0.98086124401913877</v>
      </c>
      <c r="M241" s="246">
        <v>7.5925925925925924E-2</v>
      </c>
    </row>
    <row r="242" spans="1:13" ht="15.75" customHeight="1">
      <c r="A242" s="58" t="s">
        <v>32</v>
      </c>
      <c r="B242" s="98" t="s">
        <v>112</v>
      </c>
      <c r="C242" s="58">
        <v>309</v>
      </c>
      <c r="D242" s="58">
        <v>1.96</v>
      </c>
      <c r="E242" s="58">
        <v>2.09</v>
      </c>
      <c r="F242" s="58">
        <v>4.22</v>
      </c>
      <c r="G242" s="58">
        <v>0.12999999999999989</v>
      </c>
      <c r="H242" s="246">
        <v>6.6326530612244847E-2</v>
      </c>
      <c r="I242" s="247">
        <v>2.4074074074074054E-3</v>
      </c>
      <c r="J242" s="247">
        <v>4.8148148148148108E-3</v>
      </c>
      <c r="K242" s="58">
        <v>2.13</v>
      </c>
      <c r="L242" s="246">
        <v>1.0191387559808613</v>
      </c>
      <c r="M242" s="246">
        <v>7.8888888888888883E-2</v>
      </c>
    </row>
    <row r="243" spans="1:13" ht="15.75" customHeight="1">
      <c r="A243" s="58" t="s">
        <v>32</v>
      </c>
      <c r="B243" s="98" t="s">
        <v>112</v>
      </c>
      <c r="C243" s="58">
        <v>310</v>
      </c>
      <c r="D243" s="58">
        <v>2</v>
      </c>
      <c r="E243" s="58">
        <v>2.12</v>
      </c>
      <c r="F243" s="58">
        <v>4.32</v>
      </c>
      <c r="G243" s="58">
        <v>0.12000000000000011</v>
      </c>
      <c r="H243" s="246">
        <v>6.0000000000000053E-2</v>
      </c>
      <c r="I243" s="247">
        <v>2.2222222222222244E-3</v>
      </c>
      <c r="J243" s="247">
        <v>4.4444444444444488E-3</v>
      </c>
      <c r="K243" s="58">
        <v>2.2000000000000002</v>
      </c>
      <c r="L243" s="246">
        <v>1.0377358490566038</v>
      </c>
      <c r="M243" s="246">
        <v>8.1481481481481488E-2</v>
      </c>
    </row>
    <row r="244" spans="1:13" ht="15.75" customHeight="1">
      <c r="A244" s="58" t="s">
        <v>32</v>
      </c>
      <c r="B244" s="98" t="s">
        <v>112</v>
      </c>
      <c r="C244" s="58">
        <v>286</v>
      </c>
      <c r="D244" s="58">
        <v>2.02</v>
      </c>
      <c r="E244" s="58">
        <v>2.19</v>
      </c>
      <c r="F244" s="58">
        <v>4.47</v>
      </c>
      <c r="G244" s="58">
        <v>0.16999999999999993</v>
      </c>
      <c r="H244" s="246">
        <v>8.4158415841584122E-2</v>
      </c>
      <c r="I244" s="247">
        <v>3.1481481481481469E-3</v>
      </c>
      <c r="J244" s="247">
        <v>6.2962962962962938E-3</v>
      </c>
      <c r="K244" s="58">
        <v>2.2799999999999998</v>
      </c>
      <c r="L244" s="246">
        <v>1.0410958904109588</v>
      </c>
      <c r="M244" s="246">
        <v>8.4444444444444433E-2</v>
      </c>
    </row>
    <row r="245" spans="1:13" ht="15.75" customHeight="1">
      <c r="A245" s="58" t="s">
        <v>32</v>
      </c>
      <c r="B245" s="98" t="s">
        <v>112</v>
      </c>
      <c r="C245" s="58">
        <v>287</v>
      </c>
      <c r="D245" s="58">
        <v>2.14</v>
      </c>
      <c r="E245" s="58">
        <v>2.31</v>
      </c>
      <c r="F245" s="58">
        <v>4.6500000000000004</v>
      </c>
      <c r="G245" s="58">
        <v>0.16999999999999993</v>
      </c>
      <c r="H245" s="246">
        <v>7.9439252336448565E-2</v>
      </c>
      <c r="I245" s="247">
        <v>3.1481481481481469E-3</v>
      </c>
      <c r="J245" s="247">
        <v>6.2962962962962938E-3</v>
      </c>
      <c r="K245" s="58">
        <v>2.3400000000000003</v>
      </c>
      <c r="L245" s="246">
        <v>1.0129870129870131</v>
      </c>
      <c r="M245" s="246">
        <v>8.6666666666666684E-2</v>
      </c>
    </row>
    <row r="246" spans="1:13" ht="15.75" customHeight="1">
      <c r="A246" s="58" t="s">
        <v>32</v>
      </c>
      <c r="B246" s="98" t="s">
        <v>112</v>
      </c>
      <c r="C246" s="58">
        <v>288</v>
      </c>
      <c r="D246" s="58">
        <v>2.1800000000000002</v>
      </c>
      <c r="E246" s="58">
        <v>2.2799999999999998</v>
      </c>
      <c r="F246" s="58">
        <v>4.41</v>
      </c>
      <c r="G246" s="58">
        <v>9.9999999999999645E-2</v>
      </c>
      <c r="H246" s="246">
        <v>4.5871559633027359E-2</v>
      </c>
      <c r="I246" s="247">
        <v>1.8518518518518452E-3</v>
      </c>
      <c r="J246" s="247">
        <v>3.7037037037036904E-3</v>
      </c>
      <c r="K246" s="58">
        <v>2.1300000000000003</v>
      </c>
      <c r="L246" s="246">
        <v>0.93421052631578971</v>
      </c>
      <c r="M246" s="246">
        <v>7.8888888888888897E-2</v>
      </c>
    </row>
    <row r="247" spans="1:13" ht="15.75" customHeight="1">
      <c r="A247" s="58" t="s">
        <v>32</v>
      </c>
      <c r="B247" s="98" t="s">
        <v>112</v>
      </c>
      <c r="C247" s="58">
        <v>289</v>
      </c>
      <c r="D247" s="58">
        <v>1.99</v>
      </c>
      <c r="E247" s="58">
        <v>2.2200000000000002</v>
      </c>
      <c r="F247" s="58">
        <v>4.4400000000000004</v>
      </c>
      <c r="G247" s="58">
        <v>0.2300000000000002</v>
      </c>
      <c r="H247" s="246">
        <v>0.11557788944723628</v>
      </c>
      <c r="I247" s="247">
        <v>4.259259259259263E-3</v>
      </c>
      <c r="J247" s="247">
        <v>8.518518518518526E-3</v>
      </c>
      <c r="K247" s="58">
        <v>2.2200000000000002</v>
      </c>
      <c r="L247" s="246">
        <v>1</v>
      </c>
      <c r="M247" s="246">
        <v>8.2222222222222224E-2</v>
      </c>
    </row>
    <row r="248" spans="1:13" ht="15.75" customHeight="1">
      <c r="A248" s="58" t="s">
        <v>32</v>
      </c>
      <c r="B248" s="98" t="s">
        <v>112</v>
      </c>
      <c r="C248" s="58">
        <v>290</v>
      </c>
      <c r="D248" s="58">
        <v>2.19</v>
      </c>
      <c r="E248" s="58">
        <v>2.2200000000000002</v>
      </c>
      <c r="F248" s="58">
        <v>4.16</v>
      </c>
      <c r="G248" s="58">
        <v>3.0000000000000249E-2</v>
      </c>
      <c r="H248" s="246">
        <v>1.3698630136986415E-2</v>
      </c>
      <c r="I248" s="247">
        <v>5.5555555555556011E-4</v>
      </c>
      <c r="J248" s="247">
        <v>1.1111111111111202E-3</v>
      </c>
      <c r="K248" s="58">
        <v>1.94</v>
      </c>
      <c r="L248" s="246">
        <v>0.87387387387387372</v>
      </c>
      <c r="M248" s="246">
        <v>7.1851851851851847E-2</v>
      </c>
    </row>
    <row r="249" spans="1:13" ht="15.75" customHeight="1">
      <c r="A249" s="58" t="s">
        <v>32</v>
      </c>
      <c r="B249" s="98" t="s">
        <v>112</v>
      </c>
      <c r="C249" s="58">
        <v>326</v>
      </c>
      <c r="D249" s="58">
        <v>2.21</v>
      </c>
      <c r="E249" s="58">
        <v>2.0299999999999998</v>
      </c>
      <c r="F249" s="58">
        <v>4.29</v>
      </c>
      <c r="G249" s="58">
        <v>-0.18000000000000016</v>
      </c>
      <c r="H249" s="246">
        <v>-8.1447963800905049E-2</v>
      </c>
      <c r="I249" s="247">
        <v>-3.3333333333333361E-3</v>
      </c>
      <c r="J249" s="247">
        <v>-6.6666666666666723E-3</v>
      </c>
      <c r="K249" s="58">
        <v>2.2600000000000002</v>
      </c>
      <c r="L249" s="246">
        <v>1.1133004926108376</v>
      </c>
      <c r="M249" s="246">
        <v>8.3703703703703711E-2</v>
      </c>
    </row>
    <row r="250" spans="1:13" ht="15.75" customHeight="1">
      <c r="A250" s="58" t="s">
        <v>32</v>
      </c>
      <c r="B250" s="98" t="s">
        <v>112</v>
      </c>
      <c r="C250" s="58">
        <v>327</v>
      </c>
      <c r="D250" s="58">
        <v>2.2999999999999998</v>
      </c>
      <c r="E250" s="58">
        <v>2.2200000000000002</v>
      </c>
      <c r="F250" s="58">
        <v>4.76</v>
      </c>
      <c r="G250" s="58">
        <v>-7.9999999999999627E-2</v>
      </c>
      <c r="H250" s="246">
        <v>-3.4782608695652015E-2</v>
      </c>
      <c r="I250" s="247">
        <v>-1.4814814814814745E-3</v>
      </c>
      <c r="J250" s="247">
        <v>-2.9629629629629489E-3</v>
      </c>
      <c r="K250" s="58">
        <v>2.5399999999999996</v>
      </c>
      <c r="L250" s="246">
        <v>1.1441441441441438</v>
      </c>
      <c r="M250" s="246">
        <v>9.407407407407406E-2</v>
      </c>
    </row>
    <row r="251" spans="1:13" ht="15.75" customHeight="1">
      <c r="A251" s="58" t="s">
        <v>32</v>
      </c>
      <c r="B251" s="98" t="s">
        <v>112</v>
      </c>
      <c r="C251" s="58">
        <v>328</v>
      </c>
      <c r="D251" s="58">
        <v>1.96</v>
      </c>
      <c r="E251" s="58">
        <v>2.42</v>
      </c>
      <c r="F251" s="58">
        <v>4.24</v>
      </c>
      <c r="G251" s="58">
        <v>0.45999999999999996</v>
      </c>
      <c r="H251" s="246">
        <v>0.23469387755102039</v>
      </c>
      <c r="I251" s="247">
        <v>8.5185185185185173E-3</v>
      </c>
      <c r="J251" s="247">
        <v>1.7037037037037035E-2</v>
      </c>
      <c r="K251" s="58">
        <v>1.8200000000000003</v>
      </c>
      <c r="L251" s="246">
        <v>0.7520661157024795</v>
      </c>
      <c r="M251" s="246">
        <v>6.7407407407407416E-2</v>
      </c>
    </row>
    <row r="252" spans="1:13" ht="15.75" customHeight="1">
      <c r="A252" s="58" t="s">
        <v>32</v>
      </c>
      <c r="B252" s="98" t="s">
        <v>112</v>
      </c>
      <c r="C252" s="58">
        <v>329</v>
      </c>
      <c r="D252" s="58">
        <v>2.08</v>
      </c>
      <c r="E252" s="58">
        <v>2.1</v>
      </c>
      <c r="F252" s="58">
        <v>4.41</v>
      </c>
      <c r="G252" s="58">
        <v>2.0000000000000018E-2</v>
      </c>
      <c r="H252" s="246">
        <v>9.6153846153846229E-3</v>
      </c>
      <c r="I252" s="247">
        <v>3.7037037037037068E-4</v>
      </c>
      <c r="J252" s="247">
        <v>7.4074074074074135E-4</v>
      </c>
      <c r="K252" s="58">
        <v>2.31</v>
      </c>
      <c r="L252" s="246">
        <v>1.1000000000000001</v>
      </c>
      <c r="M252" s="246">
        <v>8.5555555555555551E-2</v>
      </c>
    </row>
    <row r="253" spans="1:13" ht="15.75" customHeight="1">
      <c r="A253" s="58" t="s">
        <v>32</v>
      </c>
      <c r="B253" s="98" t="s">
        <v>112</v>
      </c>
      <c r="C253" s="58">
        <v>330</v>
      </c>
      <c r="D253" s="58">
        <v>2.02</v>
      </c>
      <c r="E253" s="58">
        <v>2.14</v>
      </c>
      <c r="F253" s="58">
        <v>4.1500000000000004</v>
      </c>
      <c r="G253" s="58">
        <v>0.12000000000000011</v>
      </c>
      <c r="H253" s="246">
        <v>5.9405940594059459E-2</v>
      </c>
      <c r="I253" s="247">
        <v>2.2222222222222244E-3</v>
      </c>
      <c r="J253" s="247">
        <v>4.4444444444444488E-3</v>
      </c>
      <c r="K253" s="58">
        <v>2.0100000000000002</v>
      </c>
      <c r="L253" s="246">
        <v>0.93925233644859818</v>
      </c>
      <c r="M253" s="246">
        <v>7.4444444444444452E-2</v>
      </c>
    </row>
    <row r="254" spans="1:13" ht="15.75" customHeight="1">
      <c r="A254" s="58" t="s">
        <v>33</v>
      </c>
      <c r="B254" s="98" t="s">
        <v>112</v>
      </c>
      <c r="C254" s="58">
        <v>206</v>
      </c>
      <c r="D254" s="58">
        <v>2.64</v>
      </c>
      <c r="E254" s="58">
        <v>2.83</v>
      </c>
      <c r="F254" s="58">
        <v>5.22</v>
      </c>
      <c r="G254" s="58">
        <v>0.18999999999999995</v>
      </c>
      <c r="H254" s="246">
        <v>7.1969696969696947E-2</v>
      </c>
      <c r="I254" s="247">
        <v>3.5185185185185176E-3</v>
      </c>
      <c r="J254" s="247">
        <v>7.0370370370370352E-3</v>
      </c>
      <c r="K254" s="58">
        <v>2.3899999999999997</v>
      </c>
      <c r="L254" s="246">
        <v>0.84452296819787975</v>
      </c>
      <c r="M254" s="246">
        <v>8.851851851851851E-2</v>
      </c>
    </row>
    <row r="255" spans="1:13" ht="15.75" customHeight="1">
      <c r="A255" s="58" t="s">
        <v>33</v>
      </c>
      <c r="B255" s="98" t="s">
        <v>112</v>
      </c>
      <c r="C255" s="58">
        <v>207</v>
      </c>
      <c r="D255" s="58">
        <v>2.68</v>
      </c>
      <c r="E255" s="58">
        <v>2.89</v>
      </c>
      <c r="F255" s="58">
        <v>5.26</v>
      </c>
      <c r="G255" s="58">
        <v>0.20999999999999996</v>
      </c>
      <c r="H255" s="246">
        <v>7.8358208955223857E-2</v>
      </c>
      <c r="I255" s="247">
        <v>3.8888888888888883E-3</v>
      </c>
      <c r="J255" s="247">
        <v>7.7777777777777767E-3</v>
      </c>
      <c r="K255" s="58">
        <v>2.3699999999999997</v>
      </c>
      <c r="L255" s="246">
        <v>0.82006920415224893</v>
      </c>
      <c r="M255" s="246">
        <v>8.777777777777776E-2</v>
      </c>
    </row>
    <row r="256" spans="1:13" ht="15.75" customHeight="1">
      <c r="A256" s="58" t="s">
        <v>33</v>
      </c>
      <c r="B256" s="98" t="s">
        <v>112</v>
      </c>
      <c r="C256" s="58">
        <v>208</v>
      </c>
      <c r="D256" s="58">
        <v>2.7</v>
      </c>
      <c r="E256" s="58">
        <v>2.9</v>
      </c>
      <c r="F256" s="58">
        <v>5.38</v>
      </c>
      <c r="G256" s="58">
        <v>0.19999999999999973</v>
      </c>
      <c r="H256" s="246">
        <v>7.4074074074073973E-2</v>
      </c>
      <c r="I256" s="247">
        <v>3.7037037037036986E-3</v>
      </c>
      <c r="J256" s="247">
        <v>7.4074074074073973E-3</v>
      </c>
      <c r="K256" s="58">
        <v>2.48</v>
      </c>
      <c r="L256" s="246">
        <v>0.85517241379310349</v>
      </c>
      <c r="M256" s="246">
        <v>9.1851851851851851E-2</v>
      </c>
    </row>
    <row r="257" spans="1:13" ht="15.75" customHeight="1">
      <c r="A257" s="58" t="s">
        <v>33</v>
      </c>
      <c r="B257" s="98" t="s">
        <v>112</v>
      </c>
      <c r="C257" s="58">
        <v>209</v>
      </c>
      <c r="D257" s="58">
        <v>2.65</v>
      </c>
      <c r="E257" s="58">
        <v>2.88</v>
      </c>
      <c r="F257" s="58">
        <v>5.38</v>
      </c>
      <c r="G257" s="58">
        <v>0.22999999999999998</v>
      </c>
      <c r="H257" s="246">
        <v>8.6792452830188674E-2</v>
      </c>
      <c r="I257" s="247">
        <v>4.2592592592592586E-3</v>
      </c>
      <c r="J257" s="247">
        <v>8.5185185185185173E-3</v>
      </c>
      <c r="K257" s="58">
        <v>2.5</v>
      </c>
      <c r="L257" s="246">
        <v>0.86805555555555558</v>
      </c>
      <c r="M257" s="246">
        <v>9.2592592592592587E-2</v>
      </c>
    </row>
    <row r="258" spans="1:13" ht="15.75" customHeight="1">
      <c r="A258" s="58" t="s">
        <v>33</v>
      </c>
      <c r="B258" s="98" t="s">
        <v>112</v>
      </c>
      <c r="C258" s="58">
        <v>210</v>
      </c>
      <c r="D258" s="58">
        <v>2.59</v>
      </c>
      <c r="E258" s="58">
        <v>2.82</v>
      </c>
      <c r="F258" s="58">
        <v>5.21</v>
      </c>
      <c r="G258" s="58">
        <v>0.22999999999999998</v>
      </c>
      <c r="H258" s="246">
        <v>8.8803088803088806E-2</v>
      </c>
      <c r="I258" s="247">
        <v>4.2592592592592586E-3</v>
      </c>
      <c r="J258" s="247">
        <v>8.5185185185185173E-3</v>
      </c>
      <c r="K258" s="58">
        <v>2.39</v>
      </c>
      <c r="L258" s="246">
        <v>0.84751773049645396</v>
      </c>
      <c r="M258" s="246">
        <v>8.8518518518518524E-2</v>
      </c>
    </row>
    <row r="259" spans="1:13" ht="15.75" customHeight="1">
      <c r="A259" s="58" t="s">
        <v>33</v>
      </c>
      <c r="B259" s="98" t="s">
        <v>112</v>
      </c>
      <c r="C259" s="58">
        <v>311</v>
      </c>
      <c r="D259" s="58">
        <v>2.73</v>
      </c>
      <c r="E259" s="58">
        <v>2.94</v>
      </c>
      <c r="F259" s="58">
        <v>5.36</v>
      </c>
      <c r="G259" s="58">
        <v>0.20999999999999996</v>
      </c>
      <c r="H259" s="246">
        <v>7.6923076923076913E-2</v>
      </c>
      <c r="I259" s="247">
        <v>3.8888888888888883E-3</v>
      </c>
      <c r="J259" s="247">
        <v>7.7777777777777767E-3</v>
      </c>
      <c r="K259" s="58">
        <v>2.4200000000000004</v>
      </c>
      <c r="L259" s="246">
        <v>0.82312925170068041</v>
      </c>
      <c r="M259" s="246">
        <v>8.9629629629629642E-2</v>
      </c>
    </row>
    <row r="260" spans="1:13" ht="15.75" customHeight="1">
      <c r="A260" s="58" t="s">
        <v>33</v>
      </c>
      <c r="B260" s="98" t="s">
        <v>112</v>
      </c>
      <c r="C260" s="58">
        <v>312</v>
      </c>
      <c r="D260" s="58">
        <v>2.66</v>
      </c>
      <c r="E260" s="58">
        <v>2.8</v>
      </c>
      <c r="F260" s="58">
        <v>5.29</v>
      </c>
      <c r="G260" s="58">
        <v>0.13999999999999968</v>
      </c>
      <c r="H260" s="246">
        <v>5.26315789473683E-2</v>
      </c>
      <c r="I260" s="247">
        <v>2.5925925925925869E-3</v>
      </c>
      <c r="J260" s="247">
        <v>5.1851851851851738E-3</v>
      </c>
      <c r="K260" s="58">
        <v>2.4900000000000002</v>
      </c>
      <c r="L260" s="246">
        <v>0.88928571428571446</v>
      </c>
      <c r="M260" s="246">
        <v>9.2222222222222233E-2</v>
      </c>
    </row>
    <row r="261" spans="1:13" ht="15.75" customHeight="1">
      <c r="A261" s="58" t="s">
        <v>33</v>
      </c>
      <c r="B261" s="98" t="s">
        <v>112</v>
      </c>
      <c r="C261" s="58">
        <v>313</v>
      </c>
      <c r="D261" s="58">
        <v>2.71</v>
      </c>
      <c r="E261" s="58">
        <v>2.86</v>
      </c>
      <c r="F261" s="58">
        <v>5.31</v>
      </c>
      <c r="G261" s="58">
        <v>0.14999999999999991</v>
      </c>
      <c r="H261" s="246">
        <v>5.535055350553502E-2</v>
      </c>
      <c r="I261" s="247">
        <v>2.7777777777777761E-3</v>
      </c>
      <c r="J261" s="247">
        <v>5.5555555555555523E-3</v>
      </c>
      <c r="K261" s="58">
        <v>2.4499999999999997</v>
      </c>
      <c r="L261" s="246">
        <v>0.85664335664335656</v>
      </c>
      <c r="M261" s="246">
        <v>9.0740740740740733E-2</v>
      </c>
    </row>
    <row r="262" spans="1:13" ht="15.75" customHeight="1">
      <c r="A262" s="58" t="s">
        <v>33</v>
      </c>
      <c r="B262" s="98" t="s">
        <v>112</v>
      </c>
      <c r="C262" s="58">
        <v>314</v>
      </c>
      <c r="D262" s="58">
        <v>2.71</v>
      </c>
      <c r="E262" s="58">
        <v>2.86</v>
      </c>
      <c r="F262" s="58">
        <v>5.41</v>
      </c>
      <c r="G262" s="58">
        <v>0.14999999999999991</v>
      </c>
      <c r="H262" s="246">
        <v>5.535055350553502E-2</v>
      </c>
      <c r="I262" s="247">
        <v>2.7777777777777761E-3</v>
      </c>
      <c r="J262" s="247">
        <v>5.5555555555555523E-3</v>
      </c>
      <c r="K262" s="58">
        <v>2.5500000000000003</v>
      </c>
      <c r="L262" s="246">
        <v>0.89160839160839178</v>
      </c>
      <c r="M262" s="246">
        <v>9.4444444444444456E-2</v>
      </c>
    </row>
    <row r="263" spans="1:13" ht="15.75" customHeight="1">
      <c r="A263" s="58" t="s">
        <v>33</v>
      </c>
      <c r="B263" s="98" t="s">
        <v>112</v>
      </c>
      <c r="C263" s="58">
        <v>315</v>
      </c>
      <c r="D263" s="58">
        <v>2.72</v>
      </c>
      <c r="E263" s="58">
        <v>2.9</v>
      </c>
      <c r="F263" s="58">
        <v>5.48</v>
      </c>
      <c r="G263" s="58">
        <v>0.17999999999999972</v>
      </c>
      <c r="H263" s="246">
        <v>6.6176470588235184E-2</v>
      </c>
      <c r="I263" s="247">
        <v>3.3333333333333279E-3</v>
      </c>
      <c r="J263" s="247">
        <v>6.6666666666666558E-3</v>
      </c>
      <c r="K263" s="58">
        <v>2.5800000000000005</v>
      </c>
      <c r="L263" s="246">
        <v>0.88965517241379333</v>
      </c>
      <c r="M263" s="246">
        <v>9.5555555555555574E-2</v>
      </c>
    </row>
    <row r="264" spans="1:13" ht="15.75" customHeight="1">
      <c r="A264" s="58" t="s">
        <v>33</v>
      </c>
      <c r="B264" s="98" t="s">
        <v>112</v>
      </c>
      <c r="C264" s="58">
        <v>276</v>
      </c>
      <c r="D264" s="58">
        <v>2.72</v>
      </c>
      <c r="E264" s="58">
        <v>2.87</v>
      </c>
      <c r="F264" s="58">
        <v>5.2</v>
      </c>
      <c r="G264" s="58">
        <v>0.14999999999999991</v>
      </c>
      <c r="H264" s="246">
        <v>5.5147058823529375E-2</v>
      </c>
      <c r="I264" s="247">
        <v>2.7777777777777761E-3</v>
      </c>
      <c r="J264" s="247">
        <v>5.5555555555555523E-3</v>
      </c>
      <c r="K264" s="58">
        <v>2.33</v>
      </c>
      <c r="L264" s="246">
        <v>0.81184668989547037</v>
      </c>
      <c r="M264" s="246">
        <v>8.6296296296296301E-2</v>
      </c>
    </row>
    <row r="265" spans="1:13" ht="15.75" customHeight="1">
      <c r="A265" s="58" t="s">
        <v>33</v>
      </c>
      <c r="B265" s="98" t="s">
        <v>112</v>
      </c>
      <c r="C265" s="58">
        <v>277</v>
      </c>
      <c r="D265" s="58">
        <v>2.78</v>
      </c>
      <c r="E265" s="58">
        <v>2.94</v>
      </c>
      <c r="F265" s="58">
        <v>5.24</v>
      </c>
      <c r="G265" s="58">
        <v>0.16000000000000014</v>
      </c>
      <c r="H265" s="246">
        <v>5.7553956834532433E-2</v>
      </c>
      <c r="I265" s="247">
        <v>2.9629629629629654E-3</v>
      </c>
      <c r="J265" s="247">
        <v>5.9259259259259308E-3</v>
      </c>
      <c r="K265" s="58">
        <v>2.3000000000000003</v>
      </c>
      <c r="L265" s="246">
        <v>0.78231292517006812</v>
      </c>
      <c r="M265" s="246">
        <v>8.5185185185185197E-2</v>
      </c>
    </row>
    <row r="266" spans="1:13" ht="15.75" customHeight="1">
      <c r="A266" s="58" t="s">
        <v>33</v>
      </c>
      <c r="B266" s="98" t="s">
        <v>112</v>
      </c>
      <c r="C266" s="58">
        <v>278</v>
      </c>
      <c r="D266" s="58">
        <v>2.88</v>
      </c>
      <c r="E266" s="58">
        <v>3.05</v>
      </c>
      <c r="F266" s="58">
        <v>5.26</v>
      </c>
      <c r="G266" s="58">
        <v>0.16999999999999993</v>
      </c>
      <c r="H266" s="246">
        <v>5.9027777777777755E-2</v>
      </c>
      <c r="I266" s="247">
        <v>3.1481481481481469E-3</v>
      </c>
      <c r="J266" s="247">
        <v>6.2962962962962938E-3</v>
      </c>
      <c r="K266" s="58">
        <v>2.21</v>
      </c>
      <c r="L266" s="246">
        <v>0.72459016393442621</v>
      </c>
      <c r="M266" s="246">
        <v>8.1851851851851856E-2</v>
      </c>
    </row>
    <row r="267" spans="1:13" ht="15.75" customHeight="1">
      <c r="A267" s="58" t="s">
        <v>33</v>
      </c>
      <c r="B267" s="98" t="s">
        <v>112</v>
      </c>
      <c r="C267" s="58">
        <v>279</v>
      </c>
      <c r="D267" s="58">
        <v>2.85</v>
      </c>
      <c r="E267" s="58">
        <v>3.04</v>
      </c>
      <c r="F267" s="58">
        <v>5.46</v>
      </c>
      <c r="G267" s="58">
        <v>0.18999999999999995</v>
      </c>
      <c r="H267" s="246">
        <v>6.6666666666666652E-2</v>
      </c>
      <c r="I267" s="247">
        <v>3.5185185185185176E-3</v>
      </c>
      <c r="J267" s="247">
        <v>7.0370370370370352E-3</v>
      </c>
      <c r="K267" s="58">
        <v>2.42</v>
      </c>
      <c r="L267" s="246">
        <v>0.79605263157894735</v>
      </c>
      <c r="M267" s="246">
        <v>8.9629629629629629E-2</v>
      </c>
    </row>
    <row r="268" spans="1:13" ht="15.75" customHeight="1">
      <c r="A268" s="58" t="s">
        <v>33</v>
      </c>
      <c r="B268" s="98" t="s">
        <v>112</v>
      </c>
      <c r="C268" s="58">
        <v>280</v>
      </c>
      <c r="D268" s="58">
        <v>2.5</v>
      </c>
      <c r="E268" s="58">
        <v>3.05</v>
      </c>
      <c r="F268" s="58">
        <v>5.44</v>
      </c>
      <c r="G268" s="58">
        <v>0.54999999999999982</v>
      </c>
      <c r="H268" s="246">
        <v>0.21999999999999992</v>
      </c>
      <c r="I268" s="247">
        <v>1.0185185185185183E-2</v>
      </c>
      <c r="J268" s="247">
        <v>2.0370370370370365E-2</v>
      </c>
      <c r="K268" s="58">
        <v>2.3900000000000006</v>
      </c>
      <c r="L268" s="246">
        <v>0.78360655737704943</v>
      </c>
      <c r="M268" s="246">
        <v>8.8518518518518538E-2</v>
      </c>
    </row>
    <row r="269" spans="1:13" ht="15.75" customHeight="1">
      <c r="A269" s="58" t="s">
        <v>33</v>
      </c>
      <c r="B269" s="98" t="s">
        <v>112</v>
      </c>
      <c r="C269" s="58">
        <v>269</v>
      </c>
      <c r="D269" s="58">
        <v>2.77</v>
      </c>
      <c r="E269" s="58">
        <v>2.93</v>
      </c>
      <c r="F269" s="58">
        <v>5.78</v>
      </c>
      <c r="G269" s="58">
        <v>0.16000000000000014</v>
      </c>
      <c r="H269" s="246">
        <v>5.776173285198561E-2</v>
      </c>
      <c r="I269" s="247">
        <v>2.9629629629629654E-3</v>
      </c>
      <c r="J269" s="247">
        <v>5.9259259259259308E-3</v>
      </c>
      <c r="K269" s="58">
        <v>2.85</v>
      </c>
      <c r="L269" s="246">
        <v>0.97269624573378832</v>
      </c>
      <c r="M269" s="246">
        <v>0.10555555555555556</v>
      </c>
    </row>
    <row r="270" spans="1:13" ht="15.75" customHeight="1">
      <c r="A270" s="58" t="s">
        <v>33</v>
      </c>
      <c r="B270" s="98" t="s">
        <v>112</v>
      </c>
      <c r="C270" s="58">
        <v>270</v>
      </c>
      <c r="D270" s="58">
        <v>2.69</v>
      </c>
      <c r="E270" s="58">
        <v>2.84</v>
      </c>
      <c r="F270" s="58">
        <v>5.15</v>
      </c>
      <c r="G270" s="58">
        <v>0.14999999999999991</v>
      </c>
      <c r="H270" s="246">
        <v>5.5762081784386588E-2</v>
      </c>
      <c r="I270" s="247">
        <v>2.7777777777777761E-3</v>
      </c>
      <c r="J270" s="247">
        <v>5.5555555555555523E-3</v>
      </c>
      <c r="K270" s="58">
        <v>2.3100000000000005</v>
      </c>
      <c r="L270" s="246">
        <v>0.81338028169014109</v>
      </c>
      <c r="M270" s="246">
        <v>8.5555555555555579E-2</v>
      </c>
    </row>
    <row r="271" spans="1:13" ht="15.75" customHeight="1">
      <c r="A271" s="58" t="s">
        <v>35</v>
      </c>
      <c r="B271" s="98" t="s">
        <v>112</v>
      </c>
      <c r="C271" s="58">
        <v>171</v>
      </c>
      <c r="D271" s="58">
        <v>3.35</v>
      </c>
      <c r="E271" s="58">
        <v>3.45</v>
      </c>
      <c r="F271" s="58">
        <v>5.84</v>
      </c>
      <c r="G271" s="58">
        <v>0.10000000000000009</v>
      </c>
      <c r="H271" s="246">
        <v>2.9850746268656744E-2</v>
      </c>
      <c r="I271" s="247">
        <v>1.8518518518518534E-3</v>
      </c>
      <c r="J271" s="247">
        <v>3.7037037037037069E-3</v>
      </c>
      <c r="K271" s="58">
        <v>2.3899999999999997</v>
      </c>
      <c r="L271" s="246">
        <v>0.69275362318840572</v>
      </c>
      <c r="M271" s="246">
        <v>8.851851851851851E-2</v>
      </c>
    </row>
    <row r="272" spans="1:13" ht="15.75" customHeight="1">
      <c r="A272" s="58" t="s">
        <v>35</v>
      </c>
      <c r="B272" s="98" t="s">
        <v>112</v>
      </c>
      <c r="C272" s="58">
        <v>172</v>
      </c>
      <c r="D272" s="58">
        <v>3.44</v>
      </c>
      <c r="E272" s="58">
        <v>3.5</v>
      </c>
      <c r="F272" s="58">
        <v>5.84</v>
      </c>
      <c r="G272" s="58">
        <v>6.0000000000000053E-2</v>
      </c>
      <c r="H272" s="246">
        <v>1.7441860465116296E-2</v>
      </c>
      <c r="I272" s="247">
        <v>1.1111111111111122E-3</v>
      </c>
      <c r="J272" s="247">
        <v>2.2222222222222244E-3</v>
      </c>
      <c r="K272" s="58">
        <v>2.34</v>
      </c>
      <c r="L272" s="246">
        <v>0.66857142857142848</v>
      </c>
      <c r="M272" s="246">
        <v>8.6666666666666656E-2</v>
      </c>
    </row>
    <row r="273" spans="1:13" ht="15.75" customHeight="1">
      <c r="A273" s="58" t="s">
        <v>35</v>
      </c>
      <c r="B273" s="98" t="s">
        <v>112</v>
      </c>
      <c r="C273" s="58">
        <v>173</v>
      </c>
      <c r="D273" s="58">
        <v>3.46</v>
      </c>
      <c r="E273" s="58">
        <v>3.55</v>
      </c>
      <c r="F273" s="58">
        <v>5.86</v>
      </c>
      <c r="G273" s="58">
        <v>8.9999999999999858E-2</v>
      </c>
      <c r="H273" s="246">
        <v>2.6011560693641578E-2</v>
      </c>
      <c r="I273" s="247">
        <v>1.666666666666664E-3</v>
      </c>
      <c r="J273" s="247">
        <v>3.3333333333333279E-3</v>
      </c>
      <c r="K273" s="58">
        <v>2.3100000000000005</v>
      </c>
      <c r="L273" s="246">
        <v>0.65070422535211281</v>
      </c>
      <c r="M273" s="246">
        <v>8.5555555555555579E-2</v>
      </c>
    </row>
    <row r="274" spans="1:13" ht="15.75" customHeight="1">
      <c r="A274" s="58" t="s">
        <v>35</v>
      </c>
      <c r="B274" s="98" t="s">
        <v>112</v>
      </c>
      <c r="C274" s="58">
        <v>174</v>
      </c>
      <c r="D274" s="58">
        <v>3.3</v>
      </c>
      <c r="E274" s="58">
        <v>3.4</v>
      </c>
      <c r="F274" s="58">
        <v>5.66</v>
      </c>
      <c r="G274" s="58">
        <v>0.10000000000000009</v>
      </c>
      <c r="H274" s="246">
        <v>3.0303030303030332E-2</v>
      </c>
      <c r="I274" s="247">
        <v>1.8518518518518534E-3</v>
      </c>
      <c r="J274" s="247">
        <v>3.7037037037037069E-3</v>
      </c>
      <c r="K274" s="58">
        <v>2.2600000000000002</v>
      </c>
      <c r="L274" s="246">
        <v>0.66470588235294126</v>
      </c>
      <c r="M274" s="246">
        <v>8.3703703703703711E-2</v>
      </c>
    </row>
    <row r="275" spans="1:13" ht="15.75" customHeight="1">
      <c r="A275" s="58" t="s">
        <v>35</v>
      </c>
      <c r="B275" s="98" t="s">
        <v>112</v>
      </c>
      <c r="C275" s="58">
        <v>175</v>
      </c>
      <c r="D275" s="58">
        <v>3.38</v>
      </c>
      <c r="E275" s="58">
        <v>3.55</v>
      </c>
      <c r="F275" s="58">
        <v>5.83</v>
      </c>
      <c r="G275" s="58">
        <v>0.16999999999999993</v>
      </c>
      <c r="H275" s="246">
        <v>5.029585798816566E-2</v>
      </c>
      <c r="I275" s="247">
        <v>3.1481481481481469E-3</v>
      </c>
      <c r="J275" s="247">
        <v>6.2962962962962938E-3</v>
      </c>
      <c r="K275" s="58">
        <v>2.2800000000000002</v>
      </c>
      <c r="L275" s="246">
        <v>0.64225352112676071</v>
      </c>
      <c r="M275" s="246">
        <v>8.4444444444444447E-2</v>
      </c>
    </row>
    <row r="276" spans="1:13" ht="15.75" customHeight="1">
      <c r="A276" s="58" t="s">
        <v>35</v>
      </c>
      <c r="B276" s="98" t="s">
        <v>112</v>
      </c>
      <c r="C276" s="58">
        <v>226</v>
      </c>
      <c r="D276" s="58">
        <v>3.44</v>
      </c>
      <c r="E276" s="58">
        <v>3.47</v>
      </c>
      <c r="F276" s="58">
        <v>5.73</v>
      </c>
      <c r="G276" s="58">
        <v>3.0000000000000249E-2</v>
      </c>
      <c r="H276" s="246">
        <v>8.7209302325582123E-3</v>
      </c>
      <c r="I276" s="247">
        <v>5.5555555555556011E-4</v>
      </c>
      <c r="J276" s="247">
        <v>1.1111111111111202E-3</v>
      </c>
      <c r="K276" s="58">
        <v>2.2600000000000002</v>
      </c>
      <c r="L276" s="246">
        <v>0.65129682997118155</v>
      </c>
      <c r="M276" s="246">
        <v>8.3703703703703711E-2</v>
      </c>
    </row>
    <row r="277" spans="1:13" ht="15.75" customHeight="1">
      <c r="A277" s="58" t="s">
        <v>35</v>
      </c>
      <c r="B277" s="98" t="s">
        <v>112</v>
      </c>
      <c r="C277" s="58">
        <v>227</v>
      </c>
      <c r="D277" s="58">
        <v>3.45</v>
      </c>
      <c r="E277" s="58">
        <v>3.56</v>
      </c>
      <c r="F277" s="58">
        <v>5.86</v>
      </c>
      <c r="G277" s="58">
        <v>0.10999999999999988</v>
      </c>
      <c r="H277" s="246">
        <v>3.1884057971014457E-2</v>
      </c>
      <c r="I277" s="247">
        <v>2.0370370370370347E-3</v>
      </c>
      <c r="J277" s="247">
        <v>4.0740740740740694E-3</v>
      </c>
      <c r="K277" s="58">
        <v>2.3000000000000003</v>
      </c>
      <c r="L277" s="246">
        <v>0.6460674157303371</v>
      </c>
      <c r="M277" s="246">
        <v>8.5185185185185197E-2</v>
      </c>
    </row>
    <row r="278" spans="1:13" ht="15.75" customHeight="1">
      <c r="A278" s="58" t="s">
        <v>35</v>
      </c>
      <c r="B278" s="98" t="s">
        <v>112</v>
      </c>
      <c r="C278" s="58">
        <v>228</v>
      </c>
      <c r="D278" s="58">
        <v>3.43</v>
      </c>
      <c r="E278" s="58">
        <v>3.54</v>
      </c>
      <c r="F278" s="58">
        <v>5.89</v>
      </c>
      <c r="G278" s="58">
        <v>0.10999999999999988</v>
      </c>
      <c r="H278" s="246">
        <v>3.2069970845481015E-2</v>
      </c>
      <c r="I278" s="247">
        <v>2.0370370370370347E-3</v>
      </c>
      <c r="J278" s="247">
        <v>4.0740740740740694E-3</v>
      </c>
      <c r="K278" s="58">
        <v>2.3499999999999996</v>
      </c>
      <c r="L278" s="246">
        <v>0.66384180790960445</v>
      </c>
      <c r="M278" s="246">
        <v>8.7037037037037024E-2</v>
      </c>
    </row>
    <row r="279" spans="1:13" ht="15.75" customHeight="1">
      <c r="A279" s="58" t="s">
        <v>35</v>
      </c>
      <c r="B279" s="98" t="s">
        <v>112</v>
      </c>
      <c r="C279" s="58">
        <v>229</v>
      </c>
      <c r="D279" s="58">
        <v>3.49</v>
      </c>
      <c r="E279" s="58">
        <v>3.57</v>
      </c>
      <c r="F279" s="58">
        <v>5.8</v>
      </c>
      <c r="G279" s="58">
        <v>7.9999999999999627E-2</v>
      </c>
      <c r="H279" s="246">
        <v>2.2922636103151754E-2</v>
      </c>
      <c r="I279" s="247">
        <v>1.4814814814814745E-3</v>
      </c>
      <c r="J279" s="247">
        <v>2.9629629629629489E-3</v>
      </c>
      <c r="K279" s="58">
        <v>2.23</v>
      </c>
      <c r="L279" s="246">
        <v>0.62464985994397759</v>
      </c>
      <c r="M279" s="246">
        <v>8.2592592592592592E-2</v>
      </c>
    </row>
    <row r="280" spans="1:13" ht="15.75" customHeight="1">
      <c r="A280" s="58" t="s">
        <v>35</v>
      </c>
      <c r="B280" s="98" t="s">
        <v>112</v>
      </c>
      <c r="C280" s="58">
        <v>230</v>
      </c>
      <c r="D280" s="58">
        <v>3.53</v>
      </c>
      <c r="E280" s="58">
        <v>3.57</v>
      </c>
      <c r="F280" s="58">
        <v>5.65</v>
      </c>
      <c r="G280" s="58">
        <v>4.0000000000000036E-2</v>
      </c>
      <c r="H280" s="246">
        <v>1.133144475920681E-2</v>
      </c>
      <c r="I280" s="247">
        <v>7.4074074074074135E-4</v>
      </c>
      <c r="J280" s="247">
        <v>1.4814814814814827E-3</v>
      </c>
      <c r="K280" s="58">
        <v>2.0800000000000005</v>
      </c>
      <c r="L280" s="246">
        <v>0.58263305322128867</v>
      </c>
      <c r="M280" s="246">
        <v>7.7037037037037057E-2</v>
      </c>
    </row>
    <row r="281" spans="1:13" ht="15.75" customHeight="1">
      <c r="A281" s="58" t="s">
        <v>35</v>
      </c>
      <c r="B281" s="98" t="s">
        <v>112</v>
      </c>
      <c r="C281" s="58">
        <v>346</v>
      </c>
      <c r="D281" s="58">
        <v>3.35</v>
      </c>
      <c r="E281" s="58">
        <v>3.6</v>
      </c>
      <c r="F281" s="58">
        <v>5.74</v>
      </c>
      <c r="G281" s="58">
        <v>0.25</v>
      </c>
      <c r="H281" s="246">
        <v>7.4626865671641784E-2</v>
      </c>
      <c r="I281" s="247">
        <v>4.6296296296296294E-3</v>
      </c>
      <c r="J281" s="247">
        <v>9.2592592592592587E-3</v>
      </c>
      <c r="K281" s="58">
        <v>2.14</v>
      </c>
      <c r="L281" s="246">
        <v>0.59444444444444444</v>
      </c>
      <c r="M281" s="246">
        <v>7.9259259259259265E-2</v>
      </c>
    </row>
    <row r="282" spans="1:13" ht="15.75" customHeight="1">
      <c r="A282" s="58" t="s">
        <v>35</v>
      </c>
      <c r="B282" s="98" t="s">
        <v>112</v>
      </c>
      <c r="C282" s="58">
        <v>347</v>
      </c>
      <c r="D282" s="58">
        <v>3.476</v>
      </c>
      <c r="E282" s="58">
        <v>3.45</v>
      </c>
      <c r="F282" s="58">
        <v>5.93</v>
      </c>
      <c r="G282" s="58">
        <v>-2.5999999999999801E-2</v>
      </c>
      <c r="H282" s="246">
        <v>-7.4798619102416E-3</v>
      </c>
      <c r="I282" s="247">
        <v>-4.8148148148147781E-4</v>
      </c>
      <c r="J282" s="247">
        <v>-9.6296296296295562E-4</v>
      </c>
      <c r="K282" s="58">
        <v>2.4799999999999995</v>
      </c>
      <c r="L282" s="246">
        <v>0.71884057971014481</v>
      </c>
      <c r="M282" s="246">
        <v>9.1851851851851837E-2</v>
      </c>
    </row>
    <row r="283" spans="1:13" ht="15.75" customHeight="1">
      <c r="A283" s="58" t="s">
        <v>35</v>
      </c>
      <c r="B283" s="98" t="s">
        <v>112</v>
      </c>
      <c r="C283" s="58">
        <v>348</v>
      </c>
      <c r="D283" s="58">
        <v>3.57</v>
      </c>
      <c r="E283" s="58">
        <v>3.65</v>
      </c>
      <c r="F283" s="58">
        <v>5.75</v>
      </c>
      <c r="G283" s="58">
        <v>8.0000000000000071E-2</v>
      </c>
      <c r="H283" s="246">
        <v>2.2408963585434195E-2</v>
      </c>
      <c r="I283" s="247">
        <v>1.4814814814814827E-3</v>
      </c>
      <c r="J283" s="247">
        <v>2.9629629629629654E-3</v>
      </c>
      <c r="K283" s="58">
        <v>2.1</v>
      </c>
      <c r="L283" s="246">
        <v>0.57534246575342474</v>
      </c>
      <c r="M283" s="246">
        <v>7.7777777777777779E-2</v>
      </c>
    </row>
    <row r="284" spans="1:13" ht="15.75" customHeight="1">
      <c r="A284" s="58" t="s">
        <v>35</v>
      </c>
      <c r="B284" s="98" t="s">
        <v>112</v>
      </c>
      <c r="C284" s="58">
        <v>349</v>
      </c>
      <c r="D284" s="58">
        <v>3.57</v>
      </c>
      <c r="E284" s="58">
        <v>3.65</v>
      </c>
      <c r="F284" s="58">
        <v>5.83</v>
      </c>
      <c r="G284" s="58">
        <v>8.0000000000000071E-2</v>
      </c>
      <c r="H284" s="246">
        <v>2.2408963585434195E-2</v>
      </c>
      <c r="I284" s="247">
        <v>1.4814814814814827E-3</v>
      </c>
      <c r="J284" s="247">
        <v>2.9629629629629654E-3</v>
      </c>
      <c r="K284" s="58">
        <v>2.1800000000000002</v>
      </c>
      <c r="L284" s="246">
        <v>0.59726027397260284</v>
      </c>
      <c r="M284" s="246">
        <v>8.0740740740740752E-2</v>
      </c>
    </row>
    <row r="285" spans="1:13" ht="15.75" customHeight="1">
      <c r="A285" s="58" t="s">
        <v>35</v>
      </c>
      <c r="B285" s="98" t="s">
        <v>112</v>
      </c>
      <c r="C285" s="58">
        <v>350</v>
      </c>
      <c r="D285" s="58">
        <v>3.48</v>
      </c>
      <c r="E285" s="58">
        <v>3.81</v>
      </c>
      <c r="F285" s="58">
        <v>5.59</v>
      </c>
      <c r="G285" s="58">
        <v>0.33000000000000007</v>
      </c>
      <c r="H285" s="246">
        <v>9.4827586206896575E-2</v>
      </c>
      <c r="I285" s="247">
        <v>6.1111111111111123E-3</v>
      </c>
      <c r="J285" s="247">
        <v>1.2222222222222225E-2</v>
      </c>
      <c r="K285" s="58">
        <v>1.7799999999999998</v>
      </c>
      <c r="L285" s="246">
        <v>0.46719160104986873</v>
      </c>
      <c r="M285" s="246">
        <v>6.5925925925925916E-2</v>
      </c>
    </row>
    <row r="286" spans="1:13" ht="15.75" customHeight="1">
      <c r="A286" s="58" t="s">
        <v>35</v>
      </c>
      <c r="B286" s="98" t="s">
        <v>112</v>
      </c>
      <c r="C286" s="58">
        <v>51</v>
      </c>
      <c r="D286" s="58">
        <v>3.73</v>
      </c>
      <c r="E286" s="58">
        <v>3.56</v>
      </c>
      <c r="F286" s="58">
        <v>6.29</v>
      </c>
      <c r="G286" s="58">
        <v>-0.16999999999999993</v>
      </c>
      <c r="H286" s="246">
        <v>-4.5576407506702395E-2</v>
      </c>
      <c r="I286" s="247">
        <v>-3.1481481481481469E-3</v>
      </c>
      <c r="J286" s="247">
        <v>-6.2962962962962938E-3</v>
      </c>
      <c r="K286" s="58">
        <v>2.73</v>
      </c>
      <c r="L286" s="246">
        <v>0.76685393258426959</v>
      </c>
      <c r="M286" s="246">
        <v>0.10111111111111111</v>
      </c>
    </row>
    <row r="287" spans="1:13" ht="15.75" customHeight="1">
      <c r="A287" s="58" t="s">
        <v>35</v>
      </c>
      <c r="B287" s="98" t="s">
        <v>112</v>
      </c>
      <c r="C287" s="58">
        <v>52</v>
      </c>
      <c r="D287" s="58">
        <v>3.73</v>
      </c>
      <c r="E287" s="58">
        <v>3.79</v>
      </c>
      <c r="F287" s="58">
        <v>6.31</v>
      </c>
      <c r="G287" s="58">
        <v>6.0000000000000053E-2</v>
      </c>
      <c r="H287" s="246">
        <v>1.6085790884718513E-2</v>
      </c>
      <c r="I287" s="247">
        <v>1.1111111111111122E-3</v>
      </c>
      <c r="J287" s="247">
        <v>2.2222222222222244E-3</v>
      </c>
      <c r="K287" s="58">
        <v>2.5199999999999996</v>
      </c>
      <c r="L287" s="246">
        <v>0.66490765171503941</v>
      </c>
      <c r="M287" s="246">
        <v>9.3333333333333324E-2</v>
      </c>
    </row>
    <row r="288" spans="1:13" ht="15.75" customHeight="1">
      <c r="A288" s="58" t="s">
        <v>35</v>
      </c>
      <c r="B288" s="98" t="s">
        <v>112</v>
      </c>
      <c r="C288" s="58">
        <v>53</v>
      </c>
      <c r="D288" s="58">
        <v>3.72</v>
      </c>
      <c r="E288" s="58">
        <v>3.79</v>
      </c>
      <c r="F288" s="58">
        <v>6.24</v>
      </c>
      <c r="G288" s="58">
        <v>6.999999999999984E-2</v>
      </c>
      <c r="H288" s="246">
        <v>1.8817204301075224E-2</v>
      </c>
      <c r="I288" s="247">
        <v>1.2962962962962934E-3</v>
      </c>
      <c r="J288" s="247">
        <v>2.5925925925925869E-3</v>
      </c>
      <c r="K288" s="58">
        <v>2.4500000000000002</v>
      </c>
      <c r="L288" s="246">
        <v>0.64643799472295516</v>
      </c>
      <c r="M288" s="246">
        <v>9.0740740740740747E-2</v>
      </c>
    </row>
    <row r="289" spans="1:13" ht="15.75" customHeight="1">
      <c r="A289" s="58" t="s">
        <v>35</v>
      </c>
      <c r="B289" s="98" t="s">
        <v>112</v>
      </c>
      <c r="C289" s="58">
        <v>54</v>
      </c>
      <c r="D289" s="58">
        <v>3.62</v>
      </c>
      <c r="E289" s="58">
        <v>3.78</v>
      </c>
      <c r="F289" s="58">
        <v>6.07</v>
      </c>
      <c r="G289" s="58">
        <v>0.1599999999999997</v>
      </c>
      <c r="H289" s="246">
        <v>4.4198895027624224E-2</v>
      </c>
      <c r="I289" s="247">
        <v>2.9629629629629572E-3</v>
      </c>
      <c r="J289" s="247">
        <v>5.9259259259259144E-3</v>
      </c>
      <c r="K289" s="58">
        <v>2.2900000000000005</v>
      </c>
      <c r="L289" s="246">
        <v>0.60582010582010593</v>
      </c>
      <c r="M289" s="246">
        <v>8.4814814814814829E-2</v>
      </c>
    </row>
    <row r="290" spans="1:13" ht="15.75" customHeight="1">
      <c r="A290" s="58" t="s">
        <v>35</v>
      </c>
      <c r="B290" s="98" t="s">
        <v>112</v>
      </c>
      <c r="C290" s="58">
        <v>55</v>
      </c>
      <c r="D290" s="58">
        <v>3.72</v>
      </c>
      <c r="E290" s="58">
        <v>3.65</v>
      </c>
      <c r="F290" s="58">
        <v>6.15</v>
      </c>
      <c r="G290" s="58">
        <v>-7.0000000000000284E-2</v>
      </c>
      <c r="H290" s="246">
        <v>-1.8817204301075346E-2</v>
      </c>
      <c r="I290" s="247">
        <v>-1.2962962962963015E-3</v>
      </c>
      <c r="J290" s="247">
        <v>-2.5925925925926029E-3</v>
      </c>
      <c r="K290" s="58">
        <v>2.5000000000000004</v>
      </c>
      <c r="L290" s="246">
        <v>0.68493150684931525</v>
      </c>
      <c r="M290" s="246">
        <v>9.2592592592592615E-2</v>
      </c>
    </row>
    <row r="291" spans="1:13" ht="15.75" customHeight="1">
      <c r="A291" s="58" t="s">
        <v>36</v>
      </c>
      <c r="B291" s="98" t="s">
        <v>112</v>
      </c>
      <c r="C291" s="58">
        <v>191</v>
      </c>
      <c r="D291" s="58">
        <v>2.16</v>
      </c>
      <c r="E291" s="58">
        <v>2.2599999999999998</v>
      </c>
      <c r="F291" s="58">
        <v>4.46</v>
      </c>
      <c r="G291" s="58">
        <v>9.9999999999999645E-2</v>
      </c>
      <c r="H291" s="246">
        <v>4.6296296296296127E-2</v>
      </c>
      <c r="I291" s="247">
        <v>1.8518518518518452E-3</v>
      </c>
      <c r="J291" s="247">
        <v>3.7037037037036904E-3</v>
      </c>
      <c r="K291" s="58">
        <v>2.2000000000000002</v>
      </c>
      <c r="L291" s="246">
        <v>0.9734513274336285</v>
      </c>
      <c r="M291" s="246">
        <v>8.1481481481481488E-2</v>
      </c>
    </row>
    <row r="292" spans="1:13" ht="15.75" customHeight="1">
      <c r="A292" s="58" t="s">
        <v>36</v>
      </c>
      <c r="B292" s="98" t="s">
        <v>112</v>
      </c>
      <c r="C292" s="58">
        <v>192</v>
      </c>
      <c r="D292" s="58">
        <v>2.19</v>
      </c>
      <c r="E292" s="58">
        <v>2.23</v>
      </c>
      <c r="F292" s="58">
        <v>4.33</v>
      </c>
      <c r="G292" s="58">
        <v>4.0000000000000036E-2</v>
      </c>
      <c r="H292" s="246">
        <v>1.8264840182648418E-2</v>
      </c>
      <c r="I292" s="247">
        <v>7.4074074074074135E-4</v>
      </c>
      <c r="J292" s="247">
        <v>1.4814814814814827E-3</v>
      </c>
      <c r="K292" s="58">
        <v>2.1</v>
      </c>
      <c r="L292" s="246">
        <v>0.94170403587443952</v>
      </c>
      <c r="M292" s="246">
        <v>7.7777777777777779E-2</v>
      </c>
    </row>
    <row r="293" spans="1:13" ht="15.75" customHeight="1">
      <c r="A293" s="58" t="s">
        <v>36</v>
      </c>
      <c r="B293" s="98" t="s">
        <v>112</v>
      </c>
      <c r="C293" s="58">
        <v>193</v>
      </c>
      <c r="D293" s="58">
        <v>2.34</v>
      </c>
      <c r="E293" s="58">
        <v>2.39</v>
      </c>
      <c r="F293" s="58">
        <v>4.38</v>
      </c>
      <c r="G293" s="58">
        <v>5.0000000000000266E-2</v>
      </c>
      <c r="H293" s="246">
        <v>2.1367521367521482E-2</v>
      </c>
      <c r="I293" s="247">
        <v>9.2592592592593084E-4</v>
      </c>
      <c r="J293" s="247">
        <v>1.8518518518518617E-3</v>
      </c>
      <c r="K293" s="58">
        <v>1.9899999999999998</v>
      </c>
      <c r="L293" s="246">
        <v>0.83263598326359822</v>
      </c>
      <c r="M293" s="246">
        <v>7.3703703703703702E-2</v>
      </c>
    </row>
    <row r="294" spans="1:13" ht="15.75" customHeight="1">
      <c r="A294" s="58" t="s">
        <v>36</v>
      </c>
      <c r="B294" s="98" t="s">
        <v>112</v>
      </c>
      <c r="C294" s="58">
        <v>194</v>
      </c>
      <c r="D294" s="58">
        <v>2.16</v>
      </c>
      <c r="E294" s="58">
        <v>2.2200000000000002</v>
      </c>
      <c r="F294" s="58">
        <v>4.34</v>
      </c>
      <c r="G294" s="58">
        <v>6.0000000000000053E-2</v>
      </c>
      <c r="H294" s="246">
        <v>2.7777777777777801E-2</v>
      </c>
      <c r="I294" s="247">
        <v>1.1111111111111122E-3</v>
      </c>
      <c r="J294" s="247">
        <v>2.2222222222222244E-3</v>
      </c>
      <c r="K294" s="58">
        <v>2.1199999999999997</v>
      </c>
      <c r="L294" s="246">
        <v>0.95495495495495475</v>
      </c>
      <c r="M294" s="246">
        <v>7.8518518518518501E-2</v>
      </c>
    </row>
    <row r="295" spans="1:13" ht="15.75" customHeight="1">
      <c r="A295" s="58" t="s">
        <v>36</v>
      </c>
      <c r="B295" s="98" t="s">
        <v>112</v>
      </c>
      <c r="C295" s="58">
        <v>195</v>
      </c>
      <c r="D295" s="58">
        <v>2.11</v>
      </c>
      <c r="E295" s="58">
        <v>2.2000000000000002</v>
      </c>
      <c r="F295" s="58">
        <v>4.28</v>
      </c>
      <c r="G295" s="58">
        <v>9.0000000000000302E-2</v>
      </c>
      <c r="H295" s="246">
        <v>4.2654028436019106E-2</v>
      </c>
      <c r="I295" s="247">
        <v>1.6666666666666722E-3</v>
      </c>
      <c r="J295" s="247">
        <v>3.3333333333333444E-3</v>
      </c>
      <c r="K295" s="58">
        <v>2.08</v>
      </c>
      <c r="L295" s="246">
        <v>0.94545454545454544</v>
      </c>
      <c r="M295" s="246">
        <v>7.7037037037037043E-2</v>
      </c>
    </row>
    <row r="296" spans="1:13" ht="15.75" customHeight="1">
      <c r="A296" s="58" t="s">
        <v>36</v>
      </c>
      <c r="B296" s="98" t="s">
        <v>112</v>
      </c>
      <c r="C296" s="58">
        <v>156</v>
      </c>
      <c r="D296" s="58">
        <v>2.33</v>
      </c>
      <c r="E296" s="58">
        <v>2.46</v>
      </c>
      <c r="F296" s="58">
        <v>4.74</v>
      </c>
      <c r="G296" s="58">
        <v>0.12999999999999989</v>
      </c>
      <c r="H296" s="246">
        <v>5.5793991416308968E-2</v>
      </c>
      <c r="I296" s="247">
        <v>2.4074074074074054E-3</v>
      </c>
      <c r="J296" s="247">
        <v>4.8148148148148108E-3</v>
      </c>
      <c r="K296" s="58">
        <v>2.2800000000000002</v>
      </c>
      <c r="L296" s="246">
        <v>0.92682926829268308</v>
      </c>
      <c r="M296" s="246">
        <v>8.4444444444444447E-2</v>
      </c>
    </row>
    <row r="297" spans="1:13" ht="15.75" customHeight="1">
      <c r="A297" s="58" t="s">
        <v>36</v>
      </c>
      <c r="B297" s="98" t="s">
        <v>112</v>
      </c>
      <c r="C297" s="58">
        <v>157</v>
      </c>
      <c r="D297" s="58">
        <v>2.37</v>
      </c>
      <c r="E297" s="58">
        <v>2.4700000000000002</v>
      </c>
      <c r="F297" s="58">
        <v>4.7300000000000004</v>
      </c>
      <c r="G297" s="58">
        <v>0.10000000000000009</v>
      </c>
      <c r="H297" s="246">
        <v>4.2194092827004252E-2</v>
      </c>
      <c r="I297" s="247">
        <v>1.8518518518518534E-3</v>
      </c>
      <c r="J297" s="247">
        <v>3.7037037037037069E-3</v>
      </c>
      <c r="K297" s="58">
        <v>2.2600000000000002</v>
      </c>
      <c r="L297" s="246">
        <v>0.91497975708502022</v>
      </c>
      <c r="M297" s="246">
        <v>8.3703703703703711E-2</v>
      </c>
    </row>
    <row r="298" spans="1:13" ht="15.75" customHeight="1">
      <c r="A298" s="58" t="s">
        <v>36</v>
      </c>
      <c r="B298" s="98" t="s">
        <v>112</v>
      </c>
      <c r="C298" s="58">
        <v>158</v>
      </c>
      <c r="D298" s="58">
        <v>2.4</v>
      </c>
      <c r="E298" s="58">
        <v>2.54</v>
      </c>
      <c r="F298" s="58">
        <v>4.9000000000000004</v>
      </c>
      <c r="G298" s="58">
        <v>0.14000000000000012</v>
      </c>
      <c r="H298" s="246">
        <v>5.833333333333339E-2</v>
      </c>
      <c r="I298" s="247">
        <v>2.5925925925925947E-3</v>
      </c>
      <c r="J298" s="247">
        <v>5.1851851851851894E-3</v>
      </c>
      <c r="K298" s="58">
        <v>2.3600000000000003</v>
      </c>
      <c r="L298" s="246">
        <v>0.92913385826771666</v>
      </c>
      <c r="M298" s="246">
        <v>8.740740740740742E-2</v>
      </c>
    </row>
    <row r="299" spans="1:13" ht="15.75" customHeight="1">
      <c r="A299" s="58" t="s">
        <v>36</v>
      </c>
      <c r="B299" s="98" t="s">
        <v>112</v>
      </c>
      <c r="C299" s="58">
        <v>159</v>
      </c>
      <c r="D299" s="58">
        <v>2.41</v>
      </c>
      <c r="E299" s="58">
        <v>2.4700000000000002</v>
      </c>
      <c r="F299" s="58">
        <v>4.79</v>
      </c>
      <c r="G299" s="58">
        <v>6.0000000000000053E-2</v>
      </c>
      <c r="H299" s="246">
        <v>2.4896265560165994E-2</v>
      </c>
      <c r="I299" s="247">
        <v>1.1111111111111122E-3</v>
      </c>
      <c r="J299" s="247">
        <v>2.2222222222222244E-3</v>
      </c>
      <c r="K299" s="58">
        <v>2.3199999999999998</v>
      </c>
      <c r="L299" s="246">
        <v>0.93927125506072862</v>
      </c>
      <c r="M299" s="246">
        <v>8.5925925925925919E-2</v>
      </c>
    </row>
    <row r="300" spans="1:13" ht="15.75" customHeight="1">
      <c r="A300" s="58" t="s">
        <v>36</v>
      </c>
      <c r="B300" s="98" t="s">
        <v>112</v>
      </c>
      <c r="C300" s="58">
        <v>160</v>
      </c>
      <c r="D300" s="58">
        <v>2.33</v>
      </c>
      <c r="E300" s="58">
        <v>2.19</v>
      </c>
      <c r="F300" s="58"/>
      <c r="G300" s="58">
        <v>-0.14000000000000012</v>
      </c>
      <c r="H300" s="246">
        <v>-6.0085836909871293E-2</v>
      </c>
      <c r="I300" s="247">
        <v>-2.5925925925925947E-3</v>
      </c>
      <c r="J300" s="247">
        <v>-5.1851851851851894E-3</v>
      </c>
      <c r="K300" s="58"/>
      <c r="L300" s="246"/>
      <c r="M300" s="246"/>
    </row>
    <row r="301" spans="1:13" ht="15.75" customHeight="1">
      <c r="A301" s="58" t="s">
        <v>36</v>
      </c>
      <c r="B301" s="98" t="s">
        <v>112</v>
      </c>
      <c r="C301" s="58">
        <v>251</v>
      </c>
      <c r="D301" s="58">
        <v>2.08</v>
      </c>
      <c r="E301" s="58">
        <v>2.36</v>
      </c>
      <c r="F301" s="58">
        <v>4.42</v>
      </c>
      <c r="G301" s="58">
        <v>0.2799999999999998</v>
      </c>
      <c r="H301" s="246">
        <v>0.13461538461538453</v>
      </c>
      <c r="I301" s="247">
        <v>5.1851851851851816E-3</v>
      </c>
      <c r="J301" s="247">
        <v>1.0370370370370363E-2</v>
      </c>
      <c r="K301" s="58">
        <v>2.06</v>
      </c>
      <c r="L301" s="246">
        <v>0.87288135593220351</v>
      </c>
      <c r="M301" s="246">
        <v>7.6296296296296293E-2</v>
      </c>
    </row>
    <row r="302" spans="1:13" ht="15.75" customHeight="1">
      <c r="A302" s="58" t="s">
        <v>36</v>
      </c>
      <c r="B302" s="98" t="s">
        <v>112</v>
      </c>
      <c r="C302" s="58">
        <v>252</v>
      </c>
      <c r="D302" s="58">
        <v>2.2200000000000002</v>
      </c>
      <c r="E302" s="58">
        <v>2.15</v>
      </c>
      <c r="F302" s="58">
        <v>4.71</v>
      </c>
      <c r="G302" s="58">
        <v>-7.0000000000000284E-2</v>
      </c>
      <c r="H302" s="246">
        <v>-3.1531531531531654E-2</v>
      </c>
      <c r="I302" s="247">
        <v>-1.2962962962963015E-3</v>
      </c>
      <c r="J302" s="247">
        <v>-2.5925925925926029E-3</v>
      </c>
      <c r="K302" s="58">
        <v>2.56</v>
      </c>
      <c r="L302" s="246">
        <v>1.1906976744186046</v>
      </c>
      <c r="M302" s="246">
        <v>9.481481481481481E-2</v>
      </c>
    </row>
    <row r="303" spans="1:13" ht="15.75" customHeight="1">
      <c r="A303" s="58" t="s">
        <v>36</v>
      </c>
      <c r="B303" s="98" t="s">
        <v>112</v>
      </c>
      <c r="C303" s="58">
        <v>253</v>
      </c>
      <c r="D303" s="58">
        <v>2.16</v>
      </c>
      <c r="E303" s="58">
        <v>2.09</v>
      </c>
      <c r="F303" s="58">
        <v>4.43</v>
      </c>
      <c r="G303" s="58">
        <v>-7.0000000000000284E-2</v>
      </c>
      <c r="H303" s="246">
        <v>-3.2407407407407537E-2</v>
      </c>
      <c r="I303" s="247">
        <v>-1.2962962962963015E-3</v>
      </c>
      <c r="J303" s="247">
        <v>-2.5925925925926029E-3</v>
      </c>
      <c r="K303" s="58">
        <v>2.34</v>
      </c>
      <c r="L303" s="246">
        <v>1.1196172248803828</v>
      </c>
      <c r="M303" s="246">
        <v>8.6666666666666656E-2</v>
      </c>
    </row>
    <row r="304" spans="1:13" ht="15.75" customHeight="1">
      <c r="A304" s="58" t="s">
        <v>36</v>
      </c>
      <c r="B304" s="98" t="s">
        <v>112</v>
      </c>
      <c r="C304" s="58">
        <v>254</v>
      </c>
      <c r="D304" s="58">
        <v>2.06</v>
      </c>
      <c r="E304" s="58">
        <v>1.9</v>
      </c>
      <c r="F304" s="58">
        <v>4.3600000000000003</v>
      </c>
      <c r="G304" s="58">
        <v>-0.16000000000000014</v>
      </c>
      <c r="H304" s="246">
        <v>-7.7669902912621422E-2</v>
      </c>
      <c r="I304" s="247">
        <v>-2.9629629629629654E-3</v>
      </c>
      <c r="J304" s="247">
        <v>-5.9259259259259308E-3</v>
      </c>
      <c r="K304" s="58">
        <v>2.4600000000000004</v>
      </c>
      <c r="L304" s="246">
        <v>1.2947368421052634</v>
      </c>
      <c r="M304" s="246">
        <v>9.1111111111111129E-2</v>
      </c>
    </row>
    <row r="305" spans="1:13" ht="15.75" customHeight="1">
      <c r="A305" s="58" t="s">
        <v>36</v>
      </c>
      <c r="B305" s="98" t="s">
        <v>112</v>
      </c>
      <c r="C305" s="58">
        <v>255</v>
      </c>
      <c r="D305" s="58">
        <v>2.0099999999999998</v>
      </c>
      <c r="E305" s="58">
        <v>2.2200000000000002</v>
      </c>
      <c r="F305" s="58">
        <v>4.1100000000000003</v>
      </c>
      <c r="G305" s="58">
        <v>0.21000000000000041</v>
      </c>
      <c r="H305" s="246">
        <v>0.10447761194029873</v>
      </c>
      <c r="I305" s="247">
        <v>3.8888888888888966E-3</v>
      </c>
      <c r="J305" s="247">
        <v>7.7777777777777932E-3</v>
      </c>
      <c r="K305" s="58">
        <v>1.8900000000000001</v>
      </c>
      <c r="L305" s="246">
        <v>0.85135135135135132</v>
      </c>
      <c r="M305" s="246">
        <v>7.0000000000000007E-2</v>
      </c>
    </row>
    <row r="306" spans="1:13" ht="15.75" customHeight="1">
      <c r="A306" s="58" t="s">
        <v>36</v>
      </c>
      <c r="B306" s="98" t="s">
        <v>112</v>
      </c>
      <c r="C306" s="58">
        <v>216</v>
      </c>
      <c r="D306" s="58">
        <v>2.23</v>
      </c>
      <c r="E306" s="58">
        <v>2.11</v>
      </c>
      <c r="F306" s="58">
        <v>4.5199999999999996</v>
      </c>
      <c r="G306" s="58">
        <v>-0.12000000000000011</v>
      </c>
      <c r="H306" s="246">
        <v>-5.3811659192825163E-2</v>
      </c>
      <c r="I306" s="247">
        <v>-2.2222222222222244E-3</v>
      </c>
      <c r="J306" s="247">
        <v>-4.4444444444444488E-3</v>
      </c>
      <c r="K306" s="58">
        <v>2.4099999999999997</v>
      </c>
      <c r="L306" s="246">
        <v>1.1421800947867298</v>
      </c>
      <c r="M306" s="246">
        <v>8.9259259259259247E-2</v>
      </c>
    </row>
    <row r="307" spans="1:13" ht="15.75" customHeight="1">
      <c r="A307" s="58" t="s">
        <v>36</v>
      </c>
      <c r="B307" s="98" t="s">
        <v>112</v>
      </c>
      <c r="C307" s="58">
        <v>217</v>
      </c>
      <c r="D307" s="58">
        <v>2.16</v>
      </c>
      <c r="E307" s="58">
        <v>2.1800000000000002</v>
      </c>
      <c r="F307" s="58">
        <v>4.34</v>
      </c>
      <c r="G307" s="58">
        <v>2.0000000000000018E-2</v>
      </c>
      <c r="H307" s="246">
        <v>9.2592592592592674E-3</v>
      </c>
      <c r="I307" s="247">
        <v>3.7037037037037068E-4</v>
      </c>
      <c r="J307" s="247">
        <v>7.4074074074074135E-4</v>
      </c>
      <c r="K307" s="58">
        <v>2.1599999999999997</v>
      </c>
      <c r="L307" s="246">
        <v>0.99082568807339433</v>
      </c>
      <c r="M307" s="246">
        <v>7.9999999999999988E-2</v>
      </c>
    </row>
    <row r="308" spans="1:13" ht="15.75" customHeight="1">
      <c r="A308" s="58" t="s">
        <v>36</v>
      </c>
      <c r="B308" s="98" t="s">
        <v>112</v>
      </c>
      <c r="C308" s="58">
        <v>218</v>
      </c>
      <c r="D308" s="58">
        <v>2.25</v>
      </c>
      <c r="E308" s="58">
        <v>2.19</v>
      </c>
      <c r="F308" s="58">
        <v>4.1900000000000004</v>
      </c>
      <c r="G308" s="58">
        <v>-6.0000000000000053E-2</v>
      </c>
      <c r="H308" s="246">
        <v>-2.6666666666666689E-2</v>
      </c>
      <c r="I308" s="247">
        <v>-1.1111111111111122E-3</v>
      </c>
      <c r="J308" s="247">
        <v>-2.2222222222222244E-3</v>
      </c>
      <c r="K308" s="58">
        <v>2.0000000000000004</v>
      </c>
      <c r="L308" s="246">
        <v>0.91324200913242026</v>
      </c>
      <c r="M308" s="246">
        <v>7.4074074074074084E-2</v>
      </c>
    </row>
    <row r="309" spans="1:13" ht="15.75" customHeight="1">
      <c r="A309" s="58" t="s">
        <v>36</v>
      </c>
      <c r="B309" s="98" t="s">
        <v>112</v>
      </c>
      <c r="C309" s="58">
        <v>219</v>
      </c>
      <c r="D309" s="58">
        <v>2.15</v>
      </c>
      <c r="E309" s="58">
        <v>1.93</v>
      </c>
      <c r="F309" s="58">
        <v>4.4800000000000004</v>
      </c>
      <c r="G309" s="58">
        <v>-0.21999999999999997</v>
      </c>
      <c r="H309" s="246">
        <v>-0.10232558139534884</v>
      </c>
      <c r="I309" s="247">
        <v>-4.0740740740740737E-3</v>
      </c>
      <c r="J309" s="247">
        <v>-8.1481481481481474E-3</v>
      </c>
      <c r="K309" s="58">
        <v>2.5500000000000007</v>
      </c>
      <c r="L309" s="246">
        <v>1.3212435233160627</v>
      </c>
      <c r="M309" s="246">
        <v>9.444444444444447E-2</v>
      </c>
    </row>
    <row r="310" spans="1:13" ht="15.75" customHeight="1">
      <c r="A310" s="58" t="s">
        <v>36</v>
      </c>
      <c r="B310" s="98" t="s">
        <v>112</v>
      </c>
      <c r="C310" s="58">
        <v>220</v>
      </c>
      <c r="D310" s="58">
        <v>1.92</v>
      </c>
      <c r="E310" s="58">
        <v>2.15</v>
      </c>
      <c r="F310" s="58">
        <v>4</v>
      </c>
      <c r="G310" s="58">
        <v>0.22999999999999998</v>
      </c>
      <c r="H310" s="246">
        <v>0.11979166666666666</v>
      </c>
      <c r="I310" s="247">
        <v>4.2592592592592586E-3</v>
      </c>
      <c r="J310" s="247">
        <v>8.5185185185185173E-3</v>
      </c>
      <c r="K310" s="58">
        <v>1.85</v>
      </c>
      <c r="L310" s="246">
        <v>0.86046511627906985</v>
      </c>
      <c r="M310" s="246">
        <v>6.851851851851852E-2</v>
      </c>
    </row>
    <row r="311" spans="1:13" ht="15.75" customHeight="1"/>
    <row r="312" spans="1:13" ht="15.75" customHeight="1"/>
    <row r="313" spans="1:13" ht="15.75" customHeight="1"/>
    <row r="314" spans="1:13" ht="15.75" customHeight="1"/>
    <row r="315" spans="1:13" ht="15.75" customHeight="1"/>
    <row r="316" spans="1:13" ht="15.75" customHeight="1"/>
    <row r="317" spans="1:13" ht="15.75" customHeight="1"/>
    <row r="318" spans="1:13" ht="15.75" customHeight="1"/>
    <row r="319" spans="1:13" ht="15.75" customHeight="1"/>
    <row r="320" spans="1:1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998"/>
  <sheetViews>
    <sheetView workbookViewId="0"/>
  </sheetViews>
  <sheetFormatPr defaultColWidth="14.453125" defaultRowHeight="15" customHeight="1"/>
  <cols>
    <col min="1" max="26" width="10" customWidth="1"/>
  </cols>
  <sheetData>
    <row r="1" spans="1:26" ht="15.5">
      <c r="A1" s="249" t="s">
        <v>144</v>
      </c>
      <c r="B1" s="249" t="s">
        <v>41</v>
      </c>
      <c r="C1" s="67" t="s">
        <v>145</v>
      </c>
      <c r="D1" s="67" t="s">
        <v>67</v>
      </c>
      <c r="E1" s="67" t="s">
        <v>68</v>
      </c>
      <c r="F1" s="67" t="s">
        <v>82</v>
      </c>
      <c r="G1" s="67" t="s">
        <v>83</v>
      </c>
      <c r="H1" s="67" t="s">
        <v>84</v>
      </c>
      <c r="I1" s="67" t="s">
        <v>85</v>
      </c>
      <c r="J1" s="67" t="s">
        <v>86</v>
      </c>
      <c r="K1" s="67" t="s">
        <v>69</v>
      </c>
      <c r="L1" s="67" t="s">
        <v>70</v>
      </c>
      <c r="M1" s="67" t="s">
        <v>71</v>
      </c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</row>
    <row r="2" spans="1:26" ht="15.5">
      <c r="A2" s="58" t="s">
        <v>146</v>
      </c>
      <c r="B2" s="98" t="s">
        <v>112</v>
      </c>
      <c r="C2" s="68">
        <v>2</v>
      </c>
      <c r="D2" s="68">
        <v>25.76</v>
      </c>
      <c r="E2" s="68">
        <v>26.32</v>
      </c>
      <c r="F2" s="68">
        <v>38.03</v>
      </c>
      <c r="G2" s="68">
        <f t="shared" ref="G2:G9" si="0">E2-D2</f>
        <v>0.55999999999999872</v>
      </c>
      <c r="H2" s="95">
        <f t="shared" ref="H2:H9" si="1">G2/D2</f>
        <v>2.1739130434782556E-2</v>
      </c>
      <c r="I2" s="99">
        <f t="shared" ref="I2:I9" si="2">G2/(9*2+3*17*4)</f>
        <v>2.5225225225225167E-3</v>
      </c>
      <c r="J2" s="99">
        <f t="shared" ref="J2:J9" si="3">G2/153</f>
        <v>3.66013071895424E-3</v>
      </c>
      <c r="K2" s="68">
        <f t="shared" ref="K2:K9" si="4">F2-E2</f>
        <v>11.71</v>
      </c>
      <c r="L2" s="95">
        <f t="shared" ref="L2:L9" si="5">K2/E2</f>
        <v>0.44490881458966569</v>
      </c>
      <c r="M2" s="95">
        <f t="shared" ref="M2:M29" si="6">K2/153</f>
        <v>7.6535947712418312E-2</v>
      </c>
    </row>
    <row r="3" spans="1:26" ht="15.5">
      <c r="A3" s="58" t="s">
        <v>146</v>
      </c>
      <c r="B3" s="98" t="s">
        <v>112</v>
      </c>
      <c r="C3" s="68">
        <v>6</v>
      </c>
      <c r="D3" s="68">
        <v>26.18</v>
      </c>
      <c r="E3" s="68">
        <v>26.66</v>
      </c>
      <c r="F3" s="68">
        <v>39.29</v>
      </c>
      <c r="G3" s="68">
        <f t="shared" si="0"/>
        <v>0.48000000000000043</v>
      </c>
      <c r="H3" s="95">
        <f t="shared" si="1"/>
        <v>1.8334606569900703E-2</v>
      </c>
      <c r="I3" s="99">
        <f t="shared" si="2"/>
        <v>2.1621621621621639E-3</v>
      </c>
      <c r="J3" s="99">
        <f t="shared" si="3"/>
        <v>3.1372549019607872E-3</v>
      </c>
      <c r="K3" s="68">
        <f t="shared" si="4"/>
        <v>12.629999999999999</v>
      </c>
      <c r="L3" s="95">
        <f t="shared" si="5"/>
        <v>0.47374343585896472</v>
      </c>
      <c r="M3" s="95">
        <f t="shared" si="6"/>
        <v>8.2549019607843124E-2</v>
      </c>
    </row>
    <row r="4" spans="1:26" ht="15.5">
      <c r="A4" s="58" t="s">
        <v>146</v>
      </c>
      <c r="B4" s="98" t="s">
        <v>112</v>
      </c>
      <c r="C4" s="68">
        <v>38</v>
      </c>
      <c r="D4" s="68">
        <v>27.4</v>
      </c>
      <c r="E4" s="68">
        <v>28.7</v>
      </c>
      <c r="F4" s="68">
        <v>43.99</v>
      </c>
      <c r="G4" s="68">
        <f t="shared" si="0"/>
        <v>1.3000000000000007</v>
      </c>
      <c r="H4" s="95">
        <f t="shared" si="1"/>
        <v>4.744525547445258E-2</v>
      </c>
      <c r="I4" s="99">
        <f t="shared" si="2"/>
        <v>5.8558558558558594E-3</v>
      </c>
      <c r="J4" s="99">
        <f t="shared" si="3"/>
        <v>8.4967320261437954E-3</v>
      </c>
      <c r="K4" s="68">
        <f t="shared" si="4"/>
        <v>15.290000000000003</v>
      </c>
      <c r="L4" s="95">
        <f t="shared" si="5"/>
        <v>0.53275261324041823</v>
      </c>
      <c r="M4" s="95">
        <f t="shared" si="6"/>
        <v>9.9934640522875831E-2</v>
      </c>
    </row>
    <row r="5" spans="1:26" ht="15.5">
      <c r="A5" s="58" t="s">
        <v>146</v>
      </c>
      <c r="B5" s="98" t="s">
        <v>112</v>
      </c>
      <c r="C5" s="68">
        <v>45</v>
      </c>
      <c r="D5" s="68">
        <v>27.52</v>
      </c>
      <c r="E5" s="68">
        <v>28.49</v>
      </c>
      <c r="F5" s="68">
        <v>45.09</v>
      </c>
      <c r="G5" s="68">
        <f t="shared" si="0"/>
        <v>0.96999999999999886</v>
      </c>
      <c r="H5" s="95">
        <f t="shared" si="1"/>
        <v>3.5247093023255772E-2</v>
      </c>
      <c r="I5" s="99">
        <f t="shared" si="2"/>
        <v>4.3693693693693646E-3</v>
      </c>
      <c r="J5" s="99">
        <f t="shared" si="3"/>
        <v>6.3398692810457445E-3</v>
      </c>
      <c r="K5" s="68">
        <f t="shared" si="4"/>
        <v>16.600000000000005</v>
      </c>
      <c r="L5" s="95">
        <f t="shared" si="5"/>
        <v>0.58266058266058285</v>
      </c>
      <c r="M5" s="95">
        <f t="shared" si="6"/>
        <v>0.10849673202614382</v>
      </c>
    </row>
    <row r="6" spans="1:26" ht="15.5">
      <c r="A6" s="58" t="s">
        <v>146</v>
      </c>
      <c r="B6" s="98" t="s">
        <v>112</v>
      </c>
      <c r="C6" s="68">
        <v>68</v>
      </c>
      <c r="D6" s="68">
        <v>18.91</v>
      </c>
      <c r="E6" s="68">
        <v>19.61</v>
      </c>
      <c r="F6" s="68">
        <v>34.04</v>
      </c>
      <c r="G6" s="68">
        <f t="shared" si="0"/>
        <v>0.69999999999999929</v>
      </c>
      <c r="H6" s="95">
        <f t="shared" si="1"/>
        <v>3.7017451084082456E-2</v>
      </c>
      <c r="I6" s="99">
        <f t="shared" si="2"/>
        <v>3.15315315315315E-3</v>
      </c>
      <c r="J6" s="99">
        <f t="shared" si="3"/>
        <v>4.5751633986928055E-3</v>
      </c>
      <c r="K6" s="68">
        <f t="shared" si="4"/>
        <v>14.43</v>
      </c>
      <c r="L6" s="95">
        <f t="shared" si="5"/>
        <v>0.73584905660377364</v>
      </c>
      <c r="M6" s="95">
        <f t="shared" si="6"/>
        <v>9.4313725490196079E-2</v>
      </c>
    </row>
    <row r="7" spans="1:26" ht="15.5">
      <c r="A7" s="58" t="s">
        <v>146</v>
      </c>
      <c r="B7" s="98" t="s">
        <v>112</v>
      </c>
      <c r="C7" s="68">
        <v>71</v>
      </c>
      <c r="D7" s="68">
        <v>18.82</v>
      </c>
      <c r="E7" s="68">
        <v>19.64</v>
      </c>
      <c r="F7" s="68">
        <v>34.67</v>
      </c>
      <c r="G7" s="68">
        <f t="shared" si="0"/>
        <v>0.82000000000000028</v>
      </c>
      <c r="H7" s="95">
        <f t="shared" si="1"/>
        <v>4.3570669500531366E-2</v>
      </c>
      <c r="I7" s="99">
        <f t="shared" si="2"/>
        <v>3.693693693693695E-3</v>
      </c>
      <c r="J7" s="99">
        <f t="shared" si="3"/>
        <v>5.3594771241830081E-3</v>
      </c>
      <c r="K7" s="68">
        <f t="shared" si="4"/>
        <v>15.030000000000001</v>
      </c>
      <c r="L7" s="95">
        <f t="shared" si="5"/>
        <v>0.76527494908350313</v>
      </c>
      <c r="M7" s="95">
        <f t="shared" si="6"/>
        <v>9.823529411764706E-2</v>
      </c>
    </row>
    <row r="8" spans="1:26" ht="15.5">
      <c r="A8" s="58" t="s">
        <v>146</v>
      </c>
      <c r="B8" s="98" t="s">
        <v>112</v>
      </c>
      <c r="C8" s="68">
        <v>82</v>
      </c>
      <c r="D8" s="68">
        <v>27.86</v>
      </c>
      <c r="E8" s="68">
        <v>28.65</v>
      </c>
      <c r="F8" s="68">
        <v>42.79</v>
      </c>
      <c r="G8" s="68">
        <f t="shared" si="0"/>
        <v>0.78999999999999915</v>
      </c>
      <c r="H8" s="95">
        <f t="shared" si="1"/>
        <v>2.8356066044508226E-2</v>
      </c>
      <c r="I8" s="99">
        <f t="shared" si="2"/>
        <v>3.5585585585585547E-3</v>
      </c>
      <c r="J8" s="99">
        <f t="shared" si="3"/>
        <v>5.1633986928104518E-3</v>
      </c>
      <c r="K8" s="68">
        <f t="shared" si="4"/>
        <v>14.14</v>
      </c>
      <c r="L8" s="95">
        <f t="shared" si="5"/>
        <v>0.49354275741710302</v>
      </c>
      <c r="M8" s="95">
        <f t="shared" si="6"/>
        <v>9.241830065359477E-2</v>
      </c>
    </row>
    <row r="9" spans="1:26" ht="15.5">
      <c r="A9" s="58" t="s">
        <v>146</v>
      </c>
      <c r="B9" s="98" t="s">
        <v>112</v>
      </c>
      <c r="C9" s="68">
        <v>85</v>
      </c>
      <c r="D9" s="68">
        <v>27.95</v>
      </c>
      <c r="E9" s="68">
        <v>28.22</v>
      </c>
      <c r="F9" s="68">
        <v>43.5</v>
      </c>
      <c r="G9" s="68">
        <f t="shared" si="0"/>
        <v>0.26999999999999957</v>
      </c>
      <c r="H9" s="95">
        <f t="shared" si="1"/>
        <v>9.6601073345259237E-3</v>
      </c>
      <c r="I9" s="99">
        <f t="shared" si="2"/>
        <v>1.2162162162162142E-3</v>
      </c>
      <c r="J9" s="99">
        <f t="shared" si="3"/>
        <v>1.7647058823529384E-3</v>
      </c>
      <c r="K9" s="68">
        <f t="shared" si="4"/>
        <v>15.280000000000001</v>
      </c>
      <c r="L9" s="95">
        <f t="shared" si="5"/>
        <v>0.54145995747696674</v>
      </c>
      <c r="M9" s="95">
        <f t="shared" si="6"/>
        <v>9.9869281045751643E-2</v>
      </c>
    </row>
    <row r="10" spans="1:26" ht="15.5">
      <c r="A10" s="58" t="s">
        <v>146</v>
      </c>
      <c r="B10" s="98" t="s">
        <v>43</v>
      </c>
      <c r="C10" s="68">
        <v>1</v>
      </c>
      <c r="D10" s="68">
        <v>25.63</v>
      </c>
      <c r="E10" s="68">
        <v>25.63</v>
      </c>
      <c r="F10" s="68">
        <v>39.28</v>
      </c>
      <c r="G10" s="98">
        <v>0</v>
      </c>
      <c r="H10" s="98">
        <v>0</v>
      </c>
      <c r="I10" s="98">
        <v>0</v>
      </c>
      <c r="J10" s="98">
        <v>0</v>
      </c>
      <c r="K10" s="68">
        <f t="shared" ref="K10:K29" si="7">F10-D10</f>
        <v>13.650000000000002</v>
      </c>
      <c r="L10" s="76">
        <f t="shared" ref="L10:L29" si="8">K10/D10</f>
        <v>0.5325790089738589</v>
      </c>
      <c r="M10" s="95">
        <f t="shared" si="6"/>
        <v>8.921568627450982E-2</v>
      </c>
    </row>
    <row r="11" spans="1:26" ht="15.5">
      <c r="A11" s="58" t="s">
        <v>146</v>
      </c>
      <c r="B11" s="98" t="s">
        <v>43</v>
      </c>
      <c r="C11" s="68">
        <v>8</v>
      </c>
      <c r="D11" s="68">
        <v>24.96</v>
      </c>
      <c r="E11" s="68">
        <v>24.96</v>
      </c>
      <c r="F11" s="68">
        <v>39.61</v>
      </c>
      <c r="G11" s="98">
        <v>0</v>
      </c>
      <c r="H11" s="98">
        <v>0</v>
      </c>
      <c r="I11" s="98">
        <v>0</v>
      </c>
      <c r="J11" s="98">
        <v>0</v>
      </c>
      <c r="K11" s="68">
        <f t="shared" si="7"/>
        <v>14.649999999999999</v>
      </c>
      <c r="L11" s="76">
        <f t="shared" si="8"/>
        <v>0.58693910256410253</v>
      </c>
      <c r="M11" s="95">
        <f t="shared" si="6"/>
        <v>9.5751633986928097E-2</v>
      </c>
    </row>
    <row r="12" spans="1:26" ht="15.5">
      <c r="A12" s="58" t="s">
        <v>146</v>
      </c>
      <c r="B12" s="98" t="s">
        <v>43</v>
      </c>
      <c r="C12" s="68">
        <v>11</v>
      </c>
      <c r="D12" s="68">
        <v>18.89</v>
      </c>
      <c r="E12" s="68">
        <v>18.89</v>
      </c>
      <c r="F12" s="68">
        <v>31.98</v>
      </c>
      <c r="G12" s="98">
        <v>0</v>
      </c>
      <c r="H12" s="98">
        <v>0</v>
      </c>
      <c r="I12" s="98">
        <v>0</v>
      </c>
      <c r="J12" s="98">
        <v>0</v>
      </c>
      <c r="K12" s="68">
        <f t="shared" si="7"/>
        <v>13.09</v>
      </c>
      <c r="L12" s="76">
        <f t="shared" si="8"/>
        <v>0.69295923769190049</v>
      </c>
      <c r="M12" s="95">
        <f t="shared" si="6"/>
        <v>8.5555555555555551E-2</v>
      </c>
    </row>
    <row r="13" spans="1:26" ht="15.5">
      <c r="A13" s="58" t="s">
        <v>146</v>
      </c>
      <c r="B13" s="98" t="s">
        <v>43</v>
      </c>
      <c r="C13" s="68">
        <v>19</v>
      </c>
      <c r="D13" s="68">
        <v>19.510000000000002</v>
      </c>
      <c r="E13" s="68">
        <v>19.510000000000002</v>
      </c>
      <c r="F13" s="68">
        <v>33.24</v>
      </c>
      <c r="G13" s="98">
        <v>0</v>
      </c>
      <c r="H13" s="98">
        <v>0</v>
      </c>
      <c r="I13" s="98">
        <v>0</v>
      </c>
      <c r="J13" s="98">
        <v>0</v>
      </c>
      <c r="K13" s="68">
        <f t="shared" si="7"/>
        <v>13.73</v>
      </c>
      <c r="L13" s="76">
        <f t="shared" si="8"/>
        <v>0.70374167093798046</v>
      </c>
      <c r="M13" s="95">
        <f t="shared" si="6"/>
        <v>8.9738562091503271E-2</v>
      </c>
    </row>
    <row r="14" spans="1:26" ht="15.5">
      <c r="A14" s="58" t="s">
        <v>146</v>
      </c>
      <c r="B14" s="98" t="s">
        <v>43</v>
      </c>
      <c r="C14" s="68">
        <v>32</v>
      </c>
      <c r="D14" s="68">
        <v>26.1</v>
      </c>
      <c r="E14" s="68">
        <v>26.1</v>
      </c>
      <c r="F14" s="68">
        <v>40.549999999999997</v>
      </c>
      <c r="G14" s="98">
        <v>0</v>
      </c>
      <c r="H14" s="98">
        <v>0</v>
      </c>
      <c r="I14" s="98">
        <v>0</v>
      </c>
      <c r="J14" s="98">
        <v>0</v>
      </c>
      <c r="K14" s="68">
        <f t="shared" si="7"/>
        <v>14.449999999999996</v>
      </c>
      <c r="L14" s="76">
        <f t="shared" si="8"/>
        <v>0.55363984674329481</v>
      </c>
      <c r="M14" s="95">
        <f t="shared" si="6"/>
        <v>9.4444444444444414E-2</v>
      </c>
    </row>
    <row r="15" spans="1:26" ht="15.5">
      <c r="A15" s="58" t="s">
        <v>146</v>
      </c>
      <c r="B15" s="98" t="s">
        <v>43</v>
      </c>
      <c r="C15" s="68">
        <v>34</v>
      </c>
      <c r="D15" s="68">
        <v>26.76</v>
      </c>
      <c r="E15" s="68">
        <v>26.76</v>
      </c>
      <c r="F15" s="68">
        <v>40.630000000000003</v>
      </c>
      <c r="G15" s="98">
        <v>0</v>
      </c>
      <c r="H15" s="98">
        <v>0</v>
      </c>
      <c r="I15" s="98">
        <v>0</v>
      </c>
      <c r="J15" s="98">
        <v>0</v>
      </c>
      <c r="K15" s="68">
        <f t="shared" si="7"/>
        <v>13.870000000000001</v>
      </c>
      <c r="L15" s="76">
        <f t="shared" si="8"/>
        <v>0.51831091180866962</v>
      </c>
      <c r="M15" s="95">
        <f t="shared" si="6"/>
        <v>9.0653594771241838E-2</v>
      </c>
    </row>
    <row r="16" spans="1:26" ht="15.5">
      <c r="A16" s="58" t="s">
        <v>146</v>
      </c>
      <c r="B16" s="98" t="s">
        <v>43</v>
      </c>
      <c r="C16" s="68">
        <v>37</v>
      </c>
      <c r="D16" s="68">
        <v>27.25</v>
      </c>
      <c r="E16" s="68">
        <v>27.25</v>
      </c>
      <c r="F16" s="68">
        <v>42.9</v>
      </c>
      <c r="G16" s="98">
        <v>0</v>
      </c>
      <c r="H16" s="98">
        <v>0</v>
      </c>
      <c r="I16" s="98">
        <v>0</v>
      </c>
      <c r="J16" s="98">
        <v>0</v>
      </c>
      <c r="K16" s="68">
        <f t="shared" si="7"/>
        <v>15.649999999999999</v>
      </c>
      <c r="L16" s="76">
        <f t="shared" si="8"/>
        <v>0.57431192660550456</v>
      </c>
      <c r="M16" s="95">
        <f t="shared" si="6"/>
        <v>0.1022875816993464</v>
      </c>
    </row>
    <row r="17" spans="1:13" ht="15.5">
      <c r="A17" s="58" t="s">
        <v>146</v>
      </c>
      <c r="B17" s="98" t="s">
        <v>43</v>
      </c>
      <c r="C17" s="68">
        <v>43</v>
      </c>
      <c r="D17" s="68">
        <v>26.67</v>
      </c>
      <c r="E17" s="68">
        <v>26.67</v>
      </c>
      <c r="F17" s="68">
        <v>43.13</v>
      </c>
      <c r="G17" s="98">
        <v>0</v>
      </c>
      <c r="H17" s="98">
        <v>0</v>
      </c>
      <c r="I17" s="98">
        <v>0</v>
      </c>
      <c r="J17" s="98">
        <v>0</v>
      </c>
      <c r="K17" s="68">
        <f t="shared" si="7"/>
        <v>16.46</v>
      </c>
      <c r="L17" s="76">
        <f t="shared" si="8"/>
        <v>0.61717285339332584</v>
      </c>
      <c r="M17" s="95">
        <f t="shared" si="6"/>
        <v>0.10758169934640524</v>
      </c>
    </row>
    <row r="18" spans="1:13" ht="15.5">
      <c r="A18" s="58" t="s">
        <v>146</v>
      </c>
      <c r="B18" s="98" t="s">
        <v>43</v>
      </c>
      <c r="C18" s="68">
        <v>58</v>
      </c>
      <c r="D18" s="68">
        <v>25.06</v>
      </c>
      <c r="E18" s="68">
        <v>25.06</v>
      </c>
      <c r="F18" s="68">
        <v>37.299999999999997</v>
      </c>
      <c r="G18" s="98">
        <v>0</v>
      </c>
      <c r="H18" s="98">
        <v>0</v>
      </c>
      <c r="I18" s="98">
        <v>0</v>
      </c>
      <c r="J18" s="98">
        <v>0</v>
      </c>
      <c r="K18" s="68">
        <f t="shared" si="7"/>
        <v>12.239999999999998</v>
      </c>
      <c r="L18" s="76">
        <f t="shared" si="8"/>
        <v>0.48842777334397441</v>
      </c>
      <c r="M18" s="95">
        <f t="shared" si="6"/>
        <v>7.9999999999999988E-2</v>
      </c>
    </row>
    <row r="19" spans="1:13" ht="15.5">
      <c r="A19" s="58" t="s">
        <v>146</v>
      </c>
      <c r="B19" s="98" t="s">
        <v>43</v>
      </c>
      <c r="C19" s="68">
        <v>63</v>
      </c>
      <c r="D19" s="68">
        <v>24.74</v>
      </c>
      <c r="E19" s="68">
        <v>24.74</v>
      </c>
      <c r="F19" s="68">
        <v>38.200000000000003</v>
      </c>
      <c r="G19" s="98">
        <v>0</v>
      </c>
      <c r="H19" s="98">
        <v>0</v>
      </c>
      <c r="I19" s="98">
        <v>0</v>
      </c>
      <c r="J19" s="98">
        <v>0</v>
      </c>
      <c r="K19" s="68">
        <f t="shared" si="7"/>
        <v>13.460000000000004</v>
      </c>
      <c r="L19" s="76">
        <f t="shared" si="8"/>
        <v>0.54405820533548932</v>
      </c>
      <c r="M19" s="95">
        <f t="shared" si="6"/>
        <v>8.7973856209150353E-2</v>
      </c>
    </row>
    <row r="20" spans="1:13" ht="15.5">
      <c r="A20" s="58" t="s">
        <v>146</v>
      </c>
      <c r="B20" s="98" t="s">
        <v>43</v>
      </c>
      <c r="C20" s="68">
        <v>65</v>
      </c>
      <c r="D20" s="68">
        <v>24.22</v>
      </c>
      <c r="E20" s="68">
        <v>24.22</v>
      </c>
      <c r="F20" s="68">
        <v>38.85</v>
      </c>
      <c r="G20" s="98">
        <v>0</v>
      </c>
      <c r="H20" s="98">
        <v>0</v>
      </c>
      <c r="I20" s="98">
        <v>0</v>
      </c>
      <c r="J20" s="98">
        <v>0</v>
      </c>
      <c r="K20" s="68">
        <f t="shared" si="7"/>
        <v>14.630000000000003</v>
      </c>
      <c r="L20" s="76">
        <f t="shared" si="8"/>
        <v>0.60404624277456664</v>
      </c>
      <c r="M20" s="95">
        <f t="shared" si="6"/>
        <v>9.5620915032679749E-2</v>
      </c>
    </row>
    <row r="21" spans="1:13" ht="15.75" customHeight="1">
      <c r="A21" s="58" t="s">
        <v>146</v>
      </c>
      <c r="B21" s="98" t="s">
        <v>43</v>
      </c>
      <c r="C21" s="68">
        <v>69</v>
      </c>
      <c r="D21" s="68">
        <v>19.260000000000002</v>
      </c>
      <c r="E21" s="68">
        <v>19.260000000000002</v>
      </c>
      <c r="F21" s="68">
        <v>33.64</v>
      </c>
      <c r="G21" s="98">
        <v>0</v>
      </c>
      <c r="H21" s="98">
        <v>0</v>
      </c>
      <c r="I21" s="98">
        <v>0</v>
      </c>
      <c r="J21" s="98">
        <v>0</v>
      </c>
      <c r="K21" s="68">
        <f t="shared" si="7"/>
        <v>14.379999999999999</v>
      </c>
      <c r="L21" s="76">
        <f t="shared" si="8"/>
        <v>0.74662512980269979</v>
      </c>
      <c r="M21" s="95">
        <f t="shared" si="6"/>
        <v>9.3986928104575151E-2</v>
      </c>
    </row>
    <row r="22" spans="1:13" ht="15.75" customHeight="1">
      <c r="A22" s="58" t="s">
        <v>146</v>
      </c>
      <c r="B22" s="98" t="s">
        <v>43</v>
      </c>
      <c r="C22" s="68">
        <v>73</v>
      </c>
      <c r="D22" s="68">
        <v>19.14</v>
      </c>
      <c r="E22" s="68">
        <v>19.14</v>
      </c>
      <c r="F22" s="68">
        <v>34.630000000000003</v>
      </c>
      <c r="G22" s="98">
        <v>0</v>
      </c>
      <c r="H22" s="98">
        <v>0</v>
      </c>
      <c r="I22" s="98">
        <v>0</v>
      </c>
      <c r="J22" s="98">
        <v>0</v>
      </c>
      <c r="K22" s="68">
        <f t="shared" si="7"/>
        <v>15.490000000000002</v>
      </c>
      <c r="L22" s="76">
        <f t="shared" si="8"/>
        <v>0.80929989550679216</v>
      </c>
      <c r="M22" s="95">
        <f t="shared" si="6"/>
        <v>0.10124183006535949</v>
      </c>
    </row>
    <row r="23" spans="1:13" ht="15.75" customHeight="1">
      <c r="A23" s="58" t="s">
        <v>146</v>
      </c>
      <c r="B23" s="98" t="s">
        <v>43</v>
      </c>
      <c r="C23" s="68">
        <v>75</v>
      </c>
      <c r="D23" s="68">
        <v>19.13</v>
      </c>
      <c r="E23" s="68">
        <v>19.13</v>
      </c>
      <c r="F23" s="68">
        <v>34.74</v>
      </c>
      <c r="G23" s="98">
        <v>0</v>
      </c>
      <c r="H23" s="98">
        <v>0</v>
      </c>
      <c r="I23" s="98">
        <v>0</v>
      </c>
      <c r="J23" s="98">
        <v>0</v>
      </c>
      <c r="K23" s="68">
        <f t="shared" si="7"/>
        <v>15.610000000000003</v>
      </c>
      <c r="L23" s="76">
        <f t="shared" si="8"/>
        <v>0.8159958180867749</v>
      </c>
      <c r="M23" s="95">
        <f t="shared" si="6"/>
        <v>0.10202614379084969</v>
      </c>
    </row>
    <row r="24" spans="1:13" ht="15.75" customHeight="1">
      <c r="A24" s="58" t="s">
        <v>146</v>
      </c>
      <c r="B24" s="98" t="s">
        <v>43</v>
      </c>
      <c r="C24" s="68">
        <v>78</v>
      </c>
      <c r="D24" s="68">
        <v>27.37</v>
      </c>
      <c r="E24" s="68">
        <v>27.37</v>
      </c>
      <c r="F24" s="68">
        <v>42.73</v>
      </c>
      <c r="G24" s="98">
        <v>0</v>
      </c>
      <c r="H24" s="98">
        <v>0</v>
      </c>
      <c r="I24" s="98">
        <v>0</v>
      </c>
      <c r="J24" s="98">
        <v>0</v>
      </c>
      <c r="K24" s="68">
        <f t="shared" si="7"/>
        <v>15.359999999999996</v>
      </c>
      <c r="L24" s="76">
        <f t="shared" si="8"/>
        <v>0.56119839240043823</v>
      </c>
      <c r="M24" s="95">
        <f t="shared" si="6"/>
        <v>0.10039215686274507</v>
      </c>
    </row>
    <row r="25" spans="1:13" ht="15.75" customHeight="1">
      <c r="A25" s="58" t="s">
        <v>146</v>
      </c>
      <c r="B25" s="98" t="s">
        <v>43</v>
      </c>
      <c r="C25" s="68">
        <v>84</v>
      </c>
      <c r="D25" s="68">
        <v>27.32</v>
      </c>
      <c r="E25" s="68">
        <v>27.32</v>
      </c>
      <c r="F25" s="68">
        <v>43.21</v>
      </c>
      <c r="G25" s="98">
        <v>0</v>
      </c>
      <c r="H25" s="98">
        <v>0</v>
      </c>
      <c r="I25" s="98">
        <v>0</v>
      </c>
      <c r="J25" s="98">
        <v>0</v>
      </c>
      <c r="K25" s="68">
        <f t="shared" si="7"/>
        <v>15.89</v>
      </c>
      <c r="L25" s="76">
        <f t="shared" si="8"/>
        <v>0.58162518301610544</v>
      </c>
      <c r="M25" s="95">
        <f t="shared" si="6"/>
        <v>0.1038562091503268</v>
      </c>
    </row>
    <row r="26" spans="1:13" ht="15.75" customHeight="1">
      <c r="A26" s="58" t="s">
        <v>146</v>
      </c>
      <c r="B26" s="98" t="s">
        <v>43</v>
      </c>
      <c r="C26" s="68">
        <v>86</v>
      </c>
      <c r="D26" s="68">
        <v>28.07</v>
      </c>
      <c r="E26" s="68">
        <v>28.07</v>
      </c>
      <c r="F26" s="68">
        <v>43.88</v>
      </c>
      <c r="G26" s="98">
        <v>0</v>
      </c>
      <c r="H26" s="98">
        <v>0</v>
      </c>
      <c r="I26" s="98">
        <v>0</v>
      </c>
      <c r="J26" s="98">
        <v>0</v>
      </c>
      <c r="K26" s="68">
        <f t="shared" si="7"/>
        <v>15.810000000000002</v>
      </c>
      <c r="L26" s="76">
        <f t="shared" si="8"/>
        <v>0.56323477021731394</v>
      </c>
      <c r="M26" s="95">
        <f t="shared" si="6"/>
        <v>0.10333333333333335</v>
      </c>
    </row>
    <row r="27" spans="1:13" ht="15.75" customHeight="1">
      <c r="A27" s="58" t="s">
        <v>146</v>
      </c>
      <c r="B27" s="98" t="s">
        <v>43</v>
      </c>
      <c r="C27" s="68">
        <v>88</v>
      </c>
      <c r="D27" s="68">
        <v>25.51</v>
      </c>
      <c r="E27" s="68">
        <v>25.51</v>
      </c>
      <c r="F27" s="68">
        <v>44.54</v>
      </c>
      <c r="G27" s="98">
        <v>0</v>
      </c>
      <c r="H27" s="98">
        <v>0</v>
      </c>
      <c r="I27" s="98">
        <v>0</v>
      </c>
      <c r="J27" s="98">
        <v>0</v>
      </c>
      <c r="K27" s="68">
        <f t="shared" si="7"/>
        <v>19.029999999999998</v>
      </c>
      <c r="L27" s="76">
        <f t="shared" si="8"/>
        <v>0.74598196785574267</v>
      </c>
      <c r="M27" s="95">
        <f t="shared" si="6"/>
        <v>0.12437908496732025</v>
      </c>
    </row>
    <row r="28" spans="1:13" ht="15.75" customHeight="1">
      <c r="A28" s="58" t="s">
        <v>146</v>
      </c>
      <c r="B28" s="98" t="s">
        <v>43</v>
      </c>
      <c r="C28" s="68">
        <v>90</v>
      </c>
      <c r="D28" s="68">
        <v>25.38</v>
      </c>
      <c r="E28" s="68">
        <v>25.38</v>
      </c>
      <c r="F28" s="68">
        <v>43.1</v>
      </c>
      <c r="G28" s="98">
        <v>0</v>
      </c>
      <c r="H28" s="98">
        <v>0</v>
      </c>
      <c r="I28" s="98">
        <v>0</v>
      </c>
      <c r="J28" s="98">
        <v>0</v>
      </c>
      <c r="K28" s="68">
        <f t="shared" si="7"/>
        <v>17.720000000000002</v>
      </c>
      <c r="L28" s="76">
        <f t="shared" si="8"/>
        <v>0.69818754925137916</v>
      </c>
      <c r="M28" s="95">
        <f t="shared" si="6"/>
        <v>0.1158169934640523</v>
      </c>
    </row>
    <row r="29" spans="1:13" ht="15.75" customHeight="1">
      <c r="A29" s="58" t="s">
        <v>146</v>
      </c>
      <c r="B29" s="98" t="s">
        <v>43</v>
      </c>
      <c r="C29" s="68">
        <v>94</v>
      </c>
      <c r="D29" s="68">
        <v>26.71</v>
      </c>
      <c r="E29" s="68">
        <v>26.71</v>
      </c>
      <c r="F29" s="68">
        <v>43</v>
      </c>
      <c r="G29" s="98">
        <v>0</v>
      </c>
      <c r="H29" s="98">
        <v>0</v>
      </c>
      <c r="I29" s="98">
        <v>0</v>
      </c>
      <c r="J29" s="98">
        <v>0</v>
      </c>
      <c r="K29" s="68">
        <f t="shared" si="7"/>
        <v>16.29</v>
      </c>
      <c r="L29" s="76">
        <f t="shared" si="8"/>
        <v>0.6098839385997753</v>
      </c>
      <c r="M29" s="95">
        <f t="shared" si="6"/>
        <v>0.10647058823529411</v>
      </c>
    </row>
    <row r="30" spans="1:13" ht="15.75" customHeight="1">
      <c r="A30" s="58" t="s">
        <v>146</v>
      </c>
      <c r="B30" s="98" t="s">
        <v>110</v>
      </c>
      <c r="C30" s="68">
        <v>13</v>
      </c>
      <c r="D30" s="68">
        <v>18.899999999999999</v>
      </c>
      <c r="E30" s="68">
        <v>19.649999999999999</v>
      </c>
      <c r="F30" s="68">
        <v>19.649999999999999</v>
      </c>
      <c r="G30" s="68">
        <f t="shared" ref="G30:G41" si="9">E30-D30</f>
        <v>0.75</v>
      </c>
      <c r="H30" s="95">
        <f t="shared" ref="H30:H41" si="10">G30/D30</f>
        <v>3.9682539682539687E-2</v>
      </c>
      <c r="I30" s="99">
        <f t="shared" ref="I30:I41" si="11">G30/(9*2+3*17*4)</f>
        <v>3.3783783783783786E-3</v>
      </c>
      <c r="J30" s="99">
        <f t="shared" ref="J30:J41" si="12">G30/153</f>
        <v>4.9019607843137254E-3</v>
      </c>
      <c r="K30" s="98">
        <v>0</v>
      </c>
      <c r="L30" s="98">
        <v>0</v>
      </c>
      <c r="M30" s="98">
        <v>0</v>
      </c>
    </row>
    <row r="31" spans="1:13" ht="15.75" customHeight="1">
      <c r="A31" s="58" t="s">
        <v>146</v>
      </c>
      <c r="B31" s="98" t="s">
        <v>110</v>
      </c>
      <c r="C31" s="68">
        <v>17</v>
      </c>
      <c r="D31" s="68">
        <v>19.18</v>
      </c>
      <c r="E31" s="68">
        <v>20.13</v>
      </c>
      <c r="F31" s="68">
        <v>20.13</v>
      </c>
      <c r="G31" s="68">
        <f t="shared" si="9"/>
        <v>0.94999999999999929</v>
      </c>
      <c r="H31" s="95">
        <f t="shared" si="10"/>
        <v>4.9530761209593287E-2</v>
      </c>
      <c r="I31" s="99">
        <f t="shared" si="11"/>
        <v>4.2792792792792763E-3</v>
      </c>
      <c r="J31" s="99">
        <f t="shared" si="12"/>
        <v>6.2091503267973809E-3</v>
      </c>
      <c r="K31" s="98">
        <v>0</v>
      </c>
      <c r="L31" s="98">
        <v>0</v>
      </c>
      <c r="M31" s="98">
        <v>0</v>
      </c>
    </row>
    <row r="32" spans="1:13" ht="15.75" customHeight="1">
      <c r="A32" s="58" t="s">
        <v>146</v>
      </c>
      <c r="B32" s="98" t="s">
        <v>110</v>
      </c>
      <c r="C32" s="68">
        <v>33</v>
      </c>
      <c r="D32" s="68">
        <v>25.93</v>
      </c>
      <c r="E32" s="68">
        <v>26.51</v>
      </c>
      <c r="F32" s="68">
        <v>26.51</v>
      </c>
      <c r="G32" s="68">
        <f t="shared" si="9"/>
        <v>0.58000000000000185</v>
      </c>
      <c r="H32" s="95">
        <f t="shared" si="10"/>
        <v>2.2367913613575083E-2</v>
      </c>
      <c r="I32" s="99">
        <f t="shared" si="11"/>
        <v>2.6126126126126211E-3</v>
      </c>
      <c r="J32" s="99">
        <f t="shared" si="12"/>
        <v>3.7908496732026262E-3</v>
      </c>
      <c r="K32" s="98">
        <v>0</v>
      </c>
      <c r="L32" s="98">
        <v>0</v>
      </c>
      <c r="M32" s="98">
        <v>0</v>
      </c>
    </row>
    <row r="33" spans="1:13" ht="15.75" customHeight="1">
      <c r="A33" s="58" t="s">
        <v>146</v>
      </c>
      <c r="B33" s="98" t="s">
        <v>110</v>
      </c>
      <c r="C33" s="68">
        <v>42</v>
      </c>
      <c r="D33" s="68">
        <v>24.23</v>
      </c>
      <c r="E33" s="68">
        <v>27.09</v>
      </c>
      <c r="F33" s="68">
        <v>27.09</v>
      </c>
      <c r="G33" s="68">
        <f t="shared" si="9"/>
        <v>2.8599999999999994</v>
      </c>
      <c r="H33" s="95">
        <f t="shared" si="10"/>
        <v>0.11803549319025998</v>
      </c>
      <c r="I33" s="99">
        <f t="shared" si="11"/>
        <v>1.288288288288288E-2</v>
      </c>
      <c r="J33" s="99">
        <f t="shared" si="12"/>
        <v>1.8692810457516335E-2</v>
      </c>
      <c r="K33" s="98">
        <v>0</v>
      </c>
      <c r="L33" s="98">
        <v>0</v>
      </c>
      <c r="M33" s="98">
        <v>0</v>
      </c>
    </row>
    <row r="34" spans="1:13" ht="15.75" customHeight="1">
      <c r="A34" s="58" t="s">
        <v>146</v>
      </c>
      <c r="B34" s="98" t="s">
        <v>110</v>
      </c>
      <c r="C34" s="68">
        <v>59</v>
      </c>
      <c r="D34" s="68">
        <v>26.13</v>
      </c>
      <c r="E34" s="68">
        <v>27.05</v>
      </c>
      <c r="F34" s="68">
        <v>27.05</v>
      </c>
      <c r="G34" s="68">
        <f t="shared" si="9"/>
        <v>0.92000000000000171</v>
      </c>
      <c r="H34" s="95">
        <f t="shared" si="10"/>
        <v>3.5208572522005425E-2</v>
      </c>
      <c r="I34" s="99">
        <f t="shared" si="11"/>
        <v>4.1441441441441521E-3</v>
      </c>
      <c r="J34" s="99">
        <f t="shared" si="12"/>
        <v>6.013071895424848E-3</v>
      </c>
      <c r="K34" s="98">
        <v>0</v>
      </c>
      <c r="L34" s="98">
        <v>0</v>
      </c>
      <c r="M34" s="98">
        <v>0</v>
      </c>
    </row>
    <row r="35" spans="1:13" ht="15.75" customHeight="1">
      <c r="A35" s="58" t="s">
        <v>146</v>
      </c>
      <c r="B35" s="98" t="s">
        <v>110</v>
      </c>
      <c r="C35" s="68">
        <v>61</v>
      </c>
      <c r="D35" s="68">
        <v>25.27</v>
      </c>
      <c r="E35" s="68">
        <v>26.41</v>
      </c>
      <c r="F35" s="68">
        <v>26.41</v>
      </c>
      <c r="G35" s="68">
        <f t="shared" si="9"/>
        <v>1.1400000000000006</v>
      </c>
      <c r="H35" s="95">
        <f t="shared" si="10"/>
        <v>4.5112781954887243E-2</v>
      </c>
      <c r="I35" s="99">
        <f t="shared" si="11"/>
        <v>5.1351351351351373E-3</v>
      </c>
      <c r="J35" s="99">
        <f t="shared" si="12"/>
        <v>7.4509803921568663E-3</v>
      </c>
      <c r="K35" s="98">
        <v>0</v>
      </c>
      <c r="L35" s="98">
        <v>0</v>
      </c>
      <c r="M35" s="98">
        <v>0</v>
      </c>
    </row>
    <row r="36" spans="1:13" ht="15.75" customHeight="1">
      <c r="A36" s="58" t="s">
        <v>146</v>
      </c>
      <c r="B36" s="98" t="s">
        <v>110</v>
      </c>
      <c r="C36" s="68">
        <v>67</v>
      </c>
      <c r="D36" s="68">
        <v>24.68</v>
      </c>
      <c r="E36" s="68">
        <v>25.27</v>
      </c>
      <c r="F36" s="68">
        <v>25.27</v>
      </c>
      <c r="G36" s="68">
        <f t="shared" si="9"/>
        <v>0.58999999999999986</v>
      </c>
      <c r="H36" s="95">
        <f t="shared" si="10"/>
        <v>2.3905996758508907E-2</v>
      </c>
      <c r="I36" s="99">
        <f t="shared" si="11"/>
        <v>2.657657657657657E-3</v>
      </c>
      <c r="J36" s="99">
        <f t="shared" si="12"/>
        <v>3.8562091503267963E-3</v>
      </c>
      <c r="K36" s="98">
        <v>0</v>
      </c>
      <c r="L36" s="98">
        <v>0</v>
      </c>
      <c r="M36" s="98">
        <v>0</v>
      </c>
    </row>
    <row r="37" spans="1:13" ht="15.75" customHeight="1">
      <c r="A37" s="58" t="s">
        <v>146</v>
      </c>
      <c r="B37" s="98" t="s">
        <v>110</v>
      </c>
      <c r="C37" s="68">
        <v>74</v>
      </c>
      <c r="D37" s="68">
        <v>19.45</v>
      </c>
      <c r="E37" s="68">
        <v>20.11</v>
      </c>
      <c r="F37" s="68">
        <v>20.11</v>
      </c>
      <c r="G37" s="68">
        <f t="shared" si="9"/>
        <v>0.66000000000000014</v>
      </c>
      <c r="H37" s="95">
        <f t="shared" si="10"/>
        <v>3.3933161953727517E-2</v>
      </c>
      <c r="I37" s="99">
        <f t="shared" si="11"/>
        <v>2.9729729729729734E-3</v>
      </c>
      <c r="J37" s="99">
        <f t="shared" si="12"/>
        <v>4.3137254901960791E-3</v>
      </c>
      <c r="K37" s="98">
        <v>0</v>
      </c>
      <c r="L37" s="98">
        <v>0</v>
      </c>
      <c r="M37" s="98">
        <v>0</v>
      </c>
    </row>
    <row r="38" spans="1:13" ht="15.75" customHeight="1">
      <c r="A38" s="58" t="s">
        <v>146</v>
      </c>
      <c r="B38" s="98" t="s">
        <v>110</v>
      </c>
      <c r="C38" s="68">
        <v>79</v>
      </c>
      <c r="D38" s="68">
        <v>27.23</v>
      </c>
      <c r="E38" s="68">
        <v>28.25</v>
      </c>
      <c r="F38" s="68">
        <v>28.25</v>
      </c>
      <c r="G38" s="68">
        <f t="shared" si="9"/>
        <v>1.0199999999999996</v>
      </c>
      <c r="H38" s="95">
        <f t="shared" si="10"/>
        <v>3.7458685273595284E-2</v>
      </c>
      <c r="I38" s="99">
        <f t="shared" si="11"/>
        <v>4.5945945945945928E-3</v>
      </c>
      <c r="J38" s="99">
        <f t="shared" si="12"/>
        <v>6.6666666666666636E-3</v>
      </c>
      <c r="K38" s="98">
        <v>0</v>
      </c>
      <c r="L38" s="98">
        <v>0</v>
      </c>
      <c r="M38" s="98">
        <v>0</v>
      </c>
    </row>
    <row r="39" spans="1:13" ht="15.75" customHeight="1">
      <c r="A39" s="58" t="s">
        <v>146</v>
      </c>
      <c r="B39" s="98" t="s">
        <v>110</v>
      </c>
      <c r="C39" s="68">
        <v>87</v>
      </c>
      <c r="D39" s="68">
        <v>28.05</v>
      </c>
      <c r="E39" s="68">
        <v>28.68</v>
      </c>
      <c r="F39" s="68">
        <v>28.68</v>
      </c>
      <c r="G39" s="68">
        <f t="shared" si="9"/>
        <v>0.62999999999999901</v>
      </c>
      <c r="H39" s="95">
        <f t="shared" si="10"/>
        <v>2.2459893048128305E-2</v>
      </c>
      <c r="I39" s="99">
        <f t="shared" si="11"/>
        <v>2.8378378378378336E-3</v>
      </c>
      <c r="J39" s="99">
        <f t="shared" si="12"/>
        <v>4.1176470588235228E-3</v>
      </c>
      <c r="K39" s="98">
        <v>0</v>
      </c>
      <c r="L39" s="98">
        <v>0</v>
      </c>
      <c r="M39" s="98">
        <v>0</v>
      </c>
    </row>
    <row r="40" spans="1:13" ht="15.75" customHeight="1">
      <c r="A40" s="58" t="s">
        <v>146</v>
      </c>
      <c r="B40" s="98" t="s">
        <v>110</v>
      </c>
      <c r="C40" s="68">
        <v>89</v>
      </c>
      <c r="D40" s="68">
        <v>25.06</v>
      </c>
      <c r="E40" s="68">
        <v>25.7</v>
      </c>
      <c r="F40" s="68">
        <v>25.7</v>
      </c>
      <c r="G40" s="68">
        <f t="shared" si="9"/>
        <v>0.64000000000000057</v>
      </c>
      <c r="H40" s="95">
        <f t="shared" si="10"/>
        <v>2.5538707102952939E-2</v>
      </c>
      <c r="I40" s="99">
        <f t="shared" si="11"/>
        <v>2.8828828828828855E-3</v>
      </c>
      <c r="J40" s="99">
        <f t="shared" si="12"/>
        <v>4.1830065359477163E-3</v>
      </c>
      <c r="K40" s="98">
        <v>0</v>
      </c>
      <c r="L40" s="98">
        <v>0</v>
      </c>
      <c r="M40" s="98">
        <v>0</v>
      </c>
    </row>
    <row r="41" spans="1:13" ht="15.75" customHeight="1">
      <c r="A41" s="58" t="s">
        <v>146</v>
      </c>
      <c r="B41" s="98" t="s">
        <v>110</v>
      </c>
      <c r="C41" s="68">
        <v>93</v>
      </c>
      <c r="D41" s="68">
        <v>25.94</v>
      </c>
      <c r="E41" s="68">
        <v>26.49</v>
      </c>
      <c r="F41" s="68">
        <v>26.49</v>
      </c>
      <c r="G41" s="68">
        <f t="shared" si="9"/>
        <v>0.54999999999999716</v>
      </c>
      <c r="H41" s="95">
        <f t="shared" si="10"/>
        <v>2.1202775636083158E-2</v>
      </c>
      <c r="I41" s="99">
        <f t="shared" si="11"/>
        <v>2.4774774774774647E-3</v>
      </c>
      <c r="J41" s="99">
        <f t="shared" si="12"/>
        <v>3.594771241830047E-3</v>
      </c>
      <c r="K41" s="98">
        <v>0</v>
      </c>
      <c r="L41" s="98">
        <v>0</v>
      </c>
      <c r="M41" s="98">
        <v>0</v>
      </c>
    </row>
    <row r="42" spans="1:13" ht="15.75" customHeight="1">
      <c r="A42" s="58" t="s">
        <v>32</v>
      </c>
      <c r="B42" s="98" t="s">
        <v>43</v>
      </c>
      <c r="C42" s="58">
        <v>1</v>
      </c>
      <c r="D42" s="58">
        <v>12.26</v>
      </c>
      <c r="E42" s="58">
        <v>12.26</v>
      </c>
      <c r="F42" s="58">
        <v>24.02</v>
      </c>
      <c r="G42" s="98">
        <v>0</v>
      </c>
      <c r="H42" s="98">
        <v>0</v>
      </c>
      <c r="I42" s="98">
        <v>0</v>
      </c>
      <c r="J42" s="98">
        <v>0</v>
      </c>
      <c r="K42" s="58">
        <v>11.76</v>
      </c>
      <c r="L42" s="58">
        <v>0.95921696574225124</v>
      </c>
      <c r="M42" s="58">
        <v>7.6862745098039212E-2</v>
      </c>
    </row>
    <row r="43" spans="1:13" ht="15.75" customHeight="1">
      <c r="A43" s="58" t="s">
        <v>32</v>
      </c>
      <c r="B43" s="98" t="s">
        <v>43</v>
      </c>
      <c r="C43" s="58">
        <v>51</v>
      </c>
      <c r="D43" s="58">
        <v>12.69</v>
      </c>
      <c r="E43" s="58">
        <v>12.69</v>
      </c>
      <c r="F43" s="58">
        <v>23.88</v>
      </c>
      <c r="G43" s="98">
        <v>0</v>
      </c>
      <c r="H43" s="98">
        <v>0</v>
      </c>
      <c r="I43" s="98">
        <v>0</v>
      </c>
      <c r="J43" s="98">
        <v>0</v>
      </c>
      <c r="K43" s="58">
        <v>11.19</v>
      </c>
      <c r="L43" s="58">
        <v>0.88179669030732855</v>
      </c>
      <c r="M43" s="58">
        <v>7.3137254901960783E-2</v>
      </c>
    </row>
    <row r="44" spans="1:13" ht="15.75" customHeight="1">
      <c r="A44" s="58" t="s">
        <v>32</v>
      </c>
      <c r="B44" s="98" t="s">
        <v>43</v>
      </c>
      <c r="C44" s="58">
        <v>57</v>
      </c>
      <c r="D44" s="58">
        <v>12.29</v>
      </c>
      <c r="E44" s="58">
        <v>12.29</v>
      </c>
      <c r="F44" s="58">
        <v>24.73</v>
      </c>
      <c r="G44" s="98">
        <v>0</v>
      </c>
      <c r="H44" s="98">
        <v>0</v>
      </c>
      <c r="I44" s="98">
        <v>0</v>
      </c>
      <c r="J44" s="98">
        <v>0</v>
      </c>
      <c r="K44" s="58">
        <v>12.440000000000001</v>
      </c>
      <c r="L44" s="58">
        <v>1.0122050447518309</v>
      </c>
      <c r="M44" s="58">
        <v>8.1307189542483671E-2</v>
      </c>
    </row>
    <row r="45" spans="1:13" ht="15.75" customHeight="1">
      <c r="A45" s="58" t="s">
        <v>32</v>
      </c>
      <c r="B45" s="98" t="s">
        <v>43</v>
      </c>
      <c r="C45" s="58">
        <v>68</v>
      </c>
      <c r="D45" s="58">
        <v>13.51</v>
      </c>
      <c r="E45" s="58">
        <v>13.51</v>
      </c>
      <c r="F45" s="58">
        <v>25.44</v>
      </c>
      <c r="G45" s="98">
        <v>0</v>
      </c>
      <c r="H45" s="98">
        <v>0</v>
      </c>
      <c r="I45" s="98">
        <v>0</v>
      </c>
      <c r="J45" s="98">
        <v>0</v>
      </c>
      <c r="K45" s="58">
        <v>11.930000000000001</v>
      </c>
      <c r="L45" s="58">
        <v>0.88304959289415264</v>
      </c>
      <c r="M45" s="58">
        <v>7.797385620915033E-2</v>
      </c>
    </row>
    <row r="46" spans="1:13" ht="15.75" customHeight="1">
      <c r="A46" s="58" t="s">
        <v>33</v>
      </c>
      <c r="B46" s="98" t="s">
        <v>43</v>
      </c>
      <c r="C46" s="58">
        <v>6</v>
      </c>
      <c r="D46" s="58">
        <v>14.95</v>
      </c>
      <c r="E46" s="58">
        <v>14.95</v>
      </c>
      <c r="F46" s="58">
        <v>27.62</v>
      </c>
      <c r="G46" s="98">
        <v>0</v>
      </c>
      <c r="H46" s="98">
        <v>0</v>
      </c>
      <c r="I46" s="98">
        <v>0</v>
      </c>
      <c r="J46" s="98">
        <v>0</v>
      </c>
      <c r="K46" s="58">
        <v>12.670000000000002</v>
      </c>
      <c r="L46" s="58">
        <v>0.84749163879598677</v>
      </c>
      <c r="M46" s="58">
        <v>8.2810457516339878E-2</v>
      </c>
    </row>
    <row r="47" spans="1:13" ht="15.75" customHeight="1">
      <c r="A47" s="58" t="s">
        <v>33</v>
      </c>
      <c r="B47" s="98" t="s">
        <v>43</v>
      </c>
      <c r="C47" s="58">
        <v>9</v>
      </c>
      <c r="D47" s="58">
        <v>15.35</v>
      </c>
      <c r="E47" s="58">
        <v>15.35</v>
      </c>
      <c r="F47" s="58">
        <v>28.75</v>
      </c>
      <c r="G47" s="98">
        <v>0</v>
      </c>
      <c r="H47" s="98">
        <v>0</v>
      </c>
      <c r="I47" s="98">
        <v>0</v>
      </c>
      <c r="J47" s="98">
        <v>0</v>
      </c>
      <c r="K47" s="58">
        <v>13.4</v>
      </c>
      <c r="L47" s="58">
        <v>0.87296416938110755</v>
      </c>
      <c r="M47" s="58">
        <v>8.7581699346405237E-2</v>
      </c>
    </row>
    <row r="48" spans="1:13" ht="15.75" customHeight="1">
      <c r="A48" s="58" t="s">
        <v>33</v>
      </c>
      <c r="B48" s="98" t="s">
        <v>43</v>
      </c>
      <c r="C48" s="58">
        <v>45</v>
      </c>
      <c r="D48" s="58">
        <v>16.09</v>
      </c>
      <c r="E48" s="58">
        <v>16.09</v>
      </c>
      <c r="F48" s="58">
        <v>29.51</v>
      </c>
      <c r="G48" s="98">
        <v>0</v>
      </c>
      <c r="H48" s="98">
        <v>0</v>
      </c>
      <c r="I48" s="98">
        <v>0</v>
      </c>
      <c r="J48" s="98">
        <v>0</v>
      </c>
      <c r="K48" s="58">
        <v>13.420000000000002</v>
      </c>
      <c r="L48" s="58">
        <v>0.83405842137973907</v>
      </c>
      <c r="M48" s="58">
        <v>8.77124183006536E-2</v>
      </c>
    </row>
    <row r="49" spans="1:13" ht="15.75" customHeight="1">
      <c r="A49" s="58" t="s">
        <v>33</v>
      </c>
      <c r="B49" s="98" t="s">
        <v>43</v>
      </c>
      <c r="C49" s="58">
        <v>48</v>
      </c>
      <c r="D49" s="58">
        <v>15.71</v>
      </c>
      <c r="E49" s="58">
        <v>15.71</v>
      </c>
      <c r="F49" s="58">
        <v>28.95</v>
      </c>
      <c r="G49" s="98">
        <v>0</v>
      </c>
      <c r="H49" s="98">
        <v>0</v>
      </c>
      <c r="I49" s="98">
        <v>0</v>
      </c>
      <c r="J49" s="98">
        <v>0</v>
      </c>
      <c r="K49" s="58">
        <v>13.239999999999998</v>
      </c>
      <c r="L49" s="58">
        <v>0.84277530235518761</v>
      </c>
      <c r="M49" s="58">
        <v>8.6535947712418293E-2</v>
      </c>
    </row>
    <row r="50" spans="1:13" ht="15.75" customHeight="1">
      <c r="A50" s="58" t="s">
        <v>33</v>
      </c>
      <c r="B50" s="98" t="s">
        <v>43</v>
      </c>
      <c r="C50" s="58">
        <v>62</v>
      </c>
      <c r="D50" s="58">
        <v>15.76</v>
      </c>
      <c r="E50" s="58">
        <v>15.76</v>
      </c>
      <c r="F50" s="58">
        <v>28.09</v>
      </c>
      <c r="G50" s="98">
        <v>0</v>
      </c>
      <c r="H50" s="98">
        <v>0</v>
      </c>
      <c r="I50" s="98">
        <v>0</v>
      </c>
      <c r="J50" s="98">
        <v>0</v>
      </c>
      <c r="K50" s="58">
        <v>12.33</v>
      </c>
      <c r="L50" s="58">
        <v>0.78236040609137059</v>
      </c>
      <c r="M50" s="58">
        <v>8.0588235294117641E-2</v>
      </c>
    </row>
    <row r="51" spans="1:13" ht="15.75" customHeight="1">
      <c r="A51" s="58" t="s">
        <v>35</v>
      </c>
      <c r="B51" s="98" t="s">
        <v>43</v>
      </c>
      <c r="C51" s="58">
        <v>17</v>
      </c>
      <c r="D51" s="58">
        <v>19.14</v>
      </c>
      <c r="E51" s="58">
        <v>19.14</v>
      </c>
      <c r="F51" s="58">
        <v>31.15</v>
      </c>
      <c r="G51" s="98">
        <v>0</v>
      </c>
      <c r="H51" s="98">
        <v>0</v>
      </c>
      <c r="I51" s="98">
        <v>0</v>
      </c>
      <c r="J51" s="98">
        <v>0</v>
      </c>
      <c r="K51" s="58">
        <v>12.009999999999998</v>
      </c>
      <c r="L51" s="58">
        <v>0.62748171368861017</v>
      </c>
      <c r="M51" s="58">
        <v>7.8496732026143781E-2</v>
      </c>
    </row>
    <row r="52" spans="1:13" ht="15.75" customHeight="1">
      <c r="A52" s="58" t="s">
        <v>35</v>
      </c>
      <c r="B52" s="98" t="s">
        <v>43</v>
      </c>
      <c r="C52" s="58">
        <v>71</v>
      </c>
      <c r="D52" s="58">
        <v>21.44</v>
      </c>
      <c r="E52" s="58">
        <v>21.44</v>
      </c>
      <c r="F52" s="58">
        <v>33.31</v>
      </c>
      <c r="G52" s="98">
        <v>0</v>
      </c>
      <c r="H52" s="98">
        <v>0</v>
      </c>
      <c r="I52" s="98">
        <v>0</v>
      </c>
      <c r="J52" s="98">
        <v>0</v>
      </c>
      <c r="K52" s="58">
        <v>11.870000000000001</v>
      </c>
      <c r="L52" s="58">
        <v>0.5536380597014926</v>
      </c>
      <c r="M52" s="58">
        <v>7.7581699346405242E-2</v>
      </c>
    </row>
    <row r="53" spans="1:13" ht="15.75" customHeight="1">
      <c r="A53" s="58" t="s">
        <v>35</v>
      </c>
      <c r="B53" s="98" t="s">
        <v>43</v>
      </c>
      <c r="C53" s="58">
        <v>35</v>
      </c>
      <c r="D53" s="58">
        <v>19.12</v>
      </c>
      <c r="E53" s="58">
        <v>19.12</v>
      </c>
      <c r="F53" s="58">
        <v>31.3</v>
      </c>
      <c r="G53" s="98">
        <v>0</v>
      </c>
      <c r="H53" s="98">
        <v>0</v>
      </c>
      <c r="I53" s="98">
        <v>0</v>
      </c>
      <c r="J53" s="98">
        <v>0</v>
      </c>
      <c r="K53" s="58">
        <v>12.18</v>
      </c>
      <c r="L53" s="58">
        <v>0.63702928870292885</v>
      </c>
      <c r="M53" s="58">
        <v>7.9607843137254899E-2</v>
      </c>
    </row>
    <row r="54" spans="1:13" ht="15.75" customHeight="1">
      <c r="A54" s="58" t="s">
        <v>35</v>
      </c>
      <c r="B54" s="98" t="s">
        <v>43</v>
      </c>
      <c r="C54" s="58">
        <v>121</v>
      </c>
      <c r="D54" s="58">
        <v>20.81</v>
      </c>
      <c r="E54" s="58">
        <v>20.81</v>
      </c>
      <c r="F54" s="58">
        <v>32.86</v>
      </c>
      <c r="G54" s="98">
        <v>0</v>
      </c>
      <c r="H54" s="98">
        <v>0</v>
      </c>
      <c r="I54" s="98">
        <v>0</v>
      </c>
      <c r="J54" s="98">
        <v>0</v>
      </c>
      <c r="K54" s="58">
        <v>12.05</v>
      </c>
      <c r="L54" s="58">
        <v>0.57904853435848158</v>
      </c>
      <c r="M54" s="58">
        <v>7.8758169934640521E-2</v>
      </c>
    </row>
    <row r="55" spans="1:13" ht="15.75" customHeight="1">
      <c r="A55" s="58" t="s">
        <v>35</v>
      </c>
      <c r="B55" s="98" t="s">
        <v>43</v>
      </c>
      <c r="C55" s="58">
        <v>128</v>
      </c>
      <c r="D55" s="58">
        <v>20.78</v>
      </c>
      <c r="E55" s="58">
        <v>20.78</v>
      </c>
      <c r="F55" s="58">
        <v>34.39</v>
      </c>
      <c r="G55" s="98">
        <v>0</v>
      </c>
      <c r="H55" s="98">
        <v>0</v>
      </c>
      <c r="I55" s="98">
        <v>0</v>
      </c>
      <c r="J55" s="98">
        <v>0</v>
      </c>
      <c r="K55" s="58">
        <v>13.61</v>
      </c>
      <c r="L55" s="58">
        <v>0.65495668912415783</v>
      </c>
      <c r="M55" s="58">
        <v>8.8954248366013067E-2</v>
      </c>
    </row>
    <row r="56" spans="1:13" ht="15.75" customHeight="1">
      <c r="A56" s="58" t="s">
        <v>36</v>
      </c>
      <c r="B56" s="98" t="s">
        <v>43</v>
      </c>
      <c r="C56" s="58">
        <v>23</v>
      </c>
      <c r="D56" s="58">
        <v>13.87</v>
      </c>
      <c r="E56" s="58">
        <v>13.87</v>
      </c>
      <c r="F56" s="58">
        <v>27.88</v>
      </c>
      <c r="G56" s="98">
        <v>0</v>
      </c>
      <c r="H56" s="98">
        <v>0</v>
      </c>
      <c r="I56" s="98">
        <v>0</v>
      </c>
      <c r="J56" s="98">
        <v>0</v>
      </c>
      <c r="K56" s="58">
        <v>14.01</v>
      </c>
      <c r="L56" s="58">
        <v>1.0100937274693584</v>
      </c>
      <c r="M56" s="58">
        <v>9.1568627450980392E-2</v>
      </c>
    </row>
    <row r="57" spans="1:13" ht="15.75" customHeight="1">
      <c r="A57" s="58" t="s">
        <v>36</v>
      </c>
      <c r="B57" s="98" t="s">
        <v>43</v>
      </c>
      <c r="C57" s="58">
        <v>29</v>
      </c>
      <c r="D57" s="58">
        <v>12.05</v>
      </c>
      <c r="E57" s="58">
        <v>12.05</v>
      </c>
      <c r="F57" s="58">
        <v>25.85</v>
      </c>
      <c r="G57" s="98">
        <v>0</v>
      </c>
      <c r="H57" s="98">
        <v>0</v>
      </c>
      <c r="I57" s="98">
        <v>0</v>
      </c>
      <c r="J57" s="98">
        <v>0</v>
      </c>
      <c r="K57" s="58">
        <v>13.8</v>
      </c>
      <c r="L57" s="58">
        <v>1.1452282157676348</v>
      </c>
      <c r="M57" s="58">
        <v>9.0196078431372548E-2</v>
      </c>
    </row>
    <row r="58" spans="1:13" ht="15.75" customHeight="1">
      <c r="A58" s="58" t="s">
        <v>36</v>
      </c>
      <c r="B58" s="98" t="s">
        <v>43</v>
      </c>
      <c r="C58" s="58">
        <v>41</v>
      </c>
      <c r="D58" s="58">
        <v>12.43</v>
      </c>
      <c r="E58" s="58">
        <v>12.43</v>
      </c>
      <c r="F58" s="58">
        <v>25.79</v>
      </c>
      <c r="G58" s="98">
        <v>0</v>
      </c>
      <c r="H58" s="98">
        <v>0</v>
      </c>
      <c r="I58" s="98">
        <v>0</v>
      </c>
      <c r="J58" s="98">
        <v>0</v>
      </c>
      <c r="K58" s="58">
        <v>13.36</v>
      </c>
      <c r="L58" s="58">
        <v>1.074818986323411</v>
      </c>
      <c r="M58" s="58">
        <v>8.7320261437908497E-2</v>
      </c>
    </row>
    <row r="59" spans="1:13" ht="15.75" customHeight="1">
      <c r="A59" s="58" t="s">
        <v>36</v>
      </c>
      <c r="B59" s="98" t="s">
        <v>43</v>
      </c>
      <c r="C59" s="58">
        <v>15</v>
      </c>
      <c r="D59" s="58">
        <v>13.16</v>
      </c>
      <c r="E59" s="58">
        <v>13.16</v>
      </c>
      <c r="F59" s="58">
        <v>25.42</v>
      </c>
      <c r="G59" s="98">
        <v>0</v>
      </c>
      <c r="H59" s="98">
        <v>0</v>
      </c>
      <c r="I59" s="98">
        <v>0</v>
      </c>
      <c r="J59" s="98">
        <v>0</v>
      </c>
      <c r="K59" s="58">
        <v>12.260000000000002</v>
      </c>
      <c r="L59" s="58">
        <v>0.93161094224924024</v>
      </c>
      <c r="M59" s="58">
        <v>8.0130718954248378E-2</v>
      </c>
    </row>
    <row r="60" spans="1:13" ht="15.75" customHeight="1">
      <c r="A60" s="58" t="s">
        <v>36</v>
      </c>
      <c r="B60" s="98" t="s">
        <v>43</v>
      </c>
      <c r="C60" s="58">
        <v>112</v>
      </c>
      <c r="D60" s="58">
        <v>13.08</v>
      </c>
      <c r="E60" s="58">
        <v>13.08</v>
      </c>
      <c r="F60" s="58">
        <v>23.97</v>
      </c>
      <c r="G60" s="98">
        <v>0</v>
      </c>
      <c r="H60" s="98">
        <v>0</v>
      </c>
      <c r="I60" s="98">
        <v>0</v>
      </c>
      <c r="J60" s="98">
        <v>0</v>
      </c>
      <c r="K60" s="58">
        <v>10.889999999999999</v>
      </c>
      <c r="L60" s="58">
        <v>0.83256880733944949</v>
      </c>
      <c r="M60" s="58">
        <v>7.1176470588235285E-2</v>
      </c>
    </row>
    <row r="61" spans="1:13" ht="15.75" customHeight="1">
      <c r="A61" s="58" t="s">
        <v>32</v>
      </c>
      <c r="B61" s="98" t="s">
        <v>112</v>
      </c>
      <c r="C61" s="58">
        <v>2</v>
      </c>
      <c r="D61" s="58">
        <v>12.03</v>
      </c>
      <c r="E61" s="58"/>
      <c r="F61" s="58"/>
      <c r="G61" s="58"/>
      <c r="H61" s="246"/>
      <c r="I61" s="247"/>
      <c r="J61" s="247"/>
      <c r="K61" s="58"/>
      <c r="L61" s="246"/>
      <c r="M61" s="246"/>
    </row>
    <row r="62" spans="1:13" ht="15.75" customHeight="1">
      <c r="A62" s="58" t="s">
        <v>32</v>
      </c>
      <c r="B62" s="98" t="s">
        <v>112</v>
      </c>
      <c r="C62" s="58">
        <v>52</v>
      </c>
      <c r="D62" s="58">
        <v>12.79</v>
      </c>
      <c r="E62" s="58"/>
      <c r="F62" s="58"/>
      <c r="G62" s="58"/>
      <c r="H62" s="246"/>
      <c r="I62" s="247"/>
      <c r="J62" s="247"/>
      <c r="K62" s="58"/>
      <c r="L62" s="246"/>
      <c r="M62" s="246"/>
    </row>
    <row r="63" spans="1:13" ht="15.75" customHeight="1">
      <c r="A63" s="58" t="s">
        <v>32</v>
      </c>
      <c r="B63" s="98" t="s">
        <v>112</v>
      </c>
      <c r="C63" s="58">
        <v>58</v>
      </c>
      <c r="D63" s="58">
        <v>12.15</v>
      </c>
      <c r="E63" s="58"/>
      <c r="F63" s="58"/>
      <c r="G63" s="58"/>
      <c r="H63" s="246"/>
      <c r="I63" s="247"/>
      <c r="J63" s="247"/>
      <c r="K63" s="58"/>
      <c r="L63" s="246"/>
      <c r="M63" s="246"/>
    </row>
    <row r="64" spans="1:13" ht="15.75" customHeight="1">
      <c r="A64" s="58" t="s">
        <v>32</v>
      </c>
      <c r="B64" s="98" t="s">
        <v>112</v>
      </c>
      <c r="C64" s="58">
        <v>65</v>
      </c>
      <c r="D64" s="58">
        <v>14.16</v>
      </c>
      <c r="E64" s="58">
        <v>14.82</v>
      </c>
      <c r="F64" s="58">
        <v>27.48</v>
      </c>
      <c r="G64" s="58">
        <v>0.66000000000000014</v>
      </c>
      <c r="H64" s="246">
        <v>4.6610169491525431E-2</v>
      </c>
      <c r="I64" s="247">
        <v>2.9729729729729734E-3</v>
      </c>
      <c r="J64" s="247">
        <v>4.3137254901960791E-3</v>
      </c>
      <c r="K64" s="58">
        <v>12.66</v>
      </c>
      <c r="L64" s="246">
        <v>0.85425101214574894</v>
      </c>
      <c r="M64" s="246">
        <v>8.2745098039215689E-2</v>
      </c>
    </row>
    <row r="65" spans="1:13" ht="15.75" customHeight="1">
      <c r="A65" s="58" t="s">
        <v>32</v>
      </c>
      <c r="B65" s="98" t="s">
        <v>112</v>
      </c>
      <c r="C65" s="58">
        <v>69</v>
      </c>
      <c r="D65" s="58">
        <v>13.99</v>
      </c>
      <c r="E65" s="58">
        <v>14.22</v>
      </c>
      <c r="F65" s="58">
        <v>27.001000000000001</v>
      </c>
      <c r="G65" s="58">
        <v>0.23000000000000043</v>
      </c>
      <c r="H65" s="246">
        <v>1.6440314510364578E-2</v>
      </c>
      <c r="I65" s="247">
        <v>1.036036036036038E-3</v>
      </c>
      <c r="J65" s="247">
        <v>1.503267973856212E-3</v>
      </c>
      <c r="K65" s="58">
        <v>12.781000000000001</v>
      </c>
      <c r="L65" s="246">
        <v>0.89880450070323492</v>
      </c>
      <c r="M65" s="246">
        <v>8.3535947712418304E-2</v>
      </c>
    </row>
    <row r="66" spans="1:13" ht="15.75" customHeight="1">
      <c r="A66" s="58" t="s">
        <v>33</v>
      </c>
      <c r="B66" s="98" t="s">
        <v>112</v>
      </c>
      <c r="C66" s="58">
        <v>7</v>
      </c>
      <c r="D66" s="58">
        <v>14.92</v>
      </c>
      <c r="E66" s="58">
        <v>15.6</v>
      </c>
      <c r="F66" s="58">
        <v>29.64</v>
      </c>
      <c r="G66" s="58">
        <v>0.67999999999999972</v>
      </c>
      <c r="H66" s="246">
        <v>4.5576407506702395E-2</v>
      </c>
      <c r="I66" s="247">
        <v>3.0630630630630617E-3</v>
      </c>
      <c r="J66" s="247">
        <v>4.4444444444444427E-3</v>
      </c>
      <c r="K66" s="58">
        <v>14.040000000000001</v>
      </c>
      <c r="L66" s="246">
        <v>0.90000000000000013</v>
      </c>
      <c r="M66" s="246">
        <v>9.1764705882352943E-2</v>
      </c>
    </row>
    <row r="67" spans="1:13" ht="15.75" customHeight="1">
      <c r="A67" s="58" t="s">
        <v>33</v>
      </c>
      <c r="B67" s="98" t="s">
        <v>112</v>
      </c>
      <c r="C67" s="58">
        <v>10</v>
      </c>
      <c r="D67" s="58">
        <v>15.44</v>
      </c>
      <c r="E67" s="58">
        <v>16.25</v>
      </c>
      <c r="F67" s="58">
        <v>30.03</v>
      </c>
      <c r="G67" s="58">
        <v>0.8100000000000005</v>
      </c>
      <c r="H67" s="246">
        <v>5.2461139896373091E-2</v>
      </c>
      <c r="I67" s="247">
        <v>3.6486486486486508E-3</v>
      </c>
      <c r="J67" s="247">
        <v>5.2941176470588268E-3</v>
      </c>
      <c r="K67" s="58">
        <v>13.780000000000001</v>
      </c>
      <c r="L67" s="246">
        <v>0.84800000000000009</v>
      </c>
      <c r="M67" s="246">
        <v>9.0065359477124185E-2</v>
      </c>
    </row>
    <row r="68" spans="1:13" ht="15.75" customHeight="1">
      <c r="A68" s="58" t="s">
        <v>33</v>
      </c>
      <c r="B68" s="98" t="s">
        <v>112</v>
      </c>
      <c r="C68" s="58">
        <v>46</v>
      </c>
      <c r="D68" s="58">
        <v>15.99</v>
      </c>
      <c r="E68" s="58">
        <v>16.989999999999998</v>
      </c>
      <c r="F68" s="58">
        <v>30.33</v>
      </c>
      <c r="G68" s="58">
        <v>0.99999999999999822</v>
      </c>
      <c r="H68" s="246">
        <v>6.2539086929330717E-2</v>
      </c>
      <c r="I68" s="247">
        <v>4.5045045045044967E-3</v>
      </c>
      <c r="J68" s="247">
        <v>6.5359477124182887E-3</v>
      </c>
      <c r="K68" s="58">
        <v>13.34</v>
      </c>
      <c r="L68" s="246">
        <v>0.78516774573278403</v>
      </c>
      <c r="M68" s="246">
        <v>8.7189542483660135E-2</v>
      </c>
    </row>
    <row r="69" spans="1:13" ht="15.75" customHeight="1">
      <c r="A69" s="58" t="s">
        <v>33</v>
      </c>
      <c r="B69" s="98" t="s">
        <v>112</v>
      </c>
      <c r="C69" s="58">
        <v>49</v>
      </c>
      <c r="D69" s="58">
        <v>15.96</v>
      </c>
      <c r="E69" s="58">
        <v>16.27</v>
      </c>
      <c r="F69" s="58">
        <v>29.35</v>
      </c>
      <c r="G69" s="58">
        <v>0.30999999999999872</v>
      </c>
      <c r="H69" s="246">
        <v>1.9423558897243027E-2</v>
      </c>
      <c r="I69" s="247">
        <v>1.3963963963963906E-3</v>
      </c>
      <c r="J69" s="247">
        <v>2.0261437908496651E-3</v>
      </c>
      <c r="K69" s="58">
        <v>13.080000000000002</v>
      </c>
      <c r="L69" s="246">
        <v>0.80393362015980341</v>
      </c>
      <c r="M69" s="246">
        <v>8.5490196078431391E-2</v>
      </c>
    </row>
    <row r="70" spans="1:13" ht="15.75" customHeight="1">
      <c r="A70" s="58" t="s">
        <v>33</v>
      </c>
      <c r="B70" s="98" t="s">
        <v>112</v>
      </c>
      <c r="C70" s="58">
        <v>63</v>
      </c>
      <c r="D70" s="58">
        <v>15.72</v>
      </c>
      <c r="E70" s="58">
        <v>16.38</v>
      </c>
      <c r="F70" s="58">
        <v>29.43</v>
      </c>
      <c r="G70" s="58">
        <v>0.65999999999999837</v>
      </c>
      <c r="H70" s="246">
        <v>4.1984732824427377E-2</v>
      </c>
      <c r="I70" s="247">
        <v>2.9729729729729656E-3</v>
      </c>
      <c r="J70" s="247">
        <v>4.3137254901960678E-3</v>
      </c>
      <c r="K70" s="58">
        <v>13.05</v>
      </c>
      <c r="L70" s="246">
        <v>0.79670329670329676</v>
      </c>
      <c r="M70" s="246">
        <v>8.5294117647058826E-2</v>
      </c>
    </row>
    <row r="71" spans="1:13" ht="15.75" customHeight="1">
      <c r="A71" s="58" t="s">
        <v>35</v>
      </c>
      <c r="B71" s="98" t="s">
        <v>112</v>
      </c>
      <c r="C71" s="58">
        <v>18</v>
      </c>
      <c r="D71" s="58">
        <v>19.29</v>
      </c>
      <c r="E71" s="58">
        <v>19.350000000000001</v>
      </c>
      <c r="F71" s="58">
        <v>32.57</v>
      </c>
      <c r="G71" s="58">
        <v>6.0000000000002274E-2</v>
      </c>
      <c r="H71" s="246">
        <v>3.1104199066875208E-3</v>
      </c>
      <c r="I71" s="247">
        <v>2.7027027027028052E-4</v>
      </c>
      <c r="J71" s="247">
        <v>3.9215686274511288E-4</v>
      </c>
      <c r="K71" s="58">
        <v>13.219999999999999</v>
      </c>
      <c r="L71" s="246">
        <v>0.68320413436692495</v>
      </c>
      <c r="M71" s="246">
        <v>8.640522875816993E-2</v>
      </c>
    </row>
    <row r="72" spans="1:13" ht="15.75" customHeight="1">
      <c r="A72" s="58" t="s">
        <v>35</v>
      </c>
      <c r="B72" s="98" t="s">
        <v>112</v>
      </c>
      <c r="C72" s="58">
        <v>72</v>
      </c>
      <c r="D72" s="58">
        <v>21.34</v>
      </c>
      <c r="E72" s="58">
        <v>21.39</v>
      </c>
      <c r="F72" s="58">
        <v>33.81</v>
      </c>
      <c r="G72" s="58">
        <v>5.0000000000000711E-2</v>
      </c>
      <c r="H72" s="246">
        <v>2.3430178069353659E-3</v>
      </c>
      <c r="I72" s="247">
        <v>2.2522522522522843E-4</v>
      </c>
      <c r="J72" s="247">
        <v>3.2679738562091967E-4</v>
      </c>
      <c r="K72" s="58">
        <v>12.420000000000002</v>
      </c>
      <c r="L72" s="246">
        <v>0.58064516129032262</v>
      </c>
      <c r="M72" s="246">
        <v>8.1176470588235308E-2</v>
      </c>
    </row>
    <row r="73" spans="1:13" ht="15.75" customHeight="1">
      <c r="A73" s="58" t="s">
        <v>35</v>
      </c>
      <c r="B73" s="98" t="s">
        <v>112</v>
      </c>
      <c r="C73" s="58">
        <v>36</v>
      </c>
      <c r="D73" s="58">
        <v>20.47</v>
      </c>
      <c r="E73" s="58">
        <v>20.84</v>
      </c>
      <c r="F73" s="58">
        <v>32.89</v>
      </c>
      <c r="G73" s="58">
        <v>0.37000000000000099</v>
      </c>
      <c r="H73" s="246">
        <v>1.8075232046897947E-2</v>
      </c>
      <c r="I73" s="247">
        <v>1.6666666666666711E-3</v>
      </c>
      <c r="J73" s="247">
        <v>2.4183006535947777E-3</v>
      </c>
      <c r="K73" s="58">
        <v>12.05</v>
      </c>
      <c r="L73" s="246">
        <v>0.57821497120921306</v>
      </c>
      <c r="M73" s="246">
        <v>7.8758169934640521E-2</v>
      </c>
    </row>
    <row r="74" spans="1:13" ht="15.75" customHeight="1">
      <c r="A74" s="58" t="s">
        <v>35</v>
      </c>
      <c r="B74" s="98" t="s">
        <v>112</v>
      </c>
      <c r="C74" s="58">
        <v>123</v>
      </c>
      <c r="D74" s="58">
        <v>22.18</v>
      </c>
      <c r="E74" s="58">
        <v>22.21</v>
      </c>
      <c r="F74" s="58">
        <v>36.46</v>
      </c>
      <c r="G74" s="58">
        <v>3.0000000000001137E-2</v>
      </c>
      <c r="H74" s="246">
        <v>1.3525698827773281E-3</v>
      </c>
      <c r="I74" s="247">
        <v>1.3513513513514026E-4</v>
      </c>
      <c r="J74" s="247">
        <v>1.9607843137255644E-4</v>
      </c>
      <c r="K74" s="58">
        <v>14.25</v>
      </c>
      <c r="L74" s="246">
        <v>0.64160288158487166</v>
      </c>
      <c r="M74" s="246">
        <v>9.3137254901960786E-2</v>
      </c>
    </row>
    <row r="75" spans="1:13" ht="15.75" customHeight="1">
      <c r="A75" s="58" t="s">
        <v>35</v>
      </c>
      <c r="B75" s="98" t="s">
        <v>112</v>
      </c>
      <c r="C75" s="58">
        <v>124</v>
      </c>
      <c r="D75" s="58">
        <v>20.77</v>
      </c>
      <c r="E75" s="58">
        <v>20.73</v>
      </c>
      <c r="F75" s="58">
        <v>34.729999999999997</v>
      </c>
      <c r="G75" s="58">
        <v>-3.9999999999999147E-2</v>
      </c>
      <c r="H75" s="246">
        <v>-1.9258545979778116E-3</v>
      </c>
      <c r="I75" s="247">
        <v>-1.8018018018017633E-4</v>
      </c>
      <c r="J75" s="247">
        <v>-2.6143790849672647E-4</v>
      </c>
      <c r="K75" s="58">
        <v>13.999999999999996</v>
      </c>
      <c r="L75" s="246">
        <v>0.67534973468403259</v>
      </c>
      <c r="M75" s="246">
        <v>9.1503267973856189E-2</v>
      </c>
    </row>
    <row r="76" spans="1:13" ht="15.75" customHeight="1">
      <c r="A76" s="58" t="s">
        <v>36</v>
      </c>
      <c r="B76" s="98" t="s">
        <v>112</v>
      </c>
      <c r="C76" s="58">
        <v>24</v>
      </c>
      <c r="D76" s="58">
        <v>13.94</v>
      </c>
      <c r="E76" s="58">
        <v>14.29</v>
      </c>
      <c r="F76" s="58">
        <v>27.962</v>
      </c>
      <c r="G76" s="58">
        <v>0.34999999999999964</v>
      </c>
      <c r="H76" s="246">
        <v>2.5107604017216619E-2</v>
      </c>
      <c r="I76" s="247">
        <v>1.576576576576575E-3</v>
      </c>
      <c r="J76" s="247">
        <v>2.2875816993464027E-3</v>
      </c>
      <c r="K76" s="58">
        <v>13.672000000000001</v>
      </c>
      <c r="L76" s="246">
        <v>0.95675297410776772</v>
      </c>
      <c r="M76" s="246">
        <v>8.9359477124183004E-2</v>
      </c>
    </row>
    <row r="77" spans="1:13" ht="15.75" customHeight="1">
      <c r="A77" s="58" t="s">
        <v>36</v>
      </c>
      <c r="B77" s="98" t="s">
        <v>112</v>
      </c>
      <c r="C77" s="58">
        <v>30</v>
      </c>
      <c r="D77" s="58">
        <v>12.34</v>
      </c>
      <c r="E77" s="58">
        <v>12.32</v>
      </c>
      <c r="F77" s="58">
        <v>24.6</v>
      </c>
      <c r="G77" s="58">
        <v>-1.9999999999999574E-2</v>
      </c>
      <c r="H77" s="246">
        <v>-1.6207455429497223E-3</v>
      </c>
      <c r="I77" s="247">
        <v>-9.0090090090088167E-5</v>
      </c>
      <c r="J77" s="247">
        <v>-1.3071895424836323E-4</v>
      </c>
      <c r="K77" s="58">
        <v>12.280000000000001</v>
      </c>
      <c r="L77" s="246">
        <v>0.99675324675324684</v>
      </c>
      <c r="M77" s="246">
        <v>8.0261437908496741E-2</v>
      </c>
    </row>
    <row r="78" spans="1:13" ht="15.75" customHeight="1">
      <c r="A78" s="58" t="s">
        <v>36</v>
      </c>
      <c r="B78" s="98" t="s">
        <v>112</v>
      </c>
      <c r="C78" s="58">
        <v>42</v>
      </c>
      <c r="D78" s="58">
        <v>12.54</v>
      </c>
      <c r="E78" s="58">
        <v>12.52</v>
      </c>
      <c r="F78" s="58">
        <v>25.53</v>
      </c>
      <c r="G78" s="58">
        <v>-1.9999999999999574E-2</v>
      </c>
      <c r="H78" s="246">
        <v>-1.5948963317384032E-3</v>
      </c>
      <c r="I78" s="247">
        <v>-9.0090090090088167E-5</v>
      </c>
      <c r="J78" s="247">
        <v>-1.3071895424836323E-4</v>
      </c>
      <c r="K78" s="58">
        <v>13.010000000000002</v>
      </c>
      <c r="L78" s="246">
        <v>1.0391373801916934</v>
      </c>
      <c r="M78" s="246">
        <v>8.50326797385621E-2</v>
      </c>
    </row>
    <row r="79" spans="1:13" ht="15.75" customHeight="1">
      <c r="A79" s="58" t="s">
        <v>36</v>
      </c>
      <c r="B79" s="98" t="s">
        <v>112</v>
      </c>
      <c r="C79" s="58">
        <v>16</v>
      </c>
      <c r="D79" s="58">
        <v>12.59</v>
      </c>
      <c r="E79" s="58"/>
      <c r="F79" s="58"/>
      <c r="G79" s="58"/>
      <c r="H79" s="246"/>
      <c r="I79" s="247"/>
      <c r="J79" s="247"/>
      <c r="K79" s="58"/>
      <c r="L79" s="246"/>
      <c r="M79" s="246"/>
    </row>
    <row r="80" spans="1:13" ht="15.75" customHeight="1">
      <c r="A80" s="58" t="s">
        <v>36</v>
      </c>
      <c r="B80" s="98" t="s">
        <v>112</v>
      </c>
      <c r="C80" s="58">
        <v>98</v>
      </c>
      <c r="D80" s="58">
        <v>13.56</v>
      </c>
      <c r="E80" s="58">
        <v>13.93</v>
      </c>
      <c r="F80" s="58">
        <v>27.45</v>
      </c>
      <c r="G80" s="58">
        <v>0.36999999999999922</v>
      </c>
      <c r="H80" s="246">
        <v>2.728613569321528E-2</v>
      </c>
      <c r="I80" s="247">
        <v>1.6666666666666631E-3</v>
      </c>
      <c r="J80" s="247">
        <v>2.4183006535947659E-3</v>
      </c>
      <c r="K80" s="58">
        <v>13.52</v>
      </c>
      <c r="L80" s="246">
        <v>0.97056712132089018</v>
      </c>
      <c r="M80" s="246">
        <v>8.8366013071895427E-2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4.453125" defaultRowHeight="15" customHeight="1"/>
  <cols>
    <col min="1" max="3" width="8.7265625" customWidth="1"/>
    <col min="4" max="4" width="14.54296875" customWidth="1"/>
    <col min="5" max="5" width="14.7265625" customWidth="1"/>
    <col min="6" max="26" width="8.7265625" customWidth="1"/>
  </cols>
  <sheetData>
    <row r="1" spans="1:7" ht="14.5">
      <c r="A1" s="139" t="s">
        <v>130</v>
      </c>
      <c r="B1" s="139" t="s">
        <v>129</v>
      </c>
      <c r="C1" s="139" t="s">
        <v>0</v>
      </c>
      <c r="D1" s="139" t="s">
        <v>147</v>
      </c>
      <c r="E1" s="139" t="s">
        <v>148</v>
      </c>
      <c r="F1" s="139" t="s">
        <v>149</v>
      </c>
      <c r="G1" s="139" t="s">
        <v>150</v>
      </c>
    </row>
    <row r="2" spans="1:7" ht="14.5">
      <c r="A2" s="194" t="s">
        <v>151</v>
      </c>
      <c r="B2" s="194" t="s">
        <v>152</v>
      </c>
      <c r="C2" s="194" t="s">
        <v>140</v>
      </c>
      <c r="D2" s="194">
        <v>301.38843597140351</v>
      </c>
      <c r="E2" s="194">
        <v>16.60026474158829</v>
      </c>
      <c r="F2" s="194">
        <v>7.6233142594070333</v>
      </c>
      <c r="G2" s="194">
        <v>0.67535454522909899</v>
      </c>
    </row>
    <row r="3" spans="1:7" ht="14.5">
      <c r="A3" s="194" t="s">
        <v>151</v>
      </c>
      <c r="B3" s="194" t="s">
        <v>152</v>
      </c>
      <c r="C3" s="194" t="s">
        <v>141</v>
      </c>
      <c r="D3" s="194">
        <v>530.29914529914527</v>
      </c>
      <c r="E3" s="194">
        <v>11.113309282890571</v>
      </c>
      <c r="F3" s="194">
        <v>3.2403621047968301</v>
      </c>
      <c r="G3" s="194">
        <v>1.435631371649748</v>
      </c>
    </row>
    <row r="4" spans="1:7" ht="14.5">
      <c r="A4" s="194" t="s">
        <v>151</v>
      </c>
      <c r="B4" s="194" t="s">
        <v>152</v>
      </c>
      <c r="C4" s="194" t="s">
        <v>142</v>
      </c>
      <c r="D4" s="194">
        <v>320.5128205128205</v>
      </c>
      <c r="E4" s="194">
        <v>10.98182745522983</v>
      </c>
      <c r="F4" s="194">
        <v>1.786915917188346</v>
      </c>
      <c r="G4" s="194">
        <v>1.233859205707039</v>
      </c>
    </row>
    <row r="5" spans="1:7" ht="14.5">
      <c r="A5" s="194" t="s">
        <v>151</v>
      </c>
      <c r="B5" s="194" t="s">
        <v>152</v>
      </c>
      <c r="C5" s="194" t="s">
        <v>143</v>
      </c>
      <c r="D5" s="194">
        <v>317.71062271062272</v>
      </c>
      <c r="E5" s="194">
        <v>6.316610586000456</v>
      </c>
      <c r="F5" s="194">
        <v>8.3424581743153148</v>
      </c>
      <c r="G5" s="194">
        <v>4.7390448189093632</v>
      </c>
    </row>
    <row r="6" spans="1:7" ht="14.5">
      <c r="A6" s="194" t="s">
        <v>151</v>
      </c>
      <c r="B6" s="194" t="s">
        <v>152</v>
      </c>
      <c r="C6" s="194" t="s">
        <v>113</v>
      </c>
      <c r="D6" s="194">
        <v>376.5022137887413</v>
      </c>
      <c r="E6" s="194">
        <v>112.72314874439481</v>
      </c>
      <c r="F6" s="194"/>
      <c r="G6" s="194"/>
    </row>
    <row r="7" spans="1:7" ht="14.5">
      <c r="A7" s="194" t="s">
        <v>151</v>
      </c>
      <c r="B7" s="194" t="s">
        <v>152</v>
      </c>
      <c r="C7" s="194" t="s">
        <v>114</v>
      </c>
      <c r="D7" s="194">
        <v>580.27417027417027</v>
      </c>
      <c r="E7" s="194">
        <v>27.4441917530079</v>
      </c>
      <c r="F7" s="194">
        <v>0.95311407518423885</v>
      </c>
      <c r="G7" s="194">
        <v>0.84911740424786553</v>
      </c>
    </row>
    <row r="8" spans="1:7" ht="14.5">
      <c r="A8" s="194" t="s">
        <v>151</v>
      </c>
      <c r="B8" s="194" t="s">
        <v>152</v>
      </c>
      <c r="C8" s="194" t="s">
        <v>115</v>
      </c>
      <c r="D8" s="194">
        <v>292.51456301938441</v>
      </c>
      <c r="E8" s="194">
        <v>115.5277454829986</v>
      </c>
      <c r="F8" s="194">
        <v>2.680251779194363</v>
      </c>
      <c r="G8" s="194">
        <v>1.393199655725909</v>
      </c>
    </row>
    <row r="9" spans="1:7" ht="14.5">
      <c r="A9" s="194" t="s">
        <v>151</v>
      </c>
      <c r="B9" s="194" t="s">
        <v>152</v>
      </c>
      <c r="C9" s="194" t="s">
        <v>116</v>
      </c>
      <c r="D9" s="194">
        <v>216.969696969697</v>
      </c>
      <c r="E9" s="194">
        <v>35.323508171873442</v>
      </c>
      <c r="F9" s="194">
        <v>3.4178139640199698</v>
      </c>
      <c r="G9" s="194"/>
    </row>
    <row r="10" spans="1:7" ht="14.5">
      <c r="A10" s="194" t="s">
        <v>151</v>
      </c>
      <c r="B10" s="194" t="s">
        <v>112</v>
      </c>
      <c r="C10" s="194" t="s">
        <v>140</v>
      </c>
      <c r="D10" s="194">
        <v>279.91876004887769</v>
      </c>
      <c r="E10" s="194">
        <v>13.07633255640958</v>
      </c>
      <c r="F10" s="194">
        <v>3.2695121210118261</v>
      </c>
      <c r="G10" s="194">
        <v>1.254132642531042</v>
      </c>
    </row>
    <row r="11" spans="1:7" ht="14.5">
      <c r="A11" s="194" t="s">
        <v>151</v>
      </c>
      <c r="B11" s="194" t="s">
        <v>112</v>
      </c>
      <c r="C11" s="194" t="s">
        <v>141</v>
      </c>
      <c r="D11" s="194">
        <v>307.5745306716023</v>
      </c>
      <c r="E11" s="194">
        <v>15.58877976235434</v>
      </c>
      <c r="F11" s="194">
        <v>1.482896807055623</v>
      </c>
      <c r="G11" s="194">
        <v>1.512283882384164</v>
      </c>
    </row>
    <row r="12" spans="1:7" ht="14.5">
      <c r="A12" s="194" t="s">
        <v>151</v>
      </c>
      <c r="B12" s="194" t="s">
        <v>112</v>
      </c>
      <c r="C12" s="194" t="s">
        <v>142</v>
      </c>
      <c r="D12" s="194">
        <v>243.3865988555246</v>
      </c>
      <c r="E12" s="194">
        <v>7.3552826889227729</v>
      </c>
      <c r="F12" s="194">
        <v>2.7425255664204</v>
      </c>
      <c r="G12" s="194">
        <v>2.1069707739268031</v>
      </c>
    </row>
    <row r="13" spans="1:7" ht="14.5">
      <c r="A13" s="194" t="s">
        <v>151</v>
      </c>
      <c r="B13" s="194" t="s">
        <v>112</v>
      </c>
      <c r="C13" s="194" t="s">
        <v>143</v>
      </c>
      <c r="D13" s="194">
        <v>244.69293012051571</v>
      </c>
      <c r="E13" s="194">
        <v>10.69846516529279</v>
      </c>
      <c r="F13" s="194">
        <v>0.2186219682073024</v>
      </c>
      <c r="G13" s="194">
        <v>0.66782767245659658</v>
      </c>
    </row>
    <row r="14" spans="1:7" ht="14.5">
      <c r="A14" s="194" t="s">
        <v>151</v>
      </c>
      <c r="B14" s="194" t="s">
        <v>43</v>
      </c>
      <c r="C14" s="194" t="s">
        <v>140</v>
      </c>
      <c r="D14" s="194">
        <v>272.12429196875451</v>
      </c>
      <c r="E14" s="194">
        <v>25.806656119516759</v>
      </c>
      <c r="F14" s="194">
        <v>4.5966890697945164</v>
      </c>
      <c r="G14" s="194">
        <v>0.94481422400449955</v>
      </c>
    </row>
    <row r="15" spans="1:7" ht="14.5">
      <c r="A15" s="194" t="s">
        <v>151</v>
      </c>
      <c r="B15" s="194" t="s">
        <v>43</v>
      </c>
      <c r="C15" s="194" t="s">
        <v>141</v>
      </c>
      <c r="D15" s="194">
        <v>310.49158055206442</v>
      </c>
      <c r="E15" s="194">
        <v>7.7974004275643507</v>
      </c>
      <c r="F15" s="194">
        <v>2.1680481028320249</v>
      </c>
      <c r="G15" s="194">
        <v>2.1617918817514288</v>
      </c>
    </row>
    <row r="16" spans="1:7" ht="14.5">
      <c r="A16" s="194" t="s">
        <v>151</v>
      </c>
      <c r="B16" s="194" t="s">
        <v>43</v>
      </c>
      <c r="C16" s="194" t="s">
        <v>142</v>
      </c>
      <c r="D16" s="194">
        <v>255.24677200206719</v>
      </c>
      <c r="E16" s="194">
        <v>13.90615030445375</v>
      </c>
      <c r="F16" s="194">
        <v>3.2924969962794561</v>
      </c>
      <c r="G16" s="194">
        <v>1.040236766433313</v>
      </c>
    </row>
    <row r="17" spans="1:26" ht="14.5">
      <c r="A17" s="194" t="s">
        <v>151</v>
      </c>
      <c r="B17" s="194" t="s">
        <v>43</v>
      </c>
      <c r="C17" s="194" t="s">
        <v>143</v>
      </c>
      <c r="D17" s="194">
        <v>269.09902724248718</v>
      </c>
      <c r="E17" s="194">
        <v>6.4699171681510341</v>
      </c>
      <c r="F17" s="194">
        <v>2.7642931378053701</v>
      </c>
      <c r="G17" s="194">
        <v>1.18827504025969</v>
      </c>
    </row>
    <row r="18" spans="1:26" ht="14.5">
      <c r="A18" s="194" t="s">
        <v>153</v>
      </c>
      <c r="B18" s="194" t="s">
        <v>152</v>
      </c>
      <c r="C18" s="194" t="s">
        <v>140</v>
      </c>
      <c r="D18" s="194">
        <v>326.81424808729457</v>
      </c>
      <c r="E18" s="194">
        <v>13.11725954225682</v>
      </c>
      <c r="F18" s="194">
        <v>6.9653434106658798</v>
      </c>
      <c r="G18" s="194">
        <v>2.208376881081862</v>
      </c>
    </row>
    <row r="19" spans="1:26" ht="14.5">
      <c r="A19" s="194" t="s">
        <v>153</v>
      </c>
      <c r="B19" s="194" t="s">
        <v>152</v>
      </c>
      <c r="C19" s="194" t="s">
        <v>141</v>
      </c>
      <c r="D19" s="194">
        <v>563.88888888888891</v>
      </c>
      <c r="E19" s="194">
        <v>7.8763593770876934</v>
      </c>
      <c r="F19" s="194">
        <v>3.1376912333028959</v>
      </c>
      <c r="G19" s="194">
        <v>1.8930777933399441</v>
      </c>
    </row>
    <row r="20" spans="1:26" ht="14.5">
      <c r="A20" s="194" t="s">
        <v>153</v>
      </c>
      <c r="B20" s="194" t="s">
        <v>152</v>
      </c>
      <c r="C20" s="194" t="s">
        <v>142</v>
      </c>
      <c r="D20" s="194">
        <v>348.82847038019452</v>
      </c>
      <c r="E20" s="194">
        <v>29.64200871497496</v>
      </c>
      <c r="F20" s="194">
        <v>1.7890192177663979</v>
      </c>
      <c r="G20" s="194">
        <v>1.455338150008723</v>
      </c>
    </row>
    <row r="21" spans="1:26" ht="15.75" customHeight="1">
      <c r="A21" s="194" t="s">
        <v>153</v>
      </c>
      <c r="B21" s="194" t="s">
        <v>152</v>
      </c>
      <c r="C21" s="194" t="s">
        <v>143</v>
      </c>
      <c r="D21" s="194">
        <v>341.69808201058203</v>
      </c>
      <c r="E21" s="194">
        <v>3.782222818495542</v>
      </c>
      <c r="F21" s="194">
        <v>6.0002185767300062</v>
      </c>
      <c r="G21" s="194">
        <v>1.4898742716701889</v>
      </c>
    </row>
    <row r="22" spans="1:26" ht="15.75" customHeight="1">
      <c r="A22" s="194" t="s">
        <v>153</v>
      </c>
      <c r="B22" s="194" t="s">
        <v>152</v>
      </c>
      <c r="C22" s="194" t="s">
        <v>113</v>
      </c>
      <c r="D22" s="194">
        <v>440.60721062618597</v>
      </c>
      <c r="E22" s="194">
        <v>102.0888736712046</v>
      </c>
      <c r="F22" s="194">
        <v>1.4676965300077199E-2</v>
      </c>
      <c r="G22" s="194"/>
    </row>
    <row r="23" spans="1:26" ht="15.75" customHeight="1">
      <c r="A23" s="194" t="s">
        <v>153</v>
      </c>
      <c r="B23" s="194" t="s">
        <v>152</v>
      </c>
      <c r="C23" s="194" t="s">
        <v>114</v>
      </c>
      <c r="D23" s="194">
        <v>655.38961038961043</v>
      </c>
      <c r="E23" s="194">
        <v>20.364307697948281</v>
      </c>
      <c r="F23" s="194">
        <v>2.75564622387349</v>
      </c>
      <c r="G23" s="194"/>
    </row>
    <row r="24" spans="1:26" ht="15.75" customHeight="1">
      <c r="A24" s="194" t="s">
        <v>153</v>
      </c>
      <c r="B24" s="194" t="s">
        <v>152</v>
      </c>
      <c r="C24" s="194" t="s">
        <v>115</v>
      </c>
      <c r="D24" s="194">
        <v>380.79797243155161</v>
      </c>
      <c r="E24" s="194">
        <v>113.1255920225199</v>
      </c>
      <c r="F24" s="194">
        <v>0.59801817311632721</v>
      </c>
      <c r="G24" s="194">
        <v>0.65946987226867271</v>
      </c>
    </row>
    <row r="25" spans="1:26" ht="15.75" customHeight="1">
      <c r="A25" s="194" t="s">
        <v>153</v>
      </c>
      <c r="B25" s="194" t="s">
        <v>152</v>
      </c>
      <c r="C25" s="194" t="s">
        <v>116</v>
      </c>
      <c r="D25" s="194">
        <v>312.32323232323228</v>
      </c>
      <c r="E25" s="194">
        <v>22.808608666982231</v>
      </c>
      <c r="F25" s="194">
        <v>7.15794619664943</v>
      </c>
      <c r="G25" s="194"/>
    </row>
    <row r="26" spans="1:26" ht="15.75" customHeight="1">
      <c r="A26" s="150" t="s">
        <v>153</v>
      </c>
      <c r="B26" s="150" t="s">
        <v>112</v>
      </c>
      <c r="C26" s="150" t="s">
        <v>140</v>
      </c>
      <c r="D26" s="150">
        <v>295.25732293303201</v>
      </c>
      <c r="E26" s="150">
        <v>12.839911897083431</v>
      </c>
      <c r="F26" s="194">
        <v>0.14304697113033649</v>
      </c>
      <c r="G26" s="194">
        <v>0.84093088438965613</v>
      </c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 spans="1:26" ht="15.75" customHeight="1">
      <c r="A27" s="150" t="s">
        <v>153</v>
      </c>
      <c r="B27" s="150" t="s">
        <v>112</v>
      </c>
      <c r="C27" s="150" t="s">
        <v>141</v>
      </c>
      <c r="D27" s="150">
        <v>322.46612242199888</v>
      </c>
      <c r="E27" s="150">
        <v>14.322948980001099</v>
      </c>
      <c r="F27" s="194">
        <v>0.91634919717518903</v>
      </c>
      <c r="G27" s="194">
        <v>1.0697557103113691</v>
      </c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spans="1:26" ht="15.75" customHeight="1">
      <c r="A28" s="150" t="s">
        <v>153</v>
      </c>
      <c r="B28" s="150" t="s">
        <v>112</v>
      </c>
      <c r="C28" s="150" t="s">
        <v>142</v>
      </c>
      <c r="D28" s="150">
        <v>253.5795215547198</v>
      </c>
      <c r="E28" s="150">
        <v>8.7033587652452429</v>
      </c>
      <c r="F28" s="194">
        <v>0.52927206060226895</v>
      </c>
      <c r="G28" s="194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 spans="1:26" ht="15.75" customHeight="1">
      <c r="A29" s="150" t="s">
        <v>153</v>
      </c>
      <c r="B29" s="150" t="s">
        <v>112</v>
      </c>
      <c r="C29" s="150" t="s">
        <v>143</v>
      </c>
      <c r="D29" s="150">
        <v>257.93548629930751</v>
      </c>
      <c r="E29" s="150">
        <v>7.0972310071872453</v>
      </c>
      <c r="F29" s="194">
        <v>0.83954663642173166</v>
      </c>
      <c r="G29" s="194">
        <v>0.8574970369644016</v>
      </c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 spans="1:26" ht="15.75" customHeight="1">
      <c r="A30" s="194" t="s">
        <v>153</v>
      </c>
      <c r="B30" s="194" t="s">
        <v>43</v>
      </c>
      <c r="C30" s="194" t="s">
        <v>140</v>
      </c>
      <c r="D30" s="194">
        <v>282.89989177828431</v>
      </c>
      <c r="E30" s="194">
        <v>27.252301503144899</v>
      </c>
      <c r="F30" s="194">
        <v>0.6338018086226046</v>
      </c>
      <c r="G30" s="194">
        <v>0.80498281626800106</v>
      </c>
    </row>
    <row r="31" spans="1:26" ht="15.75" customHeight="1">
      <c r="A31" s="194" t="s">
        <v>153</v>
      </c>
      <c r="B31" s="194" t="s">
        <v>43</v>
      </c>
      <c r="C31" s="194" t="s">
        <v>141</v>
      </c>
      <c r="D31" s="194">
        <v>320.27251198622167</v>
      </c>
      <c r="E31" s="194">
        <v>8.5631780183676067</v>
      </c>
      <c r="F31" s="194">
        <v>1.500378728147385</v>
      </c>
      <c r="G31" s="194">
        <v>1.358820596844792</v>
      </c>
    </row>
    <row r="32" spans="1:26" ht="15.75" customHeight="1">
      <c r="A32" s="194" t="s">
        <v>153</v>
      </c>
      <c r="B32" s="194" t="s">
        <v>43</v>
      </c>
      <c r="C32" s="194" t="s">
        <v>142</v>
      </c>
      <c r="D32" s="194">
        <v>262.76575677923557</v>
      </c>
      <c r="E32" s="194">
        <v>16.252901738316609</v>
      </c>
      <c r="F32" s="194">
        <v>0.1965780262453945</v>
      </c>
      <c r="G32" s="194">
        <v>0.90236875611705358</v>
      </c>
    </row>
    <row r="33" spans="1:7" ht="15.75" customHeight="1">
      <c r="A33" s="194" t="s">
        <v>153</v>
      </c>
      <c r="B33" s="194" t="s">
        <v>43</v>
      </c>
      <c r="C33" s="194" t="s">
        <v>143</v>
      </c>
      <c r="D33" s="194">
        <v>274.91815888440362</v>
      </c>
      <c r="E33" s="194">
        <v>8.9583050986927901</v>
      </c>
      <c r="F33" s="194">
        <v>0.98393251153371808</v>
      </c>
      <c r="G33" s="194">
        <v>0.69158275108897793</v>
      </c>
    </row>
    <row r="34" spans="1:7" ht="15.75" customHeight="1"/>
    <row r="35" spans="1:7" ht="15.75" customHeight="1"/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U81"/>
  <sheetViews>
    <sheetView workbookViewId="0"/>
  </sheetViews>
  <sheetFormatPr defaultColWidth="14.453125" defaultRowHeight="15" customHeight="1"/>
  <sheetData>
    <row r="1" spans="1:21">
      <c r="A1" s="194"/>
      <c r="B1" s="300" t="s">
        <v>154</v>
      </c>
      <c r="C1" s="296"/>
      <c r="D1" s="194"/>
      <c r="E1" s="252">
        <v>0.5</v>
      </c>
      <c r="F1" s="253" t="s">
        <v>55</v>
      </c>
      <c r="G1" s="194"/>
      <c r="H1" s="254">
        <v>0.6</v>
      </c>
      <c r="I1" s="194"/>
      <c r="J1" s="194"/>
      <c r="K1" s="252">
        <v>0.7</v>
      </c>
      <c r="L1" s="194"/>
      <c r="M1" s="252">
        <v>0.8</v>
      </c>
      <c r="N1" s="194"/>
      <c r="O1" s="194"/>
      <c r="P1" s="252">
        <v>0.9</v>
      </c>
      <c r="Q1" s="194"/>
      <c r="R1" s="194"/>
      <c r="S1" s="252">
        <v>0.95</v>
      </c>
      <c r="T1" s="194"/>
      <c r="U1" s="194"/>
    </row>
    <row r="2" spans="1:21">
      <c r="A2" s="194"/>
      <c r="B2" s="301" t="s">
        <v>155</v>
      </c>
      <c r="C2" s="302"/>
      <c r="D2" s="194" t="s">
        <v>156</v>
      </c>
      <c r="E2" s="194" t="s">
        <v>156</v>
      </c>
      <c r="F2" s="194" t="s">
        <v>156</v>
      </c>
      <c r="G2" s="194" t="s">
        <v>156</v>
      </c>
      <c r="H2" s="194" t="s">
        <v>156</v>
      </c>
      <c r="I2" s="194" t="s">
        <v>156</v>
      </c>
      <c r="J2" s="194" t="s">
        <v>156</v>
      </c>
      <c r="K2" s="194" t="s">
        <v>156</v>
      </c>
      <c r="L2" s="194" t="s">
        <v>156</v>
      </c>
      <c r="M2" s="194" t="s">
        <v>156</v>
      </c>
      <c r="N2" s="194" t="s">
        <v>156</v>
      </c>
      <c r="O2" s="194" t="s">
        <v>156</v>
      </c>
      <c r="P2" s="194" t="s">
        <v>156</v>
      </c>
      <c r="Q2" s="194" t="s">
        <v>156</v>
      </c>
      <c r="R2" s="194" t="s">
        <v>156</v>
      </c>
      <c r="S2" s="194" t="s">
        <v>156</v>
      </c>
      <c r="T2" s="194" t="s">
        <v>156</v>
      </c>
      <c r="U2" s="194" t="s">
        <v>156</v>
      </c>
    </row>
    <row r="3" spans="1:21">
      <c r="A3" s="255"/>
      <c r="B3" s="303" t="s">
        <v>157</v>
      </c>
      <c r="C3" s="304"/>
      <c r="D3" s="256" t="s">
        <v>158</v>
      </c>
      <c r="E3" s="257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9"/>
    </row>
    <row r="4" spans="1:21">
      <c r="A4" s="260" t="s">
        <v>41</v>
      </c>
      <c r="B4" s="305"/>
      <c r="C4" s="306"/>
      <c r="D4" s="261" t="s">
        <v>67</v>
      </c>
      <c r="E4" s="262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4"/>
    </row>
    <row r="5" spans="1:21">
      <c r="A5" s="307" t="s">
        <v>43</v>
      </c>
      <c r="B5" s="265" t="s">
        <v>9</v>
      </c>
      <c r="C5" s="266">
        <v>9</v>
      </c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</row>
    <row r="6" spans="1:21">
      <c r="A6" s="308"/>
      <c r="B6" s="268"/>
      <c r="C6" s="266">
        <v>27</v>
      </c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</row>
    <row r="7" spans="1:21">
      <c r="A7" s="308"/>
      <c r="B7" s="268"/>
      <c r="C7" s="269">
        <v>106</v>
      </c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</row>
    <row r="8" spans="1:21">
      <c r="A8" s="308"/>
      <c r="B8" s="263" t="s">
        <v>17</v>
      </c>
      <c r="C8" s="270">
        <v>39</v>
      </c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  <c r="R8" s="267"/>
      <c r="S8" s="267"/>
      <c r="T8" s="267"/>
      <c r="U8" s="267"/>
    </row>
    <row r="9" spans="1:21">
      <c r="A9" s="308"/>
      <c r="B9" s="25"/>
      <c r="C9" s="271">
        <v>55</v>
      </c>
      <c r="D9" s="267"/>
      <c r="E9" s="267"/>
      <c r="F9" s="267"/>
      <c r="G9" s="267"/>
      <c r="H9" s="267"/>
      <c r="I9" s="267"/>
      <c r="J9" s="267"/>
      <c r="K9" s="267"/>
      <c r="L9" s="267"/>
      <c r="M9" s="267"/>
      <c r="N9" s="267"/>
      <c r="O9" s="267"/>
      <c r="P9" s="267"/>
      <c r="Q9" s="267"/>
      <c r="R9" s="267"/>
      <c r="S9" s="267"/>
      <c r="T9" s="267"/>
      <c r="U9" s="267"/>
    </row>
    <row r="10" spans="1:21">
      <c r="A10" s="308"/>
      <c r="B10" s="25"/>
      <c r="C10" s="271">
        <v>122</v>
      </c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</row>
    <row r="11" spans="1:21">
      <c r="A11" s="308"/>
      <c r="B11" s="268" t="s">
        <v>23</v>
      </c>
      <c r="C11" s="271">
        <v>66</v>
      </c>
      <c r="D11" s="267"/>
      <c r="E11" s="267"/>
      <c r="F11" s="267"/>
      <c r="G11" s="267"/>
      <c r="H11" s="267"/>
      <c r="I11" s="267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</row>
    <row r="12" spans="1:21">
      <c r="A12" s="308"/>
      <c r="B12" s="268"/>
      <c r="C12" s="271">
        <v>142</v>
      </c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267"/>
      <c r="P12" s="267"/>
      <c r="Q12" s="267"/>
      <c r="R12" s="267"/>
      <c r="S12" s="267"/>
      <c r="T12" s="267"/>
      <c r="U12" s="267"/>
    </row>
    <row r="13" spans="1:21">
      <c r="A13" s="308"/>
      <c r="B13" s="268"/>
      <c r="C13" s="271">
        <v>147</v>
      </c>
      <c r="D13" s="267"/>
      <c r="E13" s="267"/>
      <c r="F13" s="267"/>
      <c r="G13" s="267"/>
      <c r="H13" s="267"/>
      <c r="I13" s="267"/>
      <c r="J13" s="267"/>
      <c r="K13" s="267"/>
      <c r="L13" s="267"/>
      <c r="M13" s="267"/>
      <c r="N13" s="267"/>
      <c r="O13" s="267"/>
      <c r="P13" s="267"/>
      <c r="Q13" s="267"/>
      <c r="R13" s="267"/>
      <c r="S13" s="267"/>
      <c r="T13" s="267"/>
      <c r="U13" s="267"/>
    </row>
    <row r="14" spans="1:21">
      <c r="A14" s="308"/>
      <c r="B14" s="268" t="s">
        <v>26</v>
      </c>
      <c r="C14" s="271">
        <v>75</v>
      </c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7"/>
      <c r="T14" s="267"/>
      <c r="U14" s="267"/>
    </row>
    <row r="15" spans="1:21">
      <c r="A15" s="308"/>
      <c r="B15" s="268"/>
      <c r="C15" s="271">
        <v>81</v>
      </c>
      <c r="D15" s="267"/>
      <c r="E15" s="267"/>
      <c r="F15" s="267"/>
      <c r="G15" s="267"/>
      <c r="H15" s="267"/>
      <c r="I15" s="267"/>
      <c r="J15" s="267"/>
      <c r="K15" s="267"/>
      <c r="L15" s="267"/>
      <c r="M15" s="267"/>
      <c r="N15" s="267"/>
      <c r="O15" s="267"/>
      <c r="P15" s="267"/>
      <c r="Q15" s="267"/>
      <c r="R15" s="267"/>
      <c r="S15" s="267"/>
      <c r="T15" s="267"/>
      <c r="U15" s="267"/>
    </row>
    <row r="16" spans="1:21">
      <c r="A16" s="308"/>
      <c r="B16" s="268"/>
      <c r="C16" s="271">
        <v>91</v>
      </c>
      <c r="D16" s="267"/>
      <c r="E16" s="267"/>
      <c r="F16" s="267"/>
      <c r="G16" s="267"/>
      <c r="H16" s="267"/>
      <c r="I16" s="267"/>
      <c r="J16" s="267"/>
      <c r="K16" s="267"/>
      <c r="L16" s="267"/>
      <c r="M16" s="267"/>
      <c r="N16" s="267"/>
      <c r="O16" s="267"/>
      <c r="P16" s="267"/>
      <c r="Q16" s="267"/>
      <c r="R16" s="267"/>
      <c r="S16" s="267"/>
      <c r="T16" s="267"/>
      <c r="U16" s="267"/>
    </row>
    <row r="17" spans="1:21">
      <c r="A17" s="308"/>
      <c r="B17" s="268"/>
      <c r="C17" s="268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</row>
    <row r="18" spans="1:21">
      <c r="A18" s="308"/>
      <c r="B18" s="268"/>
      <c r="C18" s="268"/>
      <c r="D18" s="267"/>
      <c r="E18" s="267"/>
      <c r="F18" s="267"/>
      <c r="G18" s="267"/>
      <c r="H18" s="267"/>
      <c r="I18" s="267"/>
      <c r="J18" s="267"/>
      <c r="K18" s="267"/>
      <c r="L18" s="267"/>
      <c r="M18" s="267"/>
      <c r="N18" s="267"/>
      <c r="O18" s="267"/>
      <c r="P18" s="267"/>
      <c r="Q18" s="267"/>
      <c r="R18" s="267"/>
      <c r="S18" s="267"/>
      <c r="T18" s="267"/>
      <c r="U18" s="267"/>
    </row>
    <row r="19" spans="1:21">
      <c r="A19" s="308"/>
      <c r="B19" s="268" t="s">
        <v>32</v>
      </c>
      <c r="C19" s="272">
        <v>285</v>
      </c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</row>
    <row r="20" spans="1:21">
      <c r="A20" s="308"/>
      <c r="B20" s="268"/>
      <c r="C20" s="273">
        <v>322</v>
      </c>
      <c r="D20" s="267"/>
      <c r="E20" s="267"/>
      <c r="F20" s="267"/>
      <c r="G20" s="267"/>
      <c r="H20" s="267"/>
      <c r="I20" s="267"/>
      <c r="J20" s="267"/>
      <c r="K20" s="267"/>
      <c r="L20" s="267"/>
      <c r="M20" s="267"/>
      <c r="N20" s="267"/>
      <c r="O20" s="267"/>
      <c r="P20" s="267"/>
      <c r="Q20" s="267"/>
      <c r="R20" s="267"/>
      <c r="S20" s="267"/>
      <c r="T20" s="267"/>
      <c r="U20" s="267"/>
    </row>
    <row r="21" spans="1:21">
      <c r="A21" s="308"/>
      <c r="B21" s="268"/>
      <c r="C21" s="273">
        <v>323</v>
      </c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267"/>
      <c r="U21" s="267"/>
    </row>
    <row r="22" spans="1:21">
      <c r="A22" s="308"/>
      <c r="B22" s="268" t="s">
        <v>33</v>
      </c>
      <c r="C22" s="273">
        <v>267</v>
      </c>
      <c r="D22" s="267"/>
      <c r="E22" s="267"/>
      <c r="F22" s="267"/>
      <c r="G22" s="267"/>
      <c r="H22" s="267"/>
      <c r="I22" s="267"/>
      <c r="J22" s="267"/>
      <c r="K22" s="267"/>
      <c r="L22" s="267"/>
      <c r="M22" s="267"/>
      <c r="N22" s="267"/>
      <c r="O22" s="267"/>
      <c r="P22" s="267"/>
      <c r="Q22" s="267"/>
      <c r="R22" s="267"/>
      <c r="S22" s="267"/>
      <c r="T22" s="267"/>
      <c r="U22" s="267"/>
    </row>
    <row r="23" spans="1:21">
      <c r="A23" s="308"/>
      <c r="B23" s="268"/>
      <c r="C23" s="273">
        <v>275</v>
      </c>
      <c r="D23" s="267"/>
      <c r="E23" s="267"/>
      <c r="F23" s="267"/>
      <c r="G23" s="267"/>
      <c r="H23" s="267"/>
      <c r="I23" s="267"/>
      <c r="J23" s="267"/>
      <c r="K23" s="267"/>
      <c r="L23" s="267"/>
      <c r="M23" s="267"/>
      <c r="N23" s="267"/>
      <c r="O23" s="267"/>
      <c r="P23" s="267"/>
      <c r="Q23" s="267"/>
      <c r="R23" s="267"/>
      <c r="S23" s="267"/>
      <c r="T23" s="267"/>
      <c r="U23" s="267"/>
    </row>
    <row r="24" spans="1:21">
      <c r="A24" s="308"/>
      <c r="B24" s="268"/>
      <c r="C24" s="273">
        <v>266</v>
      </c>
      <c r="D24" s="267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67"/>
      <c r="S24" s="267"/>
      <c r="T24" s="267"/>
      <c r="U24" s="267"/>
    </row>
    <row r="25" spans="1:21">
      <c r="A25" s="308"/>
      <c r="B25" s="268" t="s">
        <v>35</v>
      </c>
      <c r="C25" s="273">
        <v>344</v>
      </c>
      <c r="D25" s="267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67"/>
      <c r="P25" s="267"/>
      <c r="Q25" s="267"/>
      <c r="R25" s="267"/>
      <c r="S25" s="267"/>
      <c r="T25" s="267"/>
      <c r="U25" s="267"/>
    </row>
    <row r="26" spans="1:21">
      <c r="A26" s="308"/>
      <c r="B26" s="268"/>
      <c r="C26" s="273">
        <v>60</v>
      </c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7"/>
      <c r="S26" s="267"/>
      <c r="T26" s="267"/>
      <c r="U26" s="267"/>
    </row>
    <row r="27" spans="1:21">
      <c r="A27" s="308"/>
      <c r="B27" s="268"/>
      <c r="C27" s="273">
        <v>58</v>
      </c>
      <c r="D27" s="267"/>
      <c r="E27" s="267"/>
      <c r="F27" s="267"/>
      <c r="G27" s="267"/>
      <c r="H27" s="267"/>
      <c r="I27" s="267"/>
      <c r="J27" s="267"/>
      <c r="K27" s="267"/>
      <c r="L27" s="267"/>
      <c r="M27" s="267"/>
      <c r="N27" s="267"/>
      <c r="O27" s="267"/>
      <c r="P27" s="267"/>
      <c r="Q27" s="267"/>
      <c r="R27" s="267"/>
      <c r="S27" s="267"/>
      <c r="T27" s="267"/>
      <c r="U27" s="267"/>
    </row>
    <row r="28" spans="1:21">
      <c r="A28" s="308"/>
      <c r="B28" s="268" t="s">
        <v>36</v>
      </c>
      <c r="C28" s="273">
        <v>211</v>
      </c>
      <c r="D28" s="267"/>
      <c r="E28" s="267"/>
      <c r="F28" s="267"/>
      <c r="G28" s="267"/>
      <c r="H28" s="267"/>
      <c r="I28" s="267"/>
      <c r="J28" s="267"/>
      <c r="K28" s="267"/>
      <c r="L28" s="267"/>
      <c r="M28" s="267"/>
      <c r="N28" s="267"/>
      <c r="O28" s="267"/>
      <c r="P28" s="267"/>
      <c r="Q28" s="267"/>
      <c r="R28" s="267"/>
      <c r="S28" s="267"/>
      <c r="T28" s="267"/>
      <c r="U28" s="267"/>
    </row>
    <row r="29" spans="1:21">
      <c r="A29" s="308"/>
      <c r="B29" s="268"/>
      <c r="C29" s="273">
        <v>250</v>
      </c>
      <c r="D29" s="267"/>
      <c r="E29" s="267"/>
      <c r="F29" s="267"/>
      <c r="G29" s="267"/>
      <c r="H29" s="267"/>
      <c r="I29" s="267"/>
      <c r="J29" s="267"/>
      <c r="K29" s="267"/>
      <c r="L29" s="267"/>
      <c r="M29" s="267"/>
      <c r="N29" s="267"/>
      <c r="O29" s="267"/>
      <c r="P29" s="267"/>
      <c r="Q29" s="267"/>
      <c r="R29" s="267"/>
      <c r="S29" s="267"/>
      <c r="T29" s="267"/>
      <c r="U29" s="267"/>
    </row>
    <row r="30" spans="1:21">
      <c r="A30" s="308"/>
      <c r="B30" s="268"/>
      <c r="C30" s="273">
        <v>212</v>
      </c>
      <c r="D30" s="267"/>
      <c r="E30" s="267"/>
      <c r="F30" s="267"/>
      <c r="G30" s="267"/>
      <c r="H30" s="267"/>
      <c r="I30" s="267"/>
      <c r="J30" s="267"/>
      <c r="K30" s="267"/>
      <c r="L30" s="267"/>
      <c r="M30" s="267"/>
      <c r="N30" s="267"/>
      <c r="O30" s="267"/>
      <c r="P30" s="267"/>
      <c r="Q30" s="267"/>
      <c r="R30" s="267"/>
      <c r="S30" s="267"/>
      <c r="T30" s="267"/>
      <c r="U30" s="267"/>
    </row>
    <row r="31" spans="1:21">
      <c r="A31" s="309" t="s">
        <v>159</v>
      </c>
      <c r="B31" s="274" t="s">
        <v>9</v>
      </c>
      <c r="C31" s="271">
        <v>5</v>
      </c>
      <c r="D31" s="267"/>
      <c r="E31" s="267"/>
      <c r="F31" s="267"/>
      <c r="G31" s="267"/>
      <c r="H31" s="267"/>
      <c r="I31" s="267"/>
      <c r="J31" s="267"/>
      <c r="K31" s="267"/>
      <c r="L31" s="267"/>
      <c r="M31" s="267"/>
      <c r="N31" s="267"/>
      <c r="O31" s="267"/>
      <c r="P31" s="267"/>
      <c r="Q31" s="267"/>
      <c r="R31" s="267"/>
      <c r="S31" s="267"/>
      <c r="T31" s="267"/>
      <c r="U31" s="267"/>
    </row>
    <row r="32" spans="1:21">
      <c r="A32" s="308"/>
      <c r="B32" s="274"/>
      <c r="C32" s="271">
        <v>17</v>
      </c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</row>
    <row r="33" spans="1:21">
      <c r="A33" s="308"/>
      <c r="B33" s="274"/>
      <c r="C33" s="271">
        <v>99</v>
      </c>
      <c r="D33" s="267"/>
      <c r="E33" s="267"/>
      <c r="F33" s="267"/>
      <c r="G33" s="267"/>
      <c r="H33" s="267"/>
      <c r="I33" s="267"/>
      <c r="J33" s="267"/>
      <c r="K33" s="267"/>
      <c r="L33" s="267"/>
      <c r="M33" s="267"/>
      <c r="N33" s="267"/>
      <c r="O33" s="267"/>
      <c r="P33" s="267"/>
      <c r="Q33" s="267"/>
      <c r="R33" s="267"/>
      <c r="S33" s="267"/>
      <c r="T33" s="267"/>
      <c r="U33" s="267"/>
    </row>
    <row r="34" spans="1:21">
      <c r="A34" s="308"/>
      <c r="B34" s="274"/>
      <c r="C34" s="268"/>
      <c r="D34" s="267"/>
      <c r="E34" s="267"/>
      <c r="F34" s="267"/>
      <c r="G34" s="267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</row>
    <row r="35" spans="1:21">
      <c r="A35" s="308"/>
      <c r="B35" s="274" t="s">
        <v>17</v>
      </c>
      <c r="C35" s="271">
        <v>37</v>
      </c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</row>
    <row r="36" spans="1:21">
      <c r="A36" s="308"/>
      <c r="B36" s="274"/>
      <c r="C36" s="271">
        <v>53</v>
      </c>
      <c r="D36" s="267"/>
      <c r="E36" s="267"/>
      <c r="F36" s="267"/>
      <c r="G36" s="26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</row>
    <row r="37" spans="1:21">
      <c r="A37" s="308"/>
      <c r="B37" s="274"/>
      <c r="C37" s="271">
        <v>134</v>
      </c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267"/>
      <c r="T37" s="267"/>
      <c r="U37" s="267"/>
    </row>
    <row r="38" spans="1:21">
      <c r="A38" s="308"/>
      <c r="B38" s="274"/>
      <c r="C38" s="268"/>
      <c r="D38" s="267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</row>
    <row r="39" spans="1:21">
      <c r="A39" s="308"/>
      <c r="B39" s="274" t="s">
        <v>23</v>
      </c>
      <c r="C39" s="271">
        <v>192</v>
      </c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  <c r="R39" s="267"/>
      <c r="S39" s="267"/>
      <c r="T39" s="267"/>
      <c r="U39" s="267"/>
    </row>
    <row r="40" spans="1:21">
      <c r="A40" s="308"/>
      <c r="B40" s="274"/>
      <c r="C40" s="271">
        <v>143</v>
      </c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  <c r="R40" s="267"/>
      <c r="S40" s="267"/>
      <c r="T40" s="267"/>
      <c r="U40" s="267"/>
    </row>
    <row r="41" spans="1:21">
      <c r="A41" s="308"/>
      <c r="B41" s="274"/>
      <c r="C41" s="271">
        <v>190</v>
      </c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  <c r="R41" s="267"/>
      <c r="S41" s="267"/>
      <c r="T41" s="267"/>
      <c r="U41" s="267"/>
    </row>
    <row r="42" spans="1:21">
      <c r="A42" s="308"/>
      <c r="B42" s="274"/>
      <c r="C42" s="268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</row>
    <row r="43" spans="1:21">
      <c r="A43" s="308"/>
      <c r="B43" s="274" t="s">
        <v>26</v>
      </c>
      <c r="C43" s="271">
        <v>88</v>
      </c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</row>
    <row r="44" spans="1:21">
      <c r="A44" s="308"/>
      <c r="B44" s="274"/>
      <c r="C44" s="271">
        <v>169</v>
      </c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</row>
    <row r="45" spans="1:21">
      <c r="A45" s="308"/>
      <c r="B45" s="274"/>
      <c r="C45" s="271">
        <v>174</v>
      </c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7"/>
      <c r="S45" s="267"/>
      <c r="T45" s="267"/>
      <c r="U45" s="267"/>
    </row>
    <row r="46" spans="1:21">
      <c r="A46" s="308"/>
      <c r="B46" s="275"/>
      <c r="C46" s="25"/>
      <c r="D46" s="267"/>
      <c r="E46" s="267"/>
      <c r="F46" s="267"/>
      <c r="G46" s="267"/>
      <c r="H46" s="267"/>
      <c r="I46" s="267"/>
      <c r="J46" s="267"/>
      <c r="K46" s="267"/>
      <c r="L46" s="267"/>
      <c r="M46" s="267"/>
      <c r="N46" s="267"/>
      <c r="O46" s="267"/>
      <c r="P46" s="267"/>
      <c r="Q46" s="267"/>
      <c r="R46" s="267"/>
      <c r="S46" s="267"/>
      <c r="T46" s="267"/>
      <c r="U46" s="267"/>
    </row>
    <row r="47" spans="1:21">
      <c r="A47" s="308"/>
      <c r="B47" s="275" t="s">
        <v>160</v>
      </c>
      <c r="C47" s="273">
        <v>108</v>
      </c>
      <c r="D47" s="267"/>
      <c r="E47" s="267"/>
      <c r="F47" s="267"/>
      <c r="G47" s="267"/>
      <c r="H47" s="267"/>
      <c r="I47" s="267"/>
      <c r="J47" s="267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</row>
    <row r="48" spans="1:21">
      <c r="A48" s="308"/>
      <c r="B48" s="275"/>
      <c r="C48" s="273">
        <v>287</v>
      </c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</row>
    <row r="49" spans="1:21">
      <c r="A49" s="308"/>
      <c r="B49" s="275"/>
      <c r="C49" s="273">
        <v>328</v>
      </c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7"/>
      <c r="T49" s="267"/>
      <c r="U49" s="267"/>
    </row>
    <row r="50" spans="1:21">
      <c r="A50" s="308"/>
      <c r="B50" s="275" t="s">
        <v>161</v>
      </c>
      <c r="C50" s="273">
        <v>207</v>
      </c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67"/>
      <c r="Q50" s="267"/>
      <c r="R50" s="267"/>
      <c r="S50" s="267"/>
      <c r="T50" s="267"/>
      <c r="U50" s="267"/>
    </row>
    <row r="51" spans="1:21">
      <c r="A51" s="308"/>
      <c r="B51" s="275"/>
      <c r="C51" s="273">
        <v>314</v>
      </c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67"/>
      <c r="Q51" s="267"/>
      <c r="R51" s="267"/>
      <c r="S51" s="267"/>
      <c r="T51" s="267"/>
      <c r="U51" s="267"/>
    </row>
    <row r="52" spans="1:21">
      <c r="A52" s="308"/>
      <c r="B52" s="275"/>
      <c r="C52" s="273">
        <v>280</v>
      </c>
      <c r="D52" s="267"/>
      <c r="E52" s="267"/>
      <c r="F52" s="267"/>
      <c r="G52" s="267"/>
      <c r="H52" s="267"/>
      <c r="I52" s="267"/>
      <c r="J52" s="267"/>
      <c r="K52" s="267"/>
      <c r="L52" s="267"/>
      <c r="M52" s="267"/>
      <c r="N52" s="267"/>
      <c r="O52" s="267"/>
      <c r="P52" s="267"/>
      <c r="Q52" s="267"/>
      <c r="R52" s="267"/>
      <c r="S52" s="267"/>
      <c r="T52" s="267"/>
      <c r="U52" s="267"/>
    </row>
    <row r="53" spans="1:21">
      <c r="A53" s="308"/>
      <c r="B53" s="275" t="s">
        <v>162</v>
      </c>
      <c r="C53" s="273">
        <v>172</v>
      </c>
      <c r="D53" s="267"/>
      <c r="E53" s="267"/>
      <c r="F53" s="267"/>
      <c r="G53" s="267"/>
      <c r="H53" s="267"/>
      <c r="I53" s="267"/>
      <c r="J53" s="267"/>
      <c r="K53" s="267"/>
      <c r="L53" s="267"/>
      <c r="M53" s="267"/>
      <c r="N53" s="267"/>
      <c r="O53" s="267"/>
      <c r="P53" s="267"/>
      <c r="Q53" s="267"/>
      <c r="R53" s="267"/>
      <c r="S53" s="267"/>
      <c r="T53" s="267"/>
      <c r="U53" s="267"/>
    </row>
    <row r="54" spans="1:21">
      <c r="A54" s="308"/>
      <c r="B54" s="275"/>
      <c r="C54" s="273">
        <v>229</v>
      </c>
      <c r="D54" s="267"/>
      <c r="E54" s="267"/>
      <c r="F54" s="267"/>
      <c r="G54" s="267"/>
      <c r="H54" s="267"/>
      <c r="I54" s="267"/>
      <c r="J54" s="267"/>
      <c r="K54" s="267"/>
      <c r="L54" s="267"/>
      <c r="M54" s="267"/>
      <c r="N54" s="267"/>
      <c r="O54" s="267"/>
      <c r="P54" s="267"/>
      <c r="Q54" s="267"/>
      <c r="R54" s="267"/>
      <c r="S54" s="267"/>
      <c r="T54" s="267"/>
      <c r="U54" s="267"/>
    </row>
    <row r="55" spans="1:21">
      <c r="A55" s="308"/>
      <c r="B55" s="275"/>
      <c r="C55" s="273">
        <v>349</v>
      </c>
      <c r="D55" s="267"/>
      <c r="E55" s="267"/>
      <c r="F55" s="267"/>
      <c r="G55" s="267"/>
      <c r="H55" s="267"/>
      <c r="I55" s="267"/>
      <c r="J55" s="267"/>
      <c r="K55" s="267"/>
      <c r="L55" s="267"/>
      <c r="M55" s="267"/>
      <c r="N55" s="267"/>
      <c r="O55" s="267"/>
      <c r="P55" s="267"/>
      <c r="Q55" s="267"/>
      <c r="R55" s="267"/>
      <c r="S55" s="267"/>
      <c r="T55" s="267"/>
      <c r="U55" s="267"/>
    </row>
    <row r="56" spans="1:21">
      <c r="A56" s="308"/>
      <c r="B56" s="275" t="s">
        <v>163</v>
      </c>
      <c r="C56" s="273">
        <v>193</v>
      </c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7"/>
      <c r="T56" s="267"/>
      <c r="U56" s="267"/>
    </row>
    <row r="57" spans="1:21">
      <c r="A57" s="308"/>
      <c r="B57" s="275"/>
      <c r="C57" s="273">
        <v>161</v>
      </c>
      <c r="D57" s="267"/>
      <c r="E57" s="267"/>
      <c r="F57" s="267"/>
      <c r="G57" s="267"/>
      <c r="H57" s="267"/>
      <c r="I57" s="267"/>
      <c r="J57" s="267"/>
      <c r="K57" s="267"/>
      <c r="L57" s="267"/>
      <c r="M57" s="267"/>
      <c r="N57" s="267"/>
      <c r="O57" s="267"/>
      <c r="P57" s="267"/>
      <c r="Q57" s="267"/>
      <c r="R57" s="267"/>
      <c r="S57" s="267"/>
      <c r="T57" s="267"/>
      <c r="U57" s="267"/>
    </row>
    <row r="58" spans="1:21">
      <c r="A58" s="310"/>
      <c r="B58" s="275"/>
      <c r="C58" s="273">
        <v>218</v>
      </c>
      <c r="D58" s="267"/>
      <c r="E58" s="267"/>
      <c r="F58" s="267"/>
      <c r="G58" s="267"/>
      <c r="H58" s="267"/>
      <c r="I58" s="267"/>
      <c r="J58" s="267"/>
      <c r="K58" s="267"/>
      <c r="L58" s="267"/>
      <c r="M58" s="267"/>
      <c r="N58" s="267"/>
      <c r="O58" s="267"/>
      <c r="P58" s="267"/>
      <c r="Q58" s="267"/>
      <c r="R58" s="267"/>
      <c r="S58" s="267"/>
      <c r="T58" s="267"/>
      <c r="U58" s="267"/>
    </row>
    <row r="59" spans="1:21">
      <c r="A59" s="268"/>
      <c r="B59" s="230"/>
      <c r="C59" s="230"/>
      <c r="D59" s="267"/>
      <c r="E59" s="267"/>
      <c r="F59" s="267"/>
      <c r="G59" s="267"/>
      <c r="H59" s="267"/>
      <c r="I59" s="267"/>
      <c r="J59" s="267"/>
      <c r="K59" s="267"/>
      <c r="L59" s="267"/>
      <c r="M59" s="267"/>
      <c r="N59" s="267"/>
      <c r="O59" s="267"/>
      <c r="P59" s="267"/>
      <c r="Q59" s="267"/>
      <c r="R59" s="267"/>
      <c r="S59" s="267"/>
      <c r="T59" s="267"/>
      <c r="U59" s="267"/>
    </row>
    <row r="60" spans="1:21">
      <c r="A60" s="276" t="s">
        <v>164</v>
      </c>
      <c r="B60" s="274" t="s">
        <v>165</v>
      </c>
      <c r="C60" s="266">
        <v>32</v>
      </c>
      <c r="D60" s="267"/>
      <c r="E60" s="267"/>
      <c r="F60" s="267"/>
      <c r="G60" s="267"/>
      <c r="H60" s="267"/>
      <c r="I60" s="267"/>
      <c r="J60" s="267"/>
      <c r="K60" s="267"/>
      <c r="L60" s="267"/>
      <c r="M60" s="267"/>
      <c r="N60" s="267"/>
      <c r="O60" s="267"/>
      <c r="P60" s="267"/>
      <c r="Q60" s="267"/>
      <c r="R60" s="267"/>
      <c r="S60" s="267"/>
      <c r="T60" s="267"/>
      <c r="U60" s="267"/>
    </row>
    <row r="61" spans="1:21">
      <c r="A61" s="298"/>
      <c r="B61" s="274"/>
      <c r="C61" s="266">
        <v>33</v>
      </c>
      <c r="D61" s="267"/>
      <c r="E61" s="267"/>
      <c r="F61" s="267"/>
      <c r="G61" s="267"/>
      <c r="H61" s="267"/>
      <c r="I61" s="267"/>
      <c r="J61" s="267"/>
      <c r="K61" s="267"/>
      <c r="L61" s="267"/>
      <c r="M61" s="267"/>
      <c r="N61" s="267"/>
      <c r="O61" s="267"/>
      <c r="P61" s="267"/>
      <c r="Q61" s="267"/>
      <c r="R61" s="267"/>
      <c r="S61" s="267"/>
      <c r="T61" s="267"/>
      <c r="U61" s="267"/>
    </row>
    <row r="62" spans="1:21">
      <c r="A62" s="299"/>
      <c r="B62" s="274"/>
      <c r="C62" s="266">
        <v>34</v>
      </c>
      <c r="D62" s="267"/>
      <c r="E62" s="267"/>
      <c r="F62" s="267"/>
      <c r="G62" s="267"/>
      <c r="H62" s="267"/>
      <c r="I62" s="267"/>
      <c r="J62" s="267"/>
      <c r="K62" s="267"/>
      <c r="L62" s="267"/>
      <c r="M62" s="267"/>
      <c r="N62" s="267"/>
      <c r="O62" s="267"/>
      <c r="P62" s="267"/>
      <c r="Q62" s="267"/>
      <c r="R62" s="267"/>
      <c r="S62" s="267"/>
      <c r="T62" s="267"/>
      <c r="U62" s="267"/>
    </row>
    <row r="63" spans="1:21">
      <c r="A63" s="299"/>
      <c r="B63" s="274"/>
      <c r="C63" s="27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  <c r="T63" s="267"/>
      <c r="U63" s="267"/>
    </row>
    <row r="64" spans="1:21">
      <c r="A64" s="299"/>
      <c r="B64" s="274" t="s">
        <v>166</v>
      </c>
      <c r="C64" s="266">
        <v>50</v>
      </c>
      <c r="D64" s="267"/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7"/>
      <c r="P64" s="267"/>
      <c r="Q64" s="267"/>
      <c r="R64" s="267"/>
      <c r="S64" s="267"/>
      <c r="T64" s="267"/>
      <c r="U64" s="267"/>
    </row>
    <row r="65" spans="1:21">
      <c r="A65" s="299"/>
      <c r="B65" s="274"/>
      <c r="C65" s="266">
        <v>51</v>
      </c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7"/>
      <c r="R65" s="267"/>
      <c r="S65" s="267"/>
      <c r="T65" s="267"/>
      <c r="U65" s="267"/>
    </row>
    <row r="66" spans="1:21">
      <c r="A66" s="299"/>
      <c r="B66" s="274"/>
      <c r="C66" s="266">
        <v>52</v>
      </c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7"/>
      <c r="R66" s="267"/>
      <c r="S66" s="267"/>
      <c r="T66" s="267"/>
      <c r="U66" s="267"/>
    </row>
    <row r="67" spans="1:21">
      <c r="A67" s="299"/>
      <c r="B67" s="274"/>
      <c r="C67" s="27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7"/>
      <c r="R67" s="267"/>
      <c r="S67" s="267"/>
      <c r="T67" s="267"/>
      <c r="U67" s="267"/>
    </row>
    <row r="68" spans="1:21">
      <c r="A68" s="299"/>
      <c r="B68" s="278" t="s">
        <v>167</v>
      </c>
      <c r="C68" s="266">
        <v>8</v>
      </c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7"/>
      <c r="R68" s="267"/>
      <c r="S68" s="267"/>
      <c r="T68" s="267"/>
      <c r="U68" s="267"/>
    </row>
    <row r="69" spans="1:21">
      <c r="A69" s="299"/>
      <c r="B69" s="274"/>
      <c r="C69" s="266">
        <v>9</v>
      </c>
      <c r="D69" s="267"/>
      <c r="E69" s="267"/>
      <c r="F69" s="267"/>
      <c r="G69" s="267"/>
      <c r="H69" s="267"/>
      <c r="I69" s="267"/>
      <c r="J69" s="267"/>
      <c r="K69" s="267"/>
      <c r="L69" s="267"/>
      <c r="M69" s="267"/>
      <c r="N69" s="267"/>
      <c r="O69" s="267"/>
      <c r="P69" s="267"/>
      <c r="Q69" s="267"/>
      <c r="R69" s="267"/>
      <c r="S69" s="267"/>
      <c r="T69" s="267"/>
      <c r="U69" s="267"/>
    </row>
    <row r="70" spans="1:21">
      <c r="A70" s="299"/>
      <c r="B70" s="274"/>
      <c r="C70" s="266">
        <v>10</v>
      </c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</row>
    <row r="71" spans="1:21">
      <c r="A71" s="299"/>
      <c r="B71" s="274"/>
      <c r="C71" s="277"/>
      <c r="D71" s="267"/>
      <c r="E71" s="267"/>
      <c r="F71" s="267"/>
      <c r="G71" s="267"/>
      <c r="H71" s="267"/>
      <c r="I71" s="267"/>
      <c r="J71" s="267"/>
      <c r="K71" s="267"/>
      <c r="L71" s="267"/>
      <c r="M71" s="267"/>
      <c r="N71" s="267"/>
      <c r="O71" s="267"/>
      <c r="P71" s="267"/>
      <c r="Q71" s="267"/>
      <c r="R71" s="267"/>
      <c r="S71" s="267"/>
      <c r="T71" s="267"/>
      <c r="U71" s="267"/>
    </row>
    <row r="72" spans="1:21">
      <c r="A72" s="299"/>
      <c r="B72" s="278" t="s">
        <v>168</v>
      </c>
      <c r="C72" s="266">
        <v>38</v>
      </c>
      <c r="D72" s="267"/>
      <c r="E72" s="267"/>
      <c r="F72" s="267"/>
      <c r="G72" s="267"/>
      <c r="H72" s="267"/>
      <c r="I72" s="267"/>
      <c r="J72" s="267"/>
      <c r="K72" s="267"/>
      <c r="L72" s="267"/>
      <c r="M72" s="267"/>
      <c r="N72" s="267"/>
      <c r="O72" s="267"/>
      <c r="P72" s="267"/>
      <c r="Q72" s="267"/>
      <c r="R72" s="267"/>
      <c r="S72" s="267"/>
      <c r="T72" s="267"/>
      <c r="U72" s="267"/>
    </row>
    <row r="73" spans="1:21">
      <c r="A73" s="299"/>
      <c r="B73" s="274"/>
      <c r="C73" s="266">
        <v>39</v>
      </c>
      <c r="D73" s="267"/>
      <c r="E73" s="267"/>
      <c r="F73" s="267"/>
      <c r="G73" s="267"/>
      <c r="H73" s="267"/>
      <c r="I73" s="267"/>
      <c r="J73" s="267"/>
      <c r="K73" s="267"/>
      <c r="L73" s="267"/>
      <c r="M73" s="267"/>
      <c r="N73" s="267"/>
      <c r="O73" s="267"/>
      <c r="P73" s="267"/>
      <c r="Q73" s="267"/>
      <c r="R73" s="267"/>
      <c r="S73" s="267"/>
      <c r="T73" s="267"/>
      <c r="U73" s="267"/>
    </row>
    <row r="74" spans="1:21">
      <c r="A74" s="299"/>
      <c r="B74" s="274"/>
      <c r="C74" s="266">
        <v>40</v>
      </c>
      <c r="D74" s="267"/>
      <c r="E74" s="267"/>
      <c r="F74" s="267"/>
      <c r="G74" s="267"/>
      <c r="H74" s="267"/>
      <c r="I74" s="267"/>
      <c r="J74" s="267"/>
      <c r="K74" s="267"/>
      <c r="L74" s="267"/>
      <c r="M74" s="267"/>
      <c r="N74" s="267"/>
      <c r="O74" s="267"/>
      <c r="P74" s="267"/>
      <c r="Q74" s="267"/>
      <c r="R74" s="267"/>
      <c r="S74" s="267"/>
      <c r="T74" s="267"/>
      <c r="U74" s="267"/>
    </row>
    <row r="75" spans="1:21">
      <c r="A75" s="299"/>
      <c r="B75" s="279"/>
      <c r="C75" s="280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</row>
    <row r="76" spans="1:21">
      <c r="A76" s="299"/>
      <c r="B76" s="282" t="s">
        <v>169</v>
      </c>
      <c r="C76" s="271">
        <v>45</v>
      </c>
      <c r="D76" s="268"/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</row>
    <row r="77" spans="1:21">
      <c r="A77" s="299"/>
      <c r="B77" s="268"/>
      <c r="C77" s="271">
        <v>46</v>
      </c>
      <c r="D77" s="268"/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</row>
    <row r="78" spans="1:21">
      <c r="A78" s="194"/>
      <c r="B78" s="268"/>
      <c r="C78" s="268"/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</row>
    <row r="79" spans="1:21">
      <c r="A79" s="194"/>
      <c r="B79" s="268" t="s">
        <v>170</v>
      </c>
      <c r="C79" s="271">
        <v>26</v>
      </c>
      <c r="D79" s="268"/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</row>
    <row r="80" spans="1:21">
      <c r="A80" s="194"/>
      <c r="B80" s="268"/>
      <c r="C80" s="271">
        <v>27</v>
      </c>
      <c r="D80" s="268"/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</row>
    <row r="81" spans="1:21">
      <c r="A81" s="194"/>
      <c r="B81" s="268"/>
      <c r="C81" s="271">
        <v>28</v>
      </c>
      <c r="D81" s="268"/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</row>
  </sheetData>
  <mergeCells count="6">
    <mergeCell ref="A61:A77"/>
    <mergeCell ref="B1:C1"/>
    <mergeCell ref="B2:C2"/>
    <mergeCell ref="B3:C4"/>
    <mergeCell ref="A5:A30"/>
    <mergeCell ref="A31:A5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16"/>
  <sheetViews>
    <sheetView workbookViewId="0"/>
  </sheetViews>
  <sheetFormatPr defaultColWidth="14.453125" defaultRowHeight="15" customHeight="1"/>
  <sheetData>
    <row r="1" spans="1:6">
      <c r="A1" s="283" t="s">
        <v>171</v>
      </c>
      <c r="B1" s="284" t="s">
        <v>172</v>
      </c>
      <c r="C1" s="283" t="s">
        <v>173</v>
      </c>
      <c r="D1" s="285" t="s">
        <v>174</v>
      </c>
      <c r="E1" s="286" t="s">
        <v>175</v>
      </c>
      <c r="F1" s="287" t="s">
        <v>173</v>
      </c>
    </row>
    <row r="2" spans="1:6">
      <c r="A2" s="288">
        <v>4</v>
      </c>
      <c r="B2" s="289" t="s">
        <v>176</v>
      </c>
      <c r="C2" s="290">
        <v>7.6</v>
      </c>
      <c r="D2" s="291">
        <v>281</v>
      </c>
      <c r="E2" s="289" t="s">
        <v>177</v>
      </c>
      <c r="F2" s="272">
        <v>4.2</v>
      </c>
    </row>
    <row r="3" spans="1:6">
      <c r="A3" s="288">
        <v>8</v>
      </c>
      <c r="B3" s="289" t="s">
        <v>176</v>
      </c>
      <c r="C3" s="290">
        <v>7.3</v>
      </c>
      <c r="D3" s="291">
        <v>283</v>
      </c>
      <c r="E3" s="289" t="s">
        <v>177</v>
      </c>
      <c r="F3" s="272">
        <v>3.9</v>
      </c>
    </row>
    <row r="4" spans="1:6">
      <c r="A4" s="288">
        <v>12</v>
      </c>
      <c r="B4" s="289" t="s">
        <v>176</v>
      </c>
      <c r="C4" s="290">
        <v>7.2</v>
      </c>
      <c r="D4" s="291">
        <v>284</v>
      </c>
      <c r="E4" s="289" t="s">
        <v>177</v>
      </c>
      <c r="F4" s="272">
        <v>3.9</v>
      </c>
    </row>
    <row r="5" spans="1:6">
      <c r="A5" s="288">
        <v>46</v>
      </c>
      <c r="B5" s="289" t="s">
        <v>178</v>
      </c>
      <c r="C5" s="290">
        <v>6.3</v>
      </c>
      <c r="D5" s="291">
        <v>271</v>
      </c>
      <c r="E5" s="289" t="s">
        <v>179</v>
      </c>
      <c r="F5" s="272">
        <v>5.2</v>
      </c>
    </row>
    <row r="6" spans="1:6">
      <c r="A6" s="288">
        <v>51</v>
      </c>
      <c r="B6" s="289" t="s">
        <v>178</v>
      </c>
      <c r="C6" s="290">
        <v>6.5</v>
      </c>
      <c r="D6" s="291">
        <v>272</v>
      </c>
      <c r="E6" s="289" t="s">
        <v>179</v>
      </c>
      <c r="F6" s="272">
        <v>5.3</v>
      </c>
    </row>
    <row r="7" spans="1:6">
      <c r="A7" s="288">
        <v>61</v>
      </c>
      <c r="B7" s="289" t="s">
        <v>178</v>
      </c>
      <c r="C7" s="290">
        <v>6.3</v>
      </c>
      <c r="D7" s="291">
        <v>273</v>
      </c>
      <c r="E7" s="289" t="s">
        <v>179</v>
      </c>
      <c r="F7" s="272">
        <v>5.2</v>
      </c>
    </row>
    <row r="8" spans="1:6">
      <c r="A8" s="288">
        <v>69</v>
      </c>
      <c r="B8" s="289" t="s">
        <v>180</v>
      </c>
      <c r="C8" s="290">
        <v>7.5</v>
      </c>
      <c r="D8" s="292">
        <v>341</v>
      </c>
      <c r="E8" s="289" t="s">
        <v>181</v>
      </c>
      <c r="F8" s="272">
        <v>5.6</v>
      </c>
    </row>
    <row r="9" spans="1:6">
      <c r="A9" s="288">
        <v>144</v>
      </c>
      <c r="B9" s="289" t="s">
        <v>180</v>
      </c>
      <c r="C9" s="290">
        <v>8</v>
      </c>
      <c r="D9" s="292">
        <v>322</v>
      </c>
      <c r="E9" s="289" t="s">
        <v>181</v>
      </c>
      <c r="F9" s="272">
        <v>5.8</v>
      </c>
    </row>
    <row r="10" spans="1:6">
      <c r="A10" s="288">
        <v>149</v>
      </c>
      <c r="B10" s="289" t="s">
        <v>180</v>
      </c>
      <c r="C10" s="290">
        <v>7.8</v>
      </c>
      <c r="D10" s="292">
        <v>343</v>
      </c>
      <c r="E10" s="289" t="s">
        <v>181</v>
      </c>
      <c r="F10" s="272">
        <v>5.9</v>
      </c>
    </row>
    <row r="11" spans="1:6">
      <c r="A11" s="291">
        <v>96</v>
      </c>
      <c r="B11" s="289" t="s">
        <v>182</v>
      </c>
      <c r="C11" s="290">
        <v>8.3000000000000007</v>
      </c>
      <c r="D11" s="292">
        <v>246</v>
      </c>
      <c r="E11" s="289" t="s">
        <v>183</v>
      </c>
      <c r="F11" s="272">
        <v>4.3</v>
      </c>
    </row>
    <row r="12" spans="1:6">
      <c r="A12" s="291">
        <v>97</v>
      </c>
      <c r="B12" s="289" t="s">
        <v>182</v>
      </c>
      <c r="C12" s="290">
        <v>8.1999999999999993</v>
      </c>
      <c r="D12" s="292">
        <v>247</v>
      </c>
      <c r="E12" s="289" t="s">
        <v>183</v>
      </c>
      <c r="F12" s="272">
        <v>3.7</v>
      </c>
    </row>
    <row r="13" spans="1:6">
      <c r="A13" s="291">
        <v>154</v>
      </c>
      <c r="B13" s="289" t="s">
        <v>182</v>
      </c>
      <c r="C13" s="290">
        <v>7.9</v>
      </c>
      <c r="D13" s="292">
        <v>248</v>
      </c>
      <c r="E13" s="289" t="s">
        <v>183</v>
      </c>
      <c r="F13" s="272">
        <v>4</v>
      </c>
    </row>
    <row r="14" spans="1:6">
      <c r="A14" s="289"/>
      <c r="B14" s="289"/>
      <c r="C14" s="293"/>
      <c r="D14" s="292">
        <v>87</v>
      </c>
      <c r="E14" s="289" t="s">
        <v>36</v>
      </c>
      <c r="F14" s="272">
        <v>2.1</v>
      </c>
    </row>
    <row r="15" spans="1:6">
      <c r="A15" s="289"/>
      <c r="B15" s="289"/>
      <c r="C15" s="293"/>
      <c r="D15" s="292">
        <v>199</v>
      </c>
      <c r="E15" s="289" t="s">
        <v>36</v>
      </c>
      <c r="F15" s="272">
        <v>2.2000000000000002</v>
      </c>
    </row>
    <row r="16" spans="1:6">
      <c r="A16" s="294"/>
      <c r="B16" s="289"/>
      <c r="C16" s="293"/>
      <c r="D16" s="292">
        <v>200</v>
      </c>
      <c r="E16" s="289" t="s">
        <v>36</v>
      </c>
      <c r="F16" s="272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18</vt:i4>
      </vt:variant>
    </vt:vector>
  </HeadingPairs>
  <TitlesOfParts>
    <vt:vector size="18" baseType="lpstr">
      <vt:lpstr>stienīši</vt:lpstr>
      <vt:lpstr>kubiņi</vt:lpstr>
      <vt:lpstr>Sl suberinskabe</vt:lpstr>
      <vt:lpstr>Sl hito+suberinskabe</vt:lpstr>
      <vt:lpstr>Sl Hito</vt:lpstr>
      <vt:lpstr>Sa suberīnskābe</vt:lpstr>
      <vt:lpstr>Sa hito + sub</vt:lpstr>
      <vt:lpstr>tab videjie</vt:lpstr>
      <vt:lpstr>liecei</vt:lpstr>
      <vt:lpstr>spiedei</vt:lpstr>
      <vt:lpstr>ūd. sorbcija Sl</vt:lpstr>
      <vt:lpstr>ūd sorbcija Sa</vt:lpstr>
      <vt:lpstr>ūd_sorbc_statistikai</vt:lpstr>
      <vt:lpstr>kubinu_apstrādes</vt:lpstr>
      <vt:lpstr>stienisu_apstrades</vt:lpstr>
      <vt:lpstr>ūdens sorbcija mean, sd</vt:lpstr>
      <vt:lpstr>higro</vt:lpstr>
      <vt:lpstr>Komp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Mikus Kampuss</cp:lastModifiedBy>
  <dcterms:created xsi:type="dcterms:W3CDTF">2015-06-05T00:17:20Z</dcterms:created>
  <dcterms:modified xsi:type="dcterms:W3CDTF">2026-04-03T19:29:12Z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5fb6ae75a3c44375b70c681f386f4f2c</vt:lpwstr>
  </property>
</Properties>
</file>