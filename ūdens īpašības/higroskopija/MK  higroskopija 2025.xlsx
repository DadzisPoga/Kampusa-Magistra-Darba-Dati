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etotajs\Documents\Mikus\4SemDarbini\MD\"/>
    </mc:Choice>
  </mc:AlternateContent>
  <xr:revisionPtr revIDLastSave="0" documentId="13_ncr:1_{E2347BC5-4BBA-4DB8-8BE2-F27F1DB3AFF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Kubiņu masa" sheetId="1" r:id="rId1"/>
    <sheet name="Masas izmaiņa %" sheetId="2" r:id="rId2"/>
    <sheet name="Statistikai" sheetId="3" r:id="rId3"/>
    <sheet name="Mean_S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GstP4leZEiZgPAsAi1gl8jTni7BLW5iM6S311v7HxA="/>
    </ext>
  </extLst>
</workbook>
</file>

<file path=xl/calcChain.xml><?xml version="1.0" encoding="utf-8"?>
<calcChain xmlns="http://schemas.openxmlformats.org/spreadsheetml/2006/main">
  <c r="I767" i="3" l="1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6" i="3"/>
  <c r="I765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5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2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17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652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587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22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457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392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27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262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197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32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67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2" i="3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P8" i="2"/>
  <c r="O8" i="2"/>
  <c r="N8" i="2"/>
  <c r="M8" i="2"/>
  <c r="L8" i="2"/>
  <c r="K8" i="2"/>
  <c r="J8" i="2"/>
  <c r="I8" i="2"/>
  <c r="H8" i="2"/>
  <c r="G8" i="2"/>
  <c r="F8" i="2"/>
  <c r="E8" i="2"/>
  <c r="D8" i="2"/>
  <c r="P7" i="2"/>
  <c r="O7" i="2"/>
  <c r="N7" i="2"/>
  <c r="M7" i="2"/>
  <c r="L7" i="2"/>
  <c r="K7" i="2"/>
  <c r="J7" i="2"/>
  <c r="I7" i="2"/>
  <c r="H7" i="2"/>
  <c r="G7" i="2"/>
  <c r="F7" i="2"/>
  <c r="E7" i="2"/>
  <c r="D7" i="2"/>
  <c r="P6" i="2"/>
  <c r="O6" i="2"/>
  <c r="N6" i="2"/>
  <c r="M6" i="2"/>
  <c r="L6" i="2"/>
  <c r="K6" i="2"/>
  <c r="J6" i="2"/>
  <c r="I6" i="2"/>
  <c r="H6" i="2"/>
  <c r="G6" i="2"/>
  <c r="F6" i="2"/>
  <c r="E6" i="2"/>
  <c r="D6" i="2"/>
  <c r="P5" i="2"/>
  <c r="O5" i="2"/>
  <c r="N5" i="2"/>
  <c r="M5" i="2"/>
  <c r="L5" i="2"/>
  <c r="K5" i="2"/>
  <c r="J5" i="2"/>
  <c r="I5" i="2"/>
  <c r="H5" i="2"/>
  <c r="G5" i="2"/>
  <c r="F5" i="2"/>
  <c r="E5" i="2"/>
  <c r="D5" i="2"/>
</calcChain>
</file>

<file path=xl/sharedStrings.xml><?xml version="1.0" encoding="utf-8"?>
<sst xmlns="http://schemas.openxmlformats.org/spreadsheetml/2006/main" count="3310" uniqueCount="95">
  <si>
    <t>24.11.25</t>
  </si>
  <si>
    <t>mo-abs sausa, žavskapī 50C/3h</t>
  </si>
  <si>
    <t>Gaisa mitrums:</t>
  </si>
  <si>
    <t>pelējuma augšana 95% rh</t>
  </si>
  <si>
    <t>Temperatūra:</t>
  </si>
  <si>
    <t>23oC</t>
  </si>
  <si>
    <t>Paraugi</t>
  </si>
  <si>
    <t>23.20.2025</t>
  </si>
  <si>
    <t>apstrāde</t>
  </si>
  <si>
    <t>mo*</t>
  </si>
  <si>
    <t>sub</t>
  </si>
  <si>
    <t>Sl1</t>
  </si>
  <si>
    <t>daudz</t>
  </si>
  <si>
    <t>Sl2</t>
  </si>
  <si>
    <t>Sl3</t>
  </si>
  <si>
    <t>Sl4</t>
  </si>
  <si>
    <t>maz</t>
  </si>
  <si>
    <t>nav</t>
  </si>
  <si>
    <t>Sa1</t>
  </si>
  <si>
    <t>Sa2</t>
  </si>
  <si>
    <t>Sa3</t>
  </si>
  <si>
    <t>Sa4</t>
  </si>
  <si>
    <t xml:space="preserve">hito/sub </t>
  </si>
  <si>
    <t>sa1</t>
  </si>
  <si>
    <t>sa2</t>
  </si>
  <si>
    <t>sa3</t>
  </si>
  <si>
    <t>sa4</t>
  </si>
  <si>
    <t>references</t>
  </si>
  <si>
    <t>Sap</t>
  </si>
  <si>
    <t>mMDF</t>
  </si>
  <si>
    <t>Laminēta skaidu plātne</t>
  </si>
  <si>
    <t>Mitrumizturīga skaidu plātne</t>
  </si>
  <si>
    <t>Laminēts MDF</t>
  </si>
  <si>
    <t>MDF</t>
  </si>
  <si>
    <t>apstrade</t>
  </si>
  <si>
    <t>substrate</t>
  </si>
  <si>
    <t>id</t>
  </si>
  <si>
    <t>rh</t>
  </si>
  <si>
    <t>date</t>
  </si>
  <si>
    <t>humidity%</t>
  </si>
  <si>
    <t xml:space="preserve">hito_sub </t>
  </si>
  <si>
    <t>ref</t>
  </si>
  <si>
    <t>8r</t>
  </si>
  <si>
    <t>9r</t>
  </si>
  <si>
    <t>10r</t>
  </si>
  <si>
    <t>38r</t>
  </si>
  <si>
    <t>39r</t>
  </si>
  <si>
    <t>40r</t>
  </si>
  <si>
    <t>45r</t>
  </si>
  <si>
    <t>46r</t>
  </si>
  <si>
    <t>26r</t>
  </si>
  <si>
    <t>27r</t>
  </si>
  <si>
    <t>28r</t>
  </si>
  <si>
    <t>2025-11-26</t>
  </si>
  <si>
    <t>2025-11-28</t>
  </si>
  <si>
    <t>2025-12-1</t>
  </si>
  <si>
    <t>2025-12-3</t>
  </si>
  <si>
    <t>2025-12-8</t>
  </si>
  <si>
    <t>2025-12-9</t>
  </si>
  <si>
    <t>2025-12-10</t>
  </si>
  <si>
    <t>2025-12-15</t>
  </si>
  <si>
    <t>2025-12-16</t>
  </si>
  <si>
    <t>2025-12-19</t>
  </si>
  <si>
    <t>2025-12-22</t>
  </si>
  <si>
    <t>2025-12-23</t>
  </si>
  <si>
    <t>lamineta_skaidu_platne</t>
  </si>
  <si>
    <t>mitrumizturiga_skaidu_platne</t>
  </si>
  <si>
    <t>laminets_MDF</t>
  </si>
  <si>
    <t>BSD1</t>
  </si>
  <si>
    <t>BSD2</t>
  </si>
  <si>
    <t>BSD3</t>
  </si>
  <si>
    <t>BSD4</t>
  </si>
  <si>
    <t>WS1</t>
  </si>
  <si>
    <t>WS2</t>
  </si>
  <si>
    <t>WS3</t>
  </si>
  <si>
    <t>WS4</t>
  </si>
  <si>
    <t>WSp</t>
  </si>
  <si>
    <t>mean_udens_sat</t>
  </si>
  <si>
    <t>sd_udens_sat</t>
  </si>
  <si>
    <t>control</t>
  </si>
  <si>
    <t>50</t>
  </si>
  <si>
    <t>60</t>
  </si>
  <si>
    <t>70</t>
  </si>
  <si>
    <t>80</t>
  </si>
  <si>
    <t>90</t>
  </si>
  <si>
    <t>95</t>
  </si>
  <si>
    <t>hito</t>
  </si>
  <si>
    <t>hito_sub</t>
  </si>
  <si>
    <t>LPB</t>
  </si>
  <si>
    <t>MRPB</t>
  </si>
  <si>
    <t>LMDF</t>
  </si>
  <si>
    <t>BP</t>
  </si>
  <si>
    <t>masa</t>
  </si>
  <si>
    <t>udens</t>
  </si>
  <si>
    <t>tilpumprocenti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</si>
</sst>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.m\.yy"/>
    <numFmt numFmtId="165" formatCode="d\.m\.yyyy"/>
    <numFmt numFmtId="166" formatCode="[$-426]dddd\,\ yyyy&quot;. gada &quot;d\.\ mmmm"/>
    <numFmt numFmtId="167" formatCode="0.00000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2"/>
      <color theme="1"/>
      <name val="Times New Roman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sz val="8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9" fontId="3" fillId="0" borderId="0" xfId="0" applyNumberFormat="1" applyFont="1"/>
    <xf numFmtId="0" fontId="3" fillId="0" borderId="6" xfId="0" applyFont="1" applyBorder="1"/>
    <xf numFmtId="9" fontId="1" fillId="0" borderId="0" xfId="0" applyNumberFormat="1" applyFont="1"/>
    <xf numFmtId="0" fontId="1" fillId="0" borderId="6" xfId="0" applyFont="1" applyBorder="1"/>
    <xf numFmtId="0" fontId="1" fillId="0" borderId="3" xfId="0" applyFont="1" applyBorder="1"/>
    <xf numFmtId="0" fontId="1" fillId="0" borderId="9" xfId="0" applyFont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165" fontId="1" fillId="0" borderId="12" xfId="0" applyNumberFormat="1" applyFont="1" applyBorder="1"/>
    <xf numFmtId="0" fontId="1" fillId="0" borderId="13" xfId="0" applyFont="1" applyBorder="1"/>
    <xf numFmtId="164" fontId="1" fillId="0" borderId="0" xfId="0" applyNumberFormat="1" applyFont="1"/>
    <xf numFmtId="0" fontId="1" fillId="0" borderId="14" xfId="0" applyFont="1" applyBorder="1"/>
    <xf numFmtId="164" fontId="1" fillId="0" borderId="16" xfId="0" applyNumberFormat="1" applyFont="1" applyBorder="1"/>
    <xf numFmtId="166" fontId="1" fillId="0" borderId="17" xfId="0" applyNumberFormat="1" applyFont="1" applyBorder="1"/>
    <xf numFmtId="0" fontId="1" fillId="0" borderId="17" xfId="0" applyFont="1" applyBorder="1"/>
    <xf numFmtId="0" fontId="1" fillId="0" borderId="7" xfId="0" applyFont="1" applyBorder="1"/>
    <xf numFmtId="0" fontId="1" fillId="0" borderId="12" xfId="0" applyFont="1" applyBorder="1"/>
    <xf numFmtId="2" fontId="1" fillId="0" borderId="6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7" fontId="1" fillId="0" borderId="0" xfId="0" applyNumberFormat="1" applyFont="1"/>
    <xf numFmtId="0" fontId="3" fillId="0" borderId="0" xfId="0" applyFont="1"/>
    <xf numFmtId="0" fontId="1" fillId="0" borderId="6" xfId="0" applyFont="1" applyBorder="1" applyAlignment="1">
      <alignment vertical="center"/>
    </xf>
    <xf numFmtId="0" fontId="6" fillId="0" borderId="6" xfId="0" applyFont="1" applyBorder="1"/>
    <xf numFmtId="0" fontId="7" fillId="0" borderId="6" xfId="0" applyFont="1" applyBorder="1"/>
    <xf numFmtId="0" fontId="1" fillId="0" borderId="5" xfId="0" applyFont="1" applyBorder="1"/>
    <xf numFmtId="0" fontId="6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19" xfId="0" applyFont="1" applyBorder="1"/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164" fontId="3" fillId="0" borderId="0" xfId="0" applyNumberFormat="1" applyFont="1" applyAlignment="1">
      <alignment horizontal="left"/>
    </xf>
    <xf numFmtId="2" fontId="3" fillId="0" borderId="0" xfId="0" applyNumberFormat="1" applyFont="1"/>
    <xf numFmtId="165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9" fontId="1" fillId="0" borderId="3" xfId="0" applyNumberFormat="1" applyFont="1" applyBorder="1"/>
    <xf numFmtId="0" fontId="2" fillId="0" borderId="4" xfId="0" applyFont="1" applyBorder="1"/>
    <xf numFmtId="9" fontId="4" fillId="0" borderId="3" xfId="0" applyNumberFormat="1" applyFont="1" applyBorder="1" applyAlignment="1">
      <alignment vertical="center"/>
    </xf>
    <xf numFmtId="0" fontId="2" fillId="0" borderId="5" xfId="0" applyFont="1" applyBorder="1"/>
    <xf numFmtId="0" fontId="1" fillId="0" borderId="7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3" xfId="0" applyFont="1" applyBorder="1"/>
    <xf numFmtId="0" fontId="2" fillId="0" borderId="15" xfId="0" applyFont="1" applyBorder="1"/>
    <xf numFmtId="0" fontId="5" fillId="0" borderId="18" xfId="0" applyFont="1" applyBorder="1" applyAlignment="1">
      <alignment horizontal="center" vertical="top"/>
    </xf>
    <xf numFmtId="0" fontId="2" fillId="0" borderId="18" xfId="0" applyFont="1" applyBorder="1"/>
    <xf numFmtId="0" fontId="5" fillId="0" borderId="17" xfId="0" applyFont="1" applyBorder="1" applyAlignment="1">
      <alignment horizontal="center" vertical="top"/>
    </xf>
    <xf numFmtId="0" fontId="2" fillId="0" borderId="12" xfId="0" applyFont="1" applyBorder="1"/>
    <xf numFmtId="0" fontId="1" fillId="0" borderId="20" xfId="0" applyFont="1" applyBorder="1"/>
    <xf numFmtId="0" fontId="2" fillId="0" borderId="20" xfId="0" applyFont="1" applyBorder="1"/>
    <xf numFmtId="9" fontId="1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1" fillId="0" borderId="7" xfId="0" applyFont="1" applyBorder="1" applyAlignment="1">
      <alignment horizontal="center"/>
    </xf>
    <xf numFmtId="0" fontId="2" fillId="0" borderId="8" xfId="0" applyFont="1" applyBorder="1"/>
    <xf numFmtId="0" fontId="0" fillId="0" borderId="0" xfId="0" applyFont="1"/>
    <xf numFmtId="2" fontId="0" fillId="0" borderId="0" xfId="0" applyNumberFormat="1"/>
    <xf numFmtId="2" fontId="0" fillId="0" borderId="0" xfId="0" applyNumberFormat="1" applyFont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984"/>
  <sheetViews>
    <sheetView zoomScale="55" zoomScaleNormal="55" workbookViewId="0">
      <pane xSplit="3" topLeftCell="D1" activePane="topRight" state="frozen"/>
      <selection pane="topRight" activeCell="V14" sqref="V14"/>
    </sheetView>
  </sheetViews>
  <sheetFormatPr defaultColWidth="14.453125" defaultRowHeight="15" customHeight="1" x14ac:dyDescent="0.35"/>
  <cols>
    <col min="1" max="1" width="15.54296875" customWidth="1"/>
    <col min="2" max="2" width="10.81640625" customWidth="1"/>
    <col min="3" max="3" width="12" customWidth="1"/>
    <col min="4" max="4" width="10" customWidth="1"/>
    <col min="5" max="5" width="8.26953125" customWidth="1"/>
    <col min="6" max="6" width="10.1796875" customWidth="1"/>
    <col min="7" max="7" width="8.7265625" customWidth="1"/>
    <col min="8" max="8" width="10.1796875" customWidth="1"/>
    <col min="9" max="16" width="8.7265625" customWidth="1"/>
    <col min="17" max="17" width="13.26953125" customWidth="1"/>
    <col min="18" max="28" width="8.7265625" customWidth="1"/>
  </cols>
  <sheetData>
    <row r="1" spans="1:39" ht="14.5" x14ac:dyDescent="0.35">
      <c r="B1" s="1" t="s">
        <v>0</v>
      </c>
      <c r="C1" s="2"/>
      <c r="D1" s="2"/>
      <c r="E1" s="2"/>
      <c r="V1" s="2"/>
      <c r="W1" s="2"/>
      <c r="X1" s="2"/>
      <c r="Y1" s="2"/>
      <c r="Z1" s="2"/>
      <c r="AA1" s="2"/>
      <c r="AB1" s="2"/>
    </row>
    <row r="2" spans="1:39" ht="14.5" x14ac:dyDescent="0.35">
      <c r="B2" s="2"/>
      <c r="C2" s="2"/>
      <c r="E2" s="3" t="s">
        <v>1</v>
      </c>
      <c r="V2" s="2"/>
      <c r="W2" s="2"/>
      <c r="X2" s="2"/>
      <c r="Y2" s="2"/>
      <c r="Z2" s="2"/>
      <c r="AA2" s="2"/>
      <c r="AB2" s="2"/>
    </row>
    <row r="4" spans="1:39" ht="15.5" x14ac:dyDescent="0.35">
      <c r="B4" s="54" t="s">
        <v>2</v>
      </c>
      <c r="C4" s="55"/>
      <c r="D4" s="4">
        <v>0</v>
      </c>
      <c r="E4" s="40">
        <v>0.5</v>
      </c>
      <c r="F4" s="41"/>
      <c r="G4" s="42">
        <v>0.6</v>
      </c>
      <c r="H4" s="43"/>
      <c r="I4" s="40">
        <v>0.7</v>
      </c>
      <c r="J4" s="43"/>
      <c r="K4" s="40">
        <v>0.8</v>
      </c>
      <c r="L4" s="41"/>
      <c r="M4" s="43"/>
      <c r="N4" s="40">
        <v>0.9</v>
      </c>
      <c r="O4" s="41"/>
      <c r="P4" s="43"/>
      <c r="Q4" s="5" t="s">
        <v>3</v>
      </c>
      <c r="S4" s="6"/>
    </row>
    <row r="5" spans="1:39" ht="14.5" x14ac:dyDescent="0.35">
      <c r="B5" s="56" t="s">
        <v>4</v>
      </c>
      <c r="C5" s="57"/>
      <c r="D5" s="7" t="s">
        <v>5</v>
      </c>
      <c r="E5" s="7" t="s">
        <v>5</v>
      </c>
      <c r="F5" s="7" t="s">
        <v>5</v>
      </c>
      <c r="G5" s="7" t="s">
        <v>5</v>
      </c>
      <c r="H5" s="7" t="s">
        <v>5</v>
      </c>
      <c r="I5" s="7" t="s">
        <v>5</v>
      </c>
      <c r="J5" s="7" t="s">
        <v>5</v>
      </c>
      <c r="K5" s="7" t="s">
        <v>5</v>
      </c>
      <c r="L5" s="7" t="s">
        <v>5</v>
      </c>
      <c r="M5" s="7" t="s">
        <v>5</v>
      </c>
      <c r="N5" s="7" t="s">
        <v>5</v>
      </c>
      <c r="O5" s="7" t="s">
        <v>5</v>
      </c>
      <c r="P5" s="8" t="s">
        <v>5</v>
      </c>
      <c r="Q5" s="7"/>
      <c r="R5" s="3"/>
      <c r="S5" s="3"/>
      <c r="T5" s="3"/>
      <c r="U5" s="3"/>
    </row>
    <row r="6" spans="1:39" ht="14.5" x14ac:dyDescent="0.35">
      <c r="A6" s="9"/>
      <c r="B6" s="44" t="s">
        <v>6</v>
      </c>
      <c r="C6" s="45"/>
      <c r="D6" s="10" t="s">
        <v>0</v>
      </c>
      <c r="E6" s="11">
        <v>45987</v>
      </c>
      <c r="F6" s="12">
        <v>45989</v>
      </c>
      <c r="G6" s="12">
        <v>45992</v>
      </c>
      <c r="H6" s="12">
        <v>45994</v>
      </c>
      <c r="I6" s="12">
        <v>45999</v>
      </c>
      <c r="J6" s="12">
        <v>46000</v>
      </c>
      <c r="K6" s="12">
        <v>46001</v>
      </c>
      <c r="L6" s="12">
        <v>46006</v>
      </c>
      <c r="M6" s="12">
        <v>46007</v>
      </c>
      <c r="N6" s="12">
        <v>46010</v>
      </c>
      <c r="O6" s="12">
        <v>46013</v>
      </c>
      <c r="P6" s="13" t="s">
        <v>7</v>
      </c>
      <c r="Q6" s="7"/>
      <c r="R6" s="3"/>
      <c r="S6" s="3"/>
      <c r="T6" s="3"/>
      <c r="U6" s="3"/>
      <c r="V6" s="14"/>
      <c r="W6" s="14"/>
      <c r="X6" s="14"/>
      <c r="Y6" s="14"/>
      <c r="Z6" s="14"/>
      <c r="AA6" s="14"/>
      <c r="AB6" s="14"/>
    </row>
    <row r="7" spans="1:39" ht="14.5" x14ac:dyDescent="0.35">
      <c r="A7" s="15" t="s">
        <v>8</v>
      </c>
      <c r="B7" s="46"/>
      <c r="C7" s="47"/>
      <c r="D7" s="16" t="s">
        <v>9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39" ht="14.5" x14ac:dyDescent="0.35">
      <c r="A8" s="48" t="s">
        <v>10</v>
      </c>
      <c r="B8" s="20" t="s">
        <v>11</v>
      </c>
      <c r="C8" s="8">
        <v>9</v>
      </c>
      <c r="D8" s="21">
        <v>6.89</v>
      </c>
      <c r="E8" s="21">
        <v>7.16</v>
      </c>
      <c r="F8" s="21">
        <v>7.16</v>
      </c>
      <c r="G8" s="21">
        <v>7.21</v>
      </c>
      <c r="H8" s="21">
        <v>7.2</v>
      </c>
      <c r="I8" s="21">
        <v>7.3</v>
      </c>
      <c r="J8" s="21">
        <v>7.3</v>
      </c>
      <c r="K8" s="21">
        <v>7.45</v>
      </c>
      <c r="L8" s="21">
        <v>7.47</v>
      </c>
      <c r="M8" s="21">
        <v>7.47</v>
      </c>
      <c r="N8" s="21">
        <v>7.74</v>
      </c>
      <c r="O8" s="21">
        <v>7.74</v>
      </c>
      <c r="P8" s="22">
        <v>7.75</v>
      </c>
      <c r="Q8" s="21" t="s">
        <v>12</v>
      </c>
      <c r="R8" s="23"/>
      <c r="S8" s="23"/>
      <c r="T8" s="23"/>
      <c r="U8" s="23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 spans="1:39" ht="14.5" x14ac:dyDescent="0.35">
      <c r="A9" s="49"/>
      <c r="B9" s="7"/>
      <c r="C9" s="8">
        <v>27</v>
      </c>
      <c r="D9" s="21">
        <v>7.21</v>
      </c>
      <c r="E9" s="21">
        <v>7.46</v>
      </c>
      <c r="F9" s="21">
        <v>7.46</v>
      </c>
      <c r="G9" s="21">
        <v>7.51</v>
      </c>
      <c r="H9" s="21">
        <v>7.51</v>
      </c>
      <c r="I9" s="21">
        <v>7.61</v>
      </c>
      <c r="J9" s="21">
        <v>7.61</v>
      </c>
      <c r="K9" s="21">
        <v>7.75</v>
      </c>
      <c r="L9" s="21">
        <v>7.77</v>
      </c>
      <c r="M9" s="21">
        <v>7.78</v>
      </c>
      <c r="N9" s="21">
        <v>8.0299999999999994</v>
      </c>
      <c r="O9" s="21">
        <v>8.0399999999999991</v>
      </c>
      <c r="P9" s="22">
        <v>8.0500000000000007</v>
      </c>
      <c r="Q9" s="21" t="s">
        <v>12</v>
      </c>
      <c r="R9" s="23"/>
      <c r="S9" s="23"/>
      <c r="T9" s="23"/>
      <c r="U9" s="23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</row>
    <row r="10" spans="1:39" ht="14.5" x14ac:dyDescent="0.35">
      <c r="A10" s="49"/>
      <c r="B10" s="7"/>
      <c r="C10" s="25">
        <v>106</v>
      </c>
      <c r="D10" s="21">
        <v>7.15</v>
      </c>
      <c r="E10" s="21">
        <v>7.4</v>
      </c>
      <c r="F10" s="21">
        <v>7.4</v>
      </c>
      <c r="G10" s="21">
        <v>7.44</v>
      </c>
      <c r="H10" s="21">
        <v>7.44</v>
      </c>
      <c r="I10" s="21">
        <v>7.54</v>
      </c>
      <c r="J10" s="21">
        <v>7.54</v>
      </c>
      <c r="K10" s="21">
        <v>7.68</v>
      </c>
      <c r="L10" s="21">
        <v>7.7</v>
      </c>
      <c r="M10" s="21">
        <v>7.7</v>
      </c>
      <c r="N10" s="21">
        <v>7.95</v>
      </c>
      <c r="O10" s="21">
        <v>7.96</v>
      </c>
      <c r="P10" s="22">
        <v>7.97</v>
      </c>
      <c r="Q10" s="21" t="s">
        <v>12</v>
      </c>
      <c r="R10" s="23"/>
      <c r="S10" s="23"/>
      <c r="T10" s="23"/>
      <c r="U10" s="23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</row>
    <row r="11" spans="1:39" ht="14.5" x14ac:dyDescent="0.35">
      <c r="A11" s="49"/>
      <c r="B11" s="18" t="s">
        <v>13</v>
      </c>
      <c r="C11" s="19">
        <v>39</v>
      </c>
      <c r="D11" s="21">
        <v>5.9</v>
      </c>
      <c r="E11" s="21">
        <v>6.09</v>
      </c>
      <c r="F11" s="21">
        <v>6.09</v>
      </c>
      <c r="G11" s="21">
        <v>6.13</v>
      </c>
      <c r="H11" s="21">
        <v>6.12</v>
      </c>
      <c r="I11" s="21">
        <v>6.2</v>
      </c>
      <c r="J11" s="21">
        <v>6.2</v>
      </c>
      <c r="K11" s="21">
        <v>6.31</v>
      </c>
      <c r="L11" s="21">
        <v>6.32</v>
      </c>
      <c r="M11" s="21">
        <v>6.32</v>
      </c>
      <c r="N11" s="21">
        <v>6.53</v>
      </c>
      <c r="O11" s="21">
        <v>6.53</v>
      </c>
      <c r="P11" s="22">
        <v>6.54</v>
      </c>
      <c r="Q11" s="21" t="s">
        <v>12</v>
      </c>
      <c r="R11" s="23"/>
      <c r="S11" s="23"/>
      <c r="T11" s="23"/>
      <c r="U11" s="23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</row>
    <row r="12" spans="1:39" ht="14.5" x14ac:dyDescent="0.35">
      <c r="A12" s="49"/>
      <c r="B12" s="26"/>
      <c r="C12" s="7">
        <v>55</v>
      </c>
      <c r="D12" s="21">
        <v>6.12</v>
      </c>
      <c r="E12" s="21">
        <v>6.32</v>
      </c>
      <c r="F12" s="21">
        <v>6.32</v>
      </c>
      <c r="G12" s="21">
        <v>6.36</v>
      </c>
      <c r="H12" s="21">
        <v>6.36</v>
      </c>
      <c r="I12" s="21">
        <v>6.44</v>
      </c>
      <c r="J12" s="21">
        <v>6.44</v>
      </c>
      <c r="K12" s="21">
        <v>6.56</v>
      </c>
      <c r="L12" s="21">
        <v>6.57</v>
      </c>
      <c r="M12" s="21">
        <v>6.57</v>
      </c>
      <c r="N12" s="21">
        <v>6.8</v>
      </c>
      <c r="O12" s="21">
        <v>6.79</v>
      </c>
      <c r="P12" s="22">
        <v>6.8</v>
      </c>
      <c r="Q12" s="21" t="s">
        <v>12</v>
      </c>
      <c r="R12" s="23"/>
      <c r="S12" s="23"/>
      <c r="T12" s="23"/>
      <c r="U12" s="23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</row>
    <row r="13" spans="1:39" ht="14.5" x14ac:dyDescent="0.35">
      <c r="A13" s="49"/>
      <c r="B13" s="26"/>
      <c r="C13" s="7">
        <v>122</v>
      </c>
      <c r="D13" s="21">
        <v>6.18</v>
      </c>
      <c r="E13" s="21">
        <v>6.38</v>
      </c>
      <c r="F13" s="21">
        <v>6.37</v>
      </c>
      <c r="G13" s="21">
        <v>6.41</v>
      </c>
      <c r="H13" s="21">
        <v>6.41</v>
      </c>
      <c r="I13" s="21">
        <v>6.48</v>
      </c>
      <c r="J13" s="21">
        <v>6.49</v>
      </c>
      <c r="K13" s="21">
        <v>6.6</v>
      </c>
      <c r="L13" s="21">
        <v>6.61</v>
      </c>
      <c r="M13" s="21">
        <v>6.61</v>
      </c>
      <c r="N13" s="21">
        <v>6.82</v>
      </c>
      <c r="O13" s="21">
        <v>6.83</v>
      </c>
      <c r="P13" s="22">
        <v>6.84</v>
      </c>
      <c r="Q13" s="21" t="s">
        <v>12</v>
      </c>
      <c r="R13" s="23"/>
      <c r="S13" s="23"/>
      <c r="T13" s="23"/>
      <c r="U13" s="23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</row>
    <row r="14" spans="1:39" ht="14.5" x14ac:dyDescent="0.35">
      <c r="A14" s="49"/>
      <c r="B14" s="7" t="s">
        <v>14</v>
      </c>
      <c r="C14" s="7">
        <v>66</v>
      </c>
      <c r="D14" s="21">
        <v>7.23</v>
      </c>
      <c r="E14" s="21">
        <v>7.48</v>
      </c>
      <c r="F14" s="21">
        <v>7.48</v>
      </c>
      <c r="G14" s="21">
        <v>7.53</v>
      </c>
      <c r="H14" s="21">
        <v>7.53</v>
      </c>
      <c r="I14" s="21">
        <v>7.61</v>
      </c>
      <c r="J14" s="21">
        <v>7.62</v>
      </c>
      <c r="K14" s="21">
        <v>7.76</v>
      </c>
      <c r="L14" s="21">
        <v>7.78</v>
      </c>
      <c r="M14" s="21">
        <v>7.78</v>
      </c>
      <c r="N14" s="21">
        <v>8.0399999999999991</v>
      </c>
      <c r="O14" s="21">
        <v>8.0399999999999991</v>
      </c>
      <c r="P14" s="22">
        <v>8.0500000000000007</v>
      </c>
      <c r="Q14" s="21" t="s">
        <v>12</v>
      </c>
      <c r="R14" s="23"/>
      <c r="S14" s="23"/>
      <c r="T14" s="23"/>
      <c r="U14" s="23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</row>
    <row r="15" spans="1:39" ht="14.5" x14ac:dyDescent="0.35">
      <c r="A15" s="49"/>
      <c r="B15" s="7"/>
      <c r="C15" s="7">
        <v>142</v>
      </c>
      <c r="D15" s="21">
        <v>7.6</v>
      </c>
      <c r="E15" s="21">
        <v>7.88</v>
      </c>
      <c r="F15" s="21">
        <v>7.87</v>
      </c>
      <c r="G15" s="21">
        <v>7.93</v>
      </c>
      <c r="H15" s="21">
        <v>7.93</v>
      </c>
      <c r="I15" s="21">
        <v>8.02</v>
      </c>
      <c r="J15" s="21">
        <v>8.02</v>
      </c>
      <c r="K15" s="21">
        <v>8.17</v>
      </c>
      <c r="L15" s="21">
        <v>8.19</v>
      </c>
      <c r="M15" s="21">
        <v>8.1999999999999993</v>
      </c>
      <c r="N15" s="21">
        <v>8.48</v>
      </c>
      <c r="O15" s="21">
        <v>8.49</v>
      </c>
      <c r="P15" s="22">
        <v>8.49</v>
      </c>
      <c r="Q15" s="21" t="s">
        <v>12</v>
      </c>
      <c r="R15" s="23"/>
      <c r="S15" s="23"/>
      <c r="T15" s="23"/>
      <c r="U15" s="23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spans="1:39" ht="14.5" x14ac:dyDescent="0.35">
      <c r="A16" s="49"/>
      <c r="B16" s="7"/>
      <c r="C16" s="27">
        <v>147</v>
      </c>
      <c r="D16" s="21">
        <v>7.42</v>
      </c>
      <c r="E16" s="21">
        <v>7.69</v>
      </c>
      <c r="F16" s="21">
        <v>7.69</v>
      </c>
      <c r="G16" s="21">
        <v>7.74</v>
      </c>
      <c r="H16" s="21">
        <v>7.74</v>
      </c>
      <c r="I16" s="21">
        <v>7.83</v>
      </c>
      <c r="J16" s="21">
        <v>7.84</v>
      </c>
      <c r="K16" s="21">
        <v>7.99</v>
      </c>
      <c r="L16" s="21">
        <v>8.01</v>
      </c>
      <c r="M16" s="21">
        <v>8</v>
      </c>
      <c r="N16" s="21">
        <v>8.27</v>
      </c>
      <c r="O16" s="21">
        <v>8.2799999999999994</v>
      </c>
      <c r="P16" s="22">
        <v>8.2899999999999991</v>
      </c>
      <c r="Q16" s="21" t="s">
        <v>12</v>
      </c>
      <c r="R16" s="23"/>
      <c r="S16" s="23"/>
      <c r="T16" s="23"/>
      <c r="U16" s="23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spans="1:39" ht="14.5" x14ac:dyDescent="0.35">
      <c r="A17" s="49"/>
      <c r="B17" s="7" t="s">
        <v>15</v>
      </c>
      <c r="C17" s="7">
        <v>75</v>
      </c>
      <c r="D17" s="21">
        <v>7.58</v>
      </c>
      <c r="E17" s="21">
        <v>7.83</v>
      </c>
      <c r="F17" s="21">
        <v>7.83</v>
      </c>
      <c r="G17" s="21">
        <v>7.88</v>
      </c>
      <c r="H17" s="21">
        <v>7.88</v>
      </c>
      <c r="I17" s="21">
        <v>7.97</v>
      </c>
      <c r="J17" s="21">
        <v>7.97</v>
      </c>
      <c r="K17" s="21">
        <v>8.1</v>
      </c>
      <c r="L17" s="21">
        <v>8.1300000000000008</v>
      </c>
      <c r="M17" s="21">
        <v>8.1199999999999992</v>
      </c>
      <c r="N17" s="21">
        <v>8.35</v>
      </c>
      <c r="O17" s="21">
        <v>8.35</v>
      </c>
      <c r="P17" s="22">
        <v>8.3699999999999992</v>
      </c>
      <c r="Q17" s="21" t="s">
        <v>16</v>
      </c>
      <c r="R17" s="23"/>
      <c r="S17" s="23"/>
      <c r="T17" s="23"/>
      <c r="U17" s="23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</row>
    <row r="18" spans="1:39" ht="15.75" customHeight="1" x14ac:dyDescent="0.35">
      <c r="A18" s="49"/>
      <c r="B18" s="7"/>
      <c r="C18" s="7">
        <v>81</v>
      </c>
      <c r="D18" s="21">
        <v>7.62</v>
      </c>
      <c r="E18" s="21">
        <v>7.87</v>
      </c>
      <c r="F18" s="21">
        <v>7.88</v>
      </c>
      <c r="G18" s="21">
        <v>7.92</v>
      </c>
      <c r="H18" s="21">
        <v>7.92</v>
      </c>
      <c r="I18" s="21">
        <v>8.01</v>
      </c>
      <c r="J18" s="21">
        <v>8.01</v>
      </c>
      <c r="K18" s="21">
        <v>8.14</v>
      </c>
      <c r="L18" s="21">
        <v>8.16</v>
      </c>
      <c r="M18" s="21">
        <v>8.16</v>
      </c>
      <c r="N18" s="21">
        <v>8.4</v>
      </c>
      <c r="O18" s="21">
        <v>8.39</v>
      </c>
      <c r="P18" s="22">
        <v>8.41</v>
      </c>
      <c r="Q18" s="21" t="s">
        <v>17</v>
      </c>
      <c r="R18" s="23"/>
      <c r="S18" s="23"/>
      <c r="T18" s="23"/>
      <c r="U18" s="23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ht="15.75" customHeight="1" x14ac:dyDescent="0.35">
      <c r="A19" s="49"/>
      <c r="B19" s="7"/>
      <c r="C19" s="7">
        <v>91</v>
      </c>
      <c r="D19" s="21">
        <v>7.82</v>
      </c>
      <c r="E19" s="21">
        <v>8.07</v>
      </c>
      <c r="F19" s="21">
        <v>8.07</v>
      </c>
      <c r="G19" s="21">
        <v>8.1199999999999992</v>
      </c>
      <c r="H19" s="21">
        <v>8.1199999999999992</v>
      </c>
      <c r="I19" s="21">
        <v>8.2100000000000009</v>
      </c>
      <c r="J19" s="21">
        <v>8.2100000000000009</v>
      </c>
      <c r="K19" s="21">
        <v>8.34</v>
      </c>
      <c r="L19" s="21">
        <v>8.3699999999999992</v>
      </c>
      <c r="M19" s="21">
        <v>8.36</v>
      </c>
      <c r="N19" s="21">
        <v>8.59</v>
      </c>
      <c r="O19" s="21">
        <v>8.6</v>
      </c>
      <c r="P19" s="22">
        <v>8.61</v>
      </c>
      <c r="Q19" s="21" t="s">
        <v>17</v>
      </c>
      <c r="R19" s="23"/>
      <c r="S19" s="23"/>
      <c r="T19" s="23"/>
      <c r="U19" s="23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</row>
    <row r="20" spans="1:39" ht="15.75" customHeight="1" x14ac:dyDescent="0.35">
      <c r="A20" s="49"/>
      <c r="B20" s="7" t="s">
        <v>18</v>
      </c>
      <c r="C20" s="28">
        <v>285</v>
      </c>
      <c r="D20" s="21">
        <v>3.85</v>
      </c>
      <c r="E20" s="21">
        <v>3.96</v>
      </c>
      <c r="F20" s="21">
        <v>3.96</v>
      </c>
      <c r="G20" s="21">
        <v>3.99</v>
      </c>
      <c r="H20" s="21">
        <v>3.99</v>
      </c>
      <c r="I20" s="21">
        <v>4.04</v>
      </c>
      <c r="J20" s="21">
        <v>4.04</v>
      </c>
      <c r="K20" s="21">
        <v>4.13</v>
      </c>
      <c r="L20" s="21">
        <v>4.13</v>
      </c>
      <c r="M20" s="21">
        <v>4.13</v>
      </c>
      <c r="N20" s="21">
        <v>4.3099999999999996</v>
      </c>
      <c r="O20" s="21">
        <v>4.3</v>
      </c>
      <c r="P20" s="22">
        <v>4.3099999999999996</v>
      </c>
      <c r="Q20" s="21" t="s">
        <v>12</v>
      </c>
      <c r="R20" s="23"/>
      <c r="S20" s="23"/>
      <c r="T20" s="23"/>
      <c r="U20" s="23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</row>
    <row r="21" spans="1:39" ht="15.75" customHeight="1" x14ac:dyDescent="0.35">
      <c r="A21" s="49"/>
      <c r="B21" s="7"/>
      <c r="C21" s="26">
        <v>322</v>
      </c>
      <c r="D21" s="21">
        <v>3.99</v>
      </c>
      <c r="E21" s="21">
        <v>4.12</v>
      </c>
      <c r="F21" s="21">
        <v>4.1100000000000003</v>
      </c>
      <c r="G21" s="21">
        <v>4.1399999999999997</v>
      </c>
      <c r="H21" s="21">
        <v>4.1399999999999997</v>
      </c>
      <c r="I21" s="21">
        <v>4.1900000000000004</v>
      </c>
      <c r="J21" s="21">
        <v>4.2</v>
      </c>
      <c r="K21" s="21">
        <v>4.29</v>
      </c>
      <c r="L21" s="21">
        <v>4.29</v>
      </c>
      <c r="M21" s="21">
        <v>4.29</v>
      </c>
      <c r="N21" s="21">
        <v>4.4800000000000004</v>
      </c>
      <c r="O21" s="21">
        <v>4.4800000000000004</v>
      </c>
      <c r="P21" s="22">
        <v>4.49</v>
      </c>
      <c r="Q21" s="21" t="s">
        <v>12</v>
      </c>
      <c r="R21" s="23"/>
      <c r="S21" s="23"/>
      <c r="T21" s="23"/>
      <c r="U21" s="23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</row>
    <row r="22" spans="1:39" ht="15.75" customHeight="1" x14ac:dyDescent="0.35">
      <c r="A22" s="49"/>
      <c r="B22" s="7"/>
      <c r="C22" s="26">
        <v>323</v>
      </c>
      <c r="D22" s="21">
        <v>4.21</v>
      </c>
      <c r="E22" s="21">
        <v>4.34</v>
      </c>
      <c r="F22" s="21">
        <v>4.34</v>
      </c>
      <c r="G22" s="21">
        <v>4.3499999999999996</v>
      </c>
      <c r="H22" s="21">
        <v>4.3499999999999996</v>
      </c>
      <c r="I22" s="21">
        <v>4.4000000000000004</v>
      </c>
      <c r="J22" s="21">
        <v>4.41</v>
      </c>
      <c r="K22" s="21">
        <v>4.5</v>
      </c>
      <c r="L22" s="21">
        <v>4.5</v>
      </c>
      <c r="M22" s="21">
        <v>4.5</v>
      </c>
      <c r="N22" s="21">
        <v>4.6900000000000004</v>
      </c>
      <c r="O22" s="21">
        <v>4.6900000000000004</v>
      </c>
      <c r="P22" s="22">
        <v>4.7</v>
      </c>
      <c r="Q22" s="21" t="s">
        <v>12</v>
      </c>
      <c r="R22" s="23"/>
      <c r="S22" s="23"/>
      <c r="T22" s="23"/>
      <c r="U22" s="23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</row>
    <row r="23" spans="1:39" ht="15.75" customHeight="1" x14ac:dyDescent="0.35">
      <c r="A23" s="49"/>
      <c r="B23" s="7" t="s">
        <v>19</v>
      </c>
      <c r="C23" s="26">
        <v>267</v>
      </c>
      <c r="D23" s="21">
        <v>4.99</v>
      </c>
      <c r="E23" s="21">
        <v>5.15</v>
      </c>
      <c r="F23" s="21">
        <v>5.15</v>
      </c>
      <c r="G23" s="21">
        <v>5.17</v>
      </c>
      <c r="H23" s="21">
        <v>5.17</v>
      </c>
      <c r="I23" s="21">
        <v>5.22</v>
      </c>
      <c r="J23" s="21">
        <v>5.23</v>
      </c>
      <c r="K23" s="21">
        <v>5.33</v>
      </c>
      <c r="L23" s="21">
        <v>5.33</v>
      </c>
      <c r="M23" s="21">
        <v>5.33</v>
      </c>
      <c r="N23" s="21">
        <v>5.51</v>
      </c>
      <c r="O23" s="21">
        <v>5.51</v>
      </c>
      <c r="P23" s="22">
        <v>5.52</v>
      </c>
      <c r="Q23" s="21" t="s">
        <v>12</v>
      </c>
      <c r="R23" s="23"/>
      <c r="S23" s="23"/>
      <c r="T23" s="23"/>
      <c r="U23" s="23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</row>
    <row r="24" spans="1:39" ht="15.75" customHeight="1" x14ac:dyDescent="0.35">
      <c r="A24" s="49"/>
      <c r="B24" s="7"/>
      <c r="C24" s="26">
        <v>275</v>
      </c>
      <c r="D24" s="21">
        <v>4.92</v>
      </c>
      <c r="E24" s="21">
        <v>5.09</v>
      </c>
      <c r="F24" s="21">
        <v>5.08</v>
      </c>
      <c r="G24" s="21">
        <v>5.1100000000000003</v>
      </c>
      <c r="H24" s="21">
        <v>5.1100000000000003</v>
      </c>
      <c r="I24" s="21">
        <v>5.17</v>
      </c>
      <c r="J24" s="21">
        <v>5.17</v>
      </c>
      <c r="K24" s="21">
        <v>5.27</v>
      </c>
      <c r="L24" s="21">
        <v>5.27</v>
      </c>
      <c r="M24" s="21">
        <v>5.27</v>
      </c>
      <c r="N24" s="21">
        <v>5.45</v>
      </c>
      <c r="O24" s="21">
        <v>5.46</v>
      </c>
      <c r="P24" s="22">
        <v>5.46</v>
      </c>
      <c r="Q24" s="21" t="s">
        <v>12</v>
      </c>
      <c r="R24" s="23"/>
      <c r="S24" s="23"/>
      <c r="T24" s="23"/>
      <c r="U24" s="23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</row>
    <row r="25" spans="1:39" ht="15.75" customHeight="1" x14ac:dyDescent="0.35">
      <c r="A25" s="49"/>
      <c r="B25" s="7"/>
      <c r="C25" s="26">
        <v>266</v>
      </c>
      <c r="D25" s="21">
        <v>5.01</v>
      </c>
      <c r="E25" s="21">
        <v>5.17</v>
      </c>
      <c r="F25" s="21">
        <v>5.17</v>
      </c>
      <c r="G25" s="21">
        <v>5.2</v>
      </c>
      <c r="H25" s="21">
        <v>5.2</v>
      </c>
      <c r="I25" s="21">
        <v>5.25</v>
      </c>
      <c r="J25" s="21">
        <v>5.26</v>
      </c>
      <c r="K25" s="21">
        <v>5.35</v>
      </c>
      <c r="L25" s="21">
        <v>5.36</v>
      </c>
      <c r="M25" s="21">
        <v>5.36</v>
      </c>
      <c r="N25" s="21">
        <v>5.54</v>
      </c>
      <c r="O25" s="21">
        <v>5.54</v>
      </c>
      <c r="P25" s="22">
        <v>5.54</v>
      </c>
      <c r="Q25" s="21" t="s">
        <v>12</v>
      </c>
      <c r="R25" s="23"/>
      <c r="S25" s="23"/>
      <c r="T25" s="23"/>
      <c r="U25" s="23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</row>
    <row r="26" spans="1:39" ht="15.75" customHeight="1" x14ac:dyDescent="0.35">
      <c r="A26" s="49"/>
      <c r="B26" s="7" t="s">
        <v>20</v>
      </c>
      <c r="C26" s="26">
        <v>344</v>
      </c>
      <c r="D26" s="21">
        <v>5.79</v>
      </c>
      <c r="E26" s="21">
        <v>6</v>
      </c>
      <c r="F26" s="21">
        <v>6</v>
      </c>
      <c r="G26" s="21">
        <v>6.04</v>
      </c>
      <c r="H26" s="21">
        <v>6.04</v>
      </c>
      <c r="I26" s="21">
        <v>6.1</v>
      </c>
      <c r="J26" s="21">
        <v>6.11</v>
      </c>
      <c r="K26" s="21">
        <v>6.23</v>
      </c>
      <c r="L26" s="21">
        <v>6.24</v>
      </c>
      <c r="M26" s="21">
        <v>6.24</v>
      </c>
      <c r="N26" s="21">
        <v>6.47</v>
      </c>
      <c r="O26" s="21">
        <v>6.47</v>
      </c>
      <c r="P26" s="22">
        <v>6.47</v>
      </c>
      <c r="Q26" s="21" t="s">
        <v>12</v>
      </c>
      <c r="R26" s="23"/>
      <c r="S26" s="23"/>
      <c r="T26" s="23"/>
      <c r="U26" s="23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</row>
    <row r="27" spans="1:39" ht="15.75" customHeight="1" x14ac:dyDescent="0.35">
      <c r="A27" s="49"/>
      <c r="B27" s="7"/>
      <c r="C27" s="26">
        <v>60</v>
      </c>
      <c r="D27" s="21">
        <v>6.04</v>
      </c>
      <c r="E27" s="21">
        <v>6.26</v>
      </c>
      <c r="F27" s="21">
        <v>6.26</v>
      </c>
      <c r="G27" s="21">
        <v>6.3</v>
      </c>
      <c r="H27" s="21">
        <v>6.3</v>
      </c>
      <c r="I27" s="21">
        <v>6.38</v>
      </c>
      <c r="J27" s="21">
        <v>6.39</v>
      </c>
      <c r="K27" s="21">
        <v>6.52</v>
      </c>
      <c r="L27" s="21">
        <v>6.53</v>
      </c>
      <c r="M27" s="21">
        <v>6.53</v>
      </c>
      <c r="N27" s="21">
        <v>6.79</v>
      </c>
      <c r="O27" s="21">
        <v>6.79</v>
      </c>
      <c r="P27" s="22">
        <v>6.79</v>
      </c>
      <c r="Q27" s="21" t="s">
        <v>12</v>
      </c>
      <c r="R27" s="23"/>
      <c r="S27" s="23"/>
      <c r="T27" s="23"/>
      <c r="U27" s="23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</row>
    <row r="28" spans="1:39" ht="15.75" customHeight="1" x14ac:dyDescent="0.35">
      <c r="A28" s="49"/>
      <c r="B28" s="7"/>
      <c r="C28" s="26">
        <v>58</v>
      </c>
      <c r="D28" s="21">
        <v>5.99</v>
      </c>
      <c r="E28" s="21">
        <v>6.2</v>
      </c>
      <c r="F28" s="21">
        <v>6.2</v>
      </c>
      <c r="G28" s="21">
        <v>6.24</v>
      </c>
      <c r="H28" s="21">
        <v>6.24</v>
      </c>
      <c r="I28" s="21">
        <v>6.32</v>
      </c>
      <c r="J28" s="21">
        <v>6.33</v>
      </c>
      <c r="K28" s="21">
        <v>6.46</v>
      </c>
      <c r="L28" s="21">
        <v>6.47</v>
      </c>
      <c r="M28" s="21">
        <v>6.47</v>
      </c>
      <c r="N28" s="21">
        <v>6.73</v>
      </c>
      <c r="O28" s="21">
        <v>6.73</v>
      </c>
      <c r="P28" s="22">
        <v>6.74</v>
      </c>
      <c r="Q28" s="21" t="s">
        <v>12</v>
      </c>
      <c r="R28" s="23"/>
      <c r="S28" s="23"/>
      <c r="T28" s="23"/>
      <c r="U28" s="23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</row>
    <row r="29" spans="1:39" ht="15.75" customHeight="1" x14ac:dyDescent="0.35">
      <c r="A29" s="49"/>
      <c r="B29" s="7" t="s">
        <v>21</v>
      </c>
      <c r="C29" s="26">
        <v>211</v>
      </c>
      <c r="D29" s="21">
        <v>3.86</v>
      </c>
      <c r="E29" s="21">
        <v>3.97</v>
      </c>
      <c r="F29" s="21">
        <v>3.97</v>
      </c>
      <c r="G29" s="21">
        <v>3.99</v>
      </c>
      <c r="H29" s="21">
        <v>3.99</v>
      </c>
      <c r="I29" s="21">
        <v>4.03</v>
      </c>
      <c r="J29" s="21">
        <v>4.04</v>
      </c>
      <c r="K29" s="21">
        <v>4.1100000000000003</v>
      </c>
      <c r="L29" s="21">
        <v>4.1100000000000003</v>
      </c>
      <c r="M29" s="21">
        <v>4.1100000000000003</v>
      </c>
      <c r="N29" s="21">
        <v>4.25</v>
      </c>
      <c r="O29" s="21">
        <v>4.24</v>
      </c>
      <c r="P29" s="22">
        <v>4.25</v>
      </c>
      <c r="Q29" s="21" t="s">
        <v>12</v>
      </c>
      <c r="R29" s="23"/>
      <c r="S29" s="23"/>
      <c r="T29" s="23"/>
      <c r="U29" s="23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</row>
    <row r="30" spans="1:39" ht="15.75" customHeight="1" x14ac:dyDescent="0.35">
      <c r="A30" s="49"/>
      <c r="B30" s="7"/>
      <c r="C30" s="26">
        <v>250</v>
      </c>
      <c r="D30" s="21">
        <v>4.17</v>
      </c>
      <c r="E30" s="21">
        <v>4.29</v>
      </c>
      <c r="F30" s="21">
        <v>4.29</v>
      </c>
      <c r="G30" s="21">
        <v>4.32</v>
      </c>
      <c r="H30" s="21">
        <v>4.32</v>
      </c>
      <c r="I30" s="21">
        <v>4.3600000000000003</v>
      </c>
      <c r="J30" s="21">
        <v>4.37</v>
      </c>
      <c r="K30" s="21">
        <v>4.45</v>
      </c>
      <c r="L30" s="25">
        <v>4.45</v>
      </c>
      <c r="M30" s="25">
        <v>4.45</v>
      </c>
      <c r="N30" s="21">
        <v>4.59</v>
      </c>
      <c r="O30" s="21">
        <v>4.59</v>
      </c>
      <c r="P30" s="22">
        <v>4.5999999999999996</v>
      </c>
      <c r="Q30" s="21" t="s">
        <v>12</v>
      </c>
      <c r="R30" s="23"/>
      <c r="S30" s="23"/>
      <c r="T30" s="23"/>
      <c r="U30" s="23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</row>
    <row r="31" spans="1:39" ht="15.75" customHeight="1" x14ac:dyDescent="0.35">
      <c r="A31" s="49"/>
      <c r="B31" s="7"/>
      <c r="C31" s="26">
        <v>212</v>
      </c>
      <c r="D31" s="21">
        <v>3.95</v>
      </c>
      <c r="E31" s="21">
        <v>4.0599999999999996</v>
      </c>
      <c r="F31" s="21">
        <v>4.05</v>
      </c>
      <c r="G31" s="21">
        <v>4.08</v>
      </c>
      <c r="H31" s="21">
        <v>4.08</v>
      </c>
      <c r="I31" s="21">
        <v>4.12</v>
      </c>
      <c r="J31" s="21">
        <v>4.12</v>
      </c>
      <c r="K31" s="21">
        <v>4.2</v>
      </c>
      <c r="L31" s="21">
        <v>4.2</v>
      </c>
      <c r="M31" s="21">
        <v>4.2</v>
      </c>
      <c r="N31" s="21">
        <v>4.34</v>
      </c>
      <c r="O31" s="21">
        <v>4.34</v>
      </c>
      <c r="P31" s="22">
        <v>4.34</v>
      </c>
      <c r="Q31" s="21" t="s">
        <v>12</v>
      </c>
      <c r="R31" s="23"/>
      <c r="S31" s="23"/>
      <c r="T31" s="23"/>
      <c r="U31" s="23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</row>
    <row r="32" spans="1:39" ht="15.75" customHeight="1" x14ac:dyDescent="0.35">
      <c r="A32" s="50" t="s">
        <v>22</v>
      </c>
      <c r="B32" s="29" t="s">
        <v>11</v>
      </c>
      <c r="C32" s="7">
        <v>5</v>
      </c>
      <c r="D32" s="21">
        <v>7.28</v>
      </c>
      <c r="E32" s="21">
        <v>7.53</v>
      </c>
      <c r="F32" s="21">
        <v>7.52</v>
      </c>
      <c r="G32" s="21">
        <v>7.57</v>
      </c>
      <c r="H32" s="21">
        <v>7.57</v>
      </c>
      <c r="I32" s="21">
        <v>7.67</v>
      </c>
      <c r="J32" s="21">
        <v>7.67</v>
      </c>
      <c r="K32" s="21">
        <v>7.82</v>
      </c>
      <c r="L32" s="21">
        <v>7.84</v>
      </c>
      <c r="M32" s="21">
        <v>7.84</v>
      </c>
      <c r="N32" s="21">
        <v>8.1</v>
      </c>
      <c r="O32" s="21">
        <v>8.14</v>
      </c>
      <c r="P32" s="22">
        <v>8.14</v>
      </c>
      <c r="Q32" s="21" t="s">
        <v>17</v>
      </c>
      <c r="R32" s="23"/>
      <c r="S32" s="23"/>
      <c r="T32" s="23"/>
      <c r="U32" s="23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</row>
    <row r="33" spans="1:39" ht="15.75" customHeight="1" x14ac:dyDescent="0.35">
      <c r="A33" s="49"/>
      <c r="B33" s="29"/>
      <c r="C33" s="7">
        <v>17</v>
      </c>
      <c r="D33" s="21">
        <v>7.26</v>
      </c>
      <c r="E33" s="21">
        <v>7.49</v>
      </c>
      <c r="F33" s="21">
        <v>7.49</v>
      </c>
      <c r="G33" s="21">
        <v>7.54</v>
      </c>
      <c r="H33" s="21">
        <v>7.54</v>
      </c>
      <c r="I33" s="21">
        <v>7.63</v>
      </c>
      <c r="J33" s="21">
        <v>7.63</v>
      </c>
      <c r="K33" s="21">
        <v>7.78</v>
      </c>
      <c r="L33" s="21">
        <v>7.8</v>
      </c>
      <c r="M33" s="21">
        <v>7.81</v>
      </c>
      <c r="N33" s="21">
        <v>8.06</v>
      </c>
      <c r="O33" s="21">
        <v>8.09</v>
      </c>
      <c r="P33" s="22">
        <v>8.09</v>
      </c>
      <c r="Q33" s="21" t="s">
        <v>17</v>
      </c>
      <c r="R33" s="23"/>
      <c r="S33" s="23"/>
      <c r="T33" s="23"/>
      <c r="U33" s="23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</row>
    <row r="34" spans="1:39" ht="15.75" customHeight="1" x14ac:dyDescent="0.35">
      <c r="A34" s="49"/>
      <c r="B34" s="29"/>
      <c r="C34" s="7">
        <v>99</v>
      </c>
      <c r="D34" s="21">
        <v>7.36</v>
      </c>
      <c r="E34" s="21">
        <v>7.6</v>
      </c>
      <c r="F34" s="21">
        <v>7.59</v>
      </c>
      <c r="G34" s="21">
        <v>7.65</v>
      </c>
      <c r="H34" s="21">
        <v>7.65</v>
      </c>
      <c r="I34" s="21">
        <v>7.74</v>
      </c>
      <c r="J34" s="21">
        <v>7.74</v>
      </c>
      <c r="K34" s="21">
        <v>7.9</v>
      </c>
      <c r="L34" s="21">
        <v>7.93</v>
      </c>
      <c r="M34" s="21">
        <v>7.93</v>
      </c>
      <c r="N34" s="21">
        <v>8.19</v>
      </c>
      <c r="O34" s="21">
        <v>8.23</v>
      </c>
      <c r="P34" s="22">
        <v>8.23</v>
      </c>
      <c r="Q34" s="21" t="s">
        <v>17</v>
      </c>
      <c r="R34" s="23"/>
      <c r="S34" s="23"/>
      <c r="T34" s="23"/>
      <c r="U34" s="23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</row>
    <row r="35" spans="1:39" ht="15.75" customHeight="1" x14ac:dyDescent="0.35">
      <c r="A35" s="49"/>
      <c r="B35" s="29" t="s">
        <v>13</v>
      </c>
      <c r="C35" s="7">
        <v>37</v>
      </c>
      <c r="D35" s="21">
        <v>5.74</v>
      </c>
      <c r="E35" s="21">
        <v>5.93</v>
      </c>
      <c r="F35" s="21">
        <v>5.93</v>
      </c>
      <c r="G35" s="21">
        <v>5.97</v>
      </c>
      <c r="H35" s="21">
        <v>5.97</v>
      </c>
      <c r="I35" s="21">
        <v>6.04</v>
      </c>
      <c r="J35" s="21">
        <v>6.04</v>
      </c>
      <c r="K35" s="21">
        <v>6.16</v>
      </c>
      <c r="L35" s="21">
        <v>6.17</v>
      </c>
      <c r="M35" s="21">
        <v>6.17</v>
      </c>
      <c r="N35" s="21">
        <v>6.37</v>
      </c>
      <c r="O35" s="21">
        <v>6.4</v>
      </c>
      <c r="P35" s="22">
        <v>6.4</v>
      </c>
      <c r="Q35" s="21" t="s">
        <v>17</v>
      </c>
      <c r="R35" s="23"/>
      <c r="S35" s="23"/>
      <c r="T35" s="23"/>
      <c r="U35" s="23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</row>
    <row r="36" spans="1:39" ht="15.75" customHeight="1" x14ac:dyDescent="0.35">
      <c r="A36" s="49"/>
      <c r="B36" s="29"/>
      <c r="C36" s="7">
        <v>53</v>
      </c>
      <c r="D36" s="21">
        <v>6.24</v>
      </c>
      <c r="E36" s="21">
        <v>6.44</v>
      </c>
      <c r="F36" s="21">
        <v>6.44</v>
      </c>
      <c r="G36" s="21">
        <v>6.48</v>
      </c>
      <c r="H36" s="21">
        <v>6.48</v>
      </c>
      <c r="I36" s="21">
        <v>6.56</v>
      </c>
      <c r="J36" s="21">
        <v>6.56</v>
      </c>
      <c r="K36" s="21">
        <v>6.69</v>
      </c>
      <c r="L36" s="21">
        <v>6.71</v>
      </c>
      <c r="M36" s="21">
        <v>6.71</v>
      </c>
      <c r="N36" s="21">
        <v>6.93</v>
      </c>
      <c r="O36" s="21">
        <v>6.96</v>
      </c>
      <c r="P36" s="22">
        <v>6.96</v>
      </c>
      <c r="Q36" s="21" t="s">
        <v>17</v>
      </c>
      <c r="R36" s="23"/>
      <c r="S36" s="23"/>
      <c r="T36" s="23"/>
      <c r="U36" s="23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</row>
    <row r="37" spans="1:39" ht="15.75" customHeight="1" x14ac:dyDescent="0.35">
      <c r="A37" s="49"/>
      <c r="B37" s="29"/>
      <c r="C37" s="7">
        <v>134</v>
      </c>
      <c r="D37" s="21">
        <v>5.96</v>
      </c>
      <c r="E37" s="21">
        <v>6.15</v>
      </c>
      <c r="F37" s="21">
        <v>6.14</v>
      </c>
      <c r="G37" s="21">
        <v>6.18</v>
      </c>
      <c r="H37" s="21">
        <v>6.18</v>
      </c>
      <c r="I37" s="21">
        <v>6.26</v>
      </c>
      <c r="J37" s="21">
        <v>6.26</v>
      </c>
      <c r="K37" s="21">
        <v>6.38</v>
      </c>
      <c r="L37" s="21">
        <v>6.4</v>
      </c>
      <c r="M37" s="21">
        <v>6.4</v>
      </c>
      <c r="N37" s="21">
        <v>6.61</v>
      </c>
      <c r="O37" s="21">
        <v>6.65</v>
      </c>
      <c r="P37" s="22">
        <v>6.64</v>
      </c>
      <c r="Q37" s="21" t="s">
        <v>17</v>
      </c>
      <c r="R37" s="23"/>
      <c r="S37" s="23"/>
      <c r="T37" s="23"/>
      <c r="U37" s="23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</row>
    <row r="38" spans="1:39" ht="15.75" customHeight="1" x14ac:dyDescent="0.35">
      <c r="A38" s="49"/>
      <c r="B38" s="29" t="s">
        <v>14</v>
      </c>
      <c r="C38" s="7">
        <v>192</v>
      </c>
      <c r="D38" s="21">
        <v>7.26</v>
      </c>
      <c r="E38" s="21">
        <v>7.51</v>
      </c>
      <c r="F38" s="21">
        <v>7.51</v>
      </c>
      <c r="G38" s="21">
        <v>7.56</v>
      </c>
      <c r="H38" s="21">
        <v>7.56</v>
      </c>
      <c r="I38" s="21">
        <v>7.65</v>
      </c>
      <c r="J38" s="21">
        <v>7.65</v>
      </c>
      <c r="K38" s="21">
        <v>7.8</v>
      </c>
      <c r="L38" s="21">
        <v>7.82</v>
      </c>
      <c r="M38" s="21">
        <v>7.82</v>
      </c>
      <c r="N38" s="21">
        <v>8.07</v>
      </c>
      <c r="O38" s="21">
        <v>8.11</v>
      </c>
      <c r="P38" s="22">
        <v>8.1</v>
      </c>
      <c r="Q38" s="21" t="s">
        <v>17</v>
      </c>
      <c r="R38" s="23"/>
      <c r="S38" s="23"/>
      <c r="T38" s="23"/>
      <c r="U38" s="23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</row>
    <row r="39" spans="1:39" ht="15.75" customHeight="1" x14ac:dyDescent="0.35">
      <c r="A39" s="49"/>
      <c r="B39" s="29"/>
      <c r="C39" s="7">
        <v>143</v>
      </c>
      <c r="D39" s="21">
        <v>7.39</v>
      </c>
      <c r="E39" s="21">
        <v>7.65</v>
      </c>
      <c r="F39" s="21">
        <v>7.65</v>
      </c>
      <c r="G39" s="21">
        <v>7.71</v>
      </c>
      <c r="H39" s="21">
        <v>7.71</v>
      </c>
      <c r="I39" s="21">
        <v>7.81</v>
      </c>
      <c r="J39" s="21">
        <v>7.81</v>
      </c>
      <c r="K39" s="21">
        <v>7.97</v>
      </c>
      <c r="L39" s="21">
        <v>7.99</v>
      </c>
      <c r="M39" s="21">
        <v>7.99</v>
      </c>
      <c r="N39" s="21">
        <v>8.26</v>
      </c>
      <c r="O39" s="21">
        <v>8.3000000000000007</v>
      </c>
      <c r="P39" s="22">
        <v>8.3000000000000007</v>
      </c>
      <c r="Q39" s="21" t="s">
        <v>17</v>
      </c>
      <c r="R39" s="23"/>
      <c r="S39" s="23"/>
      <c r="T39" s="23"/>
      <c r="U39" s="23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</row>
    <row r="40" spans="1:39" ht="15.75" customHeight="1" x14ac:dyDescent="0.35">
      <c r="A40" s="49"/>
      <c r="B40" s="29"/>
      <c r="C40" s="7">
        <v>190</v>
      </c>
      <c r="D40" s="21">
        <v>7.11</v>
      </c>
      <c r="E40" s="21">
        <v>7.34</v>
      </c>
      <c r="F40" s="21">
        <v>7.34</v>
      </c>
      <c r="G40" s="21">
        <v>7.39</v>
      </c>
      <c r="H40" s="21">
        <v>7.39</v>
      </c>
      <c r="I40" s="21">
        <v>7.47</v>
      </c>
      <c r="J40" s="21">
        <v>7.47</v>
      </c>
      <c r="K40" s="21">
        <v>7.61</v>
      </c>
      <c r="L40" s="21">
        <v>7.63</v>
      </c>
      <c r="M40" s="21">
        <v>7.63</v>
      </c>
      <c r="N40" s="21">
        <v>7.86</v>
      </c>
      <c r="O40" s="21">
        <v>7.9</v>
      </c>
      <c r="P40" s="22">
        <v>7.9</v>
      </c>
      <c r="Q40" s="21" t="s">
        <v>17</v>
      </c>
      <c r="R40" s="23"/>
      <c r="S40" s="23"/>
      <c r="T40" s="23"/>
      <c r="U40" s="23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</row>
    <row r="41" spans="1:39" ht="15.75" customHeight="1" x14ac:dyDescent="0.35">
      <c r="A41" s="49"/>
      <c r="B41" s="29" t="s">
        <v>15</v>
      </c>
      <c r="C41" s="7">
        <v>88</v>
      </c>
      <c r="D41" s="21">
        <v>8.23</v>
      </c>
      <c r="E41" s="21">
        <v>8.5</v>
      </c>
      <c r="F41" s="21">
        <v>8.5</v>
      </c>
      <c r="G41" s="21">
        <v>8.56</v>
      </c>
      <c r="H41" s="21">
        <v>8.56</v>
      </c>
      <c r="I41" s="21">
        <v>8.65</v>
      </c>
      <c r="J41" s="21">
        <v>8.65</v>
      </c>
      <c r="K41" s="21">
        <v>8.81</v>
      </c>
      <c r="L41" s="21">
        <v>8.83</v>
      </c>
      <c r="M41" s="21">
        <v>8.83</v>
      </c>
      <c r="N41" s="21">
        <v>9.07</v>
      </c>
      <c r="O41" s="21">
        <v>9.1199999999999992</v>
      </c>
      <c r="P41" s="22">
        <v>9.11</v>
      </c>
      <c r="Q41" s="21" t="s">
        <v>17</v>
      </c>
      <c r="R41" s="23"/>
      <c r="S41" s="23"/>
      <c r="T41" s="23"/>
      <c r="U41" s="23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</row>
    <row r="42" spans="1:39" ht="15.75" customHeight="1" x14ac:dyDescent="0.35">
      <c r="A42" s="49"/>
      <c r="B42" s="29"/>
      <c r="C42" s="7">
        <v>169</v>
      </c>
      <c r="D42" s="21">
        <v>7.9</v>
      </c>
      <c r="E42" s="21">
        <v>8.16</v>
      </c>
      <c r="F42" s="21">
        <v>8.15</v>
      </c>
      <c r="G42" s="21">
        <v>8.1999999999999993</v>
      </c>
      <c r="H42" s="21">
        <v>8.1999999999999993</v>
      </c>
      <c r="I42" s="21">
        <v>8.2899999999999991</v>
      </c>
      <c r="J42" s="21">
        <v>8.2899999999999991</v>
      </c>
      <c r="K42" s="21">
        <v>8.4499999999999993</v>
      </c>
      <c r="L42" s="21">
        <v>8.4700000000000006</v>
      </c>
      <c r="M42" s="21">
        <v>8.4600000000000009</v>
      </c>
      <c r="N42" s="21">
        <v>8.6999999999999993</v>
      </c>
      <c r="O42" s="21">
        <v>8.75</v>
      </c>
      <c r="P42" s="22">
        <v>8.74</v>
      </c>
      <c r="Q42" s="21" t="s">
        <v>17</v>
      </c>
      <c r="R42" s="23"/>
      <c r="S42" s="23"/>
      <c r="T42" s="23"/>
      <c r="U42" s="23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</row>
    <row r="43" spans="1:39" ht="15.75" customHeight="1" x14ac:dyDescent="0.35">
      <c r="A43" s="49"/>
      <c r="B43" s="29"/>
      <c r="C43" s="7">
        <v>174</v>
      </c>
      <c r="D43" s="21">
        <v>7.61</v>
      </c>
      <c r="E43" s="21">
        <v>7.85</v>
      </c>
      <c r="F43" s="21">
        <v>7.85</v>
      </c>
      <c r="G43" s="21">
        <v>7.9</v>
      </c>
      <c r="H43" s="21">
        <v>7.9</v>
      </c>
      <c r="I43" s="21">
        <v>7.99</v>
      </c>
      <c r="J43" s="21">
        <v>7.99</v>
      </c>
      <c r="K43" s="21">
        <v>8.14</v>
      </c>
      <c r="L43" s="21">
        <v>8.16</v>
      </c>
      <c r="M43" s="21">
        <v>8.16</v>
      </c>
      <c r="N43" s="21">
        <v>8.3800000000000008</v>
      </c>
      <c r="O43" s="21">
        <v>8.43</v>
      </c>
      <c r="P43" s="22">
        <v>8.43</v>
      </c>
      <c r="Q43" s="21" t="s">
        <v>16</v>
      </c>
      <c r="R43" s="23"/>
      <c r="S43" s="23"/>
      <c r="T43" s="23"/>
      <c r="U43" s="23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</row>
    <row r="44" spans="1:39" ht="15.75" customHeight="1" x14ac:dyDescent="0.35">
      <c r="A44" s="49"/>
      <c r="B44" s="30" t="s">
        <v>23</v>
      </c>
      <c r="C44" s="26">
        <v>108</v>
      </c>
      <c r="D44" s="21">
        <v>4.03</v>
      </c>
      <c r="E44" s="21">
        <v>4.1399999999999997</v>
      </c>
      <c r="F44" s="21">
        <v>4.1399999999999997</v>
      </c>
      <c r="G44" s="21">
        <v>4.17</v>
      </c>
      <c r="H44" s="21">
        <v>4.17</v>
      </c>
      <c r="I44" s="21">
        <v>4.22</v>
      </c>
      <c r="J44" s="21">
        <v>4.22</v>
      </c>
      <c r="K44" s="21">
        <v>4.3</v>
      </c>
      <c r="L44" s="21">
        <v>4.3</v>
      </c>
      <c r="M44" s="21">
        <v>4.3</v>
      </c>
      <c r="N44" s="21">
        <v>4.46</v>
      </c>
      <c r="O44" s="21">
        <v>4.4800000000000004</v>
      </c>
      <c r="P44" s="22">
        <v>4.4800000000000004</v>
      </c>
      <c r="Q44" s="21" t="s">
        <v>12</v>
      </c>
      <c r="R44" s="23"/>
      <c r="S44" s="23"/>
      <c r="T44" s="23"/>
      <c r="U44" s="23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</row>
    <row r="45" spans="1:39" ht="15.75" customHeight="1" x14ac:dyDescent="0.35">
      <c r="A45" s="49"/>
      <c r="B45" s="31"/>
      <c r="C45" s="26">
        <v>287</v>
      </c>
      <c r="D45" s="21">
        <v>4.68</v>
      </c>
      <c r="E45" s="21">
        <v>4.8099999999999996</v>
      </c>
      <c r="F45" s="21">
        <v>4.8</v>
      </c>
      <c r="G45" s="21">
        <v>4.84</v>
      </c>
      <c r="H45" s="21">
        <v>4.84</v>
      </c>
      <c r="I45" s="21">
        <v>4.9000000000000004</v>
      </c>
      <c r="J45" s="21">
        <v>4.9000000000000004</v>
      </c>
      <c r="K45" s="21">
        <v>4.9800000000000004</v>
      </c>
      <c r="L45" s="21">
        <v>4.99</v>
      </c>
      <c r="M45" s="21">
        <v>4.9800000000000004</v>
      </c>
      <c r="N45" s="21">
        <v>5.13</v>
      </c>
      <c r="O45" s="21">
        <v>5.16</v>
      </c>
      <c r="P45" s="22">
        <v>5.15</v>
      </c>
      <c r="Q45" s="21" t="s">
        <v>12</v>
      </c>
      <c r="R45" s="23"/>
      <c r="S45" s="23"/>
      <c r="T45" s="23"/>
      <c r="U45" s="23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</row>
    <row r="46" spans="1:39" ht="15.75" customHeight="1" x14ac:dyDescent="0.35">
      <c r="A46" s="49"/>
      <c r="B46" s="31"/>
      <c r="C46" s="26">
        <v>328</v>
      </c>
      <c r="D46" s="21">
        <v>4.2300000000000004</v>
      </c>
      <c r="E46" s="21">
        <v>4.34</v>
      </c>
      <c r="F46" s="21">
        <v>4.34</v>
      </c>
      <c r="G46" s="21">
        <v>4.37</v>
      </c>
      <c r="H46" s="21">
        <v>4.37</v>
      </c>
      <c r="I46" s="21">
        <v>4.43</v>
      </c>
      <c r="J46" s="21">
        <v>4.43</v>
      </c>
      <c r="K46" s="21">
        <v>4.51</v>
      </c>
      <c r="L46" s="21">
        <v>4.5199999999999996</v>
      </c>
      <c r="M46" s="21">
        <v>4.51</v>
      </c>
      <c r="N46" s="21">
        <v>4.67</v>
      </c>
      <c r="O46" s="21">
        <v>4.7</v>
      </c>
      <c r="P46" s="22">
        <v>4.7</v>
      </c>
      <c r="Q46" s="21" t="s">
        <v>16</v>
      </c>
      <c r="R46" s="23"/>
      <c r="S46" s="23"/>
      <c r="T46" s="23"/>
      <c r="U46" s="23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</row>
    <row r="47" spans="1:39" ht="15.75" customHeight="1" x14ac:dyDescent="0.35">
      <c r="A47" s="49"/>
      <c r="B47" s="30" t="s">
        <v>24</v>
      </c>
      <c r="C47" s="26">
        <v>207</v>
      </c>
      <c r="D47" s="21">
        <v>5.25</v>
      </c>
      <c r="E47" s="21">
        <v>5.4</v>
      </c>
      <c r="F47" s="21">
        <v>5.4</v>
      </c>
      <c r="G47" s="21">
        <v>5.44</v>
      </c>
      <c r="H47" s="21">
        <v>5.44</v>
      </c>
      <c r="I47" s="21">
        <v>5.51</v>
      </c>
      <c r="J47" s="21">
        <v>5.51</v>
      </c>
      <c r="K47" s="21">
        <v>5.6</v>
      </c>
      <c r="L47" s="21">
        <v>5.61</v>
      </c>
      <c r="M47" s="21">
        <v>5.6</v>
      </c>
      <c r="N47" s="21">
        <v>5.77</v>
      </c>
      <c r="O47" s="21">
        <v>5.79</v>
      </c>
      <c r="P47" s="22">
        <v>5.79</v>
      </c>
      <c r="Q47" s="21" t="s">
        <v>17</v>
      </c>
      <c r="R47" s="23"/>
      <c r="S47" s="23"/>
      <c r="T47" s="23"/>
      <c r="U47" s="23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</row>
    <row r="48" spans="1:39" ht="15.75" customHeight="1" x14ac:dyDescent="0.35">
      <c r="A48" s="49"/>
      <c r="B48" s="31"/>
      <c r="C48" s="26">
        <v>314</v>
      </c>
      <c r="D48" s="21">
        <v>5.4</v>
      </c>
      <c r="E48" s="21">
        <v>5.55</v>
      </c>
      <c r="F48" s="21">
        <v>5.55</v>
      </c>
      <c r="G48" s="21">
        <v>5.59</v>
      </c>
      <c r="H48" s="21">
        <v>5.59</v>
      </c>
      <c r="I48" s="21">
        <v>5.67</v>
      </c>
      <c r="J48" s="21">
        <v>5.67</v>
      </c>
      <c r="K48" s="21">
        <v>5.76</v>
      </c>
      <c r="L48" s="21">
        <v>5.77</v>
      </c>
      <c r="M48" s="21">
        <v>5.77</v>
      </c>
      <c r="N48" s="21">
        <v>5.94</v>
      </c>
      <c r="O48" s="21">
        <v>5.97</v>
      </c>
      <c r="P48" s="22">
        <v>5.96</v>
      </c>
      <c r="Q48" s="21" t="s">
        <v>17</v>
      </c>
      <c r="R48" s="23"/>
      <c r="S48" s="23"/>
      <c r="T48" s="23"/>
      <c r="U48" s="23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</row>
    <row r="49" spans="1:39" ht="15.75" customHeight="1" x14ac:dyDescent="0.35">
      <c r="A49" s="49"/>
      <c r="B49" s="31"/>
      <c r="C49" s="26">
        <v>280</v>
      </c>
      <c r="D49" s="21">
        <v>5.42</v>
      </c>
      <c r="E49" s="21">
        <v>5.57</v>
      </c>
      <c r="F49" s="21">
        <v>5.57</v>
      </c>
      <c r="G49" s="21">
        <v>5.62</v>
      </c>
      <c r="H49" s="21">
        <v>5.62</v>
      </c>
      <c r="I49" s="21">
        <v>5.69</v>
      </c>
      <c r="J49" s="21">
        <v>5.69</v>
      </c>
      <c r="K49" s="21">
        <v>5.79</v>
      </c>
      <c r="L49" s="21">
        <v>5.8</v>
      </c>
      <c r="M49" s="21">
        <v>5.79</v>
      </c>
      <c r="N49" s="21">
        <v>5.96</v>
      </c>
      <c r="O49" s="21">
        <v>6</v>
      </c>
      <c r="P49" s="22">
        <v>5.99</v>
      </c>
      <c r="Q49" s="21" t="s">
        <v>17</v>
      </c>
      <c r="R49" s="23"/>
      <c r="S49" s="23"/>
      <c r="T49" s="23"/>
      <c r="U49" s="23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</row>
    <row r="50" spans="1:39" ht="15.75" customHeight="1" x14ac:dyDescent="0.35">
      <c r="A50" s="49"/>
      <c r="B50" s="30" t="s">
        <v>25</v>
      </c>
      <c r="C50" s="26">
        <v>172</v>
      </c>
      <c r="D50" s="21">
        <v>5.82</v>
      </c>
      <c r="E50" s="21">
        <v>6</v>
      </c>
      <c r="F50" s="21">
        <v>6</v>
      </c>
      <c r="G50" s="21">
        <v>6.05</v>
      </c>
      <c r="H50" s="21">
        <v>6.05</v>
      </c>
      <c r="I50" s="21">
        <v>6.13</v>
      </c>
      <c r="J50" s="21">
        <v>6.13</v>
      </c>
      <c r="K50" s="21">
        <v>6.24</v>
      </c>
      <c r="L50" s="21">
        <v>6.25</v>
      </c>
      <c r="M50" s="21">
        <v>6.25</v>
      </c>
      <c r="N50" s="21">
        <v>6.45</v>
      </c>
      <c r="O50" s="21">
        <v>6.47</v>
      </c>
      <c r="P50" s="22">
        <v>6.47</v>
      </c>
      <c r="Q50" s="21" t="s">
        <v>17</v>
      </c>
      <c r="R50" s="23"/>
      <c r="S50" s="23"/>
      <c r="T50" s="23"/>
      <c r="U50" s="23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</row>
    <row r="51" spans="1:39" ht="15.75" customHeight="1" x14ac:dyDescent="0.35">
      <c r="A51" s="49"/>
      <c r="B51" s="31"/>
      <c r="C51" s="26">
        <v>229</v>
      </c>
      <c r="D51" s="21">
        <v>5.81</v>
      </c>
      <c r="E51" s="21">
        <v>6</v>
      </c>
      <c r="F51" s="21">
        <v>6</v>
      </c>
      <c r="G51" s="21">
        <v>6.05</v>
      </c>
      <c r="H51" s="21">
        <v>6.05</v>
      </c>
      <c r="I51" s="21">
        <v>6.14</v>
      </c>
      <c r="J51" s="21">
        <v>6.14</v>
      </c>
      <c r="K51" s="21">
        <v>6.25</v>
      </c>
      <c r="L51" s="21">
        <v>6.26</v>
      </c>
      <c r="M51" s="21">
        <v>6.26</v>
      </c>
      <c r="N51" s="21">
        <v>6.46</v>
      </c>
      <c r="O51" s="21">
        <v>6.49</v>
      </c>
      <c r="P51" s="22">
        <v>6.48</v>
      </c>
      <c r="Q51" s="21" t="s">
        <v>17</v>
      </c>
      <c r="R51" s="23"/>
      <c r="S51" s="23"/>
      <c r="T51" s="23"/>
      <c r="U51" s="23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</row>
    <row r="52" spans="1:39" ht="15.75" customHeight="1" x14ac:dyDescent="0.35">
      <c r="A52" s="49"/>
      <c r="B52" s="31"/>
      <c r="C52" s="26">
        <v>349</v>
      </c>
      <c r="D52" s="21">
        <v>5.83</v>
      </c>
      <c r="E52" s="21">
        <v>6.02</v>
      </c>
      <c r="F52" s="21">
        <v>6.02</v>
      </c>
      <c r="G52" s="21">
        <v>6.07</v>
      </c>
      <c r="H52" s="21">
        <v>6.07</v>
      </c>
      <c r="I52" s="21">
        <v>6.16</v>
      </c>
      <c r="J52" s="21">
        <v>6.16</v>
      </c>
      <c r="K52" s="21">
        <v>6.27</v>
      </c>
      <c r="L52" s="21">
        <v>6.28</v>
      </c>
      <c r="M52" s="21">
        <v>6.28</v>
      </c>
      <c r="N52" s="21">
        <v>6.5</v>
      </c>
      <c r="O52" s="21">
        <v>6.52</v>
      </c>
      <c r="P52" s="22">
        <v>6.52</v>
      </c>
      <c r="Q52" s="21" t="s">
        <v>17</v>
      </c>
      <c r="R52" s="23"/>
      <c r="S52" s="23"/>
      <c r="T52" s="23"/>
      <c r="U52" s="23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</row>
    <row r="53" spans="1:39" ht="15.75" customHeight="1" x14ac:dyDescent="0.35">
      <c r="A53" s="49"/>
      <c r="B53" s="30" t="s">
        <v>26</v>
      </c>
      <c r="C53" s="26">
        <v>193</v>
      </c>
      <c r="D53" s="21">
        <v>4.3899999999999997</v>
      </c>
      <c r="E53" s="21">
        <v>4.51</v>
      </c>
      <c r="F53" s="21">
        <v>4.51</v>
      </c>
      <c r="G53" s="21">
        <v>4.54</v>
      </c>
      <c r="H53" s="21">
        <v>4.54</v>
      </c>
      <c r="I53" s="21">
        <v>4.5999999999999996</v>
      </c>
      <c r="J53" s="21">
        <v>4.5999999999999996</v>
      </c>
      <c r="K53" s="21">
        <v>4.68</v>
      </c>
      <c r="L53" s="21">
        <v>4.6900000000000004</v>
      </c>
      <c r="M53" s="21">
        <v>4.6900000000000004</v>
      </c>
      <c r="N53" s="21">
        <v>4.84</v>
      </c>
      <c r="O53" s="21">
        <v>4.8600000000000003</v>
      </c>
      <c r="P53" s="22">
        <v>4.8600000000000003</v>
      </c>
      <c r="Q53" s="21" t="s">
        <v>17</v>
      </c>
      <c r="R53" s="23"/>
      <c r="S53" s="23"/>
      <c r="T53" s="23"/>
      <c r="U53" s="23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</row>
    <row r="54" spans="1:39" ht="15.75" customHeight="1" x14ac:dyDescent="0.35">
      <c r="A54" s="49"/>
      <c r="B54" s="31"/>
      <c r="C54" s="26">
        <v>161</v>
      </c>
      <c r="D54" s="21">
        <v>4.3499999999999996</v>
      </c>
      <c r="E54" s="21">
        <v>4.45</v>
      </c>
      <c r="F54" s="21">
        <v>4.45</v>
      </c>
      <c r="G54" s="21">
        <v>4.49</v>
      </c>
      <c r="H54" s="21">
        <v>4.49</v>
      </c>
      <c r="I54" s="21">
        <v>4.54</v>
      </c>
      <c r="J54" s="21">
        <v>4.54</v>
      </c>
      <c r="K54" s="21">
        <v>4.62</v>
      </c>
      <c r="L54" s="21">
        <v>4.62</v>
      </c>
      <c r="M54" s="21">
        <v>4.62</v>
      </c>
      <c r="N54" s="21">
        <v>4.76</v>
      </c>
      <c r="O54" s="21">
        <v>4.78</v>
      </c>
      <c r="P54" s="22">
        <v>4.78</v>
      </c>
      <c r="Q54" s="21" t="s">
        <v>17</v>
      </c>
      <c r="R54" s="23"/>
      <c r="S54" s="23"/>
      <c r="T54" s="23"/>
      <c r="U54" s="23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</row>
    <row r="55" spans="1:39" ht="15.75" customHeight="1" x14ac:dyDescent="0.35">
      <c r="A55" s="51"/>
      <c r="B55" s="31"/>
      <c r="C55" s="26">
        <v>218</v>
      </c>
      <c r="D55" s="21">
        <v>4.1900000000000004</v>
      </c>
      <c r="E55" s="21">
        <v>4.29</v>
      </c>
      <c r="F55" s="21">
        <v>4.29</v>
      </c>
      <c r="G55" s="21">
        <v>4.32</v>
      </c>
      <c r="H55" s="21">
        <v>4.33</v>
      </c>
      <c r="I55" s="21">
        <v>4.38</v>
      </c>
      <c r="J55" s="21">
        <v>4.38</v>
      </c>
      <c r="K55" s="21">
        <v>4.45</v>
      </c>
      <c r="L55" s="21">
        <v>4.45</v>
      </c>
      <c r="M55" s="21">
        <v>4.45</v>
      </c>
      <c r="N55" s="21">
        <v>4.59</v>
      </c>
      <c r="O55" s="21">
        <v>4.5999999999999996</v>
      </c>
      <c r="P55" s="22">
        <v>4.5999999999999996</v>
      </c>
      <c r="Q55" s="21" t="s">
        <v>17</v>
      </c>
      <c r="R55" s="23"/>
      <c r="S55" s="23"/>
      <c r="T55" s="23"/>
      <c r="U55" s="23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</row>
    <row r="56" spans="1:39" ht="15.75" customHeight="1" x14ac:dyDescent="0.35">
      <c r="A56" s="32" t="s">
        <v>27</v>
      </c>
      <c r="B56" s="29" t="s">
        <v>28</v>
      </c>
      <c r="C56" s="8">
        <v>32</v>
      </c>
      <c r="D56" s="21">
        <v>15.26</v>
      </c>
      <c r="E56" s="21">
        <v>15.87</v>
      </c>
      <c r="F56" s="21">
        <v>15.88</v>
      </c>
      <c r="G56" s="21">
        <v>16.03</v>
      </c>
      <c r="H56" s="21">
        <v>16.04</v>
      </c>
      <c r="I56" s="21">
        <v>16.350000000000001</v>
      </c>
      <c r="J56" s="21">
        <v>16.350000000000001</v>
      </c>
      <c r="K56" s="21">
        <v>16.62</v>
      </c>
      <c r="L56" s="21">
        <v>16.82</v>
      </c>
      <c r="M56" s="21">
        <v>16.829999999999998</v>
      </c>
      <c r="N56" s="21">
        <v>17.489999999999998</v>
      </c>
      <c r="O56" s="21">
        <v>17.64</v>
      </c>
      <c r="P56" s="22">
        <v>17.670000000000002</v>
      </c>
      <c r="Q56" s="21" t="s">
        <v>16</v>
      </c>
      <c r="R56" s="23"/>
      <c r="S56" s="23"/>
      <c r="T56" s="23"/>
      <c r="U56" s="23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</row>
    <row r="57" spans="1:39" ht="15.75" customHeight="1" x14ac:dyDescent="0.35">
      <c r="A57" s="52"/>
      <c r="B57" s="29"/>
      <c r="C57" s="8">
        <v>33</v>
      </c>
      <c r="D57" s="21">
        <v>15.56</v>
      </c>
      <c r="E57" s="21">
        <v>16.14</v>
      </c>
      <c r="F57" s="21">
        <v>16.149999999999999</v>
      </c>
      <c r="G57" s="21">
        <v>16.3</v>
      </c>
      <c r="H57" s="21">
        <v>16.309999999999999</v>
      </c>
      <c r="I57" s="21">
        <v>16.63</v>
      </c>
      <c r="J57" s="21">
        <v>16.64</v>
      </c>
      <c r="K57" s="21">
        <v>16.91</v>
      </c>
      <c r="L57" s="21">
        <v>17.100000000000001</v>
      </c>
      <c r="M57" s="21">
        <v>17.11</v>
      </c>
      <c r="N57" s="21">
        <v>17.72</v>
      </c>
      <c r="O57" s="21">
        <v>17.86</v>
      </c>
      <c r="P57" s="22">
        <v>17.88</v>
      </c>
      <c r="Q57" s="21" t="s">
        <v>16</v>
      </c>
      <c r="R57" s="23"/>
      <c r="S57" s="23"/>
      <c r="T57" s="23"/>
      <c r="U57" s="23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</row>
    <row r="58" spans="1:39" ht="15.75" customHeight="1" x14ac:dyDescent="0.35">
      <c r="A58" s="53"/>
      <c r="B58" s="29"/>
      <c r="C58" s="8">
        <v>34</v>
      </c>
      <c r="D58" s="21">
        <v>16.02</v>
      </c>
      <c r="E58" s="21">
        <v>16.59</v>
      </c>
      <c r="F58" s="21">
        <v>16.61</v>
      </c>
      <c r="G58" s="21">
        <v>16.75</v>
      </c>
      <c r="H58" s="21">
        <v>16.760000000000002</v>
      </c>
      <c r="I58" s="21">
        <v>17.079999999999998</v>
      </c>
      <c r="J58" s="21">
        <v>17.09</v>
      </c>
      <c r="K58" s="21">
        <v>17.39</v>
      </c>
      <c r="L58" s="21">
        <v>17.57</v>
      </c>
      <c r="M58" s="21">
        <v>17.579999999999998</v>
      </c>
      <c r="N58" s="21">
        <v>18.21</v>
      </c>
      <c r="O58" s="21">
        <v>18.36</v>
      </c>
      <c r="P58" s="22">
        <v>18.37</v>
      </c>
      <c r="Q58" s="21" t="s">
        <v>16</v>
      </c>
      <c r="R58" s="23"/>
      <c r="S58" s="23"/>
      <c r="T58" s="23"/>
      <c r="U58" s="23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</row>
    <row r="59" spans="1:39" ht="15.75" customHeight="1" x14ac:dyDescent="0.35">
      <c r="A59" s="53"/>
      <c r="B59" s="29" t="s">
        <v>29</v>
      </c>
      <c r="C59" s="8">
        <v>50</v>
      </c>
      <c r="D59" s="21">
        <v>15.22</v>
      </c>
      <c r="E59" s="21">
        <v>15.65</v>
      </c>
      <c r="F59" s="21">
        <v>15.65</v>
      </c>
      <c r="G59" s="21">
        <v>15.72</v>
      </c>
      <c r="H59" s="21">
        <v>15.72</v>
      </c>
      <c r="I59" s="21">
        <v>15.91</v>
      </c>
      <c r="J59" s="21">
        <v>15.92</v>
      </c>
      <c r="K59" s="21">
        <v>16.16</v>
      </c>
      <c r="L59" s="21">
        <v>16.350000000000001</v>
      </c>
      <c r="M59" s="21">
        <v>16.350000000000001</v>
      </c>
      <c r="N59" s="21">
        <v>16.75</v>
      </c>
      <c r="O59" s="21">
        <v>16.86</v>
      </c>
      <c r="P59" s="22">
        <v>16.87</v>
      </c>
      <c r="Q59" s="21" t="s">
        <v>16</v>
      </c>
      <c r="R59" s="23"/>
      <c r="S59" s="23"/>
      <c r="T59" s="23"/>
      <c r="U59" s="23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</row>
    <row r="60" spans="1:39" ht="15.75" customHeight="1" x14ac:dyDescent="0.35">
      <c r="A60" s="53"/>
      <c r="B60" s="29"/>
      <c r="C60" s="8">
        <v>51</v>
      </c>
      <c r="D60" s="21">
        <v>14.98</v>
      </c>
      <c r="E60" s="21">
        <v>15.41</v>
      </c>
      <c r="F60" s="21">
        <v>15.41</v>
      </c>
      <c r="G60" s="21">
        <v>15.48</v>
      </c>
      <c r="H60" s="21">
        <v>15.48</v>
      </c>
      <c r="I60" s="21">
        <v>15.66</v>
      </c>
      <c r="J60" s="21">
        <v>15.67</v>
      </c>
      <c r="K60" s="21">
        <v>15.9</v>
      </c>
      <c r="L60" s="21">
        <v>16.09</v>
      </c>
      <c r="M60" s="21">
        <v>16.09</v>
      </c>
      <c r="N60" s="21">
        <v>16.489999999999998</v>
      </c>
      <c r="O60" s="21">
        <v>16.59</v>
      </c>
      <c r="P60" s="22">
        <v>16.61</v>
      </c>
      <c r="Q60" s="21" t="s">
        <v>16</v>
      </c>
      <c r="R60" s="23"/>
      <c r="S60" s="23"/>
      <c r="T60" s="23"/>
      <c r="U60" s="23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</row>
    <row r="61" spans="1:39" ht="15.75" customHeight="1" x14ac:dyDescent="0.35">
      <c r="A61" s="53"/>
      <c r="B61" s="29"/>
      <c r="C61" s="8">
        <v>52</v>
      </c>
      <c r="D61" s="21">
        <v>15.07</v>
      </c>
      <c r="E61" s="21">
        <v>15.51</v>
      </c>
      <c r="F61" s="21">
        <v>15.51</v>
      </c>
      <c r="G61" s="21">
        <v>15.58</v>
      </c>
      <c r="H61" s="21">
        <v>15.59</v>
      </c>
      <c r="I61" s="21">
        <v>15.76</v>
      </c>
      <c r="J61" s="21">
        <v>15.77</v>
      </c>
      <c r="K61" s="21">
        <v>15.99</v>
      </c>
      <c r="L61" s="21">
        <v>16.18</v>
      </c>
      <c r="M61" s="21">
        <v>16.18</v>
      </c>
      <c r="N61" s="21">
        <v>16.59</v>
      </c>
      <c r="O61" s="21">
        <v>16.71</v>
      </c>
      <c r="P61" s="22">
        <v>16.71</v>
      </c>
      <c r="Q61" s="21" t="s">
        <v>16</v>
      </c>
      <c r="R61" s="23"/>
      <c r="S61" s="23"/>
      <c r="T61" s="23"/>
      <c r="U61" s="23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</row>
    <row r="62" spans="1:39" ht="48" customHeight="1" x14ac:dyDescent="0.35">
      <c r="A62" s="53"/>
      <c r="B62" s="33" t="s">
        <v>30</v>
      </c>
      <c r="C62" s="8">
        <v>8</v>
      </c>
      <c r="D62" s="21">
        <v>13.28</v>
      </c>
      <c r="E62" s="21">
        <v>13.71</v>
      </c>
      <c r="F62" s="21">
        <v>13.72</v>
      </c>
      <c r="G62" s="21">
        <v>13.81</v>
      </c>
      <c r="H62" s="21">
        <v>13.82</v>
      </c>
      <c r="I62" s="21">
        <v>14.03</v>
      </c>
      <c r="J62" s="21">
        <v>14.03</v>
      </c>
      <c r="K62" s="21">
        <v>14.23</v>
      </c>
      <c r="L62" s="21">
        <v>14.36</v>
      </c>
      <c r="M62" s="21">
        <v>14.36</v>
      </c>
      <c r="N62" s="21">
        <v>14.71</v>
      </c>
      <c r="O62" s="21">
        <v>14.82</v>
      </c>
      <c r="P62" s="22">
        <v>14.83</v>
      </c>
      <c r="Q62" s="21" t="s">
        <v>16</v>
      </c>
      <c r="R62" s="23"/>
      <c r="S62" s="23"/>
      <c r="T62" s="23"/>
      <c r="U62" s="23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</row>
    <row r="63" spans="1:39" ht="15.75" customHeight="1" x14ac:dyDescent="0.35">
      <c r="A63" s="53"/>
      <c r="B63" s="29"/>
      <c r="C63" s="8">
        <v>9</v>
      </c>
      <c r="D63" s="21">
        <v>13.15</v>
      </c>
      <c r="E63" s="21">
        <v>13.59</v>
      </c>
      <c r="F63" s="21">
        <v>13.59</v>
      </c>
      <c r="G63" s="21">
        <v>13.69</v>
      </c>
      <c r="H63" s="21">
        <v>13.69</v>
      </c>
      <c r="I63" s="21">
        <v>13.9</v>
      </c>
      <c r="J63" s="21">
        <v>13.9</v>
      </c>
      <c r="K63" s="21">
        <v>14.08</v>
      </c>
      <c r="L63" s="21">
        <v>14.23</v>
      </c>
      <c r="M63" s="21">
        <v>14.24</v>
      </c>
      <c r="N63" s="21">
        <v>14.56</v>
      </c>
      <c r="O63" s="21">
        <v>14.68</v>
      </c>
      <c r="P63" s="22">
        <v>14.69</v>
      </c>
      <c r="Q63" s="21" t="s">
        <v>17</v>
      </c>
      <c r="R63" s="23"/>
      <c r="S63" s="23"/>
      <c r="T63" s="23"/>
      <c r="U63" s="23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</row>
    <row r="64" spans="1:39" ht="15.75" customHeight="1" x14ac:dyDescent="0.35">
      <c r="A64" s="53"/>
      <c r="B64" s="29"/>
      <c r="C64" s="8">
        <v>10</v>
      </c>
      <c r="D64" s="21">
        <v>13.07</v>
      </c>
      <c r="E64" s="21">
        <v>13.52</v>
      </c>
      <c r="F64" s="21">
        <v>13.52</v>
      </c>
      <c r="G64" s="21">
        <v>13.61</v>
      </c>
      <c r="H64" s="21">
        <v>13.62</v>
      </c>
      <c r="I64" s="21">
        <v>13.83</v>
      </c>
      <c r="J64" s="21">
        <v>13.83</v>
      </c>
      <c r="K64" s="21">
        <v>14.01</v>
      </c>
      <c r="L64" s="21">
        <v>14.15</v>
      </c>
      <c r="M64" s="21">
        <v>14.15</v>
      </c>
      <c r="N64" s="21">
        <v>14.51</v>
      </c>
      <c r="O64" s="21">
        <v>14.61</v>
      </c>
      <c r="P64" s="22">
        <v>14.62</v>
      </c>
      <c r="Q64" s="21" t="s">
        <v>16</v>
      </c>
      <c r="R64" s="23"/>
      <c r="S64" s="23"/>
      <c r="T64" s="23"/>
      <c r="U64" s="23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</row>
    <row r="65" spans="1:39" ht="51" customHeight="1" x14ac:dyDescent="0.35">
      <c r="A65" s="53"/>
      <c r="B65" s="33" t="s">
        <v>31</v>
      </c>
      <c r="C65" s="8">
        <v>38</v>
      </c>
      <c r="D65" s="21">
        <v>13.35</v>
      </c>
      <c r="E65" s="21">
        <v>13.86</v>
      </c>
      <c r="F65" s="21">
        <v>13.86</v>
      </c>
      <c r="G65" s="21">
        <v>13.96</v>
      </c>
      <c r="H65" s="21">
        <v>13.96</v>
      </c>
      <c r="I65" s="21">
        <v>14.17</v>
      </c>
      <c r="J65" s="21">
        <v>14.18</v>
      </c>
      <c r="K65" s="21">
        <v>14.38</v>
      </c>
      <c r="L65" s="21">
        <v>14.51</v>
      </c>
      <c r="M65" s="21">
        <v>14.51</v>
      </c>
      <c r="N65" s="21">
        <v>14.88</v>
      </c>
      <c r="O65" s="21">
        <v>14.96</v>
      </c>
      <c r="P65" s="22">
        <v>14.97</v>
      </c>
      <c r="Q65" s="21" t="s">
        <v>16</v>
      </c>
      <c r="R65" s="23"/>
      <c r="S65" s="23"/>
      <c r="T65" s="23"/>
      <c r="U65" s="23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</row>
    <row r="66" spans="1:39" ht="15.75" customHeight="1" x14ac:dyDescent="0.35">
      <c r="A66" s="53"/>
      <c r="B66" s="29"/>
      <c r="C66" s="8">
        <v>39</v>
      </c>
      <c r="D66" s="21">
        <v>13.31</v>
      </c>
      <c r="E66" s="21">
        <v>13.8</v>
      </c>
      <c r="F66" s="21">
        <v>13.81</v>
      </c>
      <c r="G66" s="21">
        <v>13.9</v>
      </c>
      <c r="H66" s="21">
        <v>13.91</v>
      </c>
      <c r="I66" s="21">
        <v>14.11</v>
      </c>
      <c r="J66" s="21">
        <v>14.12</v>
      </c>
      <c r="K66" s="21">
        <v>14.31</v>
      </c>
      <c r="L66" s="21">
        <v>14.45</v>
      </c>
      <c r="M66" s="21">
        <v>14.45</v>
      </c>
      <c r="N66" s="21">
        <v>14.82</v>
      </c>
      <c r="O66" s="21">
        <v>14.9</v>
      </c>
      <c r="P66" s="22">
        <v>14.92</v>
      </c>
      <c r="Q66" s="21" t="s">
        <v>16</v>
      </c>
      <c r="R66" s="23"/>
      <c r="S66" s="23"/>
      <c r="T66" s="23"/>
      <c r="U66" s="23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</row>
    <row r="67" spans="1:39" ht="15.75" customHeight="1" x14ac:dyDescent="0.35">
      <c r="A67" s="53"/>
      <c r="B67" s="29"/>
      <c r="C67" s="8">
        <v>40</v>
      </c>
      <c r="D67" s="21">
        <v>13.48</v>
      </c>
      <c r="E67" s="21">
        <v>13.98</v>
      </c>
      <c r="F67" s="21">
        <v>13.99</v>
      </c>
      <c r="G67" s="21">
        <v>14.08</v>
      </c>
      <c r="H67" s="21">
        <v>14.08</v>
      </c>
      <c r="I67" s="21">
        <v>14.29</v>
      </c>
      <c r="J67" s="21">
        <v>14.3</v>
      </c>
      <c r="K67" s="21">
        <v>14.51</v>
      </c>
      <c r="L67" s="21">
        <v>14.63</v>
      </c>
      <c r="M67" s="21">
        <v>14.64</v>
      </c>
      <c r="N67" s="21">
        <v>15.01</v>
      </c>
      <c r="O67" s="21">
        <v>15.09</v>
      </c>
      <c r="P67" s="22">
        <v>15.1</v>
      </c>
      <c r="Q67" s="21" t="s">
        <v>16</v>
      </c>
      <c r="R67" s="23"/>
      <c r="S67" s="23"/>
      <c r="T67" s="23"/>
      <c r="U67" s="23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</row>
    <row r="68" spans="1:39" ht="38.25" customHeight="1" x14ac:dyDescent="0.35">
      <c r="A68" s="53"/>
      <c r="B68" s="34" t="s">
        <v>32</v>
      </c>
      <c r="C68" s="7">
        <v>45</v>
      </c>
      <c r="D68" s="7">
        <v>16.37</v>
      </c>
      <c r="E68" s="7">
        <v>16.809999999999999</v>
      </c>
      <c r="F68" s="7">
        <v>16.82</v>
      </c>
      <c r="G68" s="7">
        <v>16.89</v>
      </c>
      <c r="H68" s="7">
        <v>16.89</v>
      </c>
      <c r="I68" s="7">
        <v>17.11</v>
      </c>
      <c r="J68" s="7">
        <v>17.12</v>
      </c>
      <c r="K68" s="7">
        <v>17.34</v>
      </c>
      <c r="L68" s="7">
        <v>17.52</v>
      </c>
      <c r="M68" s="7">
        <v>17.52</v>
      </c>
      <c r="N68" s="7">
        <v>17.96</v>
      </c>
      <c r="O68" s="7">
        <v>18.079999999999998</v>
      </c>
      <c r="P68" s="8">
        <v>18.079999999999998</v>
      </c>
      <c r="Q68" s="7" t="s">
        <v>17</v>
      </c>
      <c r="R68" s="3"/>
      <c r="S68" s="3"/>
      <c r="T68" s="3"/>
      <c r="U68" s="3"/>
    </row>
    <row r="69" spans="1:39" ht="15.75" customHeight="1" x14ac:dyDescent="0.35">
      <c r="A69" s="53"/>
      <c r="B69" s="7"/>
      <c r="C69" s="7">
        <v>46</v>
      </c>
      <c r="D69" s="7">
        <v>16.329999999999998</v>
      </c>
      <c r="E69" s="7">
        <v>16.77</v>
      </c>
      <c r="F69" s="7">
        <v>16.78</v>
      </c>
      <c r="G69" s="7">
        <v>16.84</v>
      </c>
      <c r="H69" s="7">
        <v>16.850000000000001</v>
      </c>
      <c r="I69" s="7">
        <v>17.059999999999999</v>
      </c>
      <c r="J69" s="7">
        <v>17.07</v>
      </c>
      <c r="K69" s="7">
        <v>17.309999999999999</v>
      </c>
      <c r="L69" s="7">
        <v>17.48</v>
      </c>
      <c r="M69" s="7">
        <v>17.489999999999998</v>
      </c>
      <c r="N69" s="7">
        <v>17.93</v>
      </c>
      <c r="O69" s="7">
        <v>18.05</v>
      </c>
      <c r="P69" s="8">
        <v>18.059999999999999</v>
      </c>
      <c r="Q69" s="7" t="s">
        <v>17</v>
      </c>
      <c r="R69" s="3"/>
      <c r="S69" s="3"/>
      <c r="T69" s="3"/>
      <c r="U69" s="3"/>
    </row>
    <row r="70" spans="1:39" ht="15.75" customHeight="1" x14ac:dyDescent="0.35">
      <c r="B70" s="7" t="s">
        <v>33</v>
      </c>
      <c r="C70" s="7">
        <v>26</v>
      </c>
      <c r="D70" s="7">
        <v>14.85</v>
      </c>
      <c r="E70" s="7">
        <v>15.37</v>
      </c>
      <c r="F70" s="7">
        <v>15.38</v>
      </c>
      <c r="G70" s="7">
        <v>15.46</v>
      </c>
      <c r="H70" s="7">
        <v>15.47</v>
      </c>
      <c r="I70" s="7">
        <v>15.72</v>
      </c>
      <c r="J70" s="7">
        <v>15.73</v>
      </c>
      <c r="K70" s="7">
        <v>15.99</v>
      </c>
      <c r="L70" s="7">
        <v>16.100000000000001</v>
      </c>
      <c r="M70" s="7">
        <v>16.11</v>
      </c>
      <c r="N70" s="7">
        <v>16.579999999999998</v>
      </c>
      <c r="O70" s="7">
        <v>16.68</v>
      </c>
      <c r="P70" s="8">
        <v>16.68</v>
      </c>
      <c r="Q70" s="7" t="s">
        <v>12</v>
      </c>
      <c r="R70" s="3"/>
      <c r="S70" s="3"/>
      <c r="T70" s="3"/>
      <c r="U70" s="3"/>
    </row>
    <row r="71" spans="1:39" ht="15.75" customHeight="1" x14ac:dyDescent="0.35">
      <c r="B71" s="7"/>
      <c r="C71" s="7">
        <v>27</v>
      </c>
      <c r="D71" s="7">
        <v>14.75</v>
      </c>
      <c r="E71" s="7">
        <v>15.27</v>
      </c>
      <c r="F71" s="7">
        <v>15.28</v>
      </c>
      <c r="G71" s="7">
        <v>15.36</v>
      </c>
      <c r="H71" s="7">
        <v>15.36</v>
      </c>
      <c r="I71" s="7">
        <v>15.61</v>
      </c>
      <c r="J71" s="7">
        <v>15.62</v>
      </c>
      <c r="K71" s="7">
        <v>15.88</v>
      </c>
      <c r="L71" s="7">
        <v>16</v>
      </c>
      <c r="M71" s="7">
        <v>16</v>
      </c>
      <c r="N71" s="7">
        <v>16.5</v>
      </c>
      <c r="O71" s="7">
        <v>16.579999999999998</v>
      </c>
      <c r="P71" s="8">
        <v>16.59</v>
      </c>
      <c r="Q71" s="7" t="s">
        <v>12</v>
      </c>
      <c r="R71" s="3"/>
      <c r="S71" s="3"/>
      <c r="T71" s="3"/>
      <c r="U71" s="3"/>
    </row>
    <row r="72" spans="1:39" ht="15.75" customHeight="1" x14ac:dyDescent="0.35">
      <c r="B72" s="7"/>
      <c r="C72" s="7">
        <v>28</v>
      </c>
      <c r="D72" s="7">
        <v>14.86</v>
      </c>
      <c r="E72" s="7">
        <v>15.38</v>
      </c>
      <c r="F72" s="7">
        <v>15.39</v>
      </c>
      <c r="G72" s="7">
        <v>15.47</v>
      </c>
      <c r="H72" s="7">
        <v>15.47</v>
      </c>
      <c r="I72" s="7">
        <v>15.73</v>
      </c>
      <c r="J72" s="7">
        <v>15.74</v>
      </c>
      <c r="K72" s="7">
        <v>15.98</v>
      </c>
      <c r="L72" s="7">
        <v>16.12</v>
      </c>
      <c r="M72" s="7">
        <v>16.12</v>
      </c>
      <c r="N72" s="7">
        <v>16.62</v>
      </c>
      <c r="O72" s="7">
        <v>16.7</v>
      </c>
      <c r="P72" s="8">
        <v>16.71</v>
      </c>
      <c r="Q72" s="7" t="s">
        <v>12</v>
      </c>
      <c r="R72" s="3"/>
      <c r="S72" s="3"/>
      <c r="T72" s="3"/>
      <c r="U72" s="3"/>
    </row>
    <row r="73" spans="1:39" ht="15.75" customHeight="1" x14ac:dyDescent="0.35"/>
    <row r="74" spans="1:39" ht="15.75" customHeight="1" x14ac:dyDescent="0.35"/>
    <row r="75" spans="1:39" ht="15.75" customHeight="1" x14ac:dyDescent="0.35"/>
    <row r="76" spans="1:39" ht="15.75" customHeight="1" x14ac:dyDescent="0.35"/>
    <row r="77" spans="1:39" ht="15.75" customHeight="1" x14ac:dyDescent="0.35"/>
    <row r="78" spans="1:39" ht="15.75" customHeight="1" x14ac:dyDescent="0.35"/>
    <row r="79" spans="1:39" ht="15.75" customHeight="1" x14ac:dyDescent="0.35"/>
    <row r="80" spans="1:39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</sheetData>
  <mergeCells count="11">
    <mergeCell ref="B6:C7"/>
    <mergeCell ref="A8:A31"/>
    <mergeCell ref="A32:A55"/>
    <mergeCell ref="A57:A69"/>
    <mergeCell ref="B4:C4"/>
    <mergeCell ref="B5:C5"/>
    <mergeCell ref="E4:F4"/>
    <mergeCell ref="G4:H4"/>
    <mergeCell ref="I4:J4"/>
    <mergeCell ref="K4:M4"/>
    <mergeCell ref="N4:P4"/>
  </mergeCells>
  <pageMargins left="0.25" right="0.25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89"/>
  <sheetViews>
    <sheetView zoomScale="70" zoomScaleNormal="70" workbookViewId="0">
      <selection activeCell="B53" sqref="B53:B69"/>
    </sheetView>
  </sheetViews>
  <sheetFormatPr defaultColWidth="14.453125" defaultRowHeight="15" customHeight="1" x14ac:dyDescent="0.35"/>
  <cols>
    <col min="1" max="1" width="20.1796875" customWidth="1"/>
    <col min="2" max="16" width="8.7265625" customWidth="1"/>
    <col min="17" max="17" width="24" customWidth="1"/>
    <col min="18" max="26" width="8.7265625" customWidth="1"/>
  </cols>
  <sheetData>
    <row r="1" spans="1:21" ht="15.5" x14ac:dyDescent="0.35">
      <c r="B1" s="54" t="s">
        <v>2</v>
      </c>
      <c r="C1" s="55"/>
      <c r="D1" s="4">
        <v>0</v>
      </c>
      <c r="E1" s="40">
        <v>0.5</v>
      </c>
      <c r="F1" s="41"/>
      <c r="G1" s="42">
        <v>0.6</v>
      </c>
      <c r="H1" s="43"/>
      <c r="I1" s="40">
        <v>0.7</v>
      </c>
      <c r="J1" s="43"/>
      <c r="K1" s="40">
        <v>0.8</v>
      </c>
      <c r="L1" s="41"/>
      <c r="M1" s="43"/>
      <c r="N1" s="40">
        <v>0.9</v>
      </c>
      <c r="O1" s="41"/>
      <c r="P1" s="43"/>
      <c r="Q1" s="5" t="s">
        <v>3</v>
      </c>
      <c r="S1" s="6"/>
    </row>
    <row r="2" spans="1:21" ht="14.5" x14ac:dyDescent="0.35">
      <c r="B2" s="56" t="s">
        <v>4</v>
      </c>
      <c r="C2" s="57"/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Q2" s="7"/>
      <c r="R2" s="3"/>
      <c r="S2" s="3"/>
      <c r="T2" s="3"/>
      <c r="U2" s="3"/>
    </row>
    <row r="3" spans="1:21" ht="14.5" x14ac:dyDescent="0.35">
      <c r="A3" s="9"/>
      <c r="B3" s="44" t="s">
        <v>6</v>
      </c>
      <c r="C3" s="45"/>
      <c r="D3" s="10" t="s">
        <v>0</v>
      </c>
      <c r="E3" s="11">
        <v>45987</v>
      </c>
      <c r="F3" s="12">
        <v>45989</v>
      </c>
      <c r="G3" s="12">
        <v>45992</v>
      </c>
      <c r="H3" s="12">
        <v>45994</v>
      </c>
      <c r="I3" s="12">
        <v>45999</v>
      </c>
      <c r="J3" s="12">
        <v>46000</v>
      </c>
      <c r="K3" s="12">
        <v>46001</v>
      </c>
      <c r="L3" s="12">
        <v>46006</v>
      </c>
      <c r="M3" s="12">
        <v>46007</v>
      </c>
      <c r="N3" s="12">
        <v>46010</v>
      </c>
      <c r="O3" s="12">
        <v>46013</v>
      </c>
      <c r="P3" s="13" t="s">
        <v>7</v>
      </c>
      <c r="Q3" s="7"/>
      <c r="R3" s="3"/>
      <c r="S3" s="3"/>
      <c r="T3" s="3"/>
      <c r="U3" s="3"/>
    </row>
    <row r="4" spans="1:21" ht="14.5" x14ac:dyDescent="0.35">
      <c r="A4" s="15" t="s">
        <v>8</v>
      </c>
      <c r="B4" s="46"/>
      <c r="C4" s="47"/>
      <c r="D4" s="16" t="s">
        <v>9</v>
      </c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7"/>
      <c r="R4" s="3"/>
      <c r="S4" s="3"/>
      <c r="T4" s="3"/>
      <c r="U4" s="3"/>
    </row>
    <row r="5" spans="1:21" ht="14.5" x14ac:dyDescent="0.35">
      <c r="A5" s="48" t="s">
        <v>10</v>
      </c>
      <c r="B5" s="20" t="s">
        <v>11</v>
      </c>
      <c r="C5" s="8">
        <v>9</v>
      </c>
      <c r="D5" s="21">
        <f>('Kubiņu masa'!D8-'Kubiņu masa'!$D8)/'Kubiņu masa'!$D8*100</f>
        <v>0</v>
      </c>
      <c r="E5" s="21">
        <f>('Kubiņu masa'!E8-'Kubiņu masa'!$D8)/'Kubiņu masa'!$D8*100</f>
        <v>3.9187227866473218</v>
      </c>
      <c r="F5" s="21">
        <f>('Kubiņu masa'!F8-'Kubiņu masa'!$D8)/'Kubiņu masa'!$D8*100</f>
        <v>3.9187227866473218</v>
      </c>
      <c r="G5" s="21">
        <f>('Kubiņu masa'!G8-'Kubiņu masa'!$D8)/'Kubiņu masa'!$D8*100</f>
        <v>4.6444121915820071</v>
      </c>
      <c r="H5" s="21">
        <f>('Kubiņu masa'!H8-'Kubiņu masa'!$D8)/'Kubiņu masa'!$D8*100</f>
        <v>4.499274310595073</v>
      </c>
      <c r="I5" s="21">
        <f>('Kubiņu masa'!I8-'Kubiņu masa'!$D8)/'Kubiņu masa'!$D8*100</f>
        <v>5.9506531204644437</v>
      </c>
      <c r="J5" s="21">
        <f>('Kubiņu masa'!J8-'Kubiņu masa'!$D8)/'Kubiņu masa'!$D8*100</f>
        <v>5.9506531204644437</v>
      </c>
      <c r="K5" s="21">
        <f>('Kubiņu masa'!K8-'Kubiņu masa'!$D8)/'Kubiņu masa'!$D8*100</f>
        <v>8.1277213352685127</v>
      </c>
      <c r="L5" s="21">
        <f>('Kubiņu masa'!L8-'Kubiņu masa'!$D8)/'Kubiņu masa'!$D8*100</f>
        <v>8.417997097242381</v>
      </c>
      <c r="M5" s="21">
        <f>('Kubiņu masa'!M8-'Kubiņu masa'!$D8)/'Kubiņu masa'!$D8*100</f>
        <v>8.417997097242381</v>
      </c>
      <c r="N5" s="21">
        <f>('Kubiņu masa'!N8-'Kubiņu masa'!$D8)/'Kubiņu masa'!$D8*100</f>
        <v>12.336719883889703</v>
      </c>
      <c r="O5" s="21">
        <f>('Kubiņu masa'!O8-'Kubiņu masa'!$D8)/'Kubiņu masa'!$D8*100</f>
        <v>12.336719883889703</v>
      </c>
      <c r="P5" s="22">
        <f>('Kubiņu masa'!P8-'Kubiņu masa'!$D8)/'Kubiņu masa'!$D8*100</f>
        <v>12.481857764876638</v>
      </c>
      <c r="Q5" s="21" t="s">
        <v>12</v>
      </c>
      <c r="R5" s="23"/>
      <c r="S5" s="23"/>
      <c r="T5" s="23"/>
      <c r="U5" s="23"/>
    </row>
    <row r="6" spans="1:21" ht="14.5" x14ac:dyDescent="0.35">
      <c r="A6" s="49"/>
      <c r="B6" s="7"/>
      <c r="C6" s="8">
        <v>27</v>
      </c>
      <c r="D6" s="21">
        <f>('Kubiņu masa'!D9-'Kubiņu masa'!$D9)/'Kubiņu masa'!$D9*100</f>
        <v>0</v>
      </c>
      <c r="E6" s="21">
        <f>('Kubiņu masa'!E9-'Kubiņu masa'!$D9)/'Kubiņu masa'!$D9*100</f>
        <v>3.467406380027739</v>
      </c>
      <c r="F6" s="21">
        <f>('Kubiņu masa'!F9-'Kubiņu masa'!$D9)/'Kubiņu masa'!$D9*100</f>
        <v>3.467406380027739</v>
      </c>
      <c r="G6" s="21">
        <f>('Kubiņu masa'!G9-'Kubiņu masa'!$D9)/'Kubiņu masa'!$D9*100</f>
        <v>4.1608876560332844</v>
      </c>
      <c r="H6" s="21">
        <f>('Kubiņu masa'!H9-'Kubiņu masa'!$D9)/'Kubiņu masa'!$D9*100</f>
        <v>4.1608876560332844</v>
      </c>
      <c r="I6" s="21">
        <f>('Kubiņu masa'!I9-'Kubiņu masa'!$D9)/'Kubiņu masa'!$D9*100</f>
        <v>5.5478502080443883</v>
      </c>
      <c r="J6" s="21">
        <f>('Kubiņu masa'!J9-'Kubiņu masa'!$D9)/'Kubiņu masa'!$D9*100</f>
        <v>5.5478502080443883</v>
      </c>
      <c r="K6" s="21">
        <f>('Kubiņu masa'!K9-'Kubiņu masa'!$D9)/'Kubiņu masa'!$D9*100</f>
        <v>7.4895977808599179</v>
      </c>
      <c r="L6" s="21">
        <f>('Kubiņu masa'!L9-'Kubiņu masa'!$D9)/'Kubiņu masa'!$D9*100</f>
        <v>7.7669902912621307</v>
      </c>
      <c r="M6" s="21">
        <f>('Kubiņu masa'!M9-'Kubiņu masa'!$D9)/'Kubiņu masa'!$D9*100</f>
        <v>7.9056865464632491</v>
      </c>
      <c r="N6" s="21">
        <f>('Kubiņu masa'!N9-'Kubiņu masa'!$D9)/'Kubiņu masa'!$D9*100</f>
        <v>11.373092926490976</v>
      </c>
      <c r="O6" s="21">
        <f>('Kubiņu masa'!O9-'Kubiņu masa'!$D9)/'Kubiņu masa'!$D9*100</f>
        <v>11.511789181692084</v>
      </c>
      <c r="P6" s="22">
        <f>('Kubiņu masa'!P9-'Kubiņu masa'!$D9)/'Kubiņu masa'!$D9*100</f>
        <v>11.650485436893215</v>
      </c>
      <c r="Q6" s="21" t="s">
        <v>12</v>
      </c>
      <c r="R6" s="23"/>
      <c r="S6" s="23"/>
      <c r="T6" s="23"/>
      <c r="U6" s="23"/>
    </row>
    <row r="7" spans="1:21" ht="14.5" x14ac:dyDescent="0.35">
      <c r="A7" s="49"/>
      <c r="B7" s="7"/>
      <c r="C7" s="25">
        <v>106</v>
      </c>
      <c r="D7" s="21">
        <f>('Kubiņu masa'!D10-'Kubiņu masa'!$D10)/'Kubiņu masa'!$D10*100</f>
        <v>0</v>
      </c>
      <c r="E7" s="21">
        <f>('Kubiņu masa'!E10-'Kubiņu masa'!$D10)/'Kubiņu masa'!$D10*100</f>
        <v>3.4965034965034962</v>
      </c>
      <c r="F7" s="21">
        <f>('Kubiņu masa'!F10-'Kubiņu masa'!$D10)/'Kubiņu masa'!$D10*100</f>
        <v>3.4965034965034962</v>
      </c>
      <c r="G7" s="21">
        <f>('Kubiņu masa'!G10-'Kubiņu masa'!$D10)/'Kubiņu masa'!$D10*100</f>
        <v>4.0559440559440567</v>
      </c>
      <c r="H7" s="21">
        <f>('Kubiņu masa'!H10-'Kubiņu masa'!$D10)/'Kubiņu masa'!$D10*100</f>
        <v>4.0559440559440567</v>
      </c>
      <c r="I7" s="21">
        <f>('Kubiņu masa'!I10-'Kubiņu masa'!$D10)/'Kubiņu masa'!$D10*100</f>
        <v>5.4545454545454497</v>
      </c>
      <c r="J7" s="21">
        <f>('Kubiņu masa'!J10-'Kubiņu masa'!$D10)/'Kubiņu masa'!$D10*100</f>
        <v>5.4545454545454497</v>
      </c>
      <c r="K7" s="21">
        <f>('Kubiņu masa'!K10-'Kubiņu masa'!$D10)/'Kubiņu masa'!$D10*100</f>
        <v>7.4125874125874027</v>
      </c>
      <c r="L7" s="21">
        <f>('Kubiņu masa'!L10-'Kubiņu masa'!$D10)/'Kubiņu masa'!$D10*100</f>
        <v>7.6923076923076898</v>
      </c>
      <c r="M7" s="21">
        <f>('Kubiņu masa'!M10-'Kubiņu masa'!$D10)/'Kubiņu masa'!$D10*100</f>
        <v>7.6923076923076898</v>
      </c>
      <c r="N7" s="21">
        <f>('Kubiņu masa'!N10-'Kubiņu masa'!$D10)/'Kubiņu masa'!$D10*100</f>
        <v>11.188811188811187</v>
      </c>
      <c r="O7" s="21">
        <f>('Kubiņu masa'!O10-'Kubiņu masa'!$D10)/'Kubiņu masa'!$D10*100</f>
        <v>11.328671328671321</v>
      </c>
      <c r="P7" s="22">
        <f>('Kubiņu masa'!P10-'Kubiņu masa'!$D10)/'Kubiņu masa'!$D10*100</f>
        <v>11.468531468531459</v>
      </c>
      <c r="Q7" s="21" t="s">
        <v>12</v>
      </c>
      <c r="R7" s="23"/>
      <c r="S7" s="23"/>
      <c r="T7" s="23"/>
      <c r="U7" s="23"/>
    </row>
    <row r="8" spans="1:21" ht="14.5" x14ac:dyDescent="0.35">
      <c r="A8" s="49"/>
      <c r="B8" s="18" t="s">
        <v>13</v>
      </c>
      <c r="C8" s="19">
        <v>39</v>
      </c>
      <c r="D8" s="21">
        <f>('Kubiņu masa'!D11-'Kubiņu masa'!$D11)/'Kubiņu masa'!$D11*100</f>
        <v>0</v>
      </c>
      <c r="E8" s="21">
        <f>('Kubiņu masa'!E11-'Kubiņu masa'!$D11)/'Kubiņu masa'!$D11*100</f>
        <v>3.2203389830508389</v>
      </c>
      <c r="F8" s="21">
        <f>('Kubiņu masa'!F11-'Kubiņu masa'!$D11)/'Kubiņu masa'!$D11*100</f>
        <v>3.2203389830508389</v>
      </c>
      <c r="G8" s="21">
        <f>('Kubiņu masa'!G11-'Kubiņu masa'!$D11)/'Kubiņu masa'!$D11*100</f>
        <v>3.8983050847457545</v>
      </c>
      <c r="H8" s="21">
        <f>('Kubiņu masa'!H11-'Kubiņu masa'!$D11)/'Kubiņu masa'!$D11*100</f>
        <v>3.7288135593220293</v>
      </c>
      <c r="I8" s="21">
        <f>('Kubiņu masa'!I11-'Kubiņu masa'!$D11)/'Kubiņu masa'!$D11*100</f>
        <v>5.0847457627118615</v>
      </c>
      <c r="J8" s="21">
        <f>('Kubiņu masa'!J11-'Kubiņu masa'!$D11)/'Kubiņu masa'!$D11*100</f>
        <v>5.0847457627118615</v>
      </c>
      <c r="K8" s="21">
        <f>('Kubiņu masa'!K11-'Kubiņu masa'!$D11)/'Kubiņu masa'!$D11*100</f>
        <v>6.9491525423728691</v>
      </c>
      <c r="L8" s="21">
        <f>('Kubiņu masa'!L11-'Kubiņu masa'!$D11)/'Kubiņu masa'!$D11*100</f>
        <v>7.118644067796609</v>
      </c>
      <c r="M8" s="21">
        <f>('Kubiņu masa'!M11-'Kubiņu masa'!$D11)/'Kubiņu masa'!$D11*100</f>
        <v>7.118644067796609</v>
      </c>
      <c r="N8" s="21">
        <f>('Kubiņu masa'!N11-'Kubiņu masa'!$D11)/'Kubiņu masa'!$D11*100</f>
        <v>10.677966101694913</v>
      </c>
      <c r="O8" s="21">
        <f>('Kubiņu masa'!O11-'Kubiņu masa'!$D11)/'Kubiņu masa'!$D11*100</f>
        <v>10.677966101694913</v>
      </c>
      <c r="P8" s="22">
        <f>('Kubiņu masa'!P11-'Kubiņu masa'!$D11)/'Kubiņu masa'!$D11*100</f>
        <v>10.847457627118638</v>
      </c>
      <c r="Q8" s="21" t="s">
        <v>12</v>
      </c>
      <c r="R8" s="23"/>
      <c r="S8" s="23"/>
      <c r="T8" s="23"/>
      <c r="U8" s="23"/>
    </row>
    <row r="9" spans="1:21" ht="14.5" x14ac:dyDescent="0.35">
      <c r="A9" s="49"/>
      <c r="B9" s="26"/>
      <c r="C9" s="7">
        <v>55</v>
      </c>
      <c r="D9" s="21">
        <f>('Kubiņu masa'!D12-'Kubiņu masa'!$D12)/'Kubiņu masa'!$D12*100</f>
        <v>0</v>
      </c>
      <c r="E9" s="21">
        <f>('Kubiņu masa'!E12-'Kubiņu masa'!$D12)/'Kubiņu masa'!$D12*100</f>
        <v>3.2679738562091534</v>
      </c>
      <c r="F9" s="21">
        <f>('Kubiņu masa'!F12-'Kubiņu masa'!$D12)/'Kubiņu masa'!$D12*100</f>
        <v>3.2679738562091534</v>
      </c>
      <c r="G9" s="21">
        <f>('Kubiņu masa'!G12-'Kubiņu masa'!$D12)/'Kubiņu masa'!$D12*100</f>
        <v>3.9215686274509838</v>
      </c>
      <c r="H9" s="21">
        <f>('Kubiņu masa'!H12-'Kubiņu masa'!$D12)/'Kubiņu masa'!$D12*100</f>
        <v>3.9215686274509838</v>
      </c>
      <c r="I9" s="21">
        <f>('Kubiņu masa'!I12-'Kubiņu masa'!$D12)/'Kubiņu masa'!$D12*100</f>
        <v>5.228758169934645</v>
      </c>
      <c r="J9" s="21">
        <f>('Kubiņu masa'!J12-'Kubiņu masa'!$D12)/'Kubiņu masa'!$D12*100</f>
        <v>5.228758169934645</v>
      </c>
      <c r="K9" s="21">
        <f>('Kubiņu masa'!K12-'Kubiņu masa'!$D12)/'Kubiņu masa'!$D12*100</f>
        <v>7.1895424836601221</v>
      </c>
      <c r="L9" s="21">
        <f>('Kubiņu masa'!L12-'Kubiņu masa'!$D12)/'Kubiņu masa'!$D12*100</f>
        <v>7.3529411764705914</v>
      </c>
      <c r="M9" s="21">
        <f>('Kubiņu masa'!M12-'Kubiņu masa'!$D12)/'Kubiņu masa'!$D12*100</f>
        <v>7.3529411764705914</v>
      </c>
      <c r="N9" s="21">
        <f>('Kubiņu masa'!N12-'Kubiņu masa'!$D12)/'Kubiņu masa'!$D12*100</f>
        <v>11.111111111111107</v>
      </c>
      <c r="O9" s="21">
        <f>('Kubiņu masa'!O12-'Kubiņu masa'!$D12)/'Kubiņu masa'!$D12*100</f>
        <v>10.947712418300652</v>
      </c>
      <c r="P9" s="22">
        <f>('Kubiņu masa'!P12-'Kubiņu masa'!$D12)/'Kubiņu masa'!$D12*100</f>
        <v>11.111111111111107</v>
      </c>
      <c r="Q9" s="21" t="s">
        <v>12</v>
      </c>
      <c r="R9" s="23"/>
      <c r="S9" s="23"/>
      <c r="T9" s="23"/>
      <c r="U9" s="23"/>
    </row>
    <row r="10" spans="1:21" ht="14.5" x14ac:dyDescent="0.35">
      <c r="A10" s="49"/>
      <c r="B10" s="26"/>
      <c r="C10" s="7">
        <v>122</v>
      </c>
      <c r="D10" s="21">
        <f>('Kubiņu masa'!D13-'Kubiņu masa'!$D13)/'Kubiņu masa'!$D13*100</f>
        <v>0</v>
      </c>
      <c r="E10" s="21">
        <f>('Kubiņu masa'!E13-'Kubiņu masa'!$D13)/'Kubiņu masa'!$D13*100</f>
        <v>3.2362459546925599</v>
      </c>
      <c r="F10" s="21">
        <f>('Kubiņu masa'!F13-'Kubiņu masa'!$D13)/'Kubiņu masa'!$D13*100</f>
        <v>3.0744336569579351</v>
      </c>
      <c r="G10" s="21">
        <f>('Kubiņu masa'!G13-'Kubiņu masa'!$D13)/'Kubiņu masa'!$D13*100</f>
        <v>3.7216828478964472</v>
      </c>
      <c r="H10" s="21">
        <f>('Kubiņu masa'!H13-'Kubiņu masa'!$D13)/'Kubiņu masa'!$D13*100</f>
        <v>3.7216828478964472</v>
      </c>
      <c r="I10" s="21">
        <f>('Kubiņu masa'!I13-'Kubiņu masa'!$D13)/'Kubiņu masa'!$D13*100</f>
        <v>4.854368932038847</v>
      </c>
      <c r="J10" s="21">
        <f>('Kubiņu masa'!J13-'Kubiņu masa'!$D13)/'Kubiņu masa'!$D13*100</f>
        <v>5.0161812297734709</v>
      </c>
      <c r="K10" s="21">
        <f>('Kubiņu masa'!K13-'Kubiņu masa'!$D13)/'Kubiņu masa'!$D13*100</f>
        <v>6.7961165048543686</v>
      </c>
      <c r="L10" s="21">
        <f>('Kubiņu masa'!L13-'Kubiņu masa'!$D13)/'Kubiņu masa'!$D13*100</f>
        <v>6.9579288025890067</v>
      </c>
      <c r="M10" s="21">
        <f>('Kubiņu masa'!M13-'Kubiņu masa'!$D13)/'Kubiņu masa'!$D13*100</f>
        <v>6.9579288025890067</v>
      </c>
      <c r="N10" s="21">
        <f>('Kubiņu masa'!N13-'Kubiņu masa'!$D13)/'Kubiņu masa'!$D13*100</f>
        <v>10.355987055016191</v>
      </c>
      <c r="O10" s="21">
        <f>('Kubiņu masa'!O13-'Kubiņu masa'!$D13)/'Kubiņu masa'!$D13*100</f>
        <v>10.517799352750815</v>
      </c>
      <c r="P10" s="22">
        <f>('Kubiņu masa'!P13-'Kubiņu masa'!$D13)/'Kubiņu masa'!$D13*100</f>
        <v>10.679611650485439</v>
      </c>
      <c r="Q10" s="21" t="s">
        <v>12</v>
      </c>
      <c r="R10" s="23"/>
      <c r="S10" s="23"/>
      <c r="T10" s="23"/>
      <c r="U10" s="23"/>
    </row>
    <row r="11" spans="1:21" ht="14.5" x14ac:dyDescent="0.35">
      <c r="A11" s="49"/>
      <c r="B11" s="7" t="s">
        <v>14</v>
      </c>
      <c r="C11" s="7">
        <v>66</v>
      </c>
      <c r="D11" s="21">
        <f>('Kubiņu masa'!D14-'Kubiņu masa'!$D14)/'Kubiņu masa'!$D14*100</f>
        <v>0</v>
      </c>
      <c r="E11" s="21">
        <f>('Kubiņu masa'!E14-'Kubiņu masa'!$D14)/'Kubiņu masa'!$D14*100</f>
        <v>3.4578146611341629</v>
      </c>
      <c r="F11" s="21">
        <f>('Kubiņu masa'!F14-'Kubiņu masa'!$D14)/'Kubiņu masa'!$D14*100</f>
        <v>3.4578146611341629</v>
      </c>
      <c r="G11" s="21">
        <f>('Kubiņu masa'!G14-'Kubiņu masa'!$D14)/'Kubiņu masa'!$D14*100</f>
        <v>4.1493775933609927</v>
      </c>
      <c r="H11" s="21">
        <f>('Kubiņu masa'!H14-'Kubiņu masa'!$D14)/'Kubiņu masa'!$D14*100</f>
        <v>4.1493775933609927</v>
      </c>
      <c r="I11" s="21">
        <f>('Kubiņu masa'!I14-'Kubiņu masa'!$D14)/'Kubiņu masa'!$D14*100</f>
        <v>5.2558782849239263</v>
      </c>
      <c r="J11" s="21">
        <f>('Kubiņu masa'!J14-'Kubiņu masa'!$D14)/'Kubiņu masa'!$D14*100</f>
        <v>5.3941908713692897</v>
      </c>
      <c r="K11" s="21">
        <f>('Kubiņu masa'!K14-'Kubiņu masa'!$D14)/'Kubiņu masa'!$D14*100</f>
        <v>7.3305670816044168</v>
      </c>
      <c r="L11" s="21">
        <f>('Kubiņu masa'!L14-'Kubiņu masa'!$D14)/'Kubiņu masa'!$D14*100</f>
        <v>7.607192254495156</v>
      </c>
      <c r="M11" s="21">
        <f>('Kubiņu masa'!M14-'Kubiņu masa'!$D14)/'Kubiņu masa'!$D14*100</f>
        <v>7.607192254495156</v>
      </c>
      <c r="N11" s="21">
        <f>('Kubiņu masa'!N14-'Kubiņu masa'!$D14)/'Kubiņu masa'!$D14*100</f>
        <v>11.20331950207467</v>
      </c>
      <c r="O11" s="21">
        <f>('Kubiņu masa'!O14-'Kubiņu masa'!$D14)/'Kubiņu masa'!$D14*100</f>
        <v>11.20331950207467</v>
      </c>
      <c r="P11" s="22">
        <f>('Kubiņu masa'!P14-'Kubiņu masa'!$D14)/'Kubiņu masa'!$D14*100</f>
        <v>11.341632088520058</v>
      </c>
      <c r="Q11" s="21" t="s">
        <v>12</v>
      </c>
      <c r="R11" s="23"/>
      <c r="S11" s="23"/>
      <c r="T11" s="23"/>
      <c r="U11" s="23"/>
    </row>
    <row r="12" spans="1:21" ht="14.5" x14ac:dyDescent="0.35">
      <c r="A12" s="49"/>
      <c r="B12" s="7"/>
      <c r="C12" s="7">
        <v>142</v>
      </c>
      <c r="D12" s="21">
        <f>('Kubiņu masa'!D15-'Kubiņu masa'!$D15)/'Kubiņu masa'!$D15*100</f>
        <v>0</v>
      </c>
      <c r="E12" s="21">
        <f>('Kubiņu masa'!E15-'Kubiņu masa'!$D15)/'Kubiņu masa'!$D15*100</f>
        <v>3.6842105263157925</v>
      </c>
      <c r="F12" s="21">
        <f>('Kubiņu masa'!F15-'Kubiņu masa'!$D15)/'Kubiņu masa'!$D15*100</f>
        <v>3.5526315789473748</v>
      </c>
      <c r="G12" s="21">
        <f>('Kubiņu masa'!G15-'Kubiņu masa'!$D15)/'Kubiņu masa'!$D15*100</f>
        <v>4.3421052631578956</v>
      </c>
      <c r="H12" s="21">
        <f>('Kubiņu masa'!H15-'Kubiņu masa'!$D15)/'Kubiņu masa'!$D15*100</f>
        <v>4.3421052631578956</v>
      </c>
      <c r="I12" s="21">
        <f>('Kubiņu masa'!I15-'Kubiņu masa'!$D15)/'Kubiņu masa'!$D15*100</f>
        <v>5.5263157894736832</v>
      </c>
      <c r="J12" s="21">
        <f>('Kubiņu masa'!J15-'Kubiņu masa'!$D15)/'Kubiņu masa'!$D15*100</f>
        <v>5.5263157894736832</v>
      </c>
      <c r="K12" s="21">
        <f>('Kubiņu masa'!K15-'Kubiņu masa'!$D15)/'Kubiņu masa'!$D15*100</f>
        <v>7.5000000000000036</v>
      </c>
      <c r="L12" s="21">
        <f>('Kubiņu masa'!L15-'Kubiņu masa'!$D15)/'Kubiņu masa'!$D15*100</f>
        <v>7.7631578947368416</v>
      </c>
      <c r="M12" s="21">
        <f>('Kubiņu masa'!M15-'Kubiņu masa'!$D15)/'Kubiņu masa'!$D15*100</f>
        <v>7.8947368421052584</v>
      </c>
      <c r="N12" s="21">
        <f>('Kubiņu masa'!N15-'Kubiņu masa'!$D15)/'Kubiņu masa'!$D15*100</f>
        <v>11.578947368421064</v>
      </c>
      <c r="O12" s="21">
        <f>('Kubiņu masa'!O15-'Kubiņu masa'!$D15)/'Kubiņu masa'!$D15*100</f>
        <v>11.710526315789483</v>
      </c>
      <c r="P12" s="22">
        <f>('Kubiņu masa'!P15-'Kubiņu masa'!$D15)/'Kubiņu masa'!$D15*100</f>
        <v>11.710526315789483</v>
      </c>
      <c r="Q12" s="21" t="s">
        <v>12</v>
      </c>
      <c r="R12" s="23"/>
      <c r="S12" s="23"/>
      <c r="T12" s="23"/>
      <c r="U12" s="23"/>
    </row>
    <row r="13" spans="1:21" ht="14.5" x14ac:dyDescent="0.35">
      <c r="A13" s="49"/>
      <c r="B13" s="7"/>
      <c r="C13" s="27">
        <v>147</v>
      </c>
      <c r="D13" s="21">
        <f>('Kubiņu masa'!D16-'Kubiņu masa'!$D16)/'Kubiņu masa'!$D16*100</f>
        <v>0</v>
      </c>
      <c r="E13" s="21">
        <f>('Kubiņu masa'!E16-'Kubiņu masa'!$D16)/'Kubiņu masa'!$D16*100</f>
        <v>3.6388140161725131</v>
      </c>
      <c r="F13" s="21">
        <f>('Kubiņu masa'!F16-'Kubiņu masa'!$D16)/'Kubiņu masa'!$D16*100</f>
        <v>3.6388140161725131</v>
      </c>
      <c r="G13" s="21">
        <f>('Kubiņu masa'!G16-'Kubiņu masa'!$D16)/'Kubiņu masa'!$D16*100</f>
        <v>4.312668463611864</v>
      </c>
      <c r="H13" s="21">
        <f>('Kubiņu masa'!H16-'Kubiņu masa'!$D16)/'Kubiņu masa'!$D16*100</f>
        <v>4.312668463611864</v>
      </c>
      <c r="I13" s="21">
        <f>('Kubiņu masa'!I16-'Kubiņu masa'!$D16)/'Kubiņu masa'!$D16*100</f>
        <v>5.5256064690026978</v>
      </c>
      <c r="J13" s="21">
        <f>('Kubiņu masa'!J16-'Kubiņu masa'!$D16)/'Kubiņu masa'!$D16*100</f>
        <v>5.6603773584905657</v>
      </c>
      <c r="K13" s="21">
        <f>('Kubiņu masa'!K16-'Kubiņu masa'!$D16)/'Kubiņu masa'!$D16*100</f>
        <v>7.6819407008086289</v>
      </c>
      <c r="L13" s="21">
        <f>('Kubiņu masa'!L16-'Kubiņu masa'!$D16)/'Kubiņu masa'!$D16*100</f>
        <v>7.9514824797843646</v>
      </c>
      <c r="M13" s="21">
        <f>('Kubiņu masa'!M16-'Kubiņu masa'!$D16)/'Kubiņu masa'!$D16*100</f>
        <v>7.8167115902964976</v>
      </c>
      <c r="N13" s="21">
        <f>('Kubiņu masa'!N16-'Kubiņu masa'!$D16)/'Kubiņu masa'!$D16*100</f>
        <v>11.455525606468999</v>
      </c>
      <c r="O13" s="21">
        <f>('Kubiņu masa'!O16-'Kubiņu masa'!$D16)/'Kubiņu masa'!$D16*100</f>
        <v>11.590296495956865</v>
      </c>
      <c r="P13" s="22">
        <f>('Kubiņu masa'!P16-'Kubiņu masa'!$D16)/'Kubiņu masa'!$D16*100</f>
        <v>11.725067385444733</v>
      </c>
      <c r="Q13" s="21" t="s">
        <v>12</v>
      </c>
      <c r="R13" s="23"/>
      <c r="S13" s="23"/>
      <c r="T13" s="23"/>
      <c r="U13" s="23"/>
    </row>
    <row r="14" spans="1:21" ht="14.5" x14ac:dyDescent="0.35">
      <c r="A14" s="49"/>
      <c r="B14" s="7" t="s">
        <v>15</v>
      </c>
      <c r="C14" s="7">
        <v>75</v>
      </c>
      <c r="D14" s="21">
        <f>('Kubiņu masa'!D17-'Kubiņu masa'!$D17)/'Kubiņu masa'!$D17*100</f>
        <v>0</v>
      </c>
      <c r="E14" s="21">
        <f>('Kubiņu masa'!E17-'Kubiņu masa'!$D17)/'Kubiņu masa'!$D17*100</f>
        <v>3.2981530343007917</v>
      </c>
      <c r="F14" s="21">
        <f>('Kubiņu masa'!F17-'Kubiņu masa'!$D17)/'Kubiņu masa'!$D17*100</f>
        <v>3.2981530343007917</v>
      </c>
      <c r="G14" s="21">
        <f>('Kubiņu masa'!G17-'Kubiņu masa'!$D17)/'Kubiņu masa'!$D17*100</f>
        <v>3.9577836411609475</v>
      </c>
      <c r="H14" s="21">
        <f>('Kubiņu masa'!H17-'Kubiņu masa'!$D17)/'Kubiņu masa'!$D17*100</f>
        <v>3.9577836411609475</v>
      </c>
      <c r="I14" s="21">
        <f>('Kubiņu masa'!I17-'Kubiņu masa'!$D17)/'Kubiņu masa'!$D17*100</f>
        <v>5.1451187335092303</v>
      </c>
      <c r="J14" s="21">
        <f>('Kubiņu masa'!J17-'Kubiņu masa'!$D17)/'Kubiņu masa'!$D17*100</f>
        <v>5.1451187335092303</v>
      </c>
      <c r="K14" s="21">
        <f>('Kubiņu masa'!K17-'Kubiņu masa'!$D17)/'Kubiņu masa'!$D17*100</f>
        <v>6.8601583113456401</v>
      </c>
      <c r="L14" s="21">
        <f>('Kubiņu masa'!L17-'Kubiņu masa'!$D17)/'Kubiņu masa'!$D17*100</f>
        <v>7.2559366754617507</v>
      </c>
      <c r="M14" s="21">
        <f>('Kubiņu masa'!M17-'Kubiņu masa'!$D17)/'Kubiņu masa'!$D17*100</f>
        <v>7.1240105540896979</v>
      </c>
      <c r="N14" s="21">
        <f>('Kubiņu masa'!N17-'Kubiņu masa'!$D17)/'Kubiņu masa'!$D17*100</f>
        <v>10.158311345646434</v>
      </c>
      <c r="O14" s="21">
        <f>('Kubiņu masa'!O17-'Kubiņu masa'!$D17)/'Kubiņu masa'!$D17*100</f>
        <v>10.158311345646434</v>
      </c>
      <c r="P14" s="22">
        <f>('Kubiņu masa'!P17-'Kubiņu masa'!$D17)/'Kubiņu masa'!$D17*100</f>
        <v>10.42216358839049</v>
      </c>
      <c r="Q14" s="21" t="s">
        <v>16</v>
      </c>
      <c r="R14" s="23"/>
      <c r="S14" s="23"/>
      <c r="T14" s="23"/>
      <c r="U14" s="23"/>
    </row>
    <row r="15" spans="1:21" ht="14.5" x14ac:dyDescent="0.35">
      <c r="A15" s="49"/>
      <c r="B15" s="7"/>
      <c r="C15" s="7">
        <v>81</v>
      </c>
      <c r="D15" s="21">
        <f>('Kubiņu masa'!D18-'Kubiņu masa'!$D18)/'Kubiņu masa'!$D18*100</f>
        <v>0</v>
      </c>
      <c r="E15" s="21">
        <f>('Kubiņu masa'!E18-'Kubiņu masa'!$D18)/'Kubiņu masa'!$D18*100</f>
        <v>3.2808398950131235</v>
      </c>
      <c r="F15" s="21">
        <f>('Kubiņu masa'!F18-'Kubiņu masa'!$D18)/'Kubiņu masa'!$D18*100</f>
        <v>3.4120734908136456</v>
      </c>
      <c r="G15" s="21">
        <f>('Kubiņu masa'!G18-'Kubiņu masa'!$D18)/'Kubiņu masa'!$D18*100</f>
        <v>3.9370078740157459</v>
      </c>
      <c r="H15" s="21">
        <f>('Kubiņu masa'!H18-'Kubiņu masa'!$D18)/'Kubiņu masa'!$D18*100</f>
        <v>3.9370078740157459</v>
      </c>
      <c r="I15" s="21">
        <f>('Kubiņu masa'!I18-'Kubiņu masa'!$D18)/'Kubiņu masa'!$D18*100</f>
        <v>5.1181102362204678</v>
      </c>
      <c r="J15" s="21">
        <f>('Kubiņu masa'!J18-'Kubiņu masa'!$D18)/'Kubiņu masa'!$D18*100</f>
        <v>5.1181102362204678</v>
      </c>
      <c r="K15" s="21">
        <f>('Kubiņu masa'!K18-'Kubiņu masa'!$D18)/'Kubiņu masa'!$D18*100</f>
        <v>6.8241469816273019</v>
      </c>
      <c r="L15" s="21">
        <f>('Kubiņu masa'!L18-'Kubiņu masa'!$D18)/'Kubiņu masa'!$D18*100</f>
        <v>7.0866141732283463</v>
      </c>
      <c r="M15" s="21">
        <f>('Kubiņu masa'!M18-'Kubiņu masa'!$D18)/'Kubiņu masa'!$D18*100</f>
        <v>7.0866141732283463</v>
      </c>
      <c r="N15" s="21">
        <f>('Kubiņu masa'!N18-'Kubiņu masa'!$D18)/'Kubiņu masa'!$D18*100</f>
        <v>10.236220472440948</v>
      </c>
      <c r="O15" s="21">
        <f>('Kubiņu masa'!O18-'Kubiņu masa'!$D18)/'Kubiņu masa'!$D18*100</f>
        <v>10.104986876640426</v>
      </c>
      <c r="P15" s="22">
        <f>('Kubiņu masa'!P18-'Kubiņu masa'!$D18)/'Kubiņu masa'!$D18*100</f>
        <v>10.36745406824147</v>
      </c>
      <c r="Q15" s="21" t="s">
        <v>17</v>
      </c>
      <c r="R15" s="23"/>
      <c r="S15" s="23"/>
      <c r="T15" s="23"/>
      <c r="U15" s="23"/>
    </row>
    <row r="16" spans="1:21" ht="14.5" x14ac:dyDescent="0.35">
      <c r="A16" s="49"/>
      <c r="B16" s="7"/>
      <c r="C16" s="7">
        <v>91</v>
      </c>
      <c r="D16" s="21">
        <f>('Kubiņu masa'!D19-'Kubiņu masa'!$D19)/'Kubiņu masa'!$D19*100</f>
        <v>0</v>
      </c>
      <c r="E16" s="21">
        <f>('Kubiņu masa'!E19-'Kubiņu masa'!$D19)/'Kubiņu masa'!$D19*100</f>
        <v>3.1969309462915603</v>
      </c>
      <c r="F16" s="21">
        <f>('Kubiņu masa'!F19-'Kubiņu masa'!$D19)/'Kubiņu masa'!$D19*100</f>
        <v>3.1969309462915603</v>
      </c>
      <c r="G16" s="21">
        <f>('Kubiņu masa'!G19-'Kubiņu masa'!$D19)/'Kubiņu masa'!$D19*100</f>
        <v>3.8363171355498582</v>
      </c>
      <c r="H16" s="21">
        <f>('Kubiņu masa'!H19-'Kubiņu masa'!$D19)/'Kubiņu masa'!$D19*100</f>
        <v>3.8363171355498582</v>
      </c>
      <c r="I16" s="21">
        <f>('Kubiņu masa'!I19-'Kubiņu masa'!$D19)/'Kubiņu masa'!$D19*100</f>
        <v>4.9872122762148408</v>
      </c>
      <c r="J16" s="21">
        <f>('Kubiņu masa'!J19-'Kubiņu masa'!$D19)/'Kubiņu masa'!$D19*100</f>
        <v>4.9872122762148408</v>
      </c>
      <c r="K16" s="21">
        <f>('Kubiņu masa'!K19-'Kubiņu masa'!$D19)/'Kubiņu masa'!$D19*100</f>
        <v>6.6496163682864387</v>
      </c>
      <c r="L16" s="21">
        <f>('Kubiņu masa'!L19-'Kubiņu masa'!$D19)/'Kubiņu masa'!$D19*100</f>
        <v>7.0332480818414185</v>
      </c>
      <c r="M16" s="21">
        <f>('Kubiņu masa'!M19-'Kubiņu masa'!$D19)/'Kubiņu masa'!$D19*100</f>
        <v>6.9053708439897585</v>
      </c>
      <c r="N16" s="21">
        <f>('Kubiņu masa'!N19-'Kubiņu masa'!$D19)/'Kubiņu masa'!$D19*100</f>
        <v>9.8465473145780003</v>
      </c>
      <c r="O16" s="21">
        <f>('Kubiņu masa'!O19-'Kubiņu masa'!$D19)/'Kubiņu masa'!$D19*100</f>
        <v>9.9744245524296584</v>
      </c>
      <c r="P16" s="22">
        <f>('Kubiņu masa'!P19-'Kubiņu masa'!$D19)/'Kubiņu masa'!$D19*100</f>
        <v>10.102301790281318</v>
      </c>
      <c r="Q16" s="21" t="s">
        <v>17</v>
      </c>
      <c r="R16" s="23"/>
      <c r="S16" s="23"/>
      <c r="T16" s="23"/>
      <c r="U16" s="23"/>
    </row>
    <row r="17" spans="1:21" ht="15.5" x14ac:dyDescent="0.35">
      <c r="A17" s="49"/>
      <c r="B17" s="7" t="s">
        <v>18</v>
      </c>
      <c r="C17" s="28">
        <v>103</v>
      </c>
      <c r="D17" s="21">
        <f>('Kubiņu masa'!D20-'Kubiņu masa'!$D20)/'Kubiņu masa'!$D20*100</f>
        <v>0</v>
      </c>
      <c r="E17" s="21">
        <f>('Kubiņu masa'!E20-'Kubiņu masa'!$D20)/'Kubiņu masa'!$D20*100</f>
        <v>2.8571428571428541</v>
      </c>
      <c r="F17" s="21">
        <f>('Kubiņu masa'!F20-'Kubiņu masa'!$D20)/'Kubiņu masa'!$D20*100</f>
        <v>2.8571428571428541</v>
      </c>
      <c r="G17" s="21">
        <f>('Kubiņu masa'!G20-'Kubiņu masa'!$D20)/'Kubiņu masa'!$D20*100</f>
        <v>3.6363636363636398</v>
      </c>
      <c r="H17" s="21">
        <f>('Kubiņu masa'!H20-'Kubiņu masa'!$D20)/'Kubiņu masa'!$D20*100</f>
        <v>3.6363636363636398</v>
      </c>
      <c r="I17" s="21">
        <f>('Kubiņu masa'!I20-'Kubiņu masa'!$D20)/'Kubiņu masa'!$D20*100</f>
        <v>4.9350649350649336</v>
      </c>
      <c r="J17" s="21">
        <f>('Kubiņu masa'!J20-'Kubiņu masa'!$D20)/'Kubiņu masa'!$D20*100</f>
        <v>4.9350649350649336</v>
      </c>
      <c r="K17" s="21">
        <f>('Kubiņu masa'!K20-'Kubiņu masa'!$D20)/'Kubiņu masa'!$D20*100</f>
        <v>7.2727272727272672</v>
      </c>
      <c r="L17" s="21">
        <f>('Kubiņu masa'!L20-'Kubiņu masa'!$D20)/'Kubiņu masa'!$D20*100</f>
        <v>7.2727272727272672</v>
      </c>
      <c r="M17" s="21">
        <f>('Kubiņu masa'!M20-'Kubiņu masa'!$D20)/'Kubiņu masa'!$D20*100</f>
        <v>7.2727272727272672</v>
      </c>
      <c r="N17" s="21">
        <f>('Kubiņu masa'!N20-'Kubiņu masa'!$D20)/'Kubiņu masa'!$D20*100</f>
        <v>11.948051948051935</v>
      </c>
      <c r="O17" s="21">
        <f>('Kubiņu masa'!O20-'Kubiņu masa'!$D20)/'Kubiņu masa'!$D20*100</f>
        <v>11.688311688311682</v>
      </c>
      <c r="P17" s="22">
        <f>('Kubiņu masa'!P20-'Kubiņu masa'!$D20)/'Kubiņu masa'!$D20*100</f>
        <v>11.948051948051935</v>
      </c>
      <c r="Q17" s="21" t="s">
        <v>12</v>
      </c>
      <c r="R17" s="23"/>
      <c r="S17" s="23"/>
      <c r="T17" s="23"/>
      <c r="U17" s="23"/>
    </row>
    <row r="18" spans="1:21" ht="14.5" x14ac:dyDescent="0.35">
      <c r="A18" s="49"/>
      <c r="B18" s="7"/>
      <c r="C18" s="26">
        <v>283</v>
      </c>
      <c r="D18" s="21">
        <f>('Kubiņu masa'!D21-'Kubiņu masa'!$D21)/'Kubiņu masa'!$D21*100</f>
        <v>0</v>
      </c>
      <c r="E18" s="21">
        <f>('Kubiņu masa'!E21-'Kubiņu masa'!$D21)/'Kubiņu masa'!$D21*100</f>
        <v>3.2581453634085182</v>
      </c>
      <c r="F18" s="21">
        <f>('Kubiņu masa'!F21-'Kubiņu masa'!$D21)/'Kubiņu masa'!$D21*100</f>
        <v>3.0075187969924837</v>
      </c>
      <c r="G18" s="21">
        <f>('Kubiņu masa'!G21-'Kubiņu masa'!$D21)/'Kubiņu masa'!$D21*100</f>
        <v>3.7593984962405882</v>
      </c>
      <c r="H18" s="21">
        <f>('Kubiņu masa'!H21-'Kubiņu masa'!$D21)/'Kubiņu masa'!$D21*100</f>
        <v>3.7593984962405882</v>
      </c>
      <c r="I18" s="21">
        <f>('Kubiņu masa'!I21-'Kubiņu masa'!$D21)/'Kubiņu masa'!$D21*100</f>
        <v>5.0125313283208062</v>
      </c>
      <c r="J18" s="21">
        <f>('Kubiņu masa'!J21-'Kubiņu masa'!$D21)/'Kubiņu masa'!$D21*100</f>
        <v>5.2631578947368407</v>
      </c>
      <c r="K18" s="21">
        <f>('Kubiņu masa'!K21-'Kubiņu masa'!$D21)/'Kubiņu masa'!$D21*100</f>
        <v>7.5187969924811986</v>
      </c>
      <c r="L18" s="21">
        <f>('Kubiņu masa'!L21-'Kubiņu masa'!$D21)/'Kubiņu masa'!$D21*100</f>
        <v>7.5187969924811986</v>
      </c>
      <c r="M18" s="21">
        <f>('Kubiņu masa'!M21-'Kubiņu masa'!$D21)/'Kubiņu masa'!$D21*100</f>
        <v>7.5187969924811986</v>
      </c>
      <c r="N18" s="21">
        <f>('Kubiņu masa'!N21-'Kubiņu masa'!$D21)/'Kubiņu masa'!$D21*100</f>
        <v>12.280701754385969</v>
      </c>
      <c r="O18" s="21">
        <f>('Kubiņu masa'!O21-'Kubiņu masa'!$D21)/'Kubiņu masa'!$D21*100</f>
        <v>12.280701754385969</v>
      </c>
      <c r="P18" s="22">
        <f>('Kubiņu masa'!P21-'Kubiņu masa'!$D21)/'Kubiņu masa'!$D21*100</f>
        <v>12.531328320802004</v>
      </c>
      <c r="Q18" s="21" t="s">
        <v>12</v>
      </c>
      <c r="R18" s="23"/>
      <c r="S18" s="23"/>
      <c r="T18" s="23"/>
      <c r="U18" s="23"/>
    </row>
    <row r="19" spans="1:21" ht="15.75" customHeight="1" x14ac:dyDescent="0.35">
      <c r="A19" s="49"/>
      <c r="B19" s="7"/>
      <c r="C19" s="26">
        <v>323</v>
      </c>
      <c r="D19" s="21">
        <f>('Kubiņu masa'!D22-'Kubiņu masa'!$D22)/'Kubiņu masa'!$D22*100</f>
        <v>0</v>
      </c>
      <c r="E19" s="21">
        <f>('Kubiņu masa'!E22-'Kubiņu masa'!$D22)/'Kubiņu masa'!$D22*100</f>
        <v>3.0878859857482159</v>
      </c>
      <c r="F19" s="21">
        <f>('Kubiņu masa'!F22-'Kubiņu masa'!$D22)/'Kubiņu masa'!$D22*100</f>
        <v>3.0878859857482159</v>
      </c>
      <c r="G19" s="21">
        <f>('Kubiņu masa'!G22-'Kubiņu masa'!$D22)/'Kubiņu masa'!$D22*100</f>
        <v>3.3254156769596124</v>
      </c>
      <c r="H19" s="21">
        <f>('Kubiņu masa'!H22-'Kubiņu masa'!$D22)/'Kubiņu masa'!$D22*100</f>
        <v>3.3254156769596124</v>
      </c>
      <c r="I19" s="21">
        <f>('Kubiņu masa'!I22-'Kubiņu masa'!$D22)/'Kubiņu masa'!$D22*100</f>
        <v>4.5130641330166368</v>
      </c>
      <c r="J19" s="21">
        <f>('Kubiņu masa'!J22-'Kubiņu masa'!$D22)/'Kubiņu masa'!$D22*100</f>
        <v>4.7505938242280328</v>
      </c>
      <c r="K19" s="21">
        <f>('Kubiņu masa'!K22-'Kubiņu masa'!$D22)/'Kubiņu masa'!$D22*100</f>
        <v>6.8883610451306421</v>
      </c>
      <c r="L19" s="21">
        <f>('Kubiņu masa'!L22-'Kubiņu masa'!$D22)/'Kubiņu masa'!$D22*100</f>
        <v>6.8883610451306421</v>
      </c>
      <c r="M19" s="21">
        <f>('Kubiņu masa'!M22-'Kubiņu masa'!$D22)/'Kubiņu masa'!$D22*100</f>
        <v>6.8883610451306421</v>
      </c>
      <c r="N19" s="21">
        <f>('Kubiņu masa'!N22-'Kubiņu masa'!$D22)/'Kubiņu masa'!$D22*100</f>
        <v>11.401425178147278</v>
      </c>
      <c r="O19" s="21">
        <f>('Kubiņu masa'!O22-'Kubiņu masa'!$D22)/'Kubiņu masa'!$D22*100</f>
        <v>11.401425178147278</v>
      </c>
      <c r="P19" s="22">
        <f>('Kubiņu masa'!P22-'Kubiņu masa'!$D22)/'Kubiņu masa'!$D22*100</f>
        <v>11.638954869358676</v>
      </c>
      <c r="Q19" s="21" t="s">
        <v>12</v>
      </c>
      <c r="R19" s="23"/>
      <c r="S19" s="23"/>
      <c r="T19" s="23"/>
      <c r="U19" s="23"/>
    </row>
    <row r="20" spans="1:21" ht="15.75" customHeight="1" x14ac:dyDescent="0.35">
      <c r="A20" s="49"/>
      <c r="B20" s="7" t="s">
        <v>19</v>
      </c>
      <c r="C20" s="26">
        <v>203</v>
      </c>
      <c r="D20" s="21">
        <f>('Kubiņu masa'!D23-'Kubiņu masa'!$D23)/'Kubiņu masa'!$D23*100</f>
        <v>0</v>
      </c>
      <c r="E20" s="21">
        <f>('Kubiņu masa'!E23-'Kubiņu masa'!$D23)/'Kubiņu masa'!$D23*100</f>
        <v>3.2064128256513049</v>
      </c>
      <c r="F20" s="21">
        <f>('Kubiņu masa'!F23-'Kubiņu masa'!$D23)/'Kubiņu masa'!$D23*100</f>
        <v>3.2064128256513049</v>
      </c>
      <c r="G20" s="21">
        <f>('Kubiņu masa'!G23-'Kubiņu masa'!$D23)/'Kubiņu masa'!$D23*100</f>
        <v>3.6072144288577093</v>
      </c>
      <c r="H20" s="21">
        <f>('Kubiņu masa'!H23-'Kubiņu masa'!$D23)/'Kubiņu masa'!$D23*100</f>
        <v>3.6072144288577093</v>
      </c>
      <c r="I20" s="21">
        <f>('Kubiņu masa'!I23-'Kubiņu masa'!$D23)/'Kubiņu masa'!$D23*100</f>
        <v>4.6092184368737383</v>
      </c>
      <c r="J20" s="21">
        <f>('Kubiņu masa'!J23-'Kubiņu masa'!$D23)/'Kubiņu masa'!$D23*100</f>
        <v>4.8096192384769578</v>
      </c>
      <c r="K20" s="21">
        <f>('Kubiņu masa'!K23-'Kubiņu masa'!$D23)/'Kubiņu masa'!$D23*100</f>
        <v>6.8136272545090151</v>
      </c>
      <c r="L20" s="21">
        <f>('Kubiņu masa'!L23-'Kubiņu masa'!$D23)/'Kubiņu masa'!$D23*100</f>
        <v>6.8136272545090151</v>
      </c>
      <c r="M20" s="21">
        <f>('Kubiņu masa'!M23-'Kubiņu masa'!$D23)/'Kubiņu masa'!$D23*100</f>
        <v>6.8136272545090151</v>
      </c>
      <c r="N20" s="21">
        <f>('Kubiņu masa'!N23-'Kubiņu masa'!$D23)/'Kubiņu masa'!$D23*100</f>
        <v>10.420841683366724</v>
      </c>
      <c r="O20" s="21">
        <f>('Kubiņu masa'!O23-'Kubiņu masa'!$D23)/'Kubiņu masa'!$D23*100</f>
        <v>10.420841683366724</v>
      </c>
      <c r="P20" s="22">
        <f>('Kubiņu masa'!P23-'Kubiņu masa'!$D23)/'Kubiņu masa'!$D23*100</f>
        <v>10.621242484969926</v>
      </c>
      <c r="Q20" s="21" t="s">
        <v>12</v>
      </c>
      <c r="R20" s="23"/>
      <c r="S20" s="23"/>
      <c r="T20" s="23"/>
      <c r="U20" s="23"/>
    </row>
    <row r="21" spans="1:21" ht="15.75" customHeight="1" x14ac:dyDescent="0.35">
      <c r="A21" s="49"/>
      <c r="B21" s="7"/>
      <c r="C21" s="26">
        <v>272</v>
      </c>
      <c r="D21" s="21">
        <f>('Kubiņu masa'!D24-'Kubiņu masa'!$D24)/'Kubiņu masa'!$D24*100</f>
        <v>0</v>
      </c>
      <c r="E21" s="21">
        <f>('Kubiņu masa'!E24-'Kubiņu masa'!$D24)/'Kubiņu masa'!$D24*100</f>
        <v>3.4552845528455269</v>
      </c>
      <c r="F21" s="21">
        <f>('Kubiņu masa'!F24-'Kubiņu masa'!$D24)/'Kubiņu masa'!$D24*100</f>
        <v>3.2520325203252063</v>
      </c>
      <c r="G21" s="21">
        <f>('Kubiņu masa'!G24-'Kubiņu masa'!$D24)/'Kubiņu masa'!$D24*100</f>
        <v>3.8617886178861869</v>
      </c>
      <c r="H21" s="21">
        <f>('Kubiņu masa'!H24-'Kubiņu masa'!$D24)/'Kubiņu masa'!$D24*100</f>
        <v>3.8617886178861869</v>
      </c>
      <c r="I21" s="21">
        <f>('Kubiņu masa'!I24-'Kubiņu masa'!$D24)/'Kubiņu masa'!$D24*100</f>
        <v>5.0813008130081299</v>
      </c>
      <c r="J21" s="21">
        <f>('Kubiņu masa'!J24-'Kubiņu masa'!$D24)/'Kubiņu masa'!$D24*100</f>
        <v>5.0813008130081299</v>
      </c>
      <c r="K21" s="21">
        <f>('Kubiņu masa'!K24-'Kubiņu masa'!$D24)/'Kubiņu masa'!$D24*100</f>
        <v>7.1138211382113754</v>
      </c>
      <c r="L21" s="21">
        <f>('Kubiņu masa'!L24-'Kubiņu masa'!$D24)/'Kubiņu masa'!$D24*100</f>
        <v>7.1138211382113754</v>
      </c>
      <c r="M21" s="21">
        <f>('Kubiņu masa'!M24-'Kubiņu masa'!$D24)/'Kubiņu masa'!$D24*100</f>
        <v>7.1138211382113754</v>
      </c>
      <c r="N21" s="21">
        <f>('Kubiņu masa'!N24-'Kubiņu masa'!$D24)/'Kubiņu masa'!$D24*100</f>
        <v>10.772357723577242</v>
      </c>
      <c r="O21" s="21">
        <f>('Kubiņu masa'!O24-'Kubiņu masa'!$D24)/'Kubiņu masa'!$D24*100</f>
        <v>10.975609756097562</v>
      </c>
      <c r="P21" s="22">
        <f>('Kubiņu masa'!P24-'Kubiņu masa'!$D24)/'Kubiņu masa'!$D24*100</f>
        <v>10.975609756097562</v>
      </c>
      <c r="Q21" s="21" t="s">
        <v>12</v>
      </c>
      <c r="R21" s="23"/>
      <c r="S21" s="23"/>
      <c r="T21" s="23"/>
      <c r="U21" s="23"/>
    </row>
    <row r="22" spans="1:21" ht="15.75" customHeight="1" x14ac:dyDescent="0.35">
      <c r="A22" s="49"/>
      <c r="B22" s="7"/>
      <c r="C22" s="26">
        <v>266</v>
      </c>
      <c r="D22" s="21">
        <f>('Kubiņu masa'!D25-'Kubiņu masa'!$D25)/'Kubiņu masa'!$D25*100</f>
        <v>0</v>
      </c>
      <c r="E22" s="21">
        <f>('Kubiņu masa'!E25-'Kubiņu masa'!$D25)/'Kubiņu masa'!$D25*100</f>
        <v>3.1936127744511009</v>
      </c>
      <c r="F22" s="21">
        <f>('Kubiņu masa'!F25-'Kubiņu masa'!$D25)/'Kubiņu masa'!$D25*100</f>
        <v>3.1936127744511009</v>
      </c>
      <c r="G22" s="21">
        <f>('Kubiņu masa'!G25-'Kubiņu masa'!$D25)/'Kubiņu masa'!$D25*100</f>
        <v>3.7924151696606865</v>
      </c>
      <c r="H22" s="21">
        <f>('Kubiņu masa'!H25-'Kubiņu masa'!$D25)/'Kubiņu masa'!$D25*100</f>
        <v>3.7924151696606865</v>
      </c>
      <c r="I22" s="21">
        <f>('Kubiņu masa'!I25-'Kubiņu masa'!$D25)/'Kubiņu masa'!$D25*100</f>
        <v>4.7904191616766507</v>
      </c>
      <c r="J22" s="21">
        <f>('Kubiņu masa'!J25-'Kubiņu masa'!$D25)/'Kubiņu masa'!$D25*100</f>
        <v>4.9900199600798407</v>
      </c>
      <c r="K22" s="21">
        <f>('Kubiņu masa'!K25-'Kubiņu masa'!$D25)/'Kubiņu masa'!$D25*100</f>
        <v>6.7864271457085801</v>
      </c>
      <c r="L22" s="21">
        <f>('Kubiņu masa'!L25-'Kubiņu masa'!$D25)/'Kubiņu masa'!$D25*100</f>
        <v>6.9860279441117878</v>
      </c>
      <c r="M22" s="21">
        <f>('Kubiņu masa'!M25-'Kubiņu masa'!$D25)/'Kubiņu masa'!$D25*100</f>
        <v>6.9860279441117878</v>
      </c>
      <c r="N22" s="21">
        <f>('Kubiņu masa'!N25-'Kubiņu masa'!$D25)/'Kubiņu masa'!$D25*100</f>
        <v>10.578842315369267</v>
      </c>
      <c r="O22" s="21">
        <f>('Kubiņu masa'!O25-'Kubiņu masa'!$D25)/'Kubiņu masa'!$D25*100</f>
        <v>10.578842315369267</v>
      </c>
      <c r="P22" s="22">
        <f>('Kubiņu masa'!P25-'Kubiņu masa'!$D25)/'Kubiņu masa'!$D25*100</f>
        <v>10.578842315369267</v>
      </c>
      <c r="Q22" s="21" t="s">
        <v>12</v>
      </c>
      <c r="R22" s="23"/>
      <c r="S22" s="23"/>
      <c r="T22" s="23"/>
      <c r="U22" s="23"/>
    </row>
    <row r="23" spans="1:21" ht="15.75" customHeight="1" x14ac:dyDescent="0.35">
      <c r="A23" s="49"/>
      <c r="B23" s="7" t="s">
        <v>20</v>
      </c>
      <c r="C23" s="26">
        <v>168</v>
      </c>
      <c r="D23" s="21">
        <f>('Kubiņu masa'!D26-'Kubiņu masa'!$D26)/'Kubiņu masa'!$D26*100</f>
        <v>0</v>
      </c>
      <c r="E23" s="21">
        <f>('Kubiņu masa'!E26-'Kubiņu masa'!$D26)/'Kubiņu masa'!$D26*100</f>
        <v>3.6269430051813467</v>
      </c>
      <c r="F23" s="21">
        <f>('Kubiņu masa'!F26-'Kubiņu masa'!$D26)/'Kubiņu masa'!$D26*100</f>
        <v>3.6269430051813467</v>
      </c>
      <c r="G23" s="21">
        <f>('Kubiņu masa'!G26-'Kubiņu masa'!$D26)/'Kubiņu masa'!$D26*100</f>
        <v>4.3177892918825558</v>
      </c>
      <c r="H23" s="21">
        <f>('Kubiņu masa'!H26-'Kubiņu masa'!$D26)/'Kubiņu masa'!$D26*100</f>
        <v>4.3177892918825558</v>
      </c>
      <c r="I23" s="21">
        <f>('Kubiņu masa'!I26-'Kubiņu masa'!$D26)/'Kubiņu masa'!$D26*100</f>
        <v>5.3540587219343632</v>
      </c>
      <c r="J23" s="21">
        <f>('Kubiņu masa'!J26-'Kubiņu masa'!$D26)/'Kubiņu masa'!$D26*100</f>
        <v>5.5267702936096761</v>
      </c>
      <c r="K23" s="21">
        <f>('Kubiņu masa'!K26-'Kubiņu masa'!$D26)/'Kubiņu masa'!$D26*100</f>
        <v>7.599309153713306</v>
      </c>
      <c r="L23" s="21">
        <f>('Kubiņu masa'!L26-'Kubiņu masa'!$D26)/'Kubiņu masa'!$D26*100</f>
        <v>7.7720207253886038</v>
      </c>
      <c r="M23" s="21">
        <f>('Kubiņu masa'!M26-'Kubiņu masa'!$D26)/'Kubiņu masa'!$D26*100</f>
        <v>7.7720207253886038</v>
      </c>
      <c r="N23" s="21">
        <f>('Kubiņu masa'!N26-'Kubiņu masa'!$D26)/'Kubiņu masa'!$D26*100</f>
        <v>11.744386873920549</v>
      </c>
      <c r="O23" s="21">
        <f>('Kubiņu masa'!O26-'Kubiņu masa'!$D26)/'Kubiņu masa'!$D26*100</f>
        <v>11.744386873920549</v>
      </c>
      <c r="P23" s="22">
        <f>('Kubiņu masa'!P26-'Kubiņu masa'!$D26)/'Kubiņu masa'!$D26*100</f>
        <v>11.744386873920549</v>
      </c>
      <c r="Q23" s="21" t="s">
        <v>12</v>
      </c>
      <c r="R23" s="23"/>
      <c r="S23" s="23"/>
      <c r="T23" s="23"/>
      <c r="U23" s="23"/>
    </row>
    <row r="24" spans="1:21" ht="15.75" customHeight="1" x14ac:dyDescent="0.35">
      <c r="A24" s="49"/>
      <c r="B24" s="7"/>
      <c r="C24" s="26">
        <v>343</v>
      </c>
      <c r="D24" s="21">
        <f>('Kubiņu masa'!D27-'Kubiņu masa'!$D27)/'Kubiņu masa'!$D27*100</f>
        <v>0</v>
      </c>
      <c r="E24" s="21">
        <f>('Kubiņu masa'!E27-'Kubiņu masa'!$D27)/'Kubiņu masa'!$D27*100</f>
        <v>3.6423841059602604</v>
      </c>
      <c r="F24" s="21">
        <f>('Kubiņu masa'!F27-'Kubiņu masa'!$D27)/'Kubiņu masa'!$D27*100</f>
        <v>3.6423841059602604</v>
      </c>
      <c r="G24" s="21">
        <f>('Kubiņu masa'!G27-'Kubiņu masa'!$D27)/'Kubiņu masa'!$D27*100</f>
        <v>4.3046357615894006</v>
      </c>
      <c r="H24" s="21">
        <f>('Kubiņu masa'!H27-'Kubiņu masa'!$D27)/'Kubiņu masa'!$D27*100</f>
        <v>4.3046357615894006</v>
      </c>
      <c r="I24" s="21">
        <f>('Kubiņu masa'!I27-'Kubiņu masa'!$D27)/'Kubiņu masa'!$D27*100</f>
        <v>5.6291390728476793</v>
      </c>
      <c r="J24" s="21">
        <f>('Kubiņu masa'!J27-'Kubiņu masa'!$D27)/'Kubiņu masa'!$D27*100</f>
        <v>5.7947019867549612</v>
      </c>
      <c r="K24" s="21">
        <f>('Kubiņu masa'!K27-'Kubiņu masa'!$D27)/'Kubiņu masa'!$D27*100</f>
        <v>7.9470198675496606</v>
      </c>
      <c r="L24" s="21">
        <f>('Kubiņu masa'!L27-'Kubiņu masa'!$D27)/'Kubiņu masa'!$D27*100</f>
        <v>8.1125827814569575</v>
      </c>
      <c r="M24" s="21">
        <f>('Kubiņu masa'!M27-'Kubiņu masa'!$D27)/'Kubiņu masa'!$D27*100</f>
        <v>8.1125827814569575</v>
      </c>
      <c r="N24" s="21">
        <f>('Kubiņu masa'!N27-'Kubiņu masa'!$D27)/'Kubiņu masa'!$D27*100</f>
        <v>12.417218543046356</v>
      </c>
      <c r="O24" s="21">
        <f>('Kubiņu masa'!O27-'Kubiņu masa'!$D27)/'Kubiņu masa'!$D27*100</f>
        <v>12.417218543046356</v>
      </c>
      <c r="P24" s="22">
        <f>('Kubiņu masa'!P27-'Kubiņu masa'!$D27)/'Kubiņu masa'!$D27*100</f>
        <v>12.417218543046356</v>
      </c>
      <c r="Q24" s="21" t="s">
        <v>12</v>
      </c>
      <c r="R24" s="23"/>
      <c r="S24" s="23"/>
      <c r="T24" s="23"/>
      <c r="U24" s="23"/>
    </row>
    <row r="25" spans="1:21" ht="15.75" customHeight="1" x14ac:dyDescent="0.35">
      <c r="A25" s="49"/>
      <c r="B25" s="7"/>
      <c r="C25" s="26">
        <v>58</v>
      </c>
      <c r="D25" s="21">
        <f>('Kubiņu masa'!D28-'Kubiņu masa'!$D28)/'Kubiņu masa'!$D28*100</f>
        <v>0</v>
      </c>
      <c r="E25" s="21">
        <f>('Kubiņu masa'!E28-'Kubiņu masa'!$D28)/'Kubiņu masa'!$D28*100</f>
        <v>3.5058430717863098</v>
      </c>
      <c r="F25" s="21">
        <f>('Kubiņu masa'!F28-'Kubiņu masa'!$D28)/'Kubiņu masa'!$D28*100</f>
        <v>3.5058430717863098</v>
      </c>
      <c r="G25" s="21">
        <f>('Kubiņu masa'!G28-'Kubiņu masa'!$D28)/'Kubiņu masa'!$D28*100</f>
        <v>4.1736227045075127</v>
      </c>
      <c r="H25" s="21">
        <f>('Kubiņu masa'!H28-'Kubiņu masa'!$D28)/'Kubiņu masa'!$D28*100</f>
        <v>4.1736227045075127</v>
      </c>
      <c r="I25" s="21">
        <f>('Kubiņu masa'!I28-'Kubiņu masa'!$D28)/'Kubiņu masa'!$D28*100</f>
        <v>5.5091819699499176</v>
      </c>
      <c r="J25" s="21">
        <f>('Kubiņu masa'!J28-'Kubiņu masa'!$D28)/'Kubiņu masa'!$D28*100</f>
        <v>5.6761268781302148</v>
      </c>
      <c r="K25" s="21">
        <f>('Kubiņu masa'!K28-'Kubiņu masa'!$D28)/'Kubiņu masa'!$D28*100</f>
        <v>7.8464106844741188</v>
      </c>
      <c r="L25" s="21">
        <f>('Kubiņu masa'!L28-'Kubiņu masa'!$D28)/'Kubiņu masa'!$D28*100</f>
        <v>8.0133555926544151</v>
      </c>
      <c r="M25" s="21">
        <f>('Kubiņu masa'!M28-'Kubiņu masa'!$D28)/'Kubiņu masa'!$D28*100</f>
        <v>8.0133555926544151</v>
      </c>
      <c r="N25" s="21">
        <f>('Kubiņu masa'!N28-'Kubiņu masa'!$D28)/'Kubiņu masa'!$D28*100</f>
        <v>12.353923205342241</v>
      </c>
      <c r="O25" s="21">
        <f>('Kubiņu masa'!O28-'Kubiņu masa'!$D28)/'Kubiņu masa'!$D28*100</f>
        <v>12.353923205342241</v>
      </c>
      <c r="P25" s="22">
        <f>('Kubiņu masa'!P28-'Kubiņu masa'!$D28)/'Kubiņu masa'!$D28*100</f>
        <v>12.520868113522537</v>
      </c>
      <c r="Q25" s="21" t="s">
        <v>12</v>
      </c>
      <c r="R25" s="23"/>
      <c r="S25" s="23"/>
      <c r="T25" s="23"/>
      <c r="U25" s="23"/>
    </row>
    <row r="26" spans="1:21" ht="15.75" customHeight="1" x14ac:dyDescent="0.35">
      <c r="A26" s="49"/>
      <c r="B26" s="7" t="s">
        <v>21</v>
      </c>
      <c r="C26" s="26">
        <v>187</v>
      </c>
      <c r="D26" s="21">
        <f>('Kubiņu masa'!D29-'Kubiņu masa'!$D29)/'Kubiņu masa'!$D29*100</f>
        <v>0</v>
      </c>
      <c r="E26" s="21">
        <f>('Kubiņu masa'!E29-'Kubiņu masa'!$D29)/'Kubiņu masa'!$D29*100</f>
        <v>2.8497409326424954</v>
      </c>
      <c r="F26" s="21">
        <f>('Kubiņu masa'!F29-'Kubiņu masa'!$D29)/'Kubiņu masa'!$D29*100</f>
        <v>2.8497409326424954</v>
      </c>
      <c r="G26" s="21">
        <f>('Kubiņu masa'!G29-'Kubiņu masa'!$D29)/'Kubiņu masa'!$D29*100</f>
        <v>3.3678756476684031</v>
      </c>
      <c r="H26" s="21">
        <f>('Kubiņu masa'!H29-'Kubiņu masa'!$D29)/'Kubiņu masa'!$D29*100</f>
        <v>3.3678756476684031</v>
      </c>
      <c r="I26" s="21">
        <f>('Kubiņu masa'!I29-'Kubiņu masa'!$D29)/'Kubiņu masa'!$D29*100</f>
        <v>4.4041450777202176</v>
      </c>
      <c r="J26" s="21">
        <f>('Kubiņu masa'!J29-'Kubiņu masa'!$D29)/'Kubiņu masa'!$D29*100</f>
        <v>4.6632124352331648</v>
      </c>
      <c r="K26" s="21">
        <f>('Kubiņu masa'!K29-'Kubiņu masa'!$D29)/'Kubiņu masa'!$D29*100</f>
        <v>6.4766839378238465</v>
      </c>
      <c r="L26" s="21">
        <f>('Kubiņu masa'!L29-'Kubiņu masa'!$D29)/'Kubiņu masa'!$D29*100</f>
        <v>6.4766839378238465</v>
      </c>
      <c r="M26" s="21">
        <f>('Kubiņu masa'!M29-'Kubiņu masa'!$D29)/'Kubiņu masa'!$D29*100</f>
        <v>6.4766839378238465</v>
      </c>
      <c r="N26" s="21">
        <f>('Kubiņu masa'!N29-'Kubiņu masa'!$D29)/'Kubiņu masa'!$D29*100</f>
        <v>10.103626943005185</v>
      </c>
      <c r="O26" s="21">
        <f>('Kubiņu masa'!O29-'Kubiņu masa'!$D29)/'Kubiņu masa'!$D29*100</f>
        <v>9.8445595854922363</v>
      </c>
      <c r="P26" s="22">
        <f>('Kubiņu masa'!P29-'Kubiņu masa'!$D29)/'Kubiņu masa'!$D29*100</f>
        <v>10.103626943005185</v>
      </c>
      <c r="Q26" s="21" t="s">
        <v>12</v>
      </c>
      <c r="R26" s="23"/>
      <c r="S26" s="23"/>
      <c r="T26" s="23"/>
      <c r="U26" s="23"/>
    </row>
    <row r="27" spans="1:21" ht="15.75" customHeight="1" x14ac:dyDescent="0.35">
      <c r="A27" s="49"/>
      <c r="B27" s="7"/>
      <c r="C27" s="26">
        <v>248</v>
      </c>
      <c r="D27" s="21">
        <f>('Kubiņu masa'!D30-'Kubiņu masa'!$D30)/'Kubiņu masa'!$D30*100</f>
        <v>0</v>
      </c>
      <c r="E27" s="21">
        <f>('Kubiņu masa'!E30-'Kubiņu masa'!$D30)/'Kubiņu masa'!$D30*100</f>
        <v>2.8776978417266212</v>
      </c>
      <c r="F27" s="21">
        <f>('Kubiņu masa'!F30-'Kubiņu masa'!$D30)/'Kubiņu masa'!$D30*100</f>
        <v>2.8776978417266212</v>
      </c>
      <c r="G27" s="21">
        <f>('Kubiņu masa'!G30-'Kubiņu masa'!$D30)/'Kubiņu masa'!$D30*100</f>
        <v>3.5971223021582821</v>
      </c>
      <c r="H27" s="21">
        <f>('Kubiņu masa'!H30-'Kubiņu masa'!$D30)/'Kubiņu masa'!$D30*100</f>
        <v>3.5971223021582821</v>
      </c>
      <c r="I27" s="21">
        <f>('Kubiņu masa'!I30-'Kubiņu masa'!$D30)/'Kubiņu masa'!$D30*100</f>
        <v>4.5563549160671553</v>
      </c>
      <c r="J27" s="21">
        <f>('Kubiņu masa'!J30-'Kubiņu masa'!$D30)/'Kubiņu masa'!$D30*100</f>
        <v>4.7961630695443684</v>
      </c>
      <c r="K27" s="21">
        <f>('Kubiņu masa'!K30-'Kubiņu masa'!$D30)/'Kubiņu masa'!$D30*100</f>
        <v>6.7146282973621156</v>
      </c>
      <c r="L27" s="21">
        <f>('Kubiņu masa'!L30-'Kubiņu masa'!$D30)/'Kubiņu masa'!$D30*100</f>
        <v>6.7146282973621156</v>
      </c>
      <c r="M27" s="21">
        <f>('Kubiņu masa'!M30-'Kubiņu masa'!$D30)/'Kubiņu masa'!$D30*100</f>
        <v>6.7146282973621156</v>
      </c>
      <c r="N27" s="21">
        <f>('Kubiņu masa'!N30-'Kubiņu masa'!$D30)/'Kubiņu masa'!$D30*100</f>
        <v>10.071942446043163</v>
      </c>
      <c r="O27" s="21">
        <f>('Kubiņu masa'!O30-'Kubiņu masa'!$D30)/'Kubiņu masa'!$D30*100</f>
        <v>10.071942446043163</v>
      </c>
      <c r="P27" s="22">
        <f>('Kubiņu masa'!P30-'Kubiņu masa'!$D30)/'Kubiņu masa'!$D30*100</f>
        <v>10.311750599520376</v>
      </c>
      <c r="Q27" s="21" t="s">
        <v>12</v>
      </c>
      <c r="R27" s="23"/>
      <c r="S27" s="23"/>
      <c r="T27" s="23"/>
      <c r="U27" s="23"/>
    </row>
    <row r="28" spans="1:21" ht="15.75" customHeight="1" x14ac:dyDescent="0.35">
      <c r="A28" s="49"/>
      <c r="B28" s="7"/>
      <c r="C28" s="26">
        <v>212</v>
      </c>
      <c r="D28" s="21">
        <f>('Kubiņu masa'!D31-'Kubiņu masa'!$D31)/'Kubiņu masa'!$D31*100</f>
        <v>0</v>
      </c>
      <c r="E28" s="21">
        <f>('Kubiņu masa'!E31-'Kubiņu masa'!$D31)/'Kubiņu masa'!$D31*100</f>
        <v>2.784810126582264</v>
      </c>
      <c r="F28" s="21">
        <f>('Kubiņu masa'!F31-'Kubiņu masa'!$D31)/'Kubiņu masa'!$D31*100</f>
        <v>2.531645569620244</v>
      </c>
      <c r="G28" s="21">
        <f>('Kubiņu masa'!G31-'Kubiņu masa'!$D31)/'Kubiņu masa'!$D31*100</f>
        <v>3.2911392405063267</v>
      </c>
      <c r="H28" s="21">
        <f>('Kubiņu masa'!H31-'Kubiņu masa'!$D31)/'Kubiņu masa'!$D31*100</f>
        <v>3.2911392405063267</v>
      </c>
      <c r="I28" s="21">
        <f>('Kubiņu masa'!I31-'Kubiņu masa'!$D31)/'Kubiņu masa'!$D31*100</f>
        <v>4.3037974683544284</v>
      </c>
      <c r="J28" s="21">
        <f>('Kubiņu masa'!J31-'Kubiņu masa'!$D31)/'Kubiņu masa'!$D31*100</f>
        <v>4.3037974683544284</v>
      </c>
      <c r="K28" s="21">
        <f>('Kubiņu masa'!K31-'Kubiņu masa'!$D31)/'Kubiņu masa'!$D31*100</f>
        <v>6.329113924050632</v>
      </c>
      <c r="L28" s="21">
        <f>('Kubiņu masa'!L31-'Kubiņu masa'!$D31)/'Kubiņu masa'!$D31*100</f>
        <v>6.329113924050632</v>
      </c>
      <c r="M28" s="21">
        <f>('Kubiņu masa'!M31-'Kubiņu masa'!$D31)/'Kubiņu masa'!$D31*100</f>
        <v>6.329113924050632</v>
      </c>
      <c r="N28" s="21">
        <f>('Kubiņu masa'!N31-'Kubiņu masa'!$D31)/'Kubiņu masa'!$D31*100</f>
        <v>9.8734177215189796</v>
      </c>
      <c r="O28" s="21">
        <f>('Kubiņu masa'!O31-'Kubiņu masa'!$D31)/'Kubiņu masa'!$D31*100</f>
        <v>9.8734177215189796</v>
      </c>
      <c r="P28" s="22">
        <f>('Kubiņu masa'!P31-'Kubiņu masa'!$D31)/'Kubiņu masa'!$D31*100</f>
        <v>9.8734177215189796</v>
      </c>
      <c r="Q28" s="21" t="s">
        <v>12</v>
      </c>
      <c r="R28" s="23"/>
      <c r="S28" s="23"/>
      <c r="T28" s="23"/>
      <c r="U28" s="23"/>
    </row>
    <row r="29" spans="1:21" ht="15.75" customHeight="1" x14ac:dyDescent="0.35">
      <c r="A29" s="50" t="s">
        <v>22</v>
      </c>
      <c r="B29" s="29" t="s">
        <v>11</v>
      </c>
      <c r="C29" s="7">
        <v>5</v>
      </c>
      <c r="D29" s="21">
        <f>('Kubiņu masa'!D32-'Kubiņu masa'!$D32)/'Kubiņu masa'!$D32*100</f>
        <v>0</v>
      </c>
      <c r="E29" s="21">
        <f>('Kubiņu masa'!E32-'Kubiņu masa'!$D32)/'Kubiņu masa'!$D32*100</f>
        <v>3.4340659340659339</v>
      </c>
      <c r="F29" s="21">
        <f>('Kubiņu masa'!F32-'Kubiņu masa'!$D32)/'Kubiņu masa'!$D32*100</f>
        <v>3.2967032967032872</v>
      </c>
      <c r="G29" s="21">
        <f>('Kubiņu masa'!G32-'Kubiņu masa'!$D32)/'Kubiņu masa'!$D32*100</f>
        <v>3.983516483516484</v>
      </c>
      <c r="H29" s="21">
        <f>('Kubiņu masa'!H32-'Kubiņu masa'!$D32)/'Kubiņu masa'!$D32*100</f>
        <v>3.983516483516484</v>
      </c>
      <c r="I29" s="21">
        <f>('Kubiņu masa'!I32-'Kubiņu masa'!$D32)/'Kubiņu masa'!$D32*100</f>
        <v>5.3571428571428523</v>
      </c>
      <c r="J29" s="21">
        <f>('Kubiņu masa'!J32-'Kubiņu masa'!$D32)/'Kubiņu masa'!$D32*100</f>
        <v>5.3571428571428523</v>
      </c>
      <c r="K29" s="21">
        <f>('Kubiņu masa'!K32-'Kubiņu masa'!$D32)/'Kubiņu masa'!$D32*100</f>
        <v>7.4175824175824179</v>
      </c>
      <c r="L29" s="21">
        <f>('Kubiņu masa'!L32-'Kubiņu masa'!$D32)/'Kubiņu masa'!$D32*100</f>
        <v>7.6923076923076872</v>
      </c>
      <c r="M29" s="21">
        <f>('Kubiņu masa'!M32-'Kubiņu masa'!$D32)/'Kubiņu masa'!$D32*100</f>
        <v>7.6923076923076872</v>
      </c>
      <c r="N29" s="21">
        <f>('Kubiņu masa'!N32-'Kubiņu masa'!$D32)/'Kubiņu masa'!$D32*100</f>
        <v>11.263736263736256</v>
      </c>
      <c r="O29" s="21">
        <f>('Kubiņu masa'!O32-'Kubiņu masa'!$D32)/'Kubiņu masa'!$D32*100</f>
        <v>11.813186813186817</v>
      </c>
      <c r="P29" s="22">
        <f>('Kubiņu masa'!P32-'Kubiņu masa'!$D32)/'Kubiņu masa'!$D32*100</f>
        <v>11.813186813186817</v>
      </c>
      <c r="Q29" s="21" t="s">
        <v>17</v>
      </c>
      <c r="R29" s="23"/>
      <c r="S29" s="23"/>
      <c r="T29" s="23"/>
      <c r="U29" s="23"/>
    </row>
    <row r="30" spans="1:21" ht="15.75" customHeight="1" x14ac:dyDescent="0.35">
      <c r="A30" s="49"/>
      <c r="B30" s="29"/>
      <c r="C30" s="7">
        <v>17</v>
      </c>
      <c r="D30" s="21">
        <f>('Kubiņu masa'!D33-'Kubiņu masa'!$D33)/'Kubiņu masa'!$D33*100</f>
        <v>0</v>
      </c>
      <c r="E30" s="21">
        <f>('Kubiņu masa'!E33-'Kubiņu masa'!$D33)/'Kubiņu masa'!$D33*100</f>
        <v>3.1680440771349918</v>
      </c>
      <c r="F30" s="21">
        <f>('Kubiņu masa'!F33-'Kubiņu masa'!$D33)/'Kubiņu masa'!$D33*100</f>
        <v>3.1680440771349918</v>
      </c>
      <c r="G30" s="21">
        <f>('Kubiņu masa'!G33-'Kubiņu masa'!$D33)/'Kubiņu masa'!$D33*100</f>
        <v>3.8567493112947693</v>
      </c>
      <c r="H30" s="21">
        <f>('Kubiņu masa'!H33-'Kubiņu masa'!$D33)/'Kubiņu masa'!$D33*100</f>
        <v>3.8567493112947693</v>
      </c>
      <c r="I30" s="21">
        <f>('Kubiņu masa'!I33-'Kubiņu masa'!$D33)/'Kubiņu masa'!$D33*100</f>
        <v>5.0964187327823707</v>
      </c>
      <c r="J30" s="21">
        <f>('Kubiņu masa'!J33-'Kubiņu masa'!$D33)/'Kubiņu masa'!$D33*100</f>
        <v>5.0964187327823707</v>
      </c>
      <c r="K30" s="21">
        <f>('Kubiņu masa'!K33-'Kubiņu masa'!$D33)/'Kubiņu masa'!$D33*100</f>
        <v>7.1625344352617155</v>
      </c>
      <c r="L30" s="21">
        <f>('Kubiņu masa'!L33-'Kubiņu masa'!$D33)/'Kubiņu masa'!$D33*100</f>
        <v>7.4380165289256199</v>
      </c>
      <c r="M30" s="21">
        <f>('Kubiņu masa'!M33-'Kubiņu masa'!$D33)/'Kubiņu masa'!$D33*100</f>
        <v>7.5757575757575735</v>
      </c>
      <c r="N30" s="21">
        <f>('Kubiņu masa'!N33-'Kubiņu masa'!$D33)/'Kubiņu masa'!$D33*100</f>
        <v>11.019283746556484</v>
      </c>
      <c r="O30" s="21">
        <f>('Kubiņu masa'!O33-'Kubiņu masa'!$D33)/'Kubiņu masa'!$D33*100</f>
        <v>11.432506887052343</v>
      </c>
      <c r="P30" s="22">
        <f>('Kubiņu masa'!P33-'Kubiņu masa'!$D33)/'Kubiņu masa'!$D33*100</f>
        <v>11.432506887052343</v>
      </c>
      <c r="Q30" s="21" t="s">
        <v>17</v>
      </c>
      <c r="R30" s="23"/>
      <c r="S30" s="23"/>
      <c r="T30" s="23"/>
      <c r="U30" s="23"/>
    </row>
    <row r="31" spans="1:21" ht="15.75" customHeight="1" x14ac:dyDescent="0.35">
      <c r="A31" s="49"/>
      <c r="B31" s="29"/>
      <c r="C31" s="7">
        <v>99</v>
      </c>
      <c r="D31" s="21">
        <f>('Kubiņu masa'!D34-'Kubiņu masa'!$D34)/'Kubiņu masa'!$D34*100</f>
        <v>0</v>
      </c>
      <c r="E31" s="21">
        <f>('Kubiņu masa'!E34-'Kubiņu masa'!$D34)/'Kubiņu masa'!$D34*100</f>
        <v>3.2608695652173822</v>
      </c>
      <c r="F31" s="21">
        <f>('Kubiņu masa'!F34-'Kubiņu masa'!$D34)/'Kubiņu masa'!$D34*100</f>
        <v>3.1249999999999938</v>
      </c>
      <c r="G31" s="21">
        <f>('Kubiņu masa'!G34-'Kubiņu masa'!$D34)/'Kubiņu masa'!$D34*100</f>
        <v>3.9402173913043481</v>
      </c>
      <c r="H31" s="21">
        <f>('Kubiņu masa'!H34-'Kubiņu masa'!$D34)/'Kubiņu masa'!$D34*100</f>
        <v>3.9402173913043481</v>
      </c>
      <c r="I31" s="21">
        <f>('Kubiņu masa'!I34-'Kubiņu masa'!$D34)/'Kubiņu masa'!$D34*100</f>
        <v>5.1630434782608683</v>
      </c>
      <c r="J31" s="21">
        <f>('Kubiņu masa'!J34-'Kubiņu masa'!$D34)/'Kubiņu masa'!$D34*100</f>
        <v>5.1630434782608683</v>
      </c>
      <c r="K31" s="21">
        <f>('Kubiņu masa'!K34-'Kubiņu masa'!$D34)/'Kubiņu masa'!$D34*100</f>
        <v>7.3369565217391308</v>
      </c>
      <c r="L31" s="21">
        <f>('Kubiņu masa'!L34-'Kubiņu masa'!$D34)/'Kubiņu masa'!$D34*100</f>
        <v>7.7445652173912958</v>
      </c>
      <c r="M31" s="21">
        <f>('Kubiņu masa'!M34-'Kubiņu masa'!$D34)/'Kubiņu masa'!$D34*100</f>
        <v>7.7445652173912958</v>
      </c>
      <c r="N31" s="21">
        <f>('Kubiņu masa'!N34-'Kubiņu masa'!$D34)/'Kubiņu masa'!$D34*100</f>
        <v>11.277173913043468</v>
      </c>
      <c r="O31" s="21">
        <f>('Kubiņu masa'!O34-'Kubiņu masa'!$D34)/'Kubiņu masa'!$D34*100</f>
        <v>11.820652173913045</v>
      </c>
      <c r="P31" s="22">
        <f>('Kubiņu masa'!P34-'Kubiņu masa'!$D34)/'Kubiņu masa'!$D34*100</f>
        <v>11.820652173913045</v>
      </c>
      <c r="Q31" s="21" t="s">
        <v>17</v>
      </c>
      <c r="R31" s="23"/>
      <c r="S31" s="23"/>
      <c r="T31" s="23"/>
      <c r="U31" s="23"/>
    </row>
    <row r="32" spans="1:21" ht="15.75" customHeight="1" x14ac:dyDescent="0.35">
      <c r="A32" s="49"/>
      <c r="B32" s="29" t="s">
        <v>13</v>
      </c>
      <c r="C32" s="7">
        <v>37</v>
      </c>
      <c r="D32" s="21">
        <f>('Kubiņu masa'!D35-'Kubiņu masa'!$D35)/'Kubiņu masa'!$D35*100</f>
        <v>0</v>
      </c>
      <c r="E32" s="21">
        <f>('Kubiņu masa'!E35-'Kubiņu masa'!$D35)/'Kubiņu masa'!$D35*100</f>
        <v>3.3101045296167162</v>
      </c>
      <c r="F32" s="21">
        <f>('Kubiņu masa'!F35-'Kubiņu masa'!$D35)/'Kubiņu masa'!$D35*100</f>
        <v>3.3101045296167162</v>
      </c>
      <c r="G32" s="21">
        <f>('Kubiņu masa'!G35-'Kubiņu masa'!$D35)/'Kubiņu masa'!$D35*100</f>
        <v>4.006968641114975</v>
      </c>
      <c r="H32" s="21">
        <f>('Kubiņu masa'!H35-'Kubiņu masa'!$D35)/'Kubiņu masa'!$D35*100</f>
        <v>4.006968641114975</v>
      </c>
      <c r="I32" s="21">
        <f>('Kubiņu masa'!I35-'Kubiņu masa'!$D35)/'Kubiņu masa'!$D35*100</f>
        <v>5.2264808362369308</v>
      </c>
      <c r="J32" s="21">
        <f>('Kubiņu masa'!J35-'Kubiņu masa'!$D35)/'Kubiņu masa'!$D35*100</f>
        <v>5.2264808362369308</v>
      </c>
      <c r="K32" s="21">
        <f>('Kubiņu masa'!K35-'Kubiņu masa'!$D35)/'Kubiņu masa'!$D35*100</f>
        <v>7.3170731707317058</v>
      </c>
      <c r="L32" s="21">
        <f>('Kubiņu masa'!L35-'Kubiņu masa'!$D35)/'Kubiņu masa'!$D35*100</f>
        <v>7.4912891986062675</v>
      </c>
      <c r="M32" s="21">
        <f>('Kubiņu masa'!M35-'Kubiņu masa'!$D35)/'Kubiņu masa'!$D35*100</f>
        <v>7.4912891986062675</v>
      </c>
      <c r="N32" s="21">
        <f>('Kubiņu masa'!N35-'Kubiņu masa'!$D35)/'Kubiņu masa'!$D35*100</f>
        <v>10.975609756097558</v>
      </c>
      <c r="O32" s="21">
        <f>('Kubiņu masa'!O35-'Kubiņu masa'!$D35)/'Kubiņu masa'!$D35*100</f>
        <v>11.498257839721257</v>
      </c>
      <c r="P32" s="22">
        <f>('Kubiņu masa'!P35-'Kubiņu masa'!$D35)/'Kubiņu masa'!$D35*100</f>
        <v>11.498257839721257</v>
      </c>
      <c r="Q32" s="21" t="s">
        <v>17</v>
      </c>
      <c r="R32" s="23"/>
      <c r="S32" s="23"/>
      <c r="T32" s="23"/>
      <c r="U32" s="23"/>
    </row>
    <row r="33" spans="1:21" ht="15.75" customHeight="1" x14ac:dyDescent="0.35">
      <c r="A33" s="49"/>
      <c r="B33" s="29"/>
      <c r="C33" s="7">
        <v>53</v>
      </c>
      <c r="D33" s="21">
        <f>('Kubiņu masa'!D36-'Kubiņu masa'!$D36)/'Kubiņu masa'!$D36*100</f>
        <v>0</v>
      </c>
      <c r="E33" s="21">
        <f>('Kubiņu masa'!E36-'Kubiņu masa'!$D36)/'Kubiņu masa'!$D36*100</f>
        <v>3.2051282051282075</v>
      </c>
      <c r="F33" s="21">
        <f>('Kubiņu masa'!F36-'Kubiņu masa'!$D36)/'Kubiņu masa'!$D36*100</f>
        <v>3.2051282051282075</v>
      </c>
      <c r="G33" s="21">
        <f>('Kubiņu masa'!G36-'Kubiņu masa'!$D36)/'Kubiņu masa'!$D36*100</f>
        <v>3.8461538461538494</v>
      </c>
      <c r="H33" s="21">
        <f>('Kubiņu masa'!H36-'Kubiņu masa'!$D36)/'Kubiņu masa'!$D36*100</f>
        <v>3.8461538461538494</v>
      </c>
      <c r="I33" s="21">
        <f>('Kubiņu masa'!I36-'Kubiņu masa'!$D36)/'Kubiņu masa'!$D36*100</f>
        <v>5.128205128205118</v>
      </c>
      <c r="J33" s="21">
        <f>('Kubiņu masa'!J36-'Kubiņu masa'!$D36)/'Kubiņu masa'!$D36*100</f>
        <v>5.128205128205118</v>
      </c>
      <c r="K33" s="21">
        <f>('Kubiņu masa'!K36-'Kubiņu masa'!$D36)/'Kubiņu masa'!$D36*100</f>
        <v>7.2115384615384635</v>
      </c>
      <c r="L33" s="21">
        <f>('Kubiņu masa'!L36-'Kubiņu masa'!$D36)/'Kubiņu masa'!$D36*100</f>
        <v>7.5320512820512775</v>
      </c>
      <c r="M33" s="21">
        <f>('Kubiņu masa'!M36-'Kubiņu masa'!$D36)/'Kubiņu masa'!$D36*100</f>
        <v>7.5320512820512775</v>
      </c>
      <c r="N33" s="21">
        <f>('Kubiņu masa'!N36-'Kubiņu masa'!$D36)/'Kubiņu masa'!$D36*100</f>
        <v>11.057692307692299</v>
      </c>
      <c r="O33" s="21">
        <f>('Kubiņu masa'!O36-'Kubiņu masa'!$D36)/'Kubiņu masa'!$D36*100</f>
        <v>11.538461538461533</v>
      </c>
      <c r="P33" s="22">
        <f>('Kubiņu masa'!P36-'Kubiņu masa'!$D36)/'Kubiņu masa'!$D36*100</f>
        <v>11.538461538461533</v>
      </c>
      <c r="Q33" s="21" t="s">
        <v>17</v>
      </c>
      <c r="R33" s="23"/>
      <c r="S33" s="23"/>
      <c r="T33" s="23"/>
      <c r="U33" s="23"/>
    </row>
    <row r="34" spans="1:21" ht="15.75" customHeight="1" x14ac:dyDescent="0.35">
      <c r="A34" s="49"/>
      <c r="B34" s="29"/>
      <c r="C34" s="7">
        <v>134</v>
      </c>
      <c r="D34" s="21">
        <f>('Kubiņu masa'!D37-'Kubiņu masa'!$D37)/'Kubiņu masa'!$D37*100</f>
        <v>0</v>
      </c>
      <c r="E34" s="21">
        <f>('Kubiņu masa'!E37-'Kubiņu masa'!$D37)/'Kubiņu masa'!$D37*100</f>
        <v>3.1879194630872547</v>
      </c>
      <c r="F34" s="21">
        <f>('Kubiņu masa'!F37-'Kubiņu masa'!$D37)/'Kubiņu masa'!$D37*100</f>
        <v>3.0201342281879149</v>
      </c>
      <c r="G34" s="21">
        <f>('Kubiņu masa'!G37-'Kubiņu masa'!$D37)/'Kubiņu masa'!$D37*100</f>
        <v>3.6912751677852311</v>
      </c>
      <c r="H34" s="21">
        <f>('Kubiņu masa'!H37-'Kubiņu masa'!$D37)/'Kubiņu masa'!$D37*100</f>
        <v>3.6912751677852311</v>
      </c>
      <c r="I34" s="21">
        <f>('Kubiņu masa'!I37-'Kubiņu masa'!$D37)/'Kubiņu masa'!$D37*100</f>
        <v>5.0335570469798627</v>
      </c>
      <c r="J34" s="21">
        <f>('Kubiņu masa'!J37-'Kubiņu masa'!$D37)/'Kubiņu masa'!$D37*100</f>
        <v>5.0335570469798627</v>
      </c>
      <c r="K34" s="21">
        <f>('Kubiņu masa'!K37-'Kubiņu masa'!$D37)/'Kubiņu masa'!$D37*100</f>
        <v>7.0469798657718101</v>
      </c>
      <c r="L34" s="21">
        <f>('Kubiņu masa'!L37-'Kubiņu masa'!$D37)/'Kubiņu masa'!$D37*100</f>
        <v>7.3825503355704756</v>
      </c>
      <c r="M34" s="21">
        <f>('Kubiņu masa'!M37-'Kubiņu masa'!$D37)/'Kubiņu masa'!$D37*100</f>
        <v>7.3825503355704756</v>
      </c>
      <c r="N34" s="21">
        <f>('Kubiņu masa'!N37-'Kubiņu masa'!$D37)/'Kubiņu masa'!$D37*100</f>
        <v>10.906040268456382</v>
      </c>
      <c r="O34" s="21">
        <f>('Kubiņu masa'!O37-'Kubiņu masa'!$D37)/'Kubiņu masa'!$D37*100</f>
        <v>11.577181208053698</v>
      </c>
      <c r="P34" s="22">
        <f>('Kubiņu masa'!P37-'Kubiņu masa'!$D37)/'Kubiņu masa'!$D37*100</f>
        <v>11.409395973154357</v>
      </c>
      <c r="Q34" s="21" t="s">
        <v>17</v>
      </c>
      <c r="R34" s="23"/>
      <c r="S34" s="23"/>
      <c r="T34" s="23"/>
      <c r="U34" s="23"/>
    </row>
    <row r="35" spans="1:21" ht="15.75" customHeight="1" x14ac:dyDescent="0.35">
      <c r="A35" s="49"/>
      <c r="B35" s="29" t="s">
        <v>14</v>
      </c>
      <c r="C35" s="7">
        <v>68</v>
      </c>
      <c r="D35" s="21">
        <f>('Kubiņu masa'!D38-'Kubiņu masa'!$D38)/'Kubiņu masa'!$D38*100</f>
        <v>0</v>
      </c>
      <c r="E35" s="21">
        <f>('Kubiņu masa'!E38-'Kubiņu masa'!$D38)/'Kubiņu masa'!$D38*100</f>
        <v>3.443526170798898</v>
      </c>
      <c r="F35" s="21">
        <f>('Kubiņu masa'!F38-'Kubiņu masa'!$D38)/'Kubiņu masa'!$D38*100</f>
        <v>3.443526170798898</v>
      </c>
      <c r="G35" s="21">
        <f>('Kubiņu masa'!G38-'Kubiņu masa'!$D38)/'Kubiņu masa'!$D38*100</f>
        <v>4.1322314049586755</v>
      </c>
      <c r="H35" s="21">
        <f>('Kubiņu masa'!H38-'Kubiņu masa'!$D38)/'Kubiņu masa'!$D38*100</f>
        <v>4.1322314049586755</v>
      </c>
      <c r="I35" s="21">
        <f>('Kubiņu masa'!I38-'Kubiņu masa'!$D38)/'Kubiņu masa'!$D38*100</f>
        <v>5.3719008264462884</v>
      </c>
      <c r="J35" s="21">
        <f>('Kubiņu masa'!J38-'Kubiņu masa'!$D38)/'Kubiņu masa'!$D38*100</f>
        <v>5.3719008264462884</v>
      </c>
      <c r="K35" s="21">
        <f>('Kubiņu masa'!K38-'Kubiņu masa'!$D38)/'Kubiņu masa'!$D38*100</f>
        <v>7.4380165289256199</v>
      </c>
      <c r="L35" s="21">
        <f>('Kubiņu masa'!L38-'Kubiņu masa'!$D38)/'Kubiņu masa'!$D38*100</f>
        <v>7.7134986225895386</v>
      </c>
      <c r="M35" s="21">
        <f>('Kubiņu masa'!M38-'Kubiņu masa'!$D38)/'Kubiņu masa'!$D38*100</f>
        <v>7.7134986225895386</v>
      </c>
      <c r="N35" s="21">
        <f>('Kubiņu masa'!N38-'Kubiņu masa'!$D38)/'Kubiņu masa'!$D38*100</f>
        <v>11.157024793388437</v>
      </c>
      <c r="O35" s="21">
        <f>('Kubiņu masa'!O38-'Kubiņu masa'!$D38)/'Kubiņu masa'!$D38*100</f>
        <v>11.707988980716248</v>
      </c>
      <c r="P35" s="22">
        <f>('Kubiņu masa'!P38-'Kubiņu masa'!$D38)/'Kubiņu masa'!$D38*100</f>
        <v>11.570247933884296</v>
      </c>
      <c r="Q35" s="21" t="s">
        <v>17</v>
      </c>
      <c r="R35" s="23"/>
      <c r="S35" s="23"/>
      <c r="T35" s="23"/>
      <c r="U35" s="23"/>
    </row>
    <row r="36" spans="1:21" ht="15.75" customHeight="1" x14ac:dyDescent="0.35">
      <c r="A36" s="49"/>
      <c r="B36" s="29"/>
      <c r="C36" s="7">
        <v>143</v>
      </c>
      <c r="D36" s="21">
        <f>('Kubiņu masa'!D39-'Kubiņu masa'!$D39)/'Kubiņu masa'!$D39*100</f>
        <v>0</v>
      </c>
      <c r="E36" s="21">
        <f>('Kubiņu masa'!E39-'Kubiņu masa'!$D39)/'Kubiņu masa'!$D39*100</f>
        <v>3.5182679296346504</v>
      </c>
      <c r="F36" s="21">
        <f>('Kubiņu masa'!F39-'Kubiņu masa'!$D39)/'Kubiņu masa'!$D39*100</f>
        <v>3.5182679296346504</v>
      </c>
      <c r="G36" s="21">
        <f>('Kubiņu masa'!G39-'Kubiņu masa'!$D39)/'Kubiņu masa'!$D39*100</f>
        <v>4.3301759133964852</v>
      </c>
      <c r="H36" s="21">
        <f>('Kubiņu masa'!H39-'Kubiņu masa'!$D39)/'Kubiņu masa'!$D39*100</f>
        <v>4.3301759133964852</v>
      </c>
      <c r="I36" s="21">
        <f>('Kubiņu masa'!I39-'Kubiņu masa'!$D39)/'Kubiņu masa'!$D39*100</f>
        <v>5.6833558863328815</v>
      </c>
      <c r="J36" s="21">
        <f>('Kubiņu masa'!J39-'Kubiņu masa'!$D39)/'Kubiņu masa'!$D39*100</f>
        <v>5.6833558863328815</v>
      </c>
      <c r="K36" s="21">
        <f>('Kubiņu masa'!K39-'Kubiņu masa'!$D39)/'Kubiņu masa'!$D39*100</f>
        <v>7.8484438430311245</v>
      </c>
      <c r="L36" s="21">
        <f>('Kubiņu masa'!L39-'Kubiņu masa'!$D39)/'Kubiņu masa'!$D39*100</f>
        <v>8.1190798376184112</v>
      </c>
      <c r="M36" s="21">
        <f>('Kubiņu masa'!M39-'Kubiņu masa'!$D39)/'Kubiņu masa'!$D39*100</f>
        <v>8.1190798376184112</v>
      </c>
      <c r="N36" s="21">
        <f>('Kubiņu masa'!N39-'Kubiņu masa'!$D39)/'Kubiņu masa'!$D39*100</f>
        <v>11.772665764546687</v>
      </c>
      <c r="O36" s="21">
        <f>('Kubiņu masa'!O39-'Kubiņu masa'!$D39)/'Kubiņu masa'!$D39*100</f>
        <v>12.313937753721259</v>
      </c>
      <c r="P36" s="22">
        <f>('Kubiņu masa'!P39-'Kubiņu masa'!$D39)/'Kubiņu masa'!$D39*100</f>
        <v>12.313937753721259</v>
      </c>
      <c r="Q36" s="21" t="s">
        <v>17</v>
      </c>
      <c r="R36" s="23"/>
      <c r="S36" s="23"/>
      <c r="T36" s="23"/>
      <c r="U36" s="23"/>
    </row>
    <row r="37" spans="1:21" ht="15.75" customHeight="1" x14ac:dyDescent="0.35">
      <c r="A37" s="49"/>
      <c r="B37" s="29"/>
      <c r="C37" s="7">
        <v>190</v>
      </c>
      <c r="D37" s="21">
        <f>('Kubiņu masa'!D40-'Kubiņu masa'!$D40)/'Kubiņu masa'!$D40*100</f>
        <v>0</v>
      </c>
      <c r="E37" s="21">
        <f>('Kubiņu masa'!E40-'Kubiņu masa'!$D40)/'Kubiņu masa'!$D40*100</f>
        <v>3.234880450070317</v>
      </c>
      <c r="F37" s="21">
        <f>('Kubiņu masa'!F40-'Kubiņu masa'!$D40)/'Kubiņu masa'!$D40*100</f>
        <v>3.234880450070317</v>
      </c>
      <c r="G37" s="21">
        <f>('Kubiņu masa'!G40-'Kubiņu masa'!$D40)/'Kubiņu masa'!$D40*100</f>
        <v>3.9381153305203842</v>
      </c>
      <c r="H37" s="21">
        <f>('Kubiņu masa'!H40-'Kubiņu masa'!$D40)/'Kubiņu masa'!$D40*100</f>
        <v>3.9381153305203842</v>
      </c>
      <c r="I37" s="21">
        <f>('Kubiņu masa'!I40-'Kubiņu masa'!$D40)/'Kubiņu masa'!$D40*100</f>
        <v>5.0632911392404978</v>
      </c>
      <c r="J37" s="21">
        <f>('Kubiņu masa'!J40-'Kubiņu masa'!$D40)/'Kubiņu masa'!$D40*100</f>
        <v>5.0632911392404978</v>
      </c>
      <c r="K37" s="21">
        <f>('Kubiņu masa'!K40-'Kubiņu masa'!$D40)/'Kubiņu masa'!$D40*100</f>
        <v>7.0323488045007032</v>
      </c>
      <c r="L37" s="21">
        <f>('Kubiņu masa'!L40-'Kubiņu masa'!$D40)/'Kubiņu masa'!$D40*100</f>
        <v>7.3136427566807241</v>
      </c>
      <c r="M37" s="21">
        <f>('Kubiņu masa'!M40-'Kubiņu masa'!$D40)/'Kubiņu masa'!$D40*100</f>
        <v>7.3136427566807241</v>
      </c>
      <c r="N37" s="21">
        <f>('Kubiņu masa'!N40-'Kubiņu masa'!$D40)/'Kubiņu masa'!$D40*100</f>
        <v>10.548523206751053</v>
      </c>
      <c r="O37" s="21">
        <f>('Kubiņu masa'!O40-'Kubiņu masa'!$D40)/'Kubiņu masa'!$D40*100</f>
        <v>11.111111111111111</v>
      </c>
      <c r="P37" s="22">
        <f>('Kubiņu masa'!P40-'Kubiņu masa'!$D40)/'Kubiņu masa'!$D40*100</f>
        <v>11.111111111111111</v>
      </c>
      <c r="Q37" s="21" t="s">
        <v>17</v>
      </c>
      <c r="R37" s="23"/>
      <c r="S37" s="23"/>
      <c r="T37" s="23"/>
      <c r="U37" s="23"/>
    </row>
    <row r="38" spans="1:21" ht="15.75" customHeight="1" x14ac:dyDescent="0.35">
      <c r="A38" s="49"/>
      <c r="B38" s="29" t="s">
        <v>15</v>
      </c>
      <c r="C38" s="7">
        <v>158</v>
      </c>
      <c r="D38" s="21">
        <f>('Kubiņu masa'!D41-'Kubiņu masa'!$D41)/'Kubiņu masa'!$D41*100</f>
        <v>0</v>
      </c>
      <c r="E38" s="21">
        <f>('Kubiņu masa'!E41-'Kubiņu masa'!$D41)/'Kubiņu masa'!$D41*100</f>
        <v>3.2806804374240528</v>
      </c>
      <c r="F38" s="21">
        <f>('Kubiņu masa'!F41-'Kubiņu masa'!$D41)/'Kubiņu masa'!$D41*100</f>
        <v>3.2806804374240528</v>
      </c>
      <c r="G38" s="21">
        <f>('Kubiņu masa'!G41-'Kubiņu masa'!$D41)/'Kubiņu masa'!$D41*100</f>
        <v>4.0097205346294054</v>
      </c>
      <c r="H38" s="21">
        <f>('Kubiņu masa'!H41-'Kubiņu masa'!$D41)/'Kubiņu masa'!$D41*100</f>
        <v>4.0097205346294054</v>
      </c>
      <c r="I38" s="21">
        <f>('Kubiņu masa'!I41-'Kubiņu masa'!$D41)/'Kubiņu masa'!$D41*100</f>
        <v>5.1032806804374227</v>
      </c>
      <c r="J38" s="21">
        <f>('Kubiņu masa'!J41-'Kubiņu masa'!$D41)/'Kubiņu masa'!$D41*100</f>
        <v>5.1032806804374227</v>
      </c>
      <c r="K38" s="21">
        <f>('Kubiņu masa'!K41-'Kubiņu masa'!$D41)/'Kubiņu masa'!$D41*100</f>
        <v>7.047387606318348</v>
      </c>
      <c r="L38" s="21">
        <f>('Kubiņu masa'!L41-'Kubiņu masa'!$D41)/'Kubiņu masa'!$D41*100</f>
        <v>7.2904009720534582</v>
      </c>
      <c r="M38" s="21">
        <f>('Kubiņu masa'!M41-'Kubiņu masa'!$D41)/'Kubiņu masa'!$D41*100</f>
        <v>7.2904009720534582</v>
      </c>
      <c r="N38" s="21">
        <f>('Kubiņu masa'!N41-'Kubiņu masa'!$D41)/'Kubiņu masa'!$D41*100</f>
        <v>10.206561360874845</v>
      </c>
      <c r="O38" s="21">
        <f>('Kubiņu masa'!O41-'Kubiņu masa'!$D41)/'Kubiņu masa'!$D41*100</f>
        <v>10.81409477521262</v>
      </c>
      <c r="P38" s="22">
        <f>('Kubiņu masa'!P41-'Kubiņu masa'!$D41)/'Kubiņu masa'!$D41*100</f>
        <v>10.692588092345066</v>
      </c>
      <c r="Q38" s="21" t="s">
        <v>17</v>
      </c>
      <c r="R38" s="23"/>
      <c r="S38" s="23"/>
      <c r="T38" s="23"/>
      <c r="U38" s="23"/>
    </row>
    <row r="39" spans="1:21" ht="15.75" customHeight="1" x14ac:dyDescent="0.35">
      <c r="A39" s="49"/>
      <c r="B39" s="29"/>
      <c r="C39" s="7">
        <v>169</v>
      </c>
      <c r="D39" s="21">
        <f>('Kubiņu masa'!D42-'Kubiņu masa'!$D42)/'Kubiņu masa'!$D42*100</f>
        <v>0</v>
      </c>
      <c r="E39" s="21">
        <f>('Kubiņu masa'!E42-'Kubiņu masa'!$D42)/'Kubiņu masa'!$D42*100</f>
        <v>3.2911392405063267</v>
      </c>
      <c r="F39" s="21">
        <f>('Kubiņu masa'!F42-'Kubiņu masa'!$D42)/'Kubiņu masa'!$D42*100</f>
        <v>3.164556962025316</v>
      </c>
      <c r="G39" s="21">
        <f>('Kubiņu masa'!G42-'Kubiņu masa'!$D42)/'Kubiņu masa'!$D42*100</f>
        <v>3.7974683544303658</v>
      </c>
      <c r="H39" s="21">
        <f>('Kubiņu masa'!H42-'Kubiņu masa'!$D42)/'Kubiņu masa'!$D42*100</f>
        <v>3.7974683544303658</v>
      </c>
      <c r="I39" s="21">
        <f>('Kubiņu masa'!I42-'Kubiņu masa'!$D42)/'Kubiņu masa'!$D42*100</f>
        <v>4.9367088607594782</v>
      </c>
      <c r="J39" s="21">
        <f>('Kubiņu masa'!J42-'Kubiņu masa'!$D42)/'Kubiņu masa'!$D42*100</f>
        <v>4.9367088607594782</v>
      </c>
      <c r="K39" s="21">
        <f>('Kubiņu masa'!K42-'Kubiņu masa'!$D42)/'Kubiņu masa'!$D42*100</f>
        <v>6.9620253164556818</v>
      </c>
      <c r="L39" s="21">
        <f>('Kubiņu masa'!L42-'Kubiņu masa'!$D42)/'Kubiņu masa'!$D42*100</f>
        <v>7.2151898734177253</v>
      </c>
      <c r="M39" s="21">
        <f>('Kubiņu masa'!M42-'Kubiņu masa'!$D42)/'Kubiņu masa'!$D42*100</f>
        <v>7.0886075949367147</v>
      </c>
      <c r="N39" s="21">
        <f>('Kubiņu masa'!N42-'Kubiņu masa'!$D42)/'Kubiņu masa'!$D42*100</f>
        <v>10.126582278480999</v>
      </c>
      <c r="O39" s="21">
        <f>('Kubiņu masa'!O42-'Kubiņu masa'!$D42)/'Kubiņu masa'!$D42*100</f>
        <v>10.759493670886071</v>
      </c>
      <c r="P39" s="22">
        <f>('Kubiņu masa'!P42-'Kubiņu masa'!$D42)/'Kubiņu masa'!$D42*100</f>
        <v>10.632911392405061</v>
      </c>
      <c r="Q39" s="21" t="s">
        <v>17</v>
      </c>
      <c r="R39" s="23"/>
      <c r="S39" s="23"/>
      <c r="T39" s="23"/>
      <c r="U39" s="23"/>
    </row>
    <row r="40" spans="1:21" ht="15.75" customHeight="1" x14ac:dyDescent="0.35">
      <c r="A40" s="49"/>
      <c r="B40" s="29"/>
      <c r="C40" s="7">
        <v>174</v>
      </c>
      <c r="D40" s="21">
        <f>('Kubiņu masa'!D43-'Kubiņu masa'!$D43)/'Kubiņu masa'!$D43*100</f>
        <v>0</v>
      </c>
      <c r="E40" s="21">
        <f>('Kubiņu masa'!E43-'Kubiņu masa'!$D43)/'Kubiņu masa'!$D43*100</f>
        <v>3.1537450722733151</v>
      </c>
      <c r="F40" s="21">
        <f>('Kubiņu masa'!F43-'Kubiņu masa'!$D43)/'Kubiņu masa'!$D43*100</f>
        <v>3.1537450722733151</v>
      </c>
      <c r="G40" s="21">
        <f>('Kubiņu masa'!G43-'Kubiņu masa'!$D43)/'Kubiņu masa'!$D43*100</f>
        <v>3.8107752956636007</v>
      </c>
      <c r="H40" s="21">
        <f>('Kubiņu masa'!H43-'Kubiņu masa'!$D43)/'Kubiņu masa'!$D43*100</f>
        <v>3.8107752956636007</v>
      </c>
      <c r="I40" s="21">
        <f>('Kubiņu masa'!I43-'Kubiņu masa'!$D43)/'Kubiņu masa'!$D43*100</f>
        <v>4.9934296977660955</v>
      </c>
      <c r="J40" s="21">
        <f>('Kubiņu masa'!J43-'Kubiņu masa'!$D43)/'Kubiņu masa'!$D43*100</f>
        <v>4.9934296977660955</v>
      </c>
      <c r="K40" s="21">
        <f>('Kubiņu masa'!K43-'Kubiņu masa'!$D43)/'Kubiņu masa'!$D43*100</f>
        <v>6.9645203679369283</v>
      </c>
      <c r="L40" s="21">
        <f>('Kubiņu masa'!L43-'Kubiņu masa'!$D43)/'Kubiņu masa'!$D43*100</f>
        <v>7.2273324572930324</v>
      </c>
      <c r="M40" s="21">
        <f>('Kubiņu masa'!M43-'Kubiņu masa'!$D43)/'Kubiņu masa'!$D43*100</f>
        <v>7.2273324572930324</v>
      </c>
      <c r="N40" s="21">
        <f>('Kubiņu masa'!N43-'Kubiņu masa'!$D43)/'Kubiņu masa'!$D43*100</f>
        <v>10.118265440210255</v>
      </c>
      <c r="O40" s="21">
        <f>('Kubiņu masa'!O43-'Kubiņu masa'!$D43)/'Kubiņu masa'!$D43*100</f>
        <v>10.775295663600518</v>
      </c>
      <c r="P40" s="22">
        <f>('Kubiņu masa'!P43-'Kubiņu masa'!$D43)/'Kubiņu masa'!$D43*100</f>
        <v>10.775295663600518</v>
      </c>
      <c r="Q40" s="21" t="s">
        <v>16</v>
      </c>
      <c r="R40" s="23"/>
      <c r="S40" s="23"/>
      <c r="T40" s="23"/>
      <c r="U40" s="23"/>
    </row>
    <row r="41" spans="1:21" ht="15.75" customHeight="1" x14ac:dyDescent="0.35">
      <c r="A41" s="49"/>
      <c r="B41" s="30" t="s">
        <v>23</v>
      </c>
      <c r="C41" s="26">
        <v>108</v>
      </c>
      <c r="D41" s="21">
        <f>('Kubiņu masa'!D44-'Kubiņu masa'!$D44)/'Kubiņu masa'!$D44*100</f>
        <v>0</v>
      </c>
      <c r="E41" s="21">
        <f>('Kubiņu masa'!E44-'Kubiņu masa'!$D44)/'Kubiņu masa'!$D44*100</f>
        <v>2.7295285359801347</v>
      </c>
      <c r="F41" s="21">
        <f>('Kubiņu masa'!F44-'Kubiņu masa'!$D44)/'Kubiņu masa'!$D44*100</f>
        <v>2.7295285359801347</v>
      </c>
      <c r="G41" s="21">
        <f>('Kubiņu masa'!G44-'Kubiņu masa'!$D44)/'Kubiņu masa'!$D44*100</f>
        <v>3.4739454094292723</v>
      </c>
      <c r="H41" s="21">
        <f>('Kubiņu masa'!H44-'Kubiņu masa'!$D44)/'Kubiņu masa'!$D44*100</f>
        <v>3.4739454094292723</v>
      </c>
      <c r="I41" s="21">
        <f>('Kubiņu masa'!I44-'Kubiņu masa'!$D44)/'Kubiņu masa'!$D44*100</f>
        <v>4.7146401985111535</v>
      </c>
      <c r="J41" s="21">
        <f>('Kubiņu masa'!J44-'Kubiņu masa'!$D44)/'Kubiņu masa'!$D44*100</f>
        <v>4.7146401985111535</v>
      </c>
      <c r="K41" s="21">
        <f>('Kubiņu masa'!K44-'Kubiņu masa'!$D44)/'Kubiņu masa'!$D44*100</f>
        <v>6.6997518610421736</v>
      </c>
      <c r="L41" s="21">
        <f>('Kubiņu masa'!L44-'Kubiņu masa'!$D44)/'Kubiņu masa'!$D44*100</f>
        <v>6.6997518610421736</v>
      </c>
      <c r="M41" s="21">
        <f>('Kubiņu masa'!M44-'Kubiņu masa'!$D44)/'Kubiņu masa'!$D44*100</f>
        <v>6.6997518610421736</v>
      </c>
      <c r="N41" s="21">
        <f>('Kubiņu masa'!N44-'Kubiņu masa'!$D44)/'Kubiņu masa'!$D44*100</f>
        <v>10.66997518610421</v>
      </c>
      <c r="O41" s="21">
        <f>('Kubiņu masa'!O44-'Kubiņu masa'!$D44)/'Kubiņu masa'!$D44*100</f>
        <v>11.166253101736977</v>
      </c>
      <c r="P41" s="22">
        <f>('Kubiņu masa'!P44-'Kubiņu masa'!$D44)/'Kubiņu masa'!$D44*100</f>
        <v>11.166253101736977</v>
      </c>
      <c r="Q41" s="21" t="s">
        <v>12</v>
      </c>
      <c r="R41" s="23"/>
      <c r="S41" s="23"/>
      <c r="T41" s="23"/>
      <c r="U41" s="23"/>
    </row>
    <row r="42" spans="1:21" ht="15.75" customHeight="1" x14ac:dyDescent="0.35">
      <c r="A42" s="49"/>
      <c r="B42" s="31"/>
      <c r="C42" s="26">
        <v>287</v>
      </c>
      <c r="D42" s="21">
        <f>('Kubiņu masa'!D45-'Kubiņu masa'!$D45)/'Kubiņu masa'!$D45*100</f>
        <v>0</v>
      </c>
      <c r="E42" s="21">
        <f>('Kubiņu masa'!E45-'Kubiņu masa'!$D45)/'Kubiņu masa'!$D45*100</f>
        <v>2.7777777777777755</v>
      </c>
      <c r="F42" s="21">
        <f>('Kubiņu masa'!F45-'Kubiņu masa'!$D45)/'Kubiņu masa'!$D45*100</f>
        <v>2.5641025641025665</v>
      </c>
      <c r="G42" s="21">
        <f>('Kubiņu masa'!G45-'Kubiņu masa'!$D45)/'Kubiņu masa'!$D45*100</f>
        <v>3.4188034188034218</v>
      </c>
      <c r="H42" s="21">
        <f>('Kubiņu masa'!H45-'Kubiņu masa'!$D45)/'Kubiņu masa'!$D45*100</f>
        <v>3.4188034188034218</v>
      </c>
      <c r="I42" s="21">
        <f>('Kubiņu masa'!I45-'Kubiņu masa'!$D45)/'Kubiņu masa'!$D45*100</f>
        <v>4.7008547008547144</v>
      </c>
      <c r="J42" s="21">
        <f>('Kubiņu masa'!J45-'Kubiņu masa'!$D45)/'Kubiņu masa'!$D45*100</f>
        <v>4.7008547008547144</v>
      </c>
      <c r="K42" s="21">
        <f>('Kubiņu masa'!K45-'Kubiņu masa'!$D45)/'Kubiņu masa'!$D45*100</f>
        <v>6.4102564102564266</v>
      </c>
      <c r="L42" s="21">
        <f>('Kubiņu masa'!L45-'Kubiņu masa'!$D45)/'Kubiņu masa'!$D45*100</f>
        <v>6.623931623931635</v>
      </c>
      <c r="M42" s="21">
        <f>('Kubiņu masa'!M45-'Kubiņu masa'!$D45)/'Kubiņu masa'!$D45*100</f>
        <v>6.4102564102564266</v>
      </c>
      <c r="N42" s="21">
        <f>('Kubiņu masa'!N45-'Kubiņu masa'!$D45)/'Kubiņu masa'!$D45*100</f>
        <v>9.6153846153846203</v>
      </c>
      <c r="O42" s="21">
        <f>('Kubiņu masa'!O45-'Kubiņu masa'!$D45)/'Kubiņu masa'!$D45*100</f>
        <v>10.256410256410266</v>
      </c>
      <c r="P42" s="22">
        <f>('Kubiņu masa'!P45-'Kubiņu masa'!$D45)/'Kubiņu masa'!$D45*100</f>
        <v>10.042735042735057</v>
      </c>
      <c r="Q42" s="21" t="s">
        <v>12</v>
      </c>
      <c r="R42" s="23"/>
      <c r="S42" s="23"/>
      <c r="T42" s="23"/>
      <c r="U42" s="23"/>
    </row>
    <row r="43" spans="1:21" ht="15.75" customHeight="1" x14ac:dyDescent="0.35">
      <c r="A43" s="49"/>
      <c r="B43" s="31"/>
      <c r="C43" s="26">
        <v>328</v>
      </c>
      <c r="D43" s="21">
        <f>('Kubiņu masa'!D46-'Kubiņu masa'!$D46)/'Kubiņu masa'!$D46*100</f>
        <v>0</v>
      </c>
      <c r="E43" s="21">
        <f>('Kubiņu masa'!E46-'Kubiņu masa'!$D46)/'Kubiņu masa'!$D46*100</f>
        <v>2.6004728132387571</v>
      </c>
      <c r="F43" s="21">
        <f>('Kubiņu masa'!F46-'Kubiņu masa'!$D46)/'Kubiņu masa'!$D46*100</f>
        <v>2.6004728132387571</v>
      </c>
      <c r="G43" s="21">
        <f>('Kubiņu masa'!G46-'Kubiņu masa'!$D46)/'Kubiņu masa'!$D46*100</f>
        <v>3.3096926713947914</v>
      </c>
      <c r="H43" s="21">
        <f>('Kubiņu masa'!H46-'Kubiņu masa'!$D46)/'Kubiņu masa'!$D46*100</f>
        <v>3.3096926713947914</v>
      </c>
      <c r="I43" s="21">
        <f>('Kubiņu masa'!I46-'Kubiņu masa'!$D46)/'Kubiņu masa'!$D46*100</f>
        <v>4.7281323877068386</v>
      </c>
      <c r="J43" s="21">
        <f>('Kubiņu masa'!J46-'Kubiņu masa'!$D46)/'Kubiņu masa'!$D46*100</f>
        <v>4.7281323877068386</v>
      </c>
      <c r="K43" s="21">
        <f>('Kubiņu masa'!K46-'Kubiņu masa'!$D46)/'Kubiņu masa'!$D46*100</f>
        <v>6.6193853427895828</v>
      </c>
      <c r="L43" s="21">
        <f>('Kubiņu masa'!L46-'Kubiņu masa'!$D46)/'Kubiņu masa'!$D46*100</f>
        <v>6.8557919621749202</v>
      </c>
      <c r="M43" s="21">
        <f>('Kubiņu masa'!M46-'Kubiņu masa'!$D46)/'Kubiņu masa'!$D46*100</f>
        <v>6.6193853427895828</v>
      </c>
      <c r="N43" s="21">
        <f>('Kubiņu masa'!N46-'Kubiņu masa'!$D46)/'Kubiņu masa'!$D46*100</f>
        <v>10.401891252955069</v>
      </c>
      <c r="O43" s="21">
        <f>('Kubiņu masa'!O46-'Kubiņu masa'!$D46)/'Kubiņu masa'!$D46*100</f>
        <v>11.111111111111104</v>
      </c>
      <c r="P43" s="22">
        <f>('Kubiņu masa'!P46-'Kubiņu masa'!$D46)/'Kubiņu masa'!$D46*100</f>
        <v>11.111111111111104</v>
      </c>
      <c r="Q43" s="21" t="s">
        <v>16</v>
      </c>
      <c r="R43" s="23"/>
      <c r="S43" s="23"/>
      <c r="T43" s="23"/>
      <c r="U43" s="23"/>
    </row>
    <row r="44" spans="1:21" ht="15.75" customHeight="1" x14ac:dyDescent="0.35">
      <c r="A44" s="49"/>
      <c r="B44" s="30" t="s">
        <v>24</v>
      </c>
      <c r="C44" s="26">
        <v>207</v>
      </c>
      <c r="D44" s="21">
        <f>('Kubiņu masa'!D47-'Kubiņu masa'!$D47)/'Kubiņu masa'!$D47*100</f>
        <v>0</v>
      </c>
      <c r="E44" s="21">
        <f>('Kubiņu masa'!E47-'Kubiņu masa'!$D47)/'Kubiņu masa'!$D47*100</f>
        <v>2.8571428571428639</v>
      </c>
      <c r="F44" s="21">
        <f>('Kubiņu masa'!F47-'Kubiņu masa'!$D47)/'Kubiņu masa'!$D47*100</f>
        <v>2.8571428571428639</v>
      </c>
      <c r="G44" s="21">
        <f>('Kubiņu masa'!G47-'Kubiņu masa'!$D47)/'Kubiņu masa'!$D47*100</f>
        <v>3.6190476190476266</v>
      </c>
      <c r="H44" s="21">
        <f>('Kubiņu masa'!H47-'Kubiņu masa'!$D47)/'Kubiņu masa'!$D47*100</f>
        <v>3.6190476190476266</v>
      </c>
      <c r="I44" s="21">
        <f>('Kubiņu masa'!I47-'Kubiņu masa'!$D47)/'Kubiņu masa'!$D47*100</f>
        <v>4.9523809523809481</v>
      </c>
      <c r="J44" s="21">
        <f>('Kubiņu masa'!J47-'Kubiņu masa'!$D47)/'Kubiņu masa'!$D47*100</f>
        <v>4.9523809523809481</v>
      </c>
      <c r="K44" s="21">
        <f>('Kubiņu masa'!K47-'Kubiņu masa'!$D47)/'Kubiņu masa'!$D47*100</f>
        <v>6.6666666666666599</v>
      </c>
      <c r="L44" s="21">
        <f>('Kubiņu masa'!L47-'Kubiņu masa'!$D47)/'Kubiņu masa'!$D47*100</f>
        <v>6.857142857142863</v>
      </c>
      <c r="M44" s="21">
        <f>('Kubiņu masa'!M47-'Kubiņu masa'!$D47)/'Kubiņu masa'!$D47*100</f>
        <v>6.6666666666666599</v>
      </c>
      <c r="N44" s="21">
        <f>('Kubiņu masa'!N47-'Kubiņu masa'!$D47)/'Kubiņu masa'!$D47*100</f>
        <v>9.9047619047618962</v>
      </c>
      <c r="O44" s="21">
        <f>('Kubiņu masa'!O47-'Kubiņu masa'!$D47)/'Kubiņu masa'!$D47*100</f>
        <v>10.285714285714286</v>
      </c>
      <c r="P44" s="22">
        <f>('Kubiņu masa'!P47-'Kubiņu masa'!$D47)/'Kubiņu masa'!$D47*100</f>
        <v>10.285714285714286</v>
      </c>
      <c r="Q44" s="21" t="s">
        <v>17</v>
      </c>
      <c r="R44" s="23"/>
      <c r="S44" s="23"/>
      <c r="T44" s="23"/>
      <c r="U44" s="23"/>
    </row>
    <row r="45" spans="1:21" ht="15.75" customHeight="1" x14ac:dyDescent="0.35">
      <c r="A45" s="49"/>
      <c r="B45" s="31"/>
      <c r="C45" s="26">
        <v>314</v>
      </c>
      <c r="D45" s="21">
        <f>('Kubiņu masa'!D48-'Kubiņu masa'!$D48)/'Kubiņu masa'!$D48*100</f>
        <v>0</v>
      </c>
      <c r="E45" s="21">
        <f>('Kubiņu masa'!E48-'Kubiņu masa'!$D48)/'Kubiņu masa'!$D48*100</f>
        <v>2.7777777777777675</v>
      </c>
      <c r="F45" s="21">
        <f>('Kubiņu masa'!F48-'Kubiņu masa'!$D48)/'Kubiņu masa'!$D48*100</f>
        <v>2.7777777777777675</v>
      </c>
      <c r="G45" s="21">
        <f>('Kubiņu masa'!G48-'Kubiņu masa'!$D48)/'Kubiņu masa'!$D48*100</f>
        <v>3.5185185185185088</v>
      </c>
      <c r="H45" s="21">
        <f>('Kubiņu masa'!H48-'Kubiņu masa'!$D48)/'Kubiņu masa'!$D48*100</f>
        <v>3.5185185185185088</v>
      </c>
      <c r="I45" s="21">
        <f>('Kubiņu masa'!I48-'Kubiņu masa'!$D48)/'Kubiņu masa'!$D48*100</f>
        <v>4.999999999999992</v>
      </c>
      <c r="J45" s="21">
        <f>('Kubiņu masa'!J48-'Kubiņu masa'!$D48)/'Kubiņu masa'!$D48*100</f>
        <v>4.999999999999992</v>
      </c>
      <c r="K45" s="21">
        <f>('Kubiņu masa'!K48-'Kubiņu masa'!$D48)/'Kubiņu masa'!$D48*100</f>
        <v>6.6666666666666554</v>
      </c>
      <c r="L45" s="21">
        <f>('Kubiņu masa'!L48-'Kubiņu masa'!$D48)/'Kubiņu masa'!$D48*100</f>
        <v>6.851851851851837</v>
      </c>
      <c r="M45" s="21">
        <f>('Kubiņu masa'!M48-'Kubiņu masa'!$D48)/'Kubiņu masa'!$D48*100</f>
        <v>6.851851851851837</v>
      </c>
      <c r="N45" s="21">
        <f>('Kubiņu masa'!N48-'Kubiņu masa'!$D48)/'Kubiņu masa'!$D48*100</f>
        <v>10</v>
      </c>
      <c r="O45" s="21">
        <f>('Kubiņu masa'!O48-'Kubiņu masa'!$D48)/'Kubiņu masa'!$D48*100</f>
        <v>10.555555555555543</v>
      </c>
      <c r="P45" s="22">
        <f>('Kubiņu masa'!P48-'Kubiņu masa'!$D48)/'Kubiņu masa'!$D48*100</f>
        <v>10.370370370370363</v>
      </c>
      <c r="Q45" s="21" t="s">
        <v>17</v>
      </c>
      <c r="R45" s="23"/>
      <c r="S45" s="23"/>
      <c r="T45" s="23"/>
      <c r="U45" s="23"/>
    </row>
    <row r="46" spans="1:21" ht="15.75" customHeight="1" x14ac:dyDescent="0.35">
      <c r="A46" s="49"/>
      <c r="B46" s="31"/>
      <c r="C46" s="26">
        <v>280</v>
      </c>
      <c r="D46" s="21">
        <f>('Kubiņu masa'!D49-'Kubiņu masa'!$D49)/'Kubiņu masa'!$D49*100</f>
        <v>0</v>
      </c>
      <c r="E46" s="21">
        <f>('Kubiņu masa'!E49-'Kubiņu masa'!$D49)/'Kubiņu masa'!$D49*100</f>
        <v>2.7675276752767592</v>
      </c>
      <c r="F46" s="21">
        <f>('Kubiņu masa'!F49-'Kubiņu masa'!$D49)/'Kubiņu masa'!$D49*100</f>
        <v>2.7675276752767592</v>
      </c>
      <c r="G46" s="21">
        <f>('Kubiņu masa'!G49-'Kubiņu masa'!$D49)/'Kubiņu masa'!$D49*100</f>
        <v>3.690036900369007</v>
      </c>
      <c r="H46" s="21">
        <f>('Kubiņu masa'!H49-'Kubiņu masa'!$D49)/'Kubiņu masa'!$D49*100</f>
        <v>3.690036900369007</v>
      </c>
      <c r="I46" s="21">
        <f>('Kubiņu masa'!I49-'Kubiņu masa'!$D49)/'Kubiņu masa'!$D49*100</f>
        <v>4.9815498154981634</v>
      </c>
      <c r="J46" s="21">
        <f>('Kubiņu masa'!J49-'Kubiņu masa'!$D49)/'Kubiņu masa'!$D49*100</f>
        <v>4.9815498154981634</v>
      </c>
      <c r="K46" s="21">
        <f>('Kubiņu masa'!K49-'Kubiņu masa'!$D49)/'Kubiņu masa'!$D49*100</f>
        <v>6.826568265682659</v>
      </c>
      <c r="L46" s="21">
        <f>('Kubiņu masa'!L49-'Kubiņu masa'!$D49)/'Kubiņu masa'!$D49*100</f>
        <v>7.0110701107011053</v>
      </c>
      <c r="M46" s="21">
        <f>('Kubiņu masa'!M49-'Kubiņu masa'!$D49)/'Kubiņu masa'!$D49*100</f>
        <v>6.826568265682659</v>
      </c>
      <c r="N46" s="21">
        <f>('Kubiņu masa'!N49-'Kubiņu masa'!$D49)/'Kubiņu masa'!$D49*100</f>
        <v>9.9630996309963109</v>
      </c>
      <c r="O46" s="21">
        <f>('Kubiņu masa'!O49-'Kubiņu masa'!$D49)/'Kubiņu masa'!$D49*100</f>
        <v>10.701107011070112</v>
      </c>
      <c r="P46" s="22">
        <f>('Kubiņu masa'!P49-'Kubiņu masa'!$D49)/'Kubiņu masa'!$D49*100</f>
        <v>10.516605166051667</v>
      </c>
      <c r="Q46" s="21" t="s">
        <v>17</v>
      </c>
      <c r="R46" s="23"/>
      <c r="S46" s="23"/>
      <c r="T46" s="23"/>
      <c r="U46" s="23"/>
    </row>
    <row r="47" spans="1:21" ht="15.75" customHeight="1" x14ac:dyDescent="0.35">
      <c r="A47" s="49"/>
      <c r="B47" s="30" t="s">
        <v>25</v>
      </c>
      <c r="C47" s="26">
        <v>172</v>
      </c>
      <c r="D47" s="21">
        <f>('Kubiņu masa'!D50-'Kubiņu masa'!$D50)/'Kubiņu masa'!$D50*100</f>
        <v>0</v>
      </c>
      <c r="E47" s="21">
        <f>('Kubiņu masa'!E50-'Kubiņu masa'!$D50)/'Kubiņu masa'!$D50*100</f>
        <v>3.092783505154634</v>
      </c>
      <c r="F47" s="21">
        <f>('Kubiņu masa'!F50-'Kubiņu masa'!$D50)/'Kubiņu masa'!$D50*100</f>
        <v>3.092783505154634</v>
      </c>
      <c r="G47" s="21">
        <f>('Kubiņu masa'!G50-'Kubiņu masa'!$D50)/'Kubiņu masa'!$D50*100</f>
        <v>3.9518900343642533</v>
      </c>
      <c r="H47" s="21">
        <f>('Kubiņu masa'!H50-'Kubiņu masa'!$D50)/'Kubiņu masa'!$D50*100</f>
        <v>3.9518900343642533</v>
      </c>
      <c r="I47" s="21">
        <f>('Kubiņu masa'!I50-'Kubiņu masa'!$D50)/'Kubiņu masa'!$D50*100</f>
        <v>5.326460481099649</v>
      </c>
      <c r="J47" s="21">
        <f>('Kubiņu masa'!J50-'Kubiņu masa'!$D50)/'Kubiņu masa'!$D50*100</f>
        <v>5.326460481099649</v>
      </c>
      <c r="K47" s="21">
        <f>('Kubiņu masa'!K50-'Kubiņu masa'!$D50)/'Kubiņu masa'!$D50*100</f>
        <v>7.2164948453608231</v>
      </c>
      <c r="L47" s="21">
        <f>('Kubiņu masa'!L50-'Kubiņu masa'!$D50)/'Kubiņu masa'!$D50*100</f>
        <v>7.3883161512027433</v>
      </c>
      <c r="M47" s="21">
        <f>('Kubiņu masa'!M50-'Kubiņu masa'!$D50)/'Kubiņu masa'!$D50*100</f>
        <v>7.3883161512027433</v>
      </c>
      <c r="N47" s="21">
        <f>('Kubiņu masa'!N50-'Kubiņu masa'!$D50)/'Kubiņu masa'!$D50*100</f>
        <v>10.824742268041234</v>
      </c>
      <c r="O47" s="21">
        <f>('Kubiņu masa'!O50-'Kubiņu masa'!$D50)/'Kubiņu masa'!$D50*100</f>
        <v>11.168384879725076</v>
      </c>
      <c r="P47" s="22">
        <f>('Kubiņu masa'!P50-'Kubiņu masa'!$D50)/'Kubiņu masa'!$D50*100</f>
        <v>11.168384879725076</v>
      </c>
      <c r="Q47" s="21" t="s">
        <v>17</v>
      </c>
      <c r="R47" s="23"/>
      <c r="S47" s="23"/>
      <c r="T47" s="23"/>
      <c r="U47" s="23"/>
    </row>
    <row r="48" spans="1:21" ht="15.75" customHeight="1" x14ac:dyDescent="0.35">
      <c r="A48" s="49"/>
      <c r="B48" s="31"/>
      <c r="C48" s="26">
        <v>229</v>
      </c>
      <c r="D48" s="21">
        <f>('Kubiņu masa'!D51-'Kubiņu masa'!$D51)/'Kubiņu masa'!$D51*100</f>
        <v>0</v>
      </c>
      <c r="E48" s="21">
        <f>('Kubiņu masa'!E51-'Kubiņu masa'!$D51)/'Kubiņu masa'!$D51*100</f>
        <v>3.2702237521514701</v>
      </c>
      <c r="F48" s="21">
        <f>('Kubiņu masa'!F51-'Kubiņu masa'!$D51)/'Kubiņu masa'!$D51*100</f>
        <v>3.2702237521514701</v>
      </c>
      <c r="G48" s="21">
        <f>('Kubiņu masa'!G51-'Kubiņu masa'!$D51)/'Kubiņu masa'!$D51*100</f>
        <v>4.1308089500860623</v>
      </c>
      <c r="H48" s="21">
        <f>('Kubiņu masa'!H51-'Kubiņu masa'!$D51)/'Kubiņu masa'!$D51*100</f>
        <v>4.1308089500860623</v>
      </c>
      <c r="I48" s="21">
        <f>('Kubiņu masa'!I51-'Kubiņu masa'!$D51)/'Kubiņu masa'!$D51*100</f>
        <v>5.6798623063683324</v>
      </c>
      <c r="J48" s="21">
        <f>('Kubiņu masa'!J51-'Kubiņu masa'!$D51)/'Kubiņu masa'!$D51*100</f>
        <v>5.6798623063683324</v>
      </c>
      <c r="K48" s="21">
        <f>('Kubiņu masa'!K51-'Kubiņu masa'!$D51)/'Kubiņu masa'!$D51*100</f>
        <v>7.573149741824448</v>
      </c>
      <c r="L48" s="21">
        <f>('Kubiņu masa'!L51-'Kubiņu masa'!$D51)/'Kubiņu masa'!$D51*100</f>
        <v>7.7452667814113623</v>
      </c>
      <c r="M48" s="21">
        <f>('Kubiņu masa'!M51-'Kubiņu masa'!$D51)/'Kubiņu masa'!$D51*100</f>
        <v>7.7452667814113623</v>
      </c>
      <c r="N48" s="21">
        <f>('Kubiņu masa'!N51-'Kubiņu masa'!$D51)/'Kubiņu masa'!$D51*100</f>
        <v>11.18760757314975</v>
      </c>
      <c r="O48" s="21">
        <f>('Kubiņu masa'!O51-'Kubiņu masa'!$D51)/'Kubiņu masa'!$D51*100</f>
        <v>11.703958691910509</v>
      </c>
      <c r="P48" s="22">
        <f>('Kubiņu masa'!P51-'Kubiņu masa'!$D51)/'Kubiņu masa'!$D51*100</f>
        <v>11.531841652323594</v>
      </c>
      <c r="Q48" s="21" t="s">
        <v>17</v>
      </c>
      <c r="R48" s="23"/>
      <c r="S48" s="23"/>
      <c r="T48" s="23"/>
      <c r="U48" s="23"/>
    </row>
    <row r="49" spans="1:21" ht="15.75" customHeight="1" x14ac:dyDescent="0.35">
      <c r="A49" s="49"/>
      <c r="B49" s="31"/>
      <c r="C49" s="26">
        <v>349</v>
      </c>
      <c r="D49" s="21">
        <f>('Kubiņu masa'!D52-'Kubiņu masa'!$D52)/'Kubiņu masa'!$D52*100</f>
        <v>0</v>
      </c>
      <c r="E49" s="21">
        <f>('Kubiņu masa'!E52-'Kubiņu masa'!$D52)/'Kubiņu masa'!$D52*100</f>
        <v>3.2590051457975902</v>
      </c>
      <c r="F49" s="21">
        <f>('Kubiņu masa'!F52-'Kubiņu masa'!$D52)/'Kubiņu masa'!$D52*100</f>
        <v>3.2590051457975902</v>
      </c>
      <c r="G49" s="21">
        <f>('Kubiņu masa'!G52-'Kubiņu masa'!$D52)/'Kubiņu masa'!$D52*100</f>
        <v>4.1166380789022332</v>
      </c>
      <c r="H49" s="21">
        <f>('Kubiņu masa'!H52-'Kubiņu masa'!$D52)/'Kubiņu masa'!$D52*100</f>
        <v>4.1166380789022332</v>
      </c>
      <c r="I49" s="21">
        <f>('Kubiņu masa'!I52-'Kubiņu masa'!$D52)/'Kubiņu masa'!$D52*100</f>
        <v>5.6603773584905666</v>
      </c>
      <c r="J49" s="21">
        <f>('Kubiņu masa'!J52-'Kubiņu masa'!$D52)/'Kubiņu masa'!$D52*100</f>
        <v>5.6603773584905666</v>
      </c>
      <c r="K49" s="21">
        <f>('Kubiņu masa'!K52-'Kubiņu masa'!$D52)/'Kubiņu masa'!$D52*100</f>
        <v>7.5471698113207459</v>
      </c>
      <c r="L49" s="21">
        <f>('Kubiņu masa'!L52-'Kubiņu masa'!$D52)/'Kubiņu masa'!$D52*100</f>
        <v>7.7186963979416836</v>
      </c>
      <c r="M49" s="21">
        <f>('Kubiņu masa'!M52-'Kubiņu masa'!$D52)/'Kubiņu masa'!$D52*100</f>
        <v>7.7186963979416836</v>
      </c>
      <c r="N49" s="21">
        <f>('Kubiņu masa'!N52-'Kubiņu masa'!$D52)/'Kubiņu masa'!$D52*100</f>
        <v>11.492281303602057</v>
      </c>
      <c r="O49" s="21">
        <f>('Kubiņu masa'!O52-'Kubiņu masa'!$D52)/'Kubiņu masa'!$D52*100</f>
        <v>11.835334476843903</v>
      </c>
      <c r="P49" s="22">
        <f>('Kubiņu masa'!P52-'Kubiņu masa'!$D52)/'Kubiņu masa'!$D52*100</f>
        <v>11.835334476843903</v>
      </c>
      <c r="Q49" s="21" t="s">
        <v>17</v>
      </c>
      <c r="R49" s="23"/>
      <c r="S49" s="23"/>
      <c r="T49" s="23"/>
      <c r="U49" s="23"/>
    </row>
    <row r="50" spans="1:21" ht="15.75" customHeight="1" x14ac:dyDescent="0.35">
      <c r="A50" s="49"/>
      <c r="B50" s="30" t="s">
        <v>26</v>
      </c>
      <c r="C50" s="26">
        <v>193</v>
      </c>
      <c r="D50" s="21">
        <f>('Kubiņu masa'!D53-'Kubiņu masa'!$D53)/'Kubiņu masa'!$D53*100</f>
        <v>0</v>
      </c>
      <c r="E50" s="21">
        <f>('Kubiņu masa'!E53-'Kubiņu masa'!$D53)/'Kubiņu masa'!$D53*100</f>
        <v>2.7334851936218705</v>
      </c>
      <c r="F50" s="21">
        <f>('Kubiņu masa'!F53-'Kubiņu masa'!$D53)/'Kubiņu masa'!$D53*100</f>
        <v>2.7334851936218705</v>
      </c>
      <c r="G50" s="21">
        <f>('Kubiņu masa'!G53-'Kubiņu masa'!$D53)/'Kubiņu masa'!$D53*100</f>
        <v>3.4168564920273434</v>
      </c>
      <c r="H50" s="21">
        <f>('Kubiņu masa'!H53-'Kubiņu masa'!$D53)/'Kubiņu masa'!$D53*100</f>
        <v>3.4168564920273434</v>
      </c>
      <c r="I50" s="21">
        <f>('Kubiņu masa'!I53-'Kubiņu masa'!$D53)/'Kubiņu masa'!$D53*100</f>
        <v>4.783599088838268</v>
      </c>
      <c r="J50" s="21">
        <f>('Kubiņu masa'!J53-'Kubiņu masa'!$D53)/'Kubiņu masa'!$D53*100</f>
        <v>4.783599088838268</v>
      </c>
      <c r="K50" s="21">
        <f>('Kubiņu masa'!K53-'Kubiņu masa'!$D53)/'Kubiņu masa'!$D53*100</f>
        <v>6.6059225512528492</v>
      </c>
      <c r="L50" s="21">
        <f>('Kubiņu masa'!L53-'Kubiņu masa'!$D53)/'Kubiņu masa'!$D53*100</f>
        <v>6.8337129840546869</v>
      </c>
      <c r="M50" s="21">
        <f>('Kubiņu masa'!M53-'Kubiņu masa'!$D53)/'Kubiņu masa'!$D53*100</f>
        <v>6.8337129840546869</v>
      </c>
      <c r="N50" s="21">
        <f>('Kubiņu masa'!N53-'Kubiņu masa'!$D53)/'Kubiņu masa'!$D53*100</f>
        <v>10.25056947608201</v>
      </c>
      <c r="O50" s="21">
        <f>('Kubiņu masa'!O53-'Kubiņu masa'!$D53)/'Kubiņu masa'!$D53*100</f>
        <v>10.706150341685666</v>
      </c>
      <c r="P50" s="22">
        <f>('Kubiņu masa'!P53-'Kubiņu masa'!$D53)/'Kubiņu masa'!$D53*100</f>
        <v>10.706150341685666</v>
      </c>
      <c r="Q50" s="21" t="s">
        <v>17</v>
      </c>
      <c r="R50" s="23"/>
      <c r="S50" s="23"/>
      <c r="T50" s="23"/>
      <c r="U50" s="23"/>
    </row>
    <row r="51" spans="1:21" ht="15.75" customHeight="1" x14ac:dyDescent="0.35">
      <c r="A51" s="49"/>
      <c r="B51" s="31"/>
      <c r="C51" s="26">
        <v>160</v>
      </c>
      <c r="D51" s="21">
        <f>('Kubiņu masa'!D54-'Kubiņu masa'!$D54)/'Kubiņu masa'!$D54*100</f>
        <v>0</v>
      </c>
      <c r="E51" s="21">
        <f>('Kubiņu masa'!E54-'Kubiņu masa'!$D54)/'Kubiņu masa'!$D54*100</f>
        <v>2.298850574712656</v>
      </c>
      <c r="F51" s="21">
        <f>('Kubiņu masa'!F54-'Kubiņu masa'!$D54)/'Kubiņu masa'!$D54*100</f>
        <v>2.298850574712656</v>
      </c>
      <c r="G51" s="21">
        <f>('Kubiņu masa'!G54-'Kubiņu masa'!$D54)/'Kubiņu masa'!$D54*100</f>
        <v>3.2183908045977141</v>
      </c>
      <c r="H51" s="21">
        <f>('Kubiņu masa'!H54-'Kubiņu masa'!$D54)/'Kubiņu masa'!$D54*100</f>
        <v>3.2183908045977141</v>
      </c>
      <c r="I51" s="21">
        <f>('Kubiņu masa'!I54-'Kubiņu masa'!$D54)/'Kubiņu masa'!$D54*100</f>
        <v>4.3678160919540323</v>
      </c>
      <c r="J51" s="21">
        <f>('Kubiņu masa'!J54-'Kubiņu masa'!$D54)/'Kubiņu masa'!$D54*100</f>
        <v>4.3678160919540323</v>
      </c>
      <c r="K51" s="21">
        <f>('Kubiņu masa'!K54-'Kubiņu masa'!$D54)/'Kubiņu masa'!$D54*100</f>
        <v>6.2068965517241486</v>
      </c>
      <c r="L51" s="21">
        <f>('Kubiņu masa'!L54-'Kubiņu masa'!$D54)/'Kubiņu masa'!$D54*100</f>
        <v>6.2068965517241486</v>
      </c>
      <c r="M51" s="21">
        <f>('Kubiņu masa'!M54-'Kubiņu masa'!$D54)/'Kubiņu masa'!$D54*100</f>
        <v>6.2068965517241486</v>
      </c>
      <c r="N51" s="21">
        <f>('Kubiņu masa'!N54-'Kubiņu masa'!$D54)/'Kubiņu masa'!$D54*100</f>
        <v>9.4252873563218422</v>
      </c>
      <c r="O51" s="21">
        <f>('Kubiņu masa'!O54-'Kubiņu masa'!$D54)/'Kubiņu masa'!$D54*100</f>
        <v>9.8850574712643837</v>
      </c>
      <c r="P51" s="22">
        <f>('Kubiņu masa'!P54-'Kubiņu masa'!$D54)/'Kubiņu masa'!$D54*100</f>
        <v>9.8850574712643837</v>
      </c>
      <c r="Q51" s="21" t="s">
        <v>17</v>
      </c>
      <c r="R51" s="23"/>
      <c r="S51" s="23"/>
      <c r="T51" s="23"/>
      <c r="U51" s="23"/>
    </row>
    <row r="52" spans="1:21" ht="15.75" customHeight="1" x14ac:dyDescent="0.35">
      <c r="A52" s="51"/>
      <c r="B52" s="31"/>
      <c r="C52" s="26">
        <v>218</v>
      </c>
      <c r="D52" s="21">
        <f>('Kubiņu masa'!D55-'Kubiņu masa'!$D55)/'Kubiņu masa'!$D55*100</f>
        <v>0</v>
      </c>
      <c r="E52" s="21">
        <f>('Kubiņu masa'!E55-'Kubiņu masa'!$D55)/'Kubiņu masa'!$D55*100</f>
        <v>2.3866348448687265</v>
      </c>
      <c r="F52" s="21">
        <f>('Kubiņu masa'!F55-'Kubiņu masa'!$D55)/'Kubiņu masa'!$D55*100</f>
        <v>2.3866348448687265</v>
      </c>
      <c r="G52" s="21">
        <f>('Kubiņu masa'!G55-'Kubiņu masa'!$D55)/'Kubiņu masa'!$D55*100</f>
        <v>3.1026252983293525</v>
      </c>
      <c r="H52" s="21">
        <f>('Kubiņu masa'!H55-'Kubiņu masa'!$D55)/'Kubiņu masa'!$D55*100</f>
        <v>3.3412887828162217</v>
      </c>
      <c r="I52" s="21">
        <f>('Kubiņu masa'!I55-'Kubiņu masa'!$D55)/'Kubiņu masa'!$D55*100</f>
        <v>4.5346062052505847</v>
      </c>
      <c r="J52" s="21">
        <f>('Kubiņu masa'!J55-'Kubiņu masa'!$D55)/'Kubiņu masa'!$D55*100</f>
        <v>4.5346062052505847</v>
      </c>
      <c r="K52" s="21">
        <f>('Kubiņu masa'!K55-'Kubiņu masa'!$D55)/'Kubiņu masa'!$D55*100</f>
        <v>6.205250596658705</v>
      </c>
      <c r="L52" s="21">
        <f>('Kubiņu masa'!L55-'Kubiņu masa'!$D55)/'Kubiņu masa'!$D55*100</f>
        <v>6.205250596658705</v>
      </c>
      <c r="M52" s="21">
        <f>('Kubiņu masa'!M55-'Kubiņu masa'!$D55)/'Kubiņu masa'!$D55*100</f>
        <v>6.205250596658705</v>
      </c>
      <c r="N52" s="21">
        <f>('Kubiņu masa'!N55-'Kubiņu masa'!$D55)/'Kubiņu masa'!$D55*100</f>
        <v>9.5465393794749254</v>
      </c>
      <c r="O52" s="21">
        <f>('Kubiņu masa'!O55-'Kubiņu masa'!$D55)/'Kubiņu masa'!$D55*100</f>
        <v>9.7852028639617945</v>
      </c>
      <c r="P52" s="22">
        <f>('Kubiņu masa'!P55-'Kubiņu masa'!$D55)/'Kubiņu masa'!$D55*100</f>
        <v>9.7852028639617945</v>
      </c>
      <c r="Q52" s="21" t="s">
        <v>17</v>
      </c>
      <c r="R52" s="23"/>
      <c r="S52" s="23"/>
      <c r="T52" s="23"/>
      <c r="U52" s="23"/>
    </row>
    <row r="53" spans="1:21" ht="15.75" customHeight="1" x14ac:dyDescent="0.35">
      <c r="A53" s="32" t="s">
        <v>27</v>
      </c>
      <c r="B53" s="29" t="s">
        <v>28</v>
      </c>
      <c r="C53" s="8">
        <v>32</v>
      </c>
      <c r="D53" s="21">
        <f>('Kubiņu masa'!D56-'Kubiņu masa'!$D56)/'Kubiņu masa'!$D56*100</f>
        <v>0</v>
      </c>
      <c r="E53" s="21">
        <f>('Kubiņu masa'!E56-'Kubiņu masa'!$D56)/'Kubiņu masa'!$D56*100</f>
        <v>3.9973787680209663</v>
      </c>
      <c r="F53" s="21">
        <f>('Kubiņu masa'!F56-'Kubiņu masa'!$D56)/'Kubiņu masa'!$D56*100</f>
        <v>4.0629095674967299</v>
      </c>
      <c r="G53" s="21">
        <f>('Kubiņu masa'!G56-'Kubiņu masa'!$D56)/'Kubiņu masa'!$D56*100</f>
        <v>5.0458715596330359</v>
      </c>
      <c r="H53" s="21">
        <f>('Kubiņu masa'!H56-'Kubiņu masa'!$D56)/'Kubiņu masa'!$D56*100</f>
        <v>5.1114023591087774</v>
      </c>
      <c r="I53" s="21">
        <f>('Kubiņu masa'!I56-'Kubiņu masa'!$D56)/'Kubiņu masa'!$D56*100</f>
        <v>7.1428571428571539</v>
      </c>
      <c r="J53" s="21">
        <f>('Kubiņu masa'!J56-'Kubiņu masa'!$D56)/'Kubiņu masa'!$D56*100</f>
        <v>7.1428571428571539</v>
      </c>
      <c r="K53" s="21">
        <f>('Kubiņu masa'!K56-'Kubiņu masa'!$D56)/'Kubiņu masa'!$D56*100</f>
        <v>8.9121887287024979</v>
      </c>
      <c r="L53" s="21">
        <f>('Kubiņu masa'!L56-'Kubiņu masa'!$D56)/'Kubiņu masa'!$D56*100</f>
        <v>10.222804718217565</v>
      </c>
      <c r="M53" s="21">
        <f>('Kubiņu masa'!M56-'Kubiņu masa'!$D56)/'Kubiņu masa'!$D56*100</f>
        <v>10.288335517693307</v>
      </c>
      <c r="N53" s="21">
        <f>('Kubiņu masa'!N56-'Kubiņu masa'!$D56)/'Kubiņu masa'!$D56*100</f>
        <v>14.613368283093045</v>
      </c>
      <c r="O53" s="21">
        <f>('Kubiņu masa'!O56-'Kubiņu masa'!$D56)/'Kubiņu masa'!$D56*100</f>
        <v>15.596330275229365</v>
      </c>
      <c r="P53" s="22">
        <f>('Kubiņu masa'!P56-'Kubiņu masa'!$D56)/'Kubiņu masa'!$D56*100</f>
        <v>15.792922673656632</v>
      </c>
      <c r="Q53" s="21" t="s">
        <v>16</v>
      </c>
      <c r="R53" s="23"/>
      <c r="S53" s="23"/>
      <c r="T53" s="23"/>
      <c r="U53" s="23"/>
    </row>
    <row r="54" spans="1:21" ht="15.75" customHeight="1" x14ac:dyDescent="0.35">
      <c r="A54" s="52"/>
      <c r="B54" s="29"/>
      <c r="C54" s="8">
        <v>33</v>
      </c>
      <c r="D54" s="21">
        <f>('Kubiņu masa'!D57-'Kubiņu masa'!$D57)/'Kubiņu masa'!$D57*100</f>
        <v>0</v>
      </c>
      <c r="E54" s="21">
        <f>('Kubiņu masa'!E57-'Kubiņu masa'!$D57)/'Kubiņu masa'!$D57*100</f>
        <v>3.7275064267352187</v>
      </c>
      <c r="F54" s="21">
        <f>('Kubiņu masa'!F57-'Kubiņu masa'!$D57)/'Kubiņu masa'!$D57*100</f>
        <v>3.7917737789202959</v>
      </c>
      <c r="G54" s="21">
        <f>('Kubiņu masa'!G57-'Kubiņu masa'!$D57)/'Kubiņu masa'!$D57*100</f>
        <v>4.7557840616966596</v>
      </c>
      <c r="H54" s="21">
        <f>('Kubiņu masa'!H57-'Kubiņu masa'!$D57)/'Kubiņu masa'!$D57*100</f>
        <v>4.8200514138817363</v>
      </c>
      <c r="I54" s="21">
        <f>('Kubiņu masa'!I57-'Kubiņu masa'!$D57)/'Kubiņu masa'!$D57*100</f>
        <v>6.8766066838046171</v>
      </c>
      <c r="J54" s="21">
        <f>('Kubiņu masa'!J57-'Kubiņu masa'!$D57)/'Kubiņu masa'!$D57*100</f>
        <v>6.9408740359897179</v>
      </c>
      <c r="K54" s="21">
        <f>('Kubiņu masa'!K57-'Kubiņu masa'!$D57)/'Kubiņu masa'!$D57*100</f>
        <v>8.676092544987144</v>
      </c>
      <c r="L54" s="21">
        <f>('Kubiņu masa'!L57-'Kubiņu masa'!$D57)/'Kubiņu masa'!$D57*100</f>
        <v>9.897172236503863</v>
      </c>
      <c r="M54" s="21">
        <f>('Kubiņu masa'!M57-'Kubiņu masa'!$D57)/'Kubiņu masa'!$D57*100</f>
        <v>9.9614395886889398</v>
      </c>
      <c r="N54" s="21">
        <f>('Kubiņu masa'!N57-'Kubiņu masa'!$D57)/'Kubiņu masa'!$D57*100</f>
        <v>13.881748071979425</v>
      </c>
      <c r="O54" s="21">
        <f>('Kubiņu masa'!O57-'Kubiņu masa'!$D57)/'Kubiņu masa'!$D57*100</f>
        <v>14.781491002570688</v>
      </c>
      <c r="P54" s="22">
        <f>('Kubiņu masa'!P57-'Kubiņu masa'!$D57)/'Kubiņu masa'!$D57*100</f>
        <v>14.910025706940862</v>
      </c>
      <c r="Q54" s="21" t="s">
        <v>16</v>
      </c>
      <c r="R54" s="23"/>
      <c r="S54" s="23"/>
      <c r="T54" s="23"/>
      <c r="U54" s="23"/>
    </row>
    <row r="55" spans="1:21" ht="15.75" customHeight="1" x14ac:dyDescent="0.35">
      <c r="A55" s="53"/>
      <c r="B55" s="29"/>
      <c r="C55" s="8">
        <v>34</v>
      </c>
      <c r="D55" s="21">
        <f>('Kubiņu masa'!D58-'Kubiņu masa'!$D58)/'Kubiņu masa'!$D58*100</f>
        <v>0</v>
      </c>
      <c r="E55" s="21">
        <f>('Kubiņu masa'!E58-'Kubiņu masa'!$D58)/'Kubiņu masa'!$D58*100</f>
        <v>3.5580524344569304</v>
      </c>
      <c r="F55" s="21">
        <f>('Kubiņu masa'!F58-'Kubiņu masa'!$D58)/'Kubiņu masa'!$D58*100</f>
        <v>3.6828963795255922</v>
      </c>
      <c r="G55" s="21">
        <f>('Kubiņu masa'!G58-'Kubiņu masa'!$D58)/'Kubiņu masa'!$D58*100</f>
        <v>4.5568039950062449</v>
      </c>
      <c r="H55" s="21">
        <f>('Kubiņu masa'!H58-'Kubiņu masa'!$D58)/'Kubiņu masa'!$D58*100</f>
        <v>4.6192259675405873</v>
      </c>
      <c r="I55" s="21">
        <f>('Kubiņu masa'!I58-'Kubiņu masa'!$D58)/'Kubiņu masa'!$D58*100</f>
        <v>6.6167290886391932</v>
      </c>
      <c r="J55" s="21">
        <f>('Kubiņu masa'!J58-'Kubiņu masa'!$D58)/'Kubiņu masa'!$D58*100</f>
        <v>6.6791510611735356</v>
      </c>
      <c r="K55" s="21">
        <f>('Kubiņu masa'!K58-'Kubiņu masa'!$D58)/'Kubiņu masa'!$D58*100</f>
        <v>8.5518102372035028</v>
      </c>
      <c r="L55" s="21">
        <f>('Kubiņu masa'!L58-'Kubiņu masa'!$D58)/'Kubiņu masa'!$D58*100</f>
        <v>9.6754057428214768</v>
      </c>
      <c r="M55" s="21">
        <f>('Kubiņu masa'!M58-'Kubiņu masa'!$D58)/'Kubiņu masa'!$D58*100</f>
        <v>9.7378277153557971</v>
      </c>
      <c r="N55" s="21">
        <f>('Kubiņu masa'!N58-'Kubiņu masa'!$D58)/'Kubiņu masa'!$D58*100</f>
        <v>13.670411985018735</v>
      </c>
      <c r="O55" s="21">
        <f>('Kubiņu masa'!O58-'Kubiņu masa'!$D58)/'Kubiņu masa'!$D58*100</f>
        <v>14.606741573033707</v>
      </c>
      <c r="P55" s="22">
        <f>('Kubiņu masa'!P58-'Kubiņu masa'!$D58)/'Kubiņu masa'!$D58*100</f>
        <v>14.669163545568049</v>
      </c>
      <c r="Q55" s="21" t="s">
        <v>16</v>
      </c>
      <c r="R55" s="23"/>
      <c r="S55" s="23"/>
      <c r="T55" s="23"/>
      <c r="U55" s="23"/>
    </row>
    <row r="56" spans="1:21" ht="15.75" customHeight="1" x14ac:dyDescent="0.35">
      <c r="A56" s="53"/>
      <c r="B56" s="29" t="s">
        <v>29</v>
      </c>
      <c r="C56" s="8">
        <v>50</v>
      </c>
      <c r="D56" s="21">
        <f>('Kubiņu masa'!D59-'Kubiņu masa'!$D59)/'Kubiņu masa'!$D59*100</f>
        <v>0</v>
      </c>
      <c r="E56" s="21">
        <f>('Kubiņu masa'!E59-'Kubiņu masa'!$D59)/'Kubiņu masa'!$D59*100</f>
        <v>2.8252299605781848</v>
      </c>
      <c r="F56" s="21">
        <f>('Kubiņu masa'!F59-'Kubiņu masa'!$D59)/'Kubiņu masa'!$D59*100</f>
        <v>2.8252299605781848</v>
      </c>
      <c r="G56" s="21">
        <f>('Kubiņu masa'!G59-'Kubiņu masa'!$D59)/'Kubiņu masa'!$D59*100</f>
        <v>3.2851511169513801</v>
      </c>
      <c r="H56" s="21">
        <f>('Kubiņu masa'!H59-'Kubiņu masa'!$D59)/'Kubiņu masa'!$D59*100</f>
        <v>3.2851511169513801</v>
      </c>
      <c r="I56" s="21">
        <f>('Kubiņu masa'!I59-'Kubiņu masa'!$D59)/'Kubiņu masa'!$D59*100</f>
        <v>4.5335085413929006</v>
      </c>
      <c r="J56" s="21">
        <f>('Kubiņu masa'!J59-'Kubiņu masa'!$D59)/'Kubiņu masa'!$D59*100</f>
        <v>4.5992115637319264</v>
      </c>
      <c r="K56" s="21">
        <f>('Kubiņu masa'!K59-'Kubiņu masa'!$D59)/'Kubiņu masa'!$D59*100</f>
        <v>6.1760840998685902</v>
      </c>
      <c r="L56" s="21">
        <f>('Kubiņu masa'!L59-'Kubiņu masa'!$D59)/'Kubiņu masa'!$D59*100</f>
        <v>7.4244415243101232</v>
      </c>
      <c r="M56" s="21">
        <f>('Kubiņu masa'!M59-'Kubiņu masa'!$D59)/'Kubiņu masa'!$D59*100</f>
        <v>7.4244415243101232</v>
      </c>
      <c r="N56" s="21">
        <f>('Kubiņu masa'!N59-'Kubiņu masa'!$D59)/'Kubiņu masa'!$D59*100</f>
        <v>10.052562417871219</v>
      </c>
      <c r="O56" s="21">
        <f>('Kubiņu masa'!O59-'Kubiņu masa'!$D59)/'Kubiņu masa'!$D59*100</f>
        <v>10.775295663600518</v>
      </c>
      <c r="P56" s="22">
        <f>('Kubiņu masa'!P59-'Kubiņu masa'!$D59)/'Kubiņu masa'!$D59*100</f>
        <v>10.840998685939555</v>
      </c>
      <c r="Q56" s="21" t="s">
        <v>16</v>
      </c>
      <c r="R56" s="23"/>
      <c r="S56" s="23"/>
      <c r="T56" s="23"/>
      <c r="U56" s="23"/>
    </row>
    <row r="57" spans="1:21" ht="15.75" customHeight="1" x14ac:dyDescent="0.35">
      <c r="A57" s="53"/>
      <c r="B57" s="29"/>
      <c r="C57" s="8">
        <v>51</v>
      </c>
      <c r="D57" s="21">
        <f>('Kubiņu masa'!D60-'Kubiņu masa'!$D60)/'Kubiņu masa'!$D60*100</f>
        <v>0</v>
      </c>
      <c r="E57" s="21">
        <f>('Kubiņu masa'!E60-'Kubiņu masa'!$D60)/'Kubiņu masa'!$D60*100</f>
        <v>2.8704939919893171</v>
      </c>
      <c r="F57" s="21">
        <f>('Kubiņu masa'!F60-'Kubiņu masa'!$D60)/'Kubiņu masa'!$D60*100</f>
        <v>2.8704939919893171</v>
      </c>
      <c r="G57" s="21">
        <f>('Kubiņu masa'!G60-'Kubiņu masa'!$D60)/'Kubiņu masa'!$D60*100</f>
        <v>3.3377837116154869</v>
      </c>
      <c r="H57" s="21">
        <f>('Kubiņu masa'!H60-'Kubiņu masa'!$D60)/'Kubiņu masa'!$D60*100</f>
        <v>3.3377837116154869</v>
      </c>
      <c r="I57" s="21">
        <f>('Kubiņu masa'!I60-'Kubiņu masa'!$D60)/'Kubiņu masa'!$D60*100</f>
        <v>4.5393858477970612</v>
      </c>
      <c r="J57" s="21">
        <f>('Kubiņu masa'!J60-'Kubiņu masa'!$D60)/'Kubiņu masa'!$D60*100</f>
        <v>4.6061415220293691</v>
      </c>
      <c r="K57" s="21">
        <f>('Kubiņu masa'!K60-'Kubiņu masa'!$D60)/'Kubiņu masa'!$D60*100</f>
        <v>6.1415220293724957</v>
      </c>
      <c r="L57" s="21">
        <f>('Kubiņu masa'!L60-'Kubiņu masa'!$D60)/'Kubiņu masa'!$D60*100</f>
        <v>7.4098798397863774</v>
      </c>
      <c r="M57" s="21">
        <f>('Kubiņu masa'!M60-'Kubiņu masa'!$D60)/'Kubiņu masa'!$D60*100</f>
        <v>7.4098798397863774</v>
      </c>
      <c r="N57" s="21">
        <f>('Kubiņu masa'!N60-'Kubiņu masa'!$D60)/'Kubiņu masa'!$D60*100</f>
        <v>10.080106809078758</v>
      </c>
      <c r="O57" s="21">
        <f>('Kubiņu masa'!O60-'Kubiņu masa'!$D60)/'Kubiņu masa'!$D60*100</f>
        <v>10.747663551401864</v>
      </c>
      <c r="P57" s="22">
        <f>('Kubiņu masa'!P60-'Kubiņu masa'!$D60)/'Kubiņu masa'!$D60*100</f>
        <v>10.881174899866481</v>
      </c>
      <c r="Q57" s="21" t="s">
        <v>16</v>
      </c>
      <c r="R57" s="23"/>
      <c r="S57" s="23"/>
      <c r="T57" s="23"/>
      <c r="U57" s="23"/>
    </row>
    <row r="58" spans="1:21" ht="15.75" customHeight="1" x14ac:dyDescent="0.35">
      <c r="A58" s="53"/>
      <c r="B58" s="29"/>
      <c r="C58" s="8">
        <v>52</v>
      </c>
      <c r="D58" s="21">
        <f>('Kubiņu masa'!D61-'Kubiņu masa'!$D61)/'Kubiņu masa'!$D61*100</f>
        <v>0</v>
      </c>
      <c r="E58" s="21">
        <f>('Kubiņu masa'!E61-'Kubiņu masa'!$D61)/'Kubiņu masa'!$D61*100</f>
        <v>2.9197080291970772</v>
      </c>
      <c r="F58" s="21">
        <f>('Kubiņu masa'!F61-'Kubiņu masa'!$D61)/'Kubiņu masa'!$D61*100</f>
        <v>2.9197080291970772</v>
      </c>
      <c r="G58" s="21">
        <f>('Kubiņu masa'!G61-'Kubiņu masa'!$D61)/'Kubiņu masa'!$D61*100</f>
        <v>3.3842070338420691</v>
      </c>
      <c r="H58" s="21">
        <f>('Kubiņu masa'!H61-'Kubiņu masa'!$D61)/'Kubiņu masa'!$D61*100</f>
        <v>3.4505640345056374</v>
      </c>
      <c r="I58" s="21">
        <f>('Kubiņu masa'!I61-'Kubiņu masa'!$D61)/'Kubiņu masa'!$D61*100</f>
        <v>4.5786330457863267</v>
      </c>
      <c r="J58" s="21">
        <f>('Kubiņu masa'!J61-'Kubiņu masa'!$D61)/'Kubiņu masa'!$D61*100</f>
        <v>4.6449900464498954</v>
      </c>
      <c r="K58" s="21">
        <f>('Kubiņu masa'!K61-'Kubiņu masa'!$D61)/'Kubiņu masa'!$D61*100</f>
        <v>6.10484406104844</v>
      </c>
      <c r="L58" s="21">
        <f>('Kubiņu masa'!L61-'Kubiņu masa'!$D61)/'Kubiņu masa'!$D61*100</f>
        <v>7.3656270736562668</v>
      </c>
      <c r="M58" s="21">
        <f>('Kubiņu masa'!M61-'Kubiņu masa'!$D61)/'Kubiņu masa'!$D61*100</f>
        <v>7.3656270736562668</v>
      </c>
      <c r="N58" s="21">
        <f>('Kubiņu masa'!N61-'Kubiņu masa'!$D61)/'Kubiņu masa'!$D61*100</f>
        <v>10.086264100862637</v>
      </c>
      <c r="O58" s="21">
        <f>('Kubiņu masa'!O61-'Kubiņu masa'!$D61)/'Kubiņu masa'!$D61*100</f>
        <v>10.882548108825485</v>
      </c>
      <c r="P58" s="22">
        <f>('Kubiņu masa'!P61-'Kubiņu masa'!$D61)/'Kubiņu masa'!$D61*100</f>
        <v>10.882548108825485</v>
      </c>
      <c r="Q58" s="21" t="s">
        <v>16</v>
      </c>
      <c r="R58" s="23"/>
      <c r="S58" s="23"/>
      <c r="T58" s="23"/>
      <c r="U58" s="23"/>
    </row>
    <row r="59" spans="1:21" ht="15.75" customHeight="1" x14ac:dyDescent="0.35">
      <c r="A59" s="53"/>
      <c r="B59" s="33" t="s">
        <v>30</v>
      </c>
      <c r="C59" s="8">
        <v>8</v>
      </c>
      <c r="D59" s="21">
        <f>('Kubiņu masa'!D62-'Kubiņu masa'!$D62)/'Kubiņu masa'!$D62*100</f>
        <v>0</v>
      </c>
      <c r="E59" s="21">
        <f>('Kubiņu masa'!E62-'Kubiņu masa'!$D62)/'Kubiņu masa'!$D62*100</f>
        <v>3.2379518072289266</v>
      </c>
      <c r="F59" s="21">
        <f>('Kubiņu masa'!F62-'Kubiņu masa'!$D62)/'Kubiņu masa'!$D62*100</f>
        <v>3.3132530120482029</v>
      </c>
      <c r="G59" s="21">
        <f>('Kubiņu masa'!G62-'Kubiņu masa'!$D62)/'Kubiņu masa'!$D62*100</f>
        <v>3.9909638554216955</v>
      </c>
      <c r="H59" s="21">
        <f>('Kubiņu masa'!H62-'Kubiņu masa'!$D62)/'Kubiņu masa'!$D62*100</f>
        <v>4.0662650602409709</v>
      </c>
      <c r="I59" s="21">
        <f>('Kubiņu masa'!I62-'Kubiņu masa'!$D62)/'Kubiņu masa'!$D62*100</f>
        <v>5.6475903614457836</v>
      </c>
      <c r="J59" s="21">
        <f>('Kubiņu masa'!J62-'Kubiņu masa'!$D62)/'Kubiņu masa'!$D62*100</f>
        <v>5.6475903614457836</v>
      </c>
      <c r="K59" s="21">
        <f>('Kubiņu masa'!K62-'Kubiņu masa'!$D62)/'Kubiņu masa'!$D62*100</f>
        <v>7.1536144578313339</v>
      </c>
      <c r="L59" s="21">
        <f>('Kubiņu masa'!L62-'Kubiņu masa'!$D62)/'Kubiņu masa'!$D62*100</f>
        <v>8.1325301204819294</v>
      </c>
      <c r="M59" s="21">
        <f>('Kubiņu masa'!M62-'Kubiņu masa'!$D62)/'Kubiņu masa'!$D62*100</f>
        <v>8.1325301204819294</v>
      </c>
      <c r="N59" s="21">
        <f>('Kubiņu masa'!N62-'Kubiņu masa'!$D62)/'Kubiņu masa'!$D62*100</f>
        <v>10.768072289156638</v>
      </c>
      <c r="O59" s="21">
        <f>('Kubiņu masa'!O62-'Kubiņu masa'!$D62)/'Kubiņu masa'!$D62*100</f>
        <v>11.596385542168683</v>
      </c>
      <c r="P59" s="22">
        <f>('Kubiņu masa'!P62-'Kubiņu masa'!$D62)/'Kubiņu masa'!$D62*100</f>
        <v>11.671686746987959</v>
      </c>
      <c r="Q59" s="21" t="s">
        <v>16</v>
      </c>
      <c r="R59" s="23"/>
      <c r="S59" s="23"/>
      <c r="T59" s="23"/>
      <c r="U59" s="23"/>
    </row>
    <row r="60" spans="1:21" ht="15.75" customHeight="1" x14ac:dyDescent="0.35">
      <c r="A60" s="53"/>
      <c r="B60" s="29"/>
      <c r="C60" s="8">
        <v>9</v>
      </c>
      <c r="D60" s="21">
        <f>('Kubiņu masa'!D63-'Kubiņu masa'!$D63)/'Kubiņu masa'!$D63*100</f>
        <v>0</v>
      </c>
      <c r="E60" s="21">
        <f>('Kubiņu masa'!E63-'Kubiņu masa'!$D63)/'Kubiņu masa'!$D63*100</f>
        <v>3.3460076045627343</v>
      </c>
      <c r="F60" s="21">
        <f>('Kubiņu masa'!F63-'Kubiņu masa'!$D63)/'Kubiņu masa'!$D63*100</f>
        <v>3.3460076045627343</v>
      </c>
      <c r="G60" s="21">
        <f>('Kubiņu masa'!G63-'Kubiņu masa'!$D63)/'Kubiņu masa'!$D63*100</f>
        <v>4.1064638783269896</v>
      </c>
      <c r="H60" s="21">
        <f>('Kubiņu masa'!H63-'Kubiņu masa'!$D63)/'Kubiņu masa'!$D63*100</f>
        <v>4.1064638783269896</v>
      </c>
      <c r="I60" s="21">
        <f>('Kubiņu masa'!I63-'Kubiņu masa'!$D63)/'Kubiņu masa'!$D63*100</f>
        <v>5.7034220532319395</v>
      </c>
      <c r="J60" s="21">
        <f>('Kubiņu masa'!J63-'Kubiņu masa'!$D63)/'Kubiņu masa'!$D63*100</f>
        <v>5.7034220532319395</v>
      </c>
      <c r="K60" s="21">
        <f>('Kubiņu masa'!K63-'Kubiņu masa'!$D63)/'Kubiņu masa'!$D63*100</f>
        <v>7.0722433460076024</v>
      </c>
      <c r="L60" s="21">
        <f>('Kubiņu masa'!L63-'Kubiņu masa'!$D63)/'Kubiņu masa'!$D63*100</f>
        <v>8.2129277566539933</v>
      </c>
      <c r="M60" s="21">
        <f>('Kubiņu masa'!M63-'Kubiņu masa'!$D63)/'Kubiņu masa'!$D63*100</f>
        <v>8.2889733840304167</v>
      </c>
      <c r="N60" s="21">
        <f>('Kubiņu masa'!N63-'Kubiņu masa'!$D63)/'Kubiņu masa'!$D63*100</f>
        <v>10.722433460076045</v>
      </c>
      <c r="O60" s="21">
        <f>('Kubiņu masa'!O63-'Kubiņu masa'!$D63)/'Kubiņu masa'!$D63*100</f>
        <v>11.634980988593151</v>
      </c>
      <c r="P60" s="22">
        <f>('Kubiņu masa'!P63-'Kubiņu masa'!$D63)/'Kubiņu masa'!$D63*100</f>
        <v>11.711026615969574</v>
      </c>
      <c r="Q60" s="21" t="s">
        <v>17</v>
      </c>
      <c r="R60" s="23"/>
      <c r="S60" s="23"/>
      <c r="T60" s="23"/>
      <c r="U60" s="23"/>
    </row>
    <row r="61" spans="1:21" ht="15.75" customHeight="1" x14ac:dyDescent="0.35">
      <c r="A61" s="53"/>
      <c r="B61" s="29"/>
      <c r="C61" s="8">
        <v>10</v>
      </c>
      <c r="D61" s="21">
        <f>('Kubiņu masa'!D64-'Kubiņu masa'!$D64)/'Kubiņu masa'!$D64*100</f>
        <v>0</v>
      </c>
      <c r="E61" s="21">
        <f>('Kubiņu masa'!E64-'Kubiņu masa'!$D64)/'Kubiņu masa'!$D64*100</f>
        <v>3.4429992348890535</v>
      </c>
      <c r="F61" s="21">
        <f>('Kubiņu masa'!F64-'Kubiņu masa'!$D64)/'Kubiņu masa'!$D64*100</f>
        <v>3.4429992348890535</v>
      </c>
      <c r="G61" s="21">
        <f>('Kubiņu masa'!G64-'Kubiņu masa'!$D64)/'Kubiņu masa'!$D64*100</f>
        <v>4.131599081866864</v>
      </c>
      <c r="H61" s="21">
        <f>('Kubiņu masa'!H64-'Kubiņu masa'!$D64)/'Kubiņu masa'!$D64*100</f>
        <v>4.2081101759755084</v>
      </c>
      <c r="I61" s="21">
        <f>('Kubiņu masa'!I64-'Kubiņu masa'!$D64)/'Kubiņu masa'!$D64*100</f>
        <v>5.814843152257076</v>
      </c>
      <c r="J61" s="21">
        <f>('Kubiņu masa'!J64-'Kubiņu masa'!$D64)/'Kubiņu masa'!$D64*100</f>
        <v>5.814843152257076</v>
      </c>
      <c r="K61" s="21">
        <f>('Kubiņu masa'!K64-'Kubiņu masa'!$D64)/'Kubiņu masa'!$D64*100</f>
        <v>7.1920428462126971</v>
      </c>
      <c r="L61" s="21">
        <f>('Kubiņu masa'!L64-'Kubiņu masa'!$D64)/'Kubiņu masa'!$D64*100</f>
        <v>8.2631981637337404</v>
      </c>
      <c r="M61" s="21">
        <f>('Kubiņu masa'!M64-'Kubiņu masa'!$D64)/'Kubiņu masa'!$D64*100</f>
        <v>8.2631981637337404</v>
      </c>
      <c r="N61" s="21">
        <f>('Kubiņu masa'!N64-'Kubiņu masa'!$D64)/'Kubiņu masa'!$D64*100</f>
        <v>11.017597551644984</v>
      </c>
      <c r="O61" s="21">
        <f>('Kubiņu masa'!O64-'Kubiņu masa'!$D64)/'Kubiņu masa'!$D64*100</f>
        <v>11.782708492731439</v>
      </c>
      <c r="P61" s="22">
        <f>('Kubiņu masa'!P64-'Kubiņu masa'!$D64)/'Kubiņu masa'!$D64*100</f>
        <v>11.859219586840084</v>
      </c>
      <c r="Q61" s="21" t="s">
        <v>16</v>
      </c>
      <c r="R61" s="23"/>
      <c r="S61" s="23"/>
      <c r="T61" s="23"/>
      <c r="U61" s="23"/>
    </row>
    <row r="62" spans="1:21" ht="15.75" customHeight="1" x14ac:dyDescent="0.35">
      <c r="A62" s="53"/>
      <c r="B62" s="34" t="s">
        <v>31</v>
      </c>
      <c r="C62" s="7">
        <v>38</v>
      </c>
      <c r="D62" s="21">
        <f>('Kubiņu masa'!D65-'Kubiņu masa'!$D65)/'Kubiņu masa'!$D65*100</f>
        <v>0</v>
      </c>
      <c r="E62" s="21">
        <f>('Kubiņu masa'!E65-'Kubiņu masa'!$D65)/'Kubiņu masa'!$D65*100</f>
        <v>3.8202247191011223</v>
      </c>
      <c r="F62" s="21">
        <f>('Kubiņu masa'!F65-'Kubiņu masa'!$D65)/'Kubiņu masa'!$D65*100</f>
        <v>3.8202247191011223</v>
      </c>
      <c r="G62" s="21">
        <f>('Kubiņu masa'!G65-'Kubiņu masa'!$D65)/'Kubiņu masa'!$D65*100</f>
        <v>4.569288389513118</v>
      </c>
      <c r="H62" s="21">
        <f>('Kubiņu masa'!H65-'Kubiņu masa'!$D65)/'Kubiņu masa'!$D65*100</f>
        <v>4.569288389513118</v>
      </c>
      <c r="I62" s="21">
        <f>('Kubiņu masa'!I65-'Kubiņu masa'!$D65)/'Kubiņu masa'!$D65*100</f>
        <v>6.1423220973782788</v>
      </c>
      <c r="J62" s="21">
        <f>('Kubiņu masa'!J65-'Kubiņu masa'!$D65)/'Kubiņu masa'!$D65*100</f>
        <v>6.2172284644194757</v>
      </c>
      <c r="K62" s="21">
        <f>('Kubiņu masa'!K65-'Kubiņu masa'!$D65)/'Kubiņu masa'!$D65*100</f>
        <v>7.7153558052434539</v>
      </c>
      <c r="L62" s="21">
        <f>('Kubiņu masa'!L65-'Kubiņu masa'!$D65)/'Kubiņu masa'!$D65*100</f>
        <v>8.6891385767790279</v>
      </c>
      <c r="M62" s="21">
        <f>('Kubiņu masa'!M65-'Kubiņu masa'!$D65)/'Kubiņu masa'!$D65*100</f>
        <v>8.6891385767790279</v>
      </c>
      <c r="N62" s="21">
        <f>('Kubiņu masa'!N65-'Kubiņu masa'!$D65)/'Kubiņu masa'!$D65*100</f>
        <v>11.46067415730338</v>
      </c>
      <c r="O62" s="21">
        <f>('Kubiņu masa'!O65-'Kubiņu masa'!$D65)/'Kubiņu masa'!$D65*100</f>
        <v>12.059925093632968</v>
      </c>
      <c r="P62" s="22">
        <f>('Kubiņu masa'!P65-'Kubiņu masa'!$D65)/'Kubiņu masa'!$D65*100</f>
        <v>12.134831460674166</v>
      </c>
      <c r="Q62" s="21" t="s">
        <v>16</v>
      </c>
      <c r="R62" s="23"/>
      <c r="S62" s="23"/>
      <c r="T62" s="23"/>
      <c r="U62" s="23"/>
    </row>
    <row r="63" spans="1:21" ht="15.75" customHeight="1" x14ac:dyDescent="0.35">
      <c r="A63" s="53"/>
      <c r="B63" s="7"/>
      <c r="C63" s="7">
        <v>39</v>
      </c>
      <c r="D63" s="21">
        <f>('Kubiņu masa'!D66-'Kubiņu masa'!$D66)/'Kubiņu masa'!$D66*100</f>
        <v>0</v>
      </c>
      <c r="E63" s="21">
        <f>('Kubiņu masa'!E66-'Kubiņu masa'!$D66)/'Kubiņu masa'!$D66*100</f>
        <v>3.681442524417732</v>
      </c>
      <c r="F63" s="21">
        <f>('Kubiņu masa'!F66-'Kubiņu masa'!$D66)/'Kubiņu masa'!$D66*100</f>
        <v>3.7565740045078884</v>
      </c>
      <c r="G63" s="21">
        <f>('Kubiņu masa'!G66-'Kubiņu masa'!$D66)/'Kubiņu masa'!$D66*100</f>
        <v>4.4327573253193071</v>
      </c>
      <c r="H63" s="21">
        <f>('Kubiņu masa'!H66-'Kubiņu masa'!$D66)/'Kubiņu masa'!$D66*100</f>
        <v>4.5078888054094639</v>
      </c>
      <c r="I63" s="21">
        <f>('Kubiņu masa'!I66-'Kubiņu masa'!$D66)/'Kubiņu masa'!$D66*100</f>
        <v>6.0105184072126141</v>
      </c>
      <c r="J63" s="21">
        <f>('Kubiņu masa'!J66-'Kubiņu masa'!$D66)/'Kubiņu masa'!$D66*100</f>
        <v>6.08564988730277</v>
      </c>
      <c r="K63" s="21">
        <f>('Kubiņu masa'!K66-'Kubiņu masa'!$D66)/'Kubiņu masa'!$D66*100</f>
        <v>7.5131480090157767</v>
      </c>
      <c r="L63" s="21">
        <f>('Kubiņu masa'!L66-'Kubiņu masa'!$D66)/'Kubiņu masa'!$D66*100</f>
        <v>8.5649887302779764</v>
      </c>
      <c r="M63" s="21">
        <f>('Kubiņu masa'!M66-'Kubiņu masa'!$D66)/'Kubiņu masa'!$D66*100</f>
        <v>8.5649887302779764</v>
      </c>
      <c r="N63" s="21">
        <f>('Kubiņu masa'!N66-'Kubiņu masa'!$D66)/'Kubiņu masa'!$D66*100</f>
        <v>11.344853493613822</v>
      </c>
      <c r="O63" s="21">
        <f>('Kubiņu masa'!O66-'Kubiņu masa'!$D66)/'Kubiņu masa'!$D66*100</f>
        <v>11.945905334335084</v>
      </c>
      <c r="P63" s="22">
        <f>('Kubiņu masa'!P66-'Kubiņu masa'!$D66)/'Kubiņu masa'!$D66*100</f>
        <v>12.096168294515397</v>
      </c>
      <c r="Q63" s="21" t="s">
        <v>16</v>
      </c>
      <c r="R63" s="23"/>
      <c r="S63" s="23"/>
      <c r="T63" s="23"/>
      <c r="U63" s="23"/>
    </row>
    <row r="64" spans="1:21" ht="15.75" customHeight="1" x14ac:dyDescent="0.35">
      <c r="A64" s="53"/>
      <c r="B64" s="7"/>
      <c r="C64" s="7">
        <v>40</v>
      </c>
      <c r="D64" s="21">
        <f>('Kubiņu masa'!D67-'Kubiņu masa'!$D67)/'Kubiņu masa'!$D67*100</f>
        <v>0</v>
      </c>
      <c r="E64" s="21">
        <f>('Kubiņu masa'!E67-'Kubiņu masa'!$D67)/'Kubiņu masa'!$D67*100</f>
        <v>3.7091988130563793</v>
      </c>
      <c r="F64" s="21">
        <f>('Kubiņu masa'!F67-'Kubiņu masa'!$D67)/'Kubiņu masa'!$D67*100</f>
        <v>3.7833827893175056</v>
      </c>
      <c r="G64" s="21">
        <f>('Kubiņu masa'!G67-'Kubiņu masa'!$D67)/'Kubiņu masa'!$D67*100</f>
        <v>4.4510385756676536</v>
      </c>
      <c r="H64" s="21">
        <f>('Kubiņu masa'!H67-'Kubiņu masa'!$D67)/'Kubiņu masa'!$D67*100</f>
        <v>4.4510385756676536</v>
      </c>
      <c r="I64" s="21">
        <f>('Kubiņu masa'!I67-'Kubiņu masa'!$D67)/'Kubiņu masa'!$D67*100</f>
        <v>6.0089020771513253</v>
      </c>
      <c r="J64" s="21">
        <f>('Kubiņu masa'!J67-'Kubiņu masa'!$D67)/'Kubiņu masa'!$D67*100</f>
        <v>6.0830860534124644</v>
      </c>
      <c r="K64" s="21">
        <f>('Kubiņu masa'!K67-'Kubiņu masa'!$D67)/'Kubiņu masa'!$D67*100</f>
        <v>7.640949554896137</v>
      </c>
      <c r="L64" s="21">
        <f>('Kubiņu masa'!L67-'Kubiņu masa'!$D67)/'Kubiņu masa'!$D67*100</f>
        <v>8.5311572700296754</v>
      </c>
      <c r="M64" s="21">
        <f>('Kubiņu masa'!M67-'Kubiņu masa'!$D67)/'Kubiņu masa'!$D67*100</f>
        <v>8.6053412462908021</v>
      </c>
      <c r="N64" s="21">
        <f>('Kubiņu masa'!N67-'Kubiņu masa'!$D67)/'Kubiņu masa'!$D67*100</f>
        <v>11.350148367952517</v>
      </c>
      <c r="O64" s="21">
        <f>('Kubiņu masa'!O67-'Kubiņu masa'!$D67)/'Kubiņu masa'!$D67*100</f>
        <v>11.94362017804154</v>
      </c>
      <c r="P64" s="22">
        <f>('Kubiņu masa'!P67-'Kubiņu masa'!$D67)/'Kubiņu masa'!$D67*100</f>
        <v>12.017804154302665</v>
      </c>
      <c r="Q64" s="21" t="s">
        <v>16</v>
      </c>
      <c r="R64" s="23"/>
      <c r="S64" s="23"/>
      <c r="T64" s="23"/>
      <c r="U64" s="23"/>
    </row>
    <row r="65" spans="1:21" ht="15.75" customHeight="1" x14ac:dyDescent="0.35">
      <c r="A65" s="53"/>
      <c r="B65" s="34" t="s">
        <v>32</v>
      </c>
      <c r="C65" s="7">
        <v>45</v>
      </c>
      <c r="D65" s="21">
        <f>('Kubiņu masa'!D68-'Kubiņu masa'!$D68)/'Kubiņu masa'!$D68*100</f>
        <v>0</v>
      </c>
      <c r="E65" s="21">
        <f>('Kubiņu masa'!E68-'Kubiņu masa'!$D68)/'Kubiņu masa'!$D68*100</f>
        <v>2.687843616371397</v>
      </c>
      <c r="F65" s="21">
        <f>('Kubiņu masa'!F68-'Kubiņu masa'!$D68)/'Kubiņu masa'!$D68*100</f>
        <v>2.7489309712889387</v>
      </c>
      <c r="G65" s="21">
        <f>('Kubiņu masa'!G68-'Kubiņu masa'!$D68)/'Kubiņu masa'!$D68*100</f>
        <v>3.1765424557116653</v>
      </c>
      <c r="H65" s="21">
        <f>('Kubiņu masa'!H68-'Kubiņu masa'!$D68)/'Kubiņu masa'!$D68*100</f>
        <v>3.1765424557116653</v>
      </c>
      <c r="I65" s="21">
        <f>('Kubiņu masa'!I68-'Kubiņu masa'!$D68)/'Kubiņu masa'!$D68*100</f>
        <v>4.5204642638973631</v>
      </c>
      <c r="J65" s="21">
        <f>('Kubiņu masa'!J68-'Kubiņu masa'!$D68)/'Kubiņu masa'!$D68*100</f>
        <v>4.5815516188149052</v>
      </c>
      <c r="K65" s="21">
        <f>('Kubiņu masa'!K68-'Kubiņu masa'!$D68)/'Kubiņu masa'!$D68*100</f>
        <v>5.9254734270006031</v>
      </c>
      <c r="L65" s="21">
        <f>('Kubiņu masa'!L68-'Kubiņu masa'!$D68)/'Kubiņu masa'!$D68*100</f>
        <v>7.0250458155161786</v>
      </c>
      <c r="M65" s="21">
        <f>('Kubiņu masa'!M68-'Kubiņu masa'!$D68)/'Kubiņu masa'!$D68*100</f>
        <v>7.0250458155161786</v>
      </c>
      <c r="N65" s="21">
        <f>('Kubiņu masa'!N68-'Kubiņu masa'!$D68)/'Kubiņu masa'!$D68*100</f>
        <v>9.7128894318875982</v>
      </c>
      <c r="O65" s="21">
        <f>('Kubiņu masa'!O68-'Kubiņu masa'!$D68)/'Kubiņu masa'!$D68*100</f>
        <v>10.445937690897967</v>
      </c>
      <c r="P65" s="22">
        <f>('Kubiņu masa'!P68-'Kubiņu masa'!$D68)/'Kubiņu masa'!$D68*100</f>
        <v>10.445937690897967</v>
      </c>
      <c r="Q65" s="7" t="s">
        <v>17</v>
      </c>
      <c r="R65" s="23"/>
      <c r="S65" s="23"/>
      <c r="T65" s="23"/>
      <c r="U65" s="23"/>
    </row>
    <row r="66" spans="1:21" ht="15.75" customHeight="1" x14ac:dyDescent="0.35">
      <c r="A66" s="53"/>
      <c r="B66" s="7"/>
      <c r="C66" s="7">
        <v>46</v>
      </c>
      <c r="D66" s="21">
        <f>('Kubiņu masa'!D69-'Kubiņu masa'!$D69)/'Kubiņu masa'!$D69*100</f>
        <v>0</v>
      </c>
      <c r="E66" s="21">
        <f>('Kubiņu masa'!E69-'Kubiņu masa'!$D69)/'Kubiņu masa'!$D69*100</f>
        <v>2.694427434170247</v>
      </c>
      <c r="F66" s="21">
        <f>('Kubiņu masa'!F69-'Kubiņu masa'!$D69)/'Kubiņu masa'!$D69*100</f>
        <v>2.7556644213104895</v>
      </c>
      <c r="G66" s="21">
        <f>('Kubiņu masa'!G69-'Kubiņu masa'!$D69)/'Kubiņu masa'!$D69*100</f>
        <v>3.1230863441518779</v>
      </c>
      <c r="H66" s="21">
        <f>('Kubiņu masa'!H69-'Kubiņu masa'!$D69)/'Kubiņu masa'!$D69*100</f>
        <v>3.18432333129212</v>
      </c>
      <c r="I66" s="21">
        <f>('Kubiņu masa'!I69-'Kubiņu masa'!$D69)/'Kubiņu masa'!$D69*100</f>
        <v>4.4703000612369905</v>
      </c>
      <c r="J66" s="21">
        <f>('Kubiņu masa'!J69-'Kubiņu masa'!$D69)/'Kubiņu masa'!$D69*100</f>
        <v>4.531537048377233</v>
      </c>
      <c r="K66" s="21">
        <f>('Kubiņu masa'!K69-'Kubiņu masa'!$D69)/'Kubiņu masa'!$D69*100</f>
        <v>6.001224739742808</v>
      </c>
      <c r="L66" s="21">
        <f>('Kubiņu masa'!L69-'Kubiņu masa'!$D69)/'Kubiņu masa'!$D69*100</f>
        <v>7.0422535211267752</v>
      </c>
      <c r="M66" s="21">
        <f>('Kubiņu masa'!M69-'Kubiņu masa'!$D69)/'Kubiņu masa'!$D69*100</f>
        <v>7.1034905082669946</v>
      </c>
      <c r="N66" s="21">
        <f>('Kubiņu masa'!N69-'Kubiņu masa'!$D69)/'Kubiņu masa'!$D69*100</f>
        <v>9.7979179424372411</v>
      </c>
      <c r="O66" s="21">
        <f>('Kubiņu masa'!O69-'Kubiņu masa'!$D69)/'Kubiņu masa'!$D69*100</f>
        <v>10.532761788120041</v>
      </c>
      <c r="P66" s="22">
        <f>('Kubiņu masa'!P69-'Kubiņu masa'!$D69)/'Kubiņu masa'!$D69*100</f>
        <v>10.59399877526026</v>
      </c>
      <c r="Q66" s="7" t="s">
        <v>17</v>
      </c>
      <c r="R66" s="23"/>
      <c r="S66" s="23"/>
      <c r="T66" s="23"/>
      <c r="U66" s="23"/>
    </row>
    <row r="67" spans="1:21" ht="15.75" customHeight="1" x14ac:dyDescent="0.35">
      <c r="B67" s="7" t="s">
        <v>33</v>
      </c>
      <c r="C67" s="7">
        <v>26</v>
      </c>
      <c r="D67" s="21">
        <f>('Kubiņu masa'!D70-'Kubiņu masa'!$D70)/'Kubiņu masa'!$D70*100</f>
        <v>0</v>
      </c>
      <c r="E67" s="21">
        <f>('Kubiņu masa'!E70-'Kubiņu masa'!$D70)/'Kubiņu masa'!$D70*100</f>
        <v>3.5016835016834986</v>
      </c>
      <c r="F67" s="21">
        <f>('Kubiņu masa'!F70-'Kubiņu masa'!$D70)/'Kubiņu masa'!$D70*100</f>
        <v>3.5690235690235763</v>
      </c>
      <c r="G67" s="21">
        <f>('Kubiņu masa'!G70-'Kubiņu masa'!$D70)/'Kubiņu masa'!$D70*100</f>
        <v>4.1077441077441161</v>
      </c>
      <c r="H67" s="21">
        <f>('Kubiņu masa'!H70-'Kubiņu masa'!$D70)/'Kubiņu masa'!$D70*100</f>
        <v>4.1750841750841818</v>
      </c>
      <c r="I67" s="21">
        <f>('Kubiņu masa'!I70-'Kubiņu masa'!$D70)/'Kubiņu masa'!$D70*100</f>
        <v>5.8585858585858652</v>
      </c>
      <c r="J67" s="21">
        <f>('Kubiņu masa'!J70-'Kubiņu masa'!$D70)/'Kubiņu masa'!$D70*100</f>
        <v>5.9259259259259309</v>
      </c>
      <c r="K67" s="21">
        <f>('Kubiņu masa'!K70-'Kubiņu masa'!$D70)/'Kubiņu masa'!$D70*100</f>
        <v>7.67676767676768</v>
      </c>
      <c r="L67" s="21">
        <f>('Kubiņu masa'!L70-'Kubiņu masa'!$D70)/'Kubiņu masa'!$D70*100</f>
        <v>8.4175084175084294</v>
      </c>
      <c r="M67" s="21">
        <f>('Kubiņu masa'!M70-'Kubiņu masa'!$D70)/'Kubiņu masa'!$D70*100</f>
        <v>8.4848484848484844</v>
      </c>
      <c r="N67" s="21">
        <f>('Kubiņu masa'!N70-'Kubiņu masa'!$D70)/'Kubiņu masa'!$D70*100</f>
        <v>11.64983164983164</v>
      </c>
      <c r="O67" s="21">
        <f>('Kubiņu masa'!O70-'Kubiņu masa'!$D70)/'Kubiņu masa'!$D70*100</f>
        <v>12.323232323232324</v>
      </c>
      <c r="P67" s="22">
        <f>('Kubiņu masa'!P70-'Kubiņu masa'!$D70)/'Kubiņu masa'!$D70*100</f>
        <v>12.323232323232324</v>
      </c>
      <c r="Q67" s="7" t="s">
        <v>12</v>
      </c>
      <c r="R67" s="23"/>
      <c r="S67" s="23"/>
      <c r="T67" s="23"/>
      <c r="U67" s="23"/>
    </row>
    <row r="68" spans="1:21" ht="15.75" customHeight="1" x14ac:dyDescent="0.35">
      <c r="B68" s="7"/>
      <c r="C68" s="7">
        <v>27</v>
      </c>
      <c r="D68" s="21">
        <f>('Kubiņu masa'!D71-'Kubiņu masa'!$D71)/'Kubiņu masa'!$D71*100</f>
        <v>0</v>
      </c>
      <c r="E68" s="21">
        <f>('Kubiņu masa'!E71-'Kubiņu masa'!$D71)/'Kubiņu masa'!$D71*100</f>
        <v>3.5254237288135566</v>
      </c>
      <c r="F68" s="21">
        <f>('Kubiņu masa'!F71-'Kubiņu masa'!$D71)/'Kubiņu masa'!$D71*100</f>
        <v>3.5932203389830462</v>
      </c>
      <c r="G68" s="21">
        <f>('Kubiņu masa'!G71-'Kubiņu masa'!$D71)/'Kubiņu masa'!$D71*100</f>
        <v>4.1355932203389791</v>
      </c>
      <c r="H68" s="21">
        <f>('Kubiņu masa'!H71-'Kubiņu masa'!$D71)/'Kubiņu masa'!$D71*100</f>
        <v>4.1355932203389791</v>
      </c>
      <c r="I68" s="21">
        <f>('Kubiņu masa'!I71-'Kubiņu masa'!$D71)/'Kubiņu masa'!$D71*100</f>
        <v>5.8305084745762672</v>
      </c>
      <c r="J68" s="21">
        <f>('Kubiņu masa'!J71-'Kubiņu masa'!$D71)/'Kubiņu masa'!$D71*100</f>
        <v>5.8983050847457568</v>
      </c>
      <c r="K68" s="21">
        <f>('Kubiņu masa'!K71-'Kubiņu masa'!$D71)/'Kubiņu masa'!$D71*100</f>
        <v>7.6610169491525477</v>
      </c>
      <c r="L68" s="21">
        <f>('Kubiņu masa'!L71-'Kubiņu masa'!$D71)/'Kubiņu masa'!$D71*100</f>
        <v>8.4745762711864394</v>
      </c>
      <c r="M68" s="21">
        <f>('Kubiņu masa'!M71-'Kubiņu masa'!$D71)/'Kubiņu masa'!$D71*100</f>
        <v>8.4745762711864394</v>
      </c>
      <c r="N68" s="21">
        <f>('Kubiņu masa'!N71-'Kubiņu masa'!$D71)/'Kubiņu masa'!$D71*100</f>
        <v>11.864406779661017</v>
      </c>
      <c r="O68" s="21">
        <f>('Kubiņu masa'!O71-'Kubiņu masa'!$D71)/'Kubiņu masa'!$D71*100</f>
        <v>12.406779661016937</v>
      </c>
      <c r="P68" s="22">
        <f>('Kubiņu masa'!P71-'Kubiņu masa'!$D71)/'Kubiņu masa'!$D71*100</f>
        <v>12.474576271186439</v>
      </c>
      <c r="Q68" s="7" t="s">
        <v>12</v>
      </c>
      <c r="R68" s="23"/>
      <c r="S68" s="23"/>
      <c r="T68" s="23"/>
      <c r="U68" s="23"/>
    </row>
    <row r="69" spans="1:21" ht="15.75" customHeight="1" x14ac:dyDescent="0.35">
      <c r="B69" s="7"/>
      <c r="C69" s="7">
        <v>28</v>
      </c>
      <c r="D69" s="21">
        <f>('Kubiņu masa'!D72-'Kubiņu masa'!$D72)/'Kubiņu masa'!$D72*100</f>
        <v>0</v>
      </c>
      <c r="E69" s="21">
        <f>('Kubiņu masa'!E72-'Kubiņu masa'!$D72)/'Kubiņu masa'!$D72*100</f>
        <v>3.4993270524899152</v>
      </c>
      <c r="F69" s="21">
        <f>('Kubiņu masa'!F72-'Kubiņu masa'!$D72)/'Kubiņu masa'!$D72*100</f>
        <v>3.5666218034993347</v>
      </c>
      <c r="G69" s="21">
        <f>('Kubiņu masa'!G72-'Kubiņu masa'!$D72)/'Kubiņu masa'!$D72*100</f>
        <v>4.1049798115747054</v>
      </c>
      <c r="H69" s="21">
        <f>('Kubiņu masa'!H72-'Kubiņu masa'!$D72)/'Kubiņu masa'!$D72*100</f>
        <v>4.1049798115747054</v>
      </c>
      <c r="I69" s="21">
        <f>('Kubiņu masa'!I72-'Kubiņu masa'!$D72)/'Kubiņu masa'!$D72*100</f>
        <v>5.854643337819657</v>
      </c>
      <c r="J69" s="21">
        <f>('Kubiņu masa'!J72-'Kubiņu masa'!$D72)/'Kubiņu masa'!$D72*100</f>
        <v>5.9219380888290774</v>
      </c>
      <c r="K69" s="21">
        <f>('Kubiņu masa'!K72-'Kubiņu masa'!$D72)/'Kubiņu masa'!$D72*100</f>
        <v>7.537012113055189</v>
      </c>
      <c r="L69" s="21">
        <f>('Kubiņu masa'!L72-'Kubiņu masa'!$D72)/'Kubiņu masa'!$D72*100</f>
        <v>8.4791386271870905</v>
      </c>
      <c r="M69" s="21">
        <f>('Kubiņu masa'!M72-'Kubiņu masa'!$D72)/'Kubiņu masa'!$D72*100</f>
        <v>8.4791386271870905</v>
      </c>
      <c r="N69" s="21">
        <f>('Kubiņu masa'!N72-'Kubiņu masa'!$D72)/'Kubiņu masa'!$D72*100</f>
        <v>11.843876177658155</v>
      </c>
      <c r="O69" s="21">
        <f>('Kubiņu masa'!O72-'Kubiņu masa'!$D72)/'Kubiņu masa'!$D72*100</f>
        <v>12.382234185733513</v>
      </c>
      <c r="P69" s="22">
        <f>('Kubiņu masa'!P72-'Kubiņu masa'!$D72)/'Kubiņu masa'!$D72*100</f>
        <v>12.449528936742944</v>
      </c>
      <c r="Q69" s="7" t="s">
        <v>12</v>
      </c>
      <c r="R69" s="23"/>
      <c r="S69" s="23"/>
      <c r="T69" s="23"/>
      <c r="U69" s="23"/>
    </row>
    <row r="70" spans="1:21" ht="15.75" customHeight="1" x14ac:dyDescent="0.35"/>
    <row r="71" spans="1:21" ht="15.75" customHeight="1" x14ac:dyDescent="0.35"/>
    <row r="72" spans="1:21" ht="15.75" customHeight="1" x14ac:dyDescent="0.35"/>
    <row r="73" spans="1:21" ht="15.75" customHeight="1" x14ac:dyDescent="0.35"/>
    <row r="74" spans="1:21" ht="15.75" customHeight="1" x14ac:dyDescent="0.35"/>
    <row r="75" spans="1:21" ht="15.75" customHeight="1" x14ac:dyDescent="0.35"/>
    <row r="76" spans="1:21" ht="15.75" customHeight="1" x14ac:dyDescent="0.35"/>
    <row r="77" spans="1:21" ht="15.75" customHeight="1" x14ac:dyDescent="0.35"/>
    <row r="78" spans="1:21" ht="15.75" customHeight="1" x14ac:dyDescent="0.35"/>
    <row r="79" spans="1:21" ht="15.75" customHeight="1" x14ac:dyDescent="0.35"/>
    <row r="80" spans="1:21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</sheetData>
  <mergeCells count="11">
    <mergeCell ref="B3:C4"/>
    <mergeCell ref="A5:A28"/>
    <mergeCell ref="A29:A52"/>
    <mergeCell ref="A54:A66"/>
    <mergeCell ref="B1:C1"/>
    <mergeCell ref="B2:C2"/>
    <mergeCell ref="E1:F1"/>
    <mergeCell ref="G1:H1"/>
    <mergeCell ref="I1:J1"/>
    <mergeCell ref="K1:M1"/>
    <mergeCell ref="N1:P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781"/>
  <sheetViews>
    <sheetView tabSelected="1" topLeftCell="A757" zoomScale="70" zoomScaleNormal="70" workbookViewId="0">
      <selection activeCell="K771" sqref="K771"/>
    </sheetView>
  </sheetViews>
  <sheetFormatPr defaultColWidth="14.453125" defaultRowHeight="15" customHeight="1" x14ac:dyDescent="0.35"/>
  <cols>
    <col min="9" max="9" width="14.453125" style="59"/>
  </cols>
  <sheetData>
    <row r="1" spans="1:9" x14ac:dyDescent="0.35">
      <c r="A1" s="25" t="s">
        <v>34</v>
      </c>
      <c r="B1" s="25" t="s">
        <v>35</v>
      </c>
      <c r="C1" s="25" t="s">
        <v>36</v>
      </c>
      <c r="D1" s="25" t="s">
        <v>37</v>
      </c>
      <c r="E1" t="s">
        <v>38</v>
      </c>
      <c r="F1" s="25" t="s">
        <v>39</v>
      </c>
      <c r="G1" s="58" t="s">
        <v>92</v>
      </c>
      <c r="H1" s="58" t="s">
        <v>93</v>
      </c>
      <c r="I1" s="60" t="s">
        <v>94</v>
      </c>
    </row>
    <row r="2" spans="1:9" x14ac:dyDescent="0.35">
      <c r="A2" s="25" t="s">
        <v>10</v>
      </c>
      <c r="B2" s="25" t="s">
        <v>68</v>
      </c>
      <c r="C2" s="25">
        <v>9</v>
      </c>
      <c r="D2" s="25">
        <v>50</v>
      </c>
      <c r="E2" s="35" t="s">
        <v>53</v>
      </c>
      <c r="F2" s="36">
        <v>3.9187227866473218</v>
      </c>
      <c r="G2">
        <v>7.16</v>
      </c>
      <c r="H2" s="59">
        <f>G2-'Kubiņu masa'!D8</f>
        <v>0.27000000000000046</v>
      </c>
      <c r="I2" s="59">
        <f>H2/27*100</f>
        <v>1.0000000000000018</v>
      </c>
    </row>
    <row r="3" spans="1:9" x14ac:dyDescent="0.35">
      <c r="A3" s="25" t="s">
        <v>10</v>
      </c>
      <c r="B3" s="25" t="s">
        <v>68</v>
      </c>
      <c r="C3" s="25">
        <v>27</v>
      </c>
      <c r="D3" s="25">
        <v>50</v>
      </c>
      <c r="E3" s="35" t="s">
        <v>53</v>
      </c>
      <c r="F3" s="36">
        <v>3.467406380027739</v>
      </c>
      <c r="G3">
        <v>7.46</v>
      </c>
      <c r="H3" s="59">
        <f>G3-'Kubiņu masa'!D9</f>
        <v>0.25</v>
      </c>
      <c r="I3" s="59">
        <f t="shared" ref="I3:I66" si="0">H3/27*100</f>
        <v>0.92592592592592582</v>
      </c>
    </row>
    <row r="4" spans="1:9" x14ac:dyDescent="0.35">
      <c r="A4" s="25" t="s">
        <v>10</v>
      </c>
      <c r="B4" s="25" t="s">
        <v>68</v>
      </c>
      <c r="C4" s="25">
        <v>106</v>
      </c>
      <c r="D4" s="25">
        <v>50</v>
      </c>
      <c r="E4" s="35" t="s">
        <v>53</v>
      </c>
      <c r="F4" s="36">
        <v>3.4965034965034962</v>
      </c>
      <c r="G4">
        <v>7.4</v>
      </c>
      <c r="H4" s="59">
        <f>G4-'Kubiņu masa'!D10</f>
        <v>0.25</v>
      </c>
      <c r="I4" s="59">
        <f t="shared" si="0"/>
        <v>0.92592592592592582</v>
      </c>
    </row>
    <row r="5" spans="1:9" x14ac:dyDescent="0.35">
      <c r="A5" s="25" t="s">
        <v>10</v>
      </c>
      <c r="B5" s="25" t="s">
        <v>69</v>
      </c>
      <c r="C5" s="25">
        <v>39</v>
      </c>
      <c r="D5" s="25">
        <v>50</v>
      </c>
      <c r="E5" s="35" t="s">
        <v>53</v>
      </c>
      <c r="F5" s="36">
        <v>3.2203389830508389</v>
      </c>
      <c r="G5">
        <v>6.09</v>
      </c>
      <c r="H5" s="59">
        <f>G5-'Kubiņu masa'!D11</f>
        <v>0.1899999999999995</v>
      </c>
      <c r="I5" s="59">
        <f t="shared" si="0"/>
        <v>0.70370370370370183</v>
      </c>
    </row>
    <row r="6" spans="1:9" x14ac:dyDescent="0.35">
      <c r="A6" s="25" t="s">
        <v>10</v>
      </c>
      <c r="B6" s="25" t="s">
        <v>69</v>
      </c>
      <c r="C6" s="25">
        <v>55</v>
      </c>
      <c r="D6" s="25">
        <v>50</v>
      </c>
      <c r="E6" s="35" t="s">
        <v>53</v>
      </c>
      <c r="F6" s="36">
        <v>3.2679738562091534</v>
      </c>
      <c r="G6">
        <v>6.32</v>
      </c>
      <c r="H6" s="59">
        <f>G6-'Kubiņu masa'!D12</f>
        <v>0.20000000000000018</v>
      </c>
      <c r="I6" s="59">
        <f t="shared" si="0"/>
        <v>0.74074074074074137</v>
      </c>
    </row>
    <row r="7" spans="1:9" x14ac:dyDescent="0.35">
      <c r="A7" s="25" t="s">
        <v>10</v>
      </c>
      <c r="B7" s="25" t="s">
        <v>69</v>
      </c>
      <c r="C7" s="25">
        <v>122</v>
      </c>
      <c r="D7" s="25">
        <v>50</v>
      </c>
      <c r="E7" s="35" t="s">
        <v>53</v>
      </c>
      <c r="F7" s="36">
        <v>3.2362459546925599</v>
      </c>
      <c r="G7">
        <v>6.38</v>
      </c>
      <c r="H7" s="59">
        <f>G7-'Kubiņu masa'!D13</f>
        <v>0.20000000000000018</v>
      </c>
      <c r="I7" s="59">
        <f t="shared" si="0"/>
        <v>0.74074074074074137</v>
      </c>
    </row>
    <row r="8" spans="1:9" x14ac:dyDescent="0.35">
      <c r="A8" s="25" t="s">
        <v>10</v>
      </c>
      <c r="B8" s="25" t="s">
        <v>70</v>
      </c>
      <c r="C8" s="25">
        <v>66</v>
      </c>
      <c r="D8" s="25">
        <v>50</v>
      </c>
      <c r="E8" s="35" t="s">
        <v>53</v>
      </c>
      <c r="F8" s="36">
        <v>3.4578146611341629</v>
      </c>
      <c r="G8">
        <v>7.48</v>
      </c>
      <c r="H8" s="59">
        <f>G8-'Kubiņu masa'!D14</f>
        <v>0.25</v>
      </c>
      <c r="I8" s="59">
        <f t="shared" si="0"/>
        <v>0.92592592592592582</v>
      </c>
    </row>
    <row r="9" spans="1:9" x14ac:dyDescent="0.35">
      <c r="A9" s="25" t="s">
        <v>10</v>
      </c>
      <c r="B9" s="25" t="s">
        <v>70</v>
      </c>
      <c r="C9" s="25">
        <v>142</v>
      </c>
      <c r="D9" s="25">
        <v>50</v>
      </c>
      <c r="E9" s="35" t="s">
        <v>53</v>
      </c>
      <c r="F9" s="36">
        <v>3.6842105263157925</v>
      </c>
      <c r="G9">
        <v>7.88</v>
      </c>
      <c r="H9" s="59">
        <f>G9-'Kubiņu masa'!D15</f>
        <v>0.28000000000000025</v>
      </c>
      <c r="I9" s="59">
        <f t="shared" si="0"/>
        <v>1.0370370370370379</v>
      </c>
    </row>
    <row r="10" spans="1:9" x14ac:dyDescent="0.35">
      <c r="A10" s="25" t="s">
        <v>10</v>
      </c>
      <c r="B10" s="25" t="s">
        <v>70</v>
      </c>
      <c r="C10" s="25">
        <v>147</v>
      </c>
      <c r="D10" s="25">
        <v>50</v>
      </c>
      <c r="E10" s="35" t="s">
        <v>53</v>
      </c>
      <c r="F10" s="36">
        <v>3.6388140161725131</v>
      </c>
      <c r="G10">
        <v>7.69</v>
      </c>
      <c r="H10" s="59">
        <f>G10-'Kubiņu masa'!D16</f>
        <v>0.27000000000000046</v>
      </c>
      <c r="I10" s="59">
        <f t="shared" si="0"/>
        <v>1.0000000000000018</v>
      </c>
    </row>
    <row r="11" spans="1:9" x14ac:dyDescent="0.35">
      <c r="A11" s="25" t="s">
        <v>10</v>
      </c>
      <c r="B11" s="25" t="s">
        <v>71</v>
      </c>
      <c r="C11" s="25">
        <v>75</v>
      </c>
      <c r="D11" s="25">
        <v>50</v>
      </c>
      <c r="E11" s="35" t="s">
        <v>53</v>
      </c>
      <c r="F11" s="36">
        <v>3.2981530343007917</v>
      </c>
      <c r="G11">
        <v>7.83</v>
      </c>
      <c r="H11" s="59">
        <f>G11-'Kubiņu masa'!D17</f>
        <v>0.25</v>
      </c>
      <c r="I11" s="59">
        <f t="shared" si="0"/>
        <v>0.92592592592592582</v>
      </c>
    </row>
    <row r="12" spans="1:9" x14ac:dyDescent="0.35">
      <c r="A12" s="25" t="s">
        <v>10</v>
      </c>
      <c r="B12" s="25" t="s">
        <v>71</v>
      </c>
      <c r="C12" s="25">
        <v>81</v>
      </c>
      <c r="D12" s="25">
        <v>50</v>
      </c>
      <c r="E12" s="35" t="s">
        <v>53</v>
      </c>
      <c r="F12" s="36">
        <v>3.2808398950131235</v>
      </c>
      <c r="G12">
        <v>7.87</v>
      </c>
      <c r="H12" s="59">
        <f>G12-'Kubiņu masa'!D18</f>
        <v>0.25</v>
      </c>
      <c r="I12" s="59">
        <f t="shared" si="0"/>
        <v>0.92592592592592582</v>
      </c>
    </row>
    <row r="13" spans="1:9" x14ac:dyDescent="0.35">
      <c r="A13" s="25" t="s">
        <v>10</v>
      </c>
      <c r="B13" s="25" t="s">
        <v>71</v>
      </c>
      <c r="C13" s="25">
        <v>91</v>
      </c>
      <c r="D13" s="25">
        <v>50</v>
      </c>
      <c r="E13" s="35" t="s">
        <v>53</v>
      </c>
      <c r="F13" s="36">
        <v>3.1969309462915603</v>
      </c>
      <c r="G13">
        <v>8.07</v>
      </c>
      <c r="H13" s="59">
        <f>G13-'Kubiņu masa'!D19</f>
        <v>0.25</v>
      </c>
      <c r="I13" s="59">
        <f t="shared" si="0"/>
        <v>0.92592592592592582</v>
      </c>
    </row>
    <row r="14" spans="1:9" x14ac:dyDescent="0.35">
      <c r="A14" s="25" t="s">
        <v>10</v>
      </c>
      <c r="B14" s="25" t="s">
        <v>72</v>
      </c>
      <c r="C14" s="25">
        <v>103</v>
      </c>
      <c r="D14" s="25">
        <v>50</v>
      </c>
      <c r="E14" s="35" t="s">
        <v>53</v>
      </c>
      <c r="F14" s="36">
        <v>2.8571428571428541</v>
      </c>
      <c r="G14">
        <v>3.96</v>
      </c>
      <c r="H14" s="59">
        <f>G14-'Kubiņu masa'!D20</f>
        <v>0.10999999999999988</v>
      </c>
      <c r="I14" s="59">
        <f t="shared" si="0"/>
        <v>0.40740740740740694</v>
      </c>
    </row>
    <row r="15" spans="1:9" x14ac:dyDescent="0.35">
      <c r="A15" s="25" t="s">
        <v>10</v>
      </c>
      <c r="B15" s="25" t="s">
        <v>72</v>
      </c>
      <c r="C15" s="25">
        <v>283</v>
      </c>
      <c r="D15" s="25">
        <v>50</v>
      </c>
      <c r="E15" s="35" t="s">
        <v>53</v>
      </c>
      <c r="F15" s="36">
        <v>3.2581453634085182</v>
      </c>
      <c r="G15">
        <v>4.12</v>
      </c>
      <c r="H15" s="59">
        <f>G15-'Kubiņu masa'!D21</f>
        <v>0.12999999999999989</v>
      </c>
      <c r="I15" s="59">
        <f t="shared" si="0"/>
        <v>0.48148148148148107</v>
      </c>
    </row>
    <row r="16" spans="1:9" x14ac:dyDescent="0.35">
      <c r="A16" s="25" t="s">
        <v>10</v>
      </c>
      <c r="B16" s="25" t="s">
        <v>72</v>
      </c>
      <c r="C16" s="25">
        <v>323</v>
      </c>
      <c r="D16" s="25">
        <v>50</v>
      </c>
      <c r="E16" s="35" t="s">
        <v>53</v>
      </c>
      <c r="F16" s="36">
        <v>3.0878859857482159</v>
      </c>
      <c r="G16">
        <v>4.34</v>
      </c>
      <c r="H16" s="59">
        <f>G16-'Kubiņu masa'!D22</f>
        <v>0.12999999999999989</v>
      </c>
      <c r="I16" s="59">
        <f t="shared" si="0"/>
        <v>0.48148148148148107</v>
      </c>
    </row>
    <row r="17" spans="1:9" x14ac:dyDescent="0.35">
      <c r="A17" s="25" t="s">
        <v>10</v>
      </c>
      <c r="B17" s="25" t="s">
        <v>73</v>
      </c>
      <c r="C17" s="25">
        <v>203</v>
      </c>
      <c r="D17" s="25">
        <v>50</v>
      </c>
      <c r="E17" s="35" t="s">
        <v>53</v>
      </c>
      <c r="F17" s="36">
        <v>3.2064128256513049</v>
      </c>
      <c r="G17">
        <v>5.15</v>
      </c>
      <c r="H17" s="59">
        <f>G17-'Kubiņu masa'!D23</f>
        <v>0.16000000000000014</v>
      </c>
      <c r="I17" s="59">
        <f t="shared" si="0"/>
        <v>0.59259259259259311</v>
      </c>
    </row>
    <row r="18" spans="1:9" x14ac:dyDescent="0.35">
      <c r="A18" s="25" t="s">
        <v>10</v>
      </c>
      <c r="B18" s="25" t="s">
        <v>73</v>
      </c>
      <c r="C18" s="25">
        <v>272</v>
      </c>
      <c r="D18" s="25">
        <v>50</v>
      </c>
      <c r="E18" s="35" t="s">
        <v>53</v>
      </c>
      <c r="F18" s="36">
        <v>3.4552845528455269</v>
      </c>
      <c r="G18">
        <v>5.09</v>
      </c>
      <c r="H18" s="59">
        <f>G18-'Kubiņu masa'!D24</f>
        <v>0.16999999999999993</v>
      </c>
      <c r="I18" s="59">
        <f t="shared" si="0"/>
        <v>0.62962962962962943</v>
      </c>
    </row>
    <row r="19" spans="1:9" x14ac:dyDescent="0.35">
      <c r="A19" s="25" t="s">
        <v>10</v>
      </c>
      <c r="B19" s="25" t="s">
        <v>73</v>
      </c>
      <c r="C19" s="25">
        <v>266</v>
      </c>
      <c r="D19" s="25">
        <v>50</v>
      </c>
      <c r="E19" s="35" t="s">
        <v>53</v>
      </c>
      <c r="F19" s="36">
        <v>3.1936127744511009</v>
      </c>
      <c r="G19">
        <v>5.17</v>
      </c>
      <c r="H19" s="59">
        <f>G19-'Kubiņu masa'!D25</f>
        <v>0.16000000000000014</v>
      </c>
      <c r="I19" s="59">
        <f t="shared" si="0"/>
        <v>0.59259259259259311</v>
      </c>
    </row>
    <row r="20" spans="1:9" x14ac:dyDescent="0.35">
      <c r="A20" s="25" t="s">
        <v>10</v>
      </c>
      <c r="B20" s="25" t="s">
        <v>74</v>
      </c>
      <c r="C20" s="25">
        <v>168</v>
      </c>
      <c r="D20" s="25">
        <v>50</v>
      </c>
      <c r="E20" s="35" t="s">
        <v>53</v>
      </c>
      <c r="F20" s="36">
        <v>3.6269430051813467</v>
      </c>
      <c r="G20">
        <v>6</v>
      </c>
      <c r="H20" s="59">
        <f>G20-'Kubiņu masa'!D26</f>
        <v>0.20999999999999996</v>
      </c>
      <c r="I20" s="59">
        <f t="shared" si="0"/>
        <v>0.77777777777777768</v>
      </c>
    </row>
    <row r="21" spans="1:9" x14ac:dyDescent="0.35">
      <c r="A21" s="25" t="s">
        <v>10</v>
      </c>
      <c r="B21" s="25" t="s">
        <v>74</v>
      </c>
      <c r="C21" s="25">
        <v>343</v>
      </c>
      <c r="D21" s="25">
        <v>50</v>
      </c>
      <c r="E21" s="35" t="s">
        <v>53</v>
      </c>
      <c r="F21" s="36">
        <v>3.6423841059602604</v>
      </c>
      <c r="G21">
        <v>6.26</v>
      </c>
      <c r="H21" s="59">
        <f>G21-'Kubiņu masa'!D27</f>
        <v>0.21999999999999975</v>
      </c>
      <c r="I21" s="59">
        <f t="shared" si="0"/>
        <v>0.81481481481481388</v>
      </c>
    </row>
    <row r="22" spans="1:9" x14ac:dyDescent="0.35">
      <c r="A22" s="25" t="s">
        <v>10</v>
      </c>
      <c r="B22" s="25" t="s">
        <v>74</v>
      </c>
      <c r="C22" s="25">
        <v>58</v>
      </c>
      <c r="D22" s="25">
        <v>50</v>
      </c>
      <c r="E22" s="35" t="s">
        <v>53</v>
      </c>
      <c r="F22" s="36">
        <v>3.5058430717863098</v>
      </c>
      <c r="G22">
        <v>6.2</v>
      </c>
      <c r="H22" s="59">
        <f>G22-'Kubiņu masa'!D28</f>
        <v>0.20999999999999996</v>
      </c>
      <c r="I22" s="59">
        <f t="shared" si="0"/>
        <v>0.77777777777777768</v>
      </c>
    </row>
    <row r="23" spans="1:9" x14ac:dyDescent="0.35">
      <c r="A23" s="25" t="s">
        <v>10</v>
      </c>
      <c r="B23" s="25" t="s">
        <v>75</v>
      </c>
      <c r="C23" s="25">
        <v>187</v>
      </c>
      <c r="D23" s="25">
        <v>50</v>
      </c>
      <c r="E23" s="35" t="s">
        <v>53</v>
      </c>
      <c r="F23" s="36">
        <v>2.8497409326424954</v>
      </c>
      <c r="G23">
        <v>3.97</v>
      </c>
      <c r="H23" s="59">
        <f>G23-'Kubiņu masa'!D29</f>
        <v>0.11000000000000032</v>
      </c>
      <c r="I23" s="59">
        <f t="shared" si="0"/>
        <v>0.40740740740740861</v>
      </c>
    </row>
    <row r="24" spans="1:9" x14ac:dyDescent="0.35">
      <c r="A24" s="25" t="s">
        <v>10</v>
      </c>
      <c r="B24" s="25" t="s">
        <v>75</v>
      </c>
      <c r="C24" s="25">
        <v>248</v>
      </c>
      <c r="D24" s="25">
        <v>50</v>
      </c>
      <c r="E24" s="35" t="s">
        <v>53</v>
      </c>
      <c r="F24" s="36">
        <v>2.8776978417266212</v>
      </c>
      <c r="G24">
        <v>4.29</v>
      </c>
      <c r="H24" s="59">
        <f>G24-'Kubiņu masa'!D30</f>
        <v>0.12000000000000011</v>
      </c>
      <c r="I24" s="59">
        <f t="shared" si="0"/>
        <v>0.44444444444444486</v>
      </c>
    </row>
    <row r="25" spans="1:9" x14ac:dyDescent="0.35">
      <c r="A25" s="25" t="s">
        <v>10</v>
      </c>
      <c r="B25" s="25" t="s">
        <v>75</v>
      </c>
      <c r="C25" s="25">
        <v>212</v>
      </c>
      <c r="D25" s="25">
        <v>50</v>
      </c>
      <c r="E25" s="35" t="s">
        <v>53</v>
      </c>
      <c r="F25" s="36">
        <v>2.784810126582264</v>
      </c>
      <c r="G25">
        <v>4.0599999999999996</v>
      </c>
      <c r="H25" s="59">
        <f>G25-'Kubiņu masa'!D31</f>
        <v>0.10999999999999943</v>
      </c>
      <c r="I25" s="59">
        <f t="shared" si="0"/>
        <v>0.40740740740740528</v>
      </c>
    </row>
    <row r="26" spans="1:9" x14ac:dyDescent="0.35">
      <c r="A26" s="25" t="s">
        <v>40</v>
      </c>
      <c r="B26" s="25" t="s">
        <v>68</v>
      </c>
      <c r="C26" s="25">
        <v>5</v>
      </c>
      <c r="D26" s="25">
        <v>50</v>
      </c>
      <c r="E26" s="35" t="s">
        <v>53</v>
      </c>
      <c r="F26" s="36">
        <v>3.4340659340659339</v>
      </c>
      <c r="G26">
        <v>7.53</v>
      </c>
      <c r="H26" s="59">
        <f>G26-'Kubiņu masa'!D32</f>
        <v>0.25</v>
      </c>
      <c r="I26" s="59">
        <f t="shared" si="0"/>
        <v>0.92592592592592582</v>
      </c>
    </row>
    <row r="27" spans="1:9" x14ac:dyDescent="0.35">
      <c r="A27" s="25" t="s">
        <v>40</v>
      </c>
      <c r="B27" s="25" t="s">
        <v>68</v>
      </c>
      <c r="C27" s="25">
        <v>17</v>
      </c>
      <c r="D27" s="25">
        <v>50</v>
      </c>
      <c r="E27" s="35" t="s">
        <v>53</v>
      </c>
      <c r="F27" s="36">
        <v>3.1680440771349918</v>
      </c>
      <c r="G27">
        <v>7.49</v>
      </c>
      <c r="H27" s="59">
        <f>G27-'Kubiņu masa'!D33</f>
        <v>0.23000000000000043</v>
      </c>
      <c r="I27" s="59">
        <f t="shared" si="0"/>
        <v>0.85185185185185341</v>
      </c>
    </row>
    <row r="28" spans="1:9" x14ac:dyDescent="0.35">
      <c r="A28" s="25" t="s">
        <v>40</v>
      </c>
      <c r="B28" s="25" t="s">
        <v>68</v>
      </c>
      <c r="C28" s="25">
        <v>99</v>
      </c>
      <c r="D28" s="25">
        <v>50</v>
      </c>
      <c r="E28" s="35" t="s">
        <v>53</v>
      </c>
      <c r="F28" s="36">
        <v>3.2608695652173822</v>
      </c>
      <c r="G28">
        <v>7.6</v>
      </c>
      <c r="H28" s="59">
        <f>G28-'Kubiņu masa'!D34</f>
        <v>0.23999999999999932</v>
      </c>
      <c r="I28" s="59">
        <f t="shared" si="0"/>
        <v>0.88888888888888651</v>
      </c>
    </row>
    <row r="29" spans="1:9" x14ac:dyDescent="0.35">
      <c r="A29" s="25" t="s">
        <v>40</v>
      </c>
      <c r="B29" s="25" t="s">
        <v>69</v>
      </c>
      <c r="C29" s="25">
        <v>37</v>
      </c>
      <c r="D29" s="25">
        <v>50</v>
      </c>
      <c r="E29" s="35" t="s">
        <v>53</v>
      </c>
      <c r="F29" s="36">
        <v>3.3101045296167162</v>
      </c>
      <c r="G29">
        <v>5.93</v>
      </c>
      <c r="H29" s="59">
        <f>G29-'Kubiņu masa'!D35</f>
        <v>0.1899999999999995</v>
      </c>
      <c r="I29" s="59">
        <f t="shared" si="0"/>
        <v>0.70370370370370183</v>
      </c>
    </row>
    <row r="30" spans="1:9" x14ac:dyDescent="0.35">
      <c r="A30" s="25" t="s">
        <v>40</v>
      </c>
      <c r="B30" s="25" t="s">
        <v>69</v>
      </c>
      <c r="C30" s="25">
        <v>53</v>
      </c>
      <c r="D30" s="25">
        <v>50</v>
      </c>
      <c r="E30" s="35" t="s">
        <v>53</v>
      </c>
      <c r="F30" s="36">
        <v>3.2051282051282075</v>
      </c>
      <c r="G30">
        <v>6.44</v>
      </c>
      <c r="H30" s="59">
        <f>G30-'Kubiņu masa'!D36</f>
        <v>0.20000000000000018</v>
      </c>
      <c r="I30" s="59">
        <f t="shared" si="0"/>
        <v>0.74074074074074137</v>
      </c>
    </row>
    <row r="31" spans="1:9" x14ac:dyDescent="0.35">
      <c r="A31" s="25" t="s">
        <v>40</v>
      </c>
      <c r="B31" s="25" t="s">
        <v>69</v>
      </c>
      <c r="C31" s="25">
        <v>134</v>
      </c>
      <c r="D31" s="25">
        <v>50</v>
      </c>
      <c r="E31" s="35" t="s">
        <v>53</v>
      </c>
      <c r="F31" s="36">
        <v>3.1879194630872547</v>
      </c>
      <c r="G31">
        <v>6.15</v>
      </c>
      <c r="H31" s="59">
        <f>G31-'Kubiņu masa'!D37</f>
        <v>0.19000000000000039</v>
      </c>
      <c r="I31" s="59">
        <f t="shared" si="0"/>
        <v>0.70370370370370516</v>
      </c>
    </row>
    <row r="32" spans="1:9" x14ac:dyDescent="0.35">
      <c r="A32" s="25" t="s">
        <v>40</v>
      </c>
      <c r="B32" s="25" t="s">
        <v>70</v>
      </c>
      <c r="C32" s="25">
        <v>68</v>
      </c>
      <c r="D32" s="25">
        <v>50</v>
      </c>
      <c r="E32" s="35" t="s">
        <v>53</v>
      </c>
      <c r="F32" s="36">
        <v>3.443526170798898</v>
      </c>
      <c r="G32">
        <v>7.51</v>
      </c>
      <c r="H32" s="59">
        <f>G32-'Kubiņu masa'!D38</f>
        <v>0.25</v>
      </c>
      <c r="I32" s="59">
        <f t="shared" si="0"/>
        <v>0.92592592592592582</v>
      </c>
    </row>
    <row r="33" spans="1:9" x14ac:dyDescent="0.35">
      <c r="A33" s="25" t="s">
        <v>40</v>
      </c>
      <c r="B33" s="25" t="s">
        <v>70</v>
      </c>
      <c r="C33" s="25">
        <v>143</v>
      </c>
      <c r="D33" s="25">
        <v>50</v>
      </c>
      <c r="E33" s="35" t="s">
        <v>53</v>
      </c>
      <c r="F33" s="36">
        <v>3.5182679296346504</v>
      </c>
      <c r="G33">
        <v>7.65</v>
      </c>
      <c r="H33" s="59">
        <f>G33-'Kubiņu masa'!D39</f>
        <v>0.26000000000000068</v>
      </c>
      <c r="I33" s="59">
        <f t="shared" si="0"/>
        <v>0.96296296296296546</v>
      </c>
    </row>
    <row r="34" spans="1:9" x14ac:dyDescent="0.35">
      <c r="A34" s="25" t="s">
        <v>40</v>
      </c>
      <c r="B34" s="25" t="s">
        <v>70</v>
      </c>
      <c r="C34" s="25">
        <v>190</v>
      </c>
      <c r="D34" s="25">
        <v>50</v>
      </c>
      <c r="E34" s="35" t="s">
        <v>53</v>
      </c>
      <c r="F34" s="36">
        <v>3.234880450070317</v>
      </c>
      <c r="G34">
        <v>7.34</v>
      </c>
      <c r="H34" s="59">
        <f>G34-'Kubiņu masa'!D40</f>
        <v>0.22999999999999954</v>
      </c>
      <c r="I34" s="59">
        <f t="shared" si="0"/>
        <v>0.85185185185185019</v>
      </c>
    </row>
    <row r="35" spans="1:9" x14ac:dyDescent="0.35">
      <c r="A35" s="25" t="s">
        <v>40</v>
      </c>
      <c r="B35" s="25" t="s">
        <v>71</v>
      </c>
      <c r="C35" s="25">
        <v>158</v>
      </c>
      <c r="D35" s="25">
        <v>50</v>
      </c>
      <c r="E35" s="35" t="s">
        <v>53</v>
      </c>
      <c r="F35" s="36">
        <v>3.2806804374240528</v>
      </c>
      <c r="G35">
        <v>8.5</v>
      </c>
      <c r="H35" s="59">
        <f>G35-'Kubiņu masa'!D41</f>
        <v>0.26999999999999957</v>
      </c>
      <c r="I35" s="59">
        <f t="shared" si="0"/>
        <v>0.99999999999999845</v>
      </c>
    </row>
    <row r="36" spans="1:9" x14ac:dyDescent="0.35">
      <c r="A36" s="25" t="s">
        <v>40</v>
      </c>
      <c r="B36" s="25" t="s">
        <v>71</v>
      </c>
      <c r="C36" s="25">
        <v>169</v>
      </c>
      <c r="D36" s="25">
        <v>50</v>
      </c>
      <c r="E36" s="35" t="s">
        <v>53</v>
      </c>
      <c r="F36" s="36">
        <v>3.2911392405063267</v>
      </c>
      <c r="G36">
        <v>8.16</v>
      </c>
      <c r="H36" s="59">
        <f>G36-'Kubiņu masa'!D42</f>
        <v>0.25999999999999979</v>
      </c>
      <c r="I36" s="59">
        <f t="shared" si="0"/>
        <v>0.96296296296296213</v>
      </c>
    </row>
    <row r="37" spans="1:9" x14ac:dyDescent="0.35">
      <c r="A37" s="25" t="s">
        <v>40</v>
      </c>
      <c r="B37" s="25" t="s">
        <v>71</v>
      </c>
      <c r="C37" s="25">
        <v>174</v>
      </c>
      <c r="D37" s="25">
        <v>50</v>
      </c>
      <c r="E37" s="35" t="s">
        <v>53</v>
      </c>
      <c r="F37" s="36">
        <v>3.1537450722733151</v>
      </c>
      <c r="G37">
        <v>7.85</v>
      </c>
      <c r="H37" s="59">
        <f>G37-'Kubiņu masa'!D43</f>
        <v>0.23999999999999932</v>
      </c>
      <c r="I37" s="59">
        <f t="shared" si="0"/>
        <v>0.88888888888888651</v>
      </c>
    </row>
    <row r="38" spans="1:9" x14ac:dyDescent="0.35">
      <c r="A38" s="25" t="s">
        <v>40</v>
      </c>
      <c r="B38" s="25" t="s">
        <v>72</v>
      </c>
      <c r="C38" s="25">
        <v>108</v>
      </c>
      <c r="D38" s="25">
        <v>50</v>
      </c>
      <c r="E38" s="35" t="s">
        <v>53</v>
      </c>
      <c r="F38" s="36">
        <v>2.7295285359801347</v>
      </c>
      <c r="G38">
        <v>4.1399999999999997</v>
      </c>
      <c r="H38" s="59">
        <f>G38-'Kubiņu masa'!D44</f>
        <v>0.10999999999999943</v>
      </c>
      <c r="I38" s="59">
        <f t="shared" si="0"/>
        <v>0.40740740740740528</v>
      </c>
    </row>
    <row r="39" spans="1:9" x14ac:dyDescent="0.35">
      <c r="A39" s="25" t="s">
        <v>40</v>
      </c>
      <c r="B39" s="25" t="s">
        <v>72</v>
      </c>
      <c r="C39" s="25">
        <v>287</v>
      </c>
      <c r="D39" s="25">
        <v>50</v>
      </c>
      <c r="E39" s="35" t="s">
        <v>53</v>
      </c>
      <c r="F39" s="36">
        <v>2.7777777777777755</v>
      </c>
      <c r="G39">
        <v>4.8099999999999996</v>
      </c>
      <c r="H39" s="59">
        <f>G39-'Kubiņu masa'!D45</f>
        <v>0.12999999999999989</v>
      </c>
      <c r="I39" s="59">
        <f t="shared" si="0"/>
        <v>0.48148148148148107</v>
      </c>
    </row>
    <row r="40" spans="1:9" x14ac:dyDescent="0.35">
      <c r="A40" s="25" t="s">
        <v>40</v>
      </c>
      <c r="B40" s="25" t="s">
        <v>72</v>
      </c>
      <c r="C40" s="25">
        <v>328</v>
      </c>
      <c r="D40" s="25">
        <v>50</v>
      </c>
      <c r="E40" s="35" t="s">
        <v>53</v>
      </c>
      <c r="F40" s="36">
        <v>2.6004728132387571</v>
      </c>
      <c r="G40">
        <v>4.34</v>
      </c>
      <c r="H40" s="59">
        <f>G40-'Kubiņu masa'!D46</f>
        <v>0.10999999999999943</v>
      </c>
      <c r="I40" s="59">
        <f t="shared" si="0"/>
        <v>0.40740740740740528</v>
      </c>
    </row>
    <row r="41" spans="1:9" x14ac:dyDescent="0.35">
      <c r="A41" s="25" t="s">
        <v>40</v>
      </c>
      <c r="B41" s="25" t="s">
        <v>73</v>
      </c>
      <c r="C41" s="25">
        <v>207</v>
      </c>
      <c r="D41" s="25">
        <v>50</v>
      </c>
      <c r="E41" s="35" t="s">
        <v>53</v>
      </c>
      <c r="F41" s="36">
        <v>2.8571428571428639</v>
      </c>
      <c r="G41">
        <v>5.4</v>
      </c>
      <c r="H41" s="59">
        <f>G41-'Kubiņu masa'!D47</f>
        <v>0.15000000000000036</v>
      </c>
      <c r="I41" s="59">
        <f t="shared" si="0"/>
        <v>0.55555555555555691</v>
      </c>
    </row>
    <row r="42" spans="1:9" x14ac:dyDescent="0.35">
      <c r="A42" s="25" t="s">
        <v>40</v>
      </c>
      <c r="B42" s="25" t="s">
        <v>73</v>
      </c>
      <c r="C42" s="25">
        <v>314</v>
      </c>
      <c r="D42" s="25">
        <v>50</v>
      </c>
      <c r="E42" s="35" t="s">
        <v>53</v>
      </c>
      <c r="F42" s="36">
        <v>2.7777777777777675</v>
      </c>
      <c r="G42">
        <v>5.55</v>
      </c>
      <c r="H42" s="59">
        <f>G42-'Kubiņu masa'!D48</f>
        <v>0.14999999999999947</v>
      </c>
      <c r="I42" s="59">
        <f t="shared" si="0"/>
        <v>0.55555555555555358</v>
      </c>
    </row>
    <row r="43" spans="1:9" x14ac:dyDescent="0.35">
      <c r="A43" s="25" t="s">
        <v>40</v>
      </c>
      <c r="B43" s="25" t="s">
        <v>73</v>
      </c>
      <c r="C43" s="25">
        <v>280</v>
      </c>
      <c r="D43" s="25">
        <v>50</v>
      </c>
      <c r="E43" s="35" t="s">
        <v>53</v>
      </c>
      <c r="F43" s="36">
        <v>2.7675276752767592</v>
      </c>
      <c r="G43">
        <v>5.57</v>
      </c>
      <c r="H43" s="59">
        <f>G43-'Kubiņu masa'!D49</f>
        <v>0.15000000000000036</v>
      </c>
      <c r="I43" s="59">
        <f t="shared" si="0"/>
        <v>0.55555555555555691</v>
      </c>
    </row>
    <row r="44" spans="1:9" x14ac:dyDescent="0.35">
      <c r="A44" s="25" t="s">
        <v>40</v>
      </c>
      <c r="B44" s="25" t="s">
        <v>74</v>
      </c>
      <c r="C44" s="25">
        <v>172</v>
      </c>
      <c r="D44" s="25">
        <v>50</v>
      </c>
      <c r="E44" s="35" t="s">
        <v>53</v>
      </c>
      <c r="F44" s="36">
        <v>3.092783505154634</v>
      </c>
      <c r="G44">
        <v>6</v>
      </c>
      <c r="H44" s="59">
        <f>G44-'Kubiņu masa'!D50</f>
        <v>0.17999999999999972</v>
      </c>
      <c r="I44" s="59">
        <f t="shared" si="0"/>
        <v>0.66666666666666563</v>
      </c>
    </row>
    <row r="45" spans="1:9" x14ac:dyDescent="0.35">
      <c r="A45" s="25" t="s">
        <v>40</v>
      </c>
      <c r="B45" s="25" t="s">
        <v>74</v>
      </c>
      <c r="C45" s="25">
        <v>229</v>
      </c>
      <c r="D45" s="25">
        <v>50</v>
      </c>
      <c r="E45" s="35" t="s">
        <v>53</v>
      </c>
      <c r="F45" s="36">
        <v>3.2702237521514701</v>
      </c>
      <c r="G45">
        <v>6</v>
      </c>
      <c r="H45" s="59">
        <f>G45-'Kubiņu masa'!D51</f>
        <v>0.19000000000000039</v>
      </c>
      <c r="I45" s="59">
        <f t="shared" si="0"/>
        <v>0.70370370370370516</v>
      </c>
    </row>
    <row r="46" spans="1:9" x14ac:dyDescent="0.35">
      <c r="A46" s="25" t="s">
        <v>40</v>
      </c>
      <c r="B46" s="25" t="s">
        <v>74</v>
      </c>
      <c r="C46" s="25">
        <v>349</v>
      </c>
      <c r="D46" s="25">
        <v>50</v>
      </c>
      <c r="E46" s="35" t="s">
        <v>53</v>
      </c>
      <c r="F46" s="36">
        <v>3.2590051457975902</v>
      </c>
      <c r="G46">
        <v>6.02</v>
      </c>
      <c r="H46" s="59">
        <f>G46-'Kubiņu masa'!D52</f>
        <v>0.1899999999999995</v>
      </c>
      <c r="I46" s="59">
        <f t="shared" si="0"/>
        <v>0.70370370370370183</v>
      </c>
    </row>
    <row r="47" spans="1:9" x14ac:dyDescent="0.35">
      <c r="A47" s="25" t="s">
        <v>40</v>
      </c>
      <c r="B47" s="25" t="s">
        <v>75</v>
      </c>
      <c r="C47" s="25">
        <v>193</v>
      </c>
      <c r="D47" s="25">
        <v>50</v>
      </c>
      <c r="E47" s="35" t="s">
        <v>53</v>
      </c>
      <c r="F47" s="36">
        <v>2.7334851936218705</v>
      </c>
      <c r="G47">
        <v>4.51</v>
      </c>
      <c r="H47" s="59">
        <f>G47-'Kubiņu masa'!D53</f>
        <v>0.12000000000000011</v>
      </c>
      <c r="I47" s="59">
        <f t="shared" si="0"/>
        <v>0.44444444444444486</v>
      </c>
    </row>
    <row r="48" spans="1:9" x14ac:dyDescent="0.35">
      <c r="A48" s="25" t="s">
        <v>40</v>
      </c>
      <c r="B48" s="25" t="s">
        <v>75</v>
      </c>
      <c r="C48" s="25">
        <v>160</v>
      </c>
      <c r="D48" s="25">
        <v>50</v>
      </c>
      <c r="E48" s="35" t="s">
        <v>53</v>
      </c>
      <c r="F48" s="36">
        <v>2.298850574712656</v>
      </c>
      <c r="G48">
        <v>4.45</v>
      </c>
      <c r="H48" s="59">
        <f>G48-'Kubiņu masa'!D54</f>
        <v>0.10000000000000053</v>
      </c>
      <c r="I48" s="59">
        <f t="shared" si="0"/>
        <v>0.37037037037037235</v>
      </c>
    </row>
    <row r="49" spans="1:9" x14ac:dyDescent="0.35">
      <c r="A49" s="25" t="s">
        <v>40</v>
      </c>
      <c r="B49" s="25" t="s">
        <v>75</v>
      </c>
      <c r="C49" s="25">
        <v>218</v>
      </c>
      <c r="D49" s="25">
        <v>50</v>
      </c>
      <c r="E49" s="35" t="s">
        <v>53</v>
      </c>
      <c r="F49" s="36">
        <v>2.3866348448687265</v>
      </c>
      <c r="G49">
        <v>4.29</v>
      </c>
      <c r="H49" s="59">
        <f>G49-'Kubiņu masa'!D55</f>
        <v>9.9999999999999645E-2</v>
      </c>
      <c r="I49" s="59">
        <f t="shared" si="0"/>
        <v>0.37037037037036902</v>
      </c>
    </row>
    <row r="50" spans="1:9" x14ac:dyDescent="0.35">
      <c r="A50" s="25" t="s">
        <v>41</v>
      </c>
      <c r="B50" s="25" t="s">
        <v>91</v>
      </c>
      <c r="C50" s="25">
        <v>32</v>
      </c>
      <c r="D50" s="25">
        <v>50</v>
      </c>
      <c r="E50" s="35" t="s">
        <v>53</v>
      </c>
      <c r="F50" s="36">
        <v>3.9973787680209663</v>
      </c>
      <c r="G50">
        <v>15.87</v>
      </c>
      <c r="H50" s="59">
        <f>G50-'Kubiņu masa'!D56</f>
        <v>0.60999999999999943</v>
      </c>
      <c r="I50" s="59">
        <f>H50/15*100</f>
        <v>4.0666666666666629</v>
      </c>
    </row>
    <row r="51" spans="1:9" x14ac:dyDescent="0.35">
      <c r="A51" s="25" t="s">
        <v>41</v>
      </c>
      <c r="B51" s="25" t="s">
        <v>91</v>
      </c>
      <c r="C51" s="25">
        <v>33</v>
      </c>
      <c r="D51" s="25">
        <v>50</v>
      </c>
      <c r="E51" s="35" t="s">
        <v>53</v>
      </c>
      <c r="F51" s="36">
        <v>3.7275064267352187</v>
      </c>
      <c r="G51">
        <v>16.14</v>
      </c>
      <c r="H51" s="59">
        <f>G51-'Kubiņu masa'!D57</f>
        <v>0.58000000000000007</v>
      </c>
      <c r="I51" s="59">
        <f t="shared" ref="I51:I66" si="1">H51/15*100</f>
        <v>3.8666666666666667</v>
      </c>
    </row>
    <row r="52" spans="1:9" x14ac:dyDescent="0.35">
      <c r="A52" s="25" t="s">
        <v>41</v>
      </c>
      <c r="B52" s="25" t="s">
        <v>91</v>
      </c>
      <c r="C52" s="25">
        <v>34</v>
      </c>
      <c r="D52" s="25">
        <v>50</v>
      </c>
      <c r="E52" s="35" t="s">
        <v>53</v>
      </c>
      <c r="F52" s="36">
        <v>3.5580524344569304</v>
      </c>
      <c r="G52">
        <v>16.59</v>
      </c>
      <c r="H52" s="59">
        <f>G52-'Kubiņu masa'!D58</f>
        <v>0.57000000000000028</v>
      </c>
      <c r="I52" s="59">
        <f t="shared" si="1"/>
        <v>3.800000000000002</v>
      </c>
    </row>
    <row r="53" spans="1:9" x14ac:dyDescent="0.35">
      <c r="A53" s="25" t="s">
        <v>41</v>
      </c>
      <c r="B53" s="25" t="s">
        <v>29</v>
      </c>
      <c r="C53" s="25">
        <v>50</v>
      </c>
      <c r="D53" s="25">
        <v>50</v>
      </c>
      <c r="E53" s="35" t="s">
        <v>53</v>
      </c>
      <c r="F53" s="36">
        <v>2.8252299605781848</v>
      </c>
      <c r="G53">
        <v>15.65</v>
      </c>
      <c r="H53" s="59">
        <f>G53-'Kubiņu masa'!D59</f>
        <v>0.42999999999999972</v>
      </c>
      <c r="I53" s="59">
        <f t="shared" si="1"/>
        <v>2.8666666666666649</v>
      </c>
    </row>
    <row r="54" spans="1:9" x14ac:dyDescent="0.35">
      <c r="A54" s="25" t="s">
        <v>41</v>
      </c>
      <c r="B54" s="25" t="s">
        <v>29</v>
      </c>
      <c r="C54" s="25">
        <v>51</v>
      </c>
      <c r="D54" s="25">
        <v>50</v>
      </c>
      <c r="E54" s="35" t="s">
        <v>53</v>
      </c>
      <c r="F54" s="36">
        <v>2.8704939919893171</v>
      </c>
      <c r="G54">
        <v>15.41</v>
      </c>
      <c r="H54" s="59">
        <f>G54-'Kubiņu masa'!D60</f>
        <v>0.42999999999999972</v>
      </c>
      <c r="I54" s="59">
        <f t="shared" si="1"/>
        <v>2.8666666666666649</v>
      </c>
    </row>
    <row r="55" spans="1:9" x14ac:dyDescent="0.35">
      <c r="A55" s="25" t="s">
        <v>41</v>
      </c>
      <c r="B55" s="25" t="s">
        <v>29</v>
      </c>
      <c r="C55" s="25">
        <v>52</v>
      </c>
      <c r="D55" s="25">
        <v>50</v>
      </c>
      <c r="E55" s="35" t="s">
        <v>53</v>
      </c>
      <c r="F55" s="36">
        <v>2.9197080291970772</v>
      </c>
      <c r="G55">
        <v>15.51</v>
      </c>
      <c r="H55" s="59">
        <f>G55-'Kubiņu masa'!D61</f>
        <v>0.4399999999999995</v>
      </c>
      <c r="I55" s="59">
        <f t="shared" si="1"/>
        <v>2.93333333333333</v>
      </c>
    </row>
    <row r="56" spans="1:9" x14ac:dyDescent="0.35">
      <c r="A56" s="25" t="s">
        <v>41</v>
      </c>
      <c r="B56" s="25" t="s">
        <v>88</v>
      </c>
      <c r="C56" s="25" t="s">
        <v>42</v>
      </c>
      <c r="D56" s="25">
        <v>50</v>
      </c>
      <c r="E56" s="35" t="s">
        <v>53</v>
      </c>
      <c r="F56" s="36">
        <v>3.2379518072289266</v>
      </c>
      <c r="G56">
        <v>13.71</v>
      </c>
      <c r="H56" s="59">
        <f>G56-'Kubiņu masa'!D62</f>
        <v>0.43000000000000149</v>
      </c>
      <c r="I56" s="59">
        <f t="shared" si="1"/>
        <v>2.8666666666666769</v>
      </c>
    </row>
    <row r="57" spans="1:9" x14ac:dyDescent="0.35">
      <c r="A57" s="25" t="s">
        <v>41</v>
      </c>
      <c r="B57" s="25" t="s">
        <v>88</v>
      </c>
      <c r="C57" s="25" t="s">
        <v>43</v>
      </c>
      <c r="D57" s="25">
        <v>50</v>
      </c>
      <c r="E57" s="35" t="s">
        <v>53</v>
      </c>
      <c r="F57" s="36">
        <v>3.3460076045627343</v>
      </c>
      <c r="G57">
        <v>13.59</v>
      </c>
      <c r="H57" s="59">
        <f>G57-'Kubiņu masa'!D63</f>
        <v>0.4399999999999995</v>
      </c>
      <c r="I57" s="59">
        <f t="shared" si="1"/>
        <v>2.93333333333333</v>
      </c>
    </row>
    <row r="58" spans="1:9" x14ac:dyDescent="0.35">
      <c r="A58" s="25" t="s">
        <v>41</v>
      </c>
      <c r="B58" s="25" t="s">
        <v>88</v>
      </c>
      <c r="C58" s="25" t="s">
        <v>44</v>
      </c>
      <c r="D58" s="25">
        <v>50</v>
      </c>
      <c r="E58" s="35" t="s">
        <v>53</v>
      </c>
      <c r="F58" s="36">
        <v>3.4429992348890535</v>
      </c>
      <c r="G58">
        <v>13.52</v>
      </c>
      <c r="H58" s="59">
        <f>G58-'Kubiņu masa'!D64</f>
        <v>0.44999999999999929</v>
      </c>
      <c r="I58" s="59">
        <f t="shared" si="1"/>
        <v>2.9999999999999956</v>
      </c>
    </row>
    <row r="59" spans="1:9" x14ac:dyDescent="0.35">
      <c r="A59" s="25" t="s">
        <v>41</v>
      </c>
      <c r="B59" s="25" t="s">
        <v>89</v>
      </c>
      <c r="C59" s="25" t="s">
        <v>45</v>
      </c>
      <c r="D59" s="25">
        <v>50</v>
      </c>
      <c r="E59" s="35" t="s">
        <v>53</v>
      </c>
      <c r="F59" s="36">
        <v>3.8202247191011223</v>
      </c>
      <c r="G59">
        <v>13.86</v>
      </c>
      <c r="H59" s="59">
        <f>G59-'Kubiņu masa'!D65</f>
        <v>0.50999999999999979</v>
      </c>
      <c r="I59" s="59">
        <f t="shared" si="1"/>
        <v>3.399999999999999</v>
      </c>
    </row>
    <row r="60" spans="1:9" x14ac:dyDescent="0.35">
      <c r="A60" s="25" t="s">
        <v>41</v>
      </c>
      <c r="B60" s="25" t="s">
        <v>89</v>
      </c>
      <c r="C60" s="25" t="s">
        <v>46</v>
      </c>
      <c r="D60" s="25">
        <v>50</v>
      </c>
      <c r="E60" s="35" t="s">
        <v>53</v>
      </c>
      <c r="F60" s="36">
        <v>3.681442524417732</v>
      </c>
      <c r="G60">
        <v>13.8</v>
      </c>
      <c r="H60" s="59">
        <f>G60-'Kubiņu masa'!D66</f>
        <v>0.49000000000000021</v>
      </c>
      <c r="I60" s="59">
        <f t="shared" si="1"/>
        <v>3.2666666666666684</v>
      </c>
    </row>
    <row r="61" spans="1:9" x14ac:dyDescent="0.35">
      <c r="A61" s="25" t="s">
        <v>41</v>
      </c>
      <c r="B61" s="25" t="s">
        <v>89</v>
      </c>
      <c r="C61" s="25" t="s">
        <v>47</v>
      </c>
      <c r="D61" s="25">
        <v>50</v>
      </c>
      <c r="E61" s="35" t="s">
        <v>53</v>
      </c>
      <c r="F61" s="36">
        <v>3.7091988130563793</v>
      </c>
      <c r="G61">
        <v>13.98</v>
      </c>
      <c r="H61" s="59">
        <f>G61-'Kubiņu masa'!D67</f>
        <v>0.5</v>
      </c>
      <c r="I61" s="59">
        <f t="shared" si="1"/>
        <v>3.3333333333333335</v>
      </c>
    </row>
    <row r="62" spans="1:9" x14ac:dyDescent="0.35">
      <c r="A62" s="25" t="s">
        <v>41</v>
      </c>
      <c r="B62" s="25" t="s">
        <v>90</v>
      </c>
      <c r="C62" s="25" t="s">
        <v>48</v>
      </c>
      <c r="D62" s="25">
        <v>50</v>
      </c>
      <c r="E62" s="35" t="s">
        <v>53</v>
      </c>
      <c r="F62" s="36">
        <v>2.687843616371397</v>
      </c>
      <c r="G62">
        <v>16.809999999999999</v>
      </c>
      <c r="H62" s="59">
        <f>G62-'Kubiņu masa'!D68</f>
        <v>0.43999999999999773</v>
      </c>
      <c r="I62" s="59">
        <f t="shared" si="1"/>
        <v>2.933333333333318</v>
      </c>
    </row>
    <row r="63" spans="1:9" x14ac:dyDescent="0.35">
      <c r="A63" s="25" t="s">
        <v>41</v>
      </c>
      <c r="B63" s="25" t="s">
        <v>90</v>
      </c>
      <c r="C63" s="25" t="s">
        <v>49</v>
      </c>
      <c r="D63" s="25">
        <v>50</v>
      </c>
      <c r="E63" s="35" t="s">
        <v>53</v>
      </c>
      <c r="F63" s="36">
        <v>2.694427434170247</v>
      </c>
      <c r="G63">
        <v>16.77</v>
      </c>
      <c r="H63" s="59">
        <f>G63-'Kubiņu masa'!D69</f>
        <v>0.44000000000000128</v>
      </c>
      <c r="I63" s="59">
        <f t="shared" si="1"/>
        <v>2.933333333333342</v>
      </c>
    </row>
    <row r="64" spans="1:9" x14ac:dyDescent="0.35">
      <c r="A64" s="25" t="s">
        <v>41</v>
      </c>
      <c r="B64" s="25" t="s">
        <v>33</v>
      </c>
      <c r="C64" s="25" t="s">
        <v>50</v>
      </c>
      <c r="D64" s="25">
        <v>50</v>
      </c>
      <c r="E64" s="35" t="s">
        <v>53</v>
      </c>
      <c r="F64" s="36">
        <v>3.5016835016834986</v>
      </c>
      <c r="G64">
        <v>15.37</v>
      </c>
      <c r="H64" s="59">
        <f>G64-'Kubiņu masa'!D70</f>
        <v>0.51999999999999957</v>
      </c>
      <c r="I64" s="59">
        <f t="shared" si="1"/>
        <v>3.4666666666666637</v>
      </c>
    </row>
    <row r="65" spans="1:9" x14ac:dyDescent="0.35">
      <c r="A65" s="25" t="s">
        <v>41</v>
      </c>
      <c r="B65" s="25" t="s">
        <v>33</v>
      </c>
      <c r="C65" s="25" t="s">
        <v>51</v>
      </c>
      <c r="D65" s="25">
        <v>50</v>
      </c>
      <c r="E65" s="35" t="s">
        <v>53</v>
      </c>
      <c r="F65" s="36">
        <v>3.5254237288135566</v>
      </c>
      <c r="G65">
        <v>15.27</v>
      </c>
      <c r="H65" s="59">
        <f>G65-'Kubiņu masa'!D71</f>
        <v>0.51999999999999957</v>
      </c>
      <c r="I65" s="59">
        <f t="shared" si="1"/>
        <v>3.4666666666666637</v>
      </c>
    </row>
    <row r="66" spans="1:9" x14ac:dyDescent="0.35">
      <c r="A66" s="25" t="s">
        <v>41</v>
      </c>
      <c r="B66" s="25" t="s">
        <v>33</v>
      </c>
      <c r="C66" s="25" t="s">
        <v>52</v>
      </c>
      <c r="D66" s="25">
        <v>50</v>
      </c>
      <c r="E66" s="35" t="s">
        <v>53</v>
      </c>
      <c r="F66" s="36">
        <v>3.4993270524899152</v>
      </c>
      <c r="G66">
        <v>15.38</v>
      </c>
      <c r="H66" s="59">
        <f>G66-'Kubiņu masa'!D72</f>
        <v>0.52000000000000135</v>
      </c>
      <c r="I66" s="59">
        <f t="shared" si="1"/>
        <v>3.4666666666666757</v>
      </c>
    </row>
    <row r="67" spans="1:9" x14ac:dyDescent="0.35">
      <c r="A67" s="25" t="s">
        <v>10</v>
      </c>
      <c r="B67" s="25" t="s">
        <v>68</v>
      </c>
      <c r="C67" s="25">
        <v>9</v>
      </c>
      <c r="D67" s="25">
        <v>50</v>
      </c>
      <c r="E67" s="37" t="s">
        <v>54</v>
      </c>
      <c r="F67" s="36">
        <v>3.9187227866473218</v>
      </c>
      <c r="G67">
        <v>7.16</v>
      </c>
      <c r="H67" s="59">
        <f>G67-'Kubiņu masa'!D8</f>
        <v>0.27000000000000046</v>
      </c>
      <c r="I67" s="59">
        <f t="shared" ref="I67:I130" si="2">H67/27*100</f>
        <v>1.0000000000000018</v>
      </c>
    </row>
    <row r="68" spans="1:9" x14ac:dyDescent="0.35">
      <c r="A68" s="25" t="s">
        <v>10</v>
      </c>
      <c r="B68" s="25" t="s">
        <v>68</v>
      </c>
      <c r="C68" s="25">
        <v>27</v>
      </c>
      <c r="D68" s="25">
        <v>50</v>
      </c>
      <c r="E68" s="37" t="s">
        <v>54</v>
      </c>
      <c r="F68" s="36">
        <v>3.467406380027739</v>
      </c>
      <c r="G68">
        <v>7.46</v>
      </c>
      <c r="H68" s="59">
        <f>G68-'Kubiņu masa'!D9</f>
        <v>0.25</v>
      </c>
      <c r="I68" s="59">
        <f t="shared" si="2"/>
        <v>0.92592592592592582</v>
      </c>
    </row>
    <row r="69" spans="1:9" x14ac:dyDescent="0.35">
      <c r="A69" s="25" t="s">
        <v>10</v>
      </c>
      <c r="B69" s="25" t="s">
        <v>68</v>
      </c>
      <c r="C69" s="25">
        <v>106</v>
      </c>
      <c r="D69" s="25">
        <v>50</v>
      </c>
      <c r="E69" s="37" t="s">
        <v>54</v>
      </c>
      <c r="F69" s="36">
        <v>3.4965034965034962</v>
      </c>
      <c r="G69">
        <v>7.4</v>
      </c>
      <c r="H69" s="59">
        <f>G69-'Kubiņu masa'!D10</f>
        <v>0.25</v>
      </c>
      <c r="I69" s="59">
        <f t="shared" si="2"/>
        <v>0.92592592592592582</v>
      </c>
    </row>
    <row r="70" spans="1:9" x14ac:dyDescent="0.35">
      <c r="A70" s="25" t="s">
        <v>10</v>
      </c>
      <c r="B70" s="25" t="s">
        <v>69</v>
      </c>
      <c r="C70" s="25">
        <v>39</v>
      </c>
      <c r="D70" s="25">
        <v>50</v>
      </c>
      <c r="E70" s="37" t="s">
        <v>54</v>
      </c>
      <c r="F70" s="36">
        <v>3.2203389830508389</v>
      </c>
      <c r="G70">
        <v>6.09</v>
      </c>
      <c r="H70" s="59">
        <f>G70-'Kubiņu masa'!D11</f>
        <v>0.1899999999999995</v>
      </c>
      <c r="I70" s="59">
        <f t="shared" si="2"/>
        <v>0.70370370370370183</v>
      </c>
    </row>
    <row r="71" spans="1:9" x14ac:dyDescent="0.35">
      <c r="A71" s="25" t="s">
        <v>10</v>
      </c>
      <c r="B71" s="25" t="s">
        <v>69</v>
      </c>
      <c r="C71" s="25">
        <v>55</v>
      </c>
      <c r="D71" s="25">
        <v>50</v>
      </c>
      <c r="E71" s="37" t="s">
        <v>54</v>
      </c>
      <c r="F71" s="36">
        <v>3.2679738562091534</v>
      </c>
      <c r="G71">
        <v>6.32</v>
      </c>
      <c r="H71" s="59">
        <f>G71-'Kubiņu masa'!D12</f>
        <v>0.20000000000000018</v>
      </c>
      <c r="I71" s="59">
        <f t="shared" si="2"/>
        <v>0.74074074074074137</v>
      </c>
    </row>
    <row r="72" spans="1:9" x14ac:dyDescent="0.35">
      <c r="A72" s="25" t="s">
        <v>10</v>
      </c>
      <c r="B72" s="25" t="s">
        <v>69</v>
      </c>
      <c r="C72" s="25">
        <v>122</v>
      </c>
      <c r="D72" s="25">
        <v>50</v>
      </c>
      <c r="E72" s="37" t="s">
        <v>54</v>
      </c>
      <c r="F72" s="36">
        <v>3.0744336569579351</v>
      </c>
      <c r="G72">
        <v>6.37</v>
      </c>
      <c r="H72" s="59">
        <f>G72-'Kubiņu masa'!D13</f>
        <v>0.19000000000000039</v>
      </c>
      <c r="I72" s="59">
        <f t="shared" si="2"/>
        <v>0.70370370370370516</v>
      </c>
    </row>
    <row r="73" spans="1:9" x14ac:dyDescent="0.35">
      <c r="A73" s="25" t="s">
        <v>10</v>
      </c>
      <c r="B73" s="25" t="s">
        <v>70</v>
      </c>
      <c r="C73" s="25">
        <v>66</v>
      </c>
      <c r="D73" s="25">
        <v>50</v>
      </c>
      <c r="E73" s="37" t="s">
        <v>54</v>
      </c>
      <c r="F73" s="36">
        <v>3.4578146611341629</v>
      </c>
      <c r="G73">
        <v>7.48</v>
      </c>
      <c r="H73" s="59">
        <f>G73-'Kubiņu masa'!D14</f>
        <v>0.25</v>
      </c>
      <c r="I73" s="59">
        <f t="shared" si="2"/>
        <v>0.92592592592592582</v>
      </c>
    </row>
    <row r="74" spans="1:9" x14ac:dyDescent="0.35">
      <c r="A74" s="25" t="s">
        <v>10</v>
      </c>
      <c r="B74" s="25" t="s">
        <v>70</v>
      </c>
      <c r="C74" s="25">
        <v>142</v>
      </c>
      <c r="D74" s="25">
        <v>50</v>
      </c>
      <c r="E74" s="37" t="s">
        <v>54</v>
      </c>
      <c r="F74" s="36">
        <v>3.5526315789473748</v>
      </c>
      <c r="G74">
        <v>7.87</v>
      </c>
      <c r="H74" s="59">
        <f>G74-'Kubiņu masa'!D15</f>
        <v>0.27000000000000046</v>
      </c>
      <c r="I74" s="59">
        <f t="shared" si="2"/>
        <v>1.0000000000000018</v>
      </c>
    </row>
    <row r="75" spans="1:9" x14ac:dyDescent="0.35">
      <c r="A75" s="25" t="s">
        <v>10</v>
      </c>
      <c r="B75" s="25" t="s">
        <v>70</v>
      </c>
      <c r="C75" s="25">
        <v>147</v>
      </c>
      <c r="D75" s="25">
        <v>50</v>
      </c>
      <c r="E75" s="37" t="s">
        <v>54</v>
      </c>
      <c r="F75" s="36">
        <v>3.6388140161725131</v>
      </c>
      <c r="G75">
        <v>7.69</v>
      </c>
      <c r="H75" s="59">
        <f>G75-'Kubiņu masa'!D16</f>
        <v>0.27000000000000046</v>
      </c>
      <c r="I75" s="59">
        <f t="shared" si="2"/>
        <v>1.0000000000000018</v>
      </c>
    </row>
    <row r="76" spans="1:9" x14ac:dyDescent="0.35">
      <c r="A76" s="25" t="s">
        <v>10</v>
      </c>
      <c r="B76" s="25" t="s">
        <v>71</v>
      </c>
      <c r="C76" s="25">
        <v>75</v>
      </c>
      <c r="D76" s="25">
        <v>50</v>
      </c>
      <c r="E76" s="37" t="s">
        <v>54</v>
      </c>
      <c r="F76" s="36">
        <v>3.2981530343007917</v>
      </c>
      <c r="G76">
        <v>7.83</v>
      </c>
      <c r="H76" s="59">
        <f>G76-'Kubiņu masa'!D17</f>
        <v>0.25</v>
      </c>
      <c r="I76" s="59">
        <f t="shared" si="2"/>
        <v>0.92592592592592582</v>
      </c>
    </row>
    <row r="77" spans="1:9" x14ac:dyDescent="0.35">
      <c r="A77" s="25" t="s">
        <v>10</v>
      </c>
      <c r="B77" s="25" t="s">
        <v>71</v>
      </c>
      <c r="C77" s="25">
        <v>81</v>
      </c>
      <c r="D77" s="25">
        <v>50</v>
      </c>
      <c r="E77" s="37" t="s">
        <v>54</v>
      </c>
      <c r="F77" s="36">
        <v>3.4120734908136456</v>
      </c>
      <c r="G77">
        <v>7.88</v>
      </c>
      <c r="H77" s="59">
        <f>G77-'Kubiņu masa'!D18</f>
        <v>0.25999999999999979</v>
      </c>
      <c r="I77" s="59">
        <f t="shared" si="2"/>
        <v>0.96296296296296213</v>
      </c>
    </row>
    <row r="78" spans="1:9" x14ac:dyDescent="0.35">
      <c r="A78" s="25" t="s">
        <v>10</v>
      </c>
      <c r="B78" s="25" t="s">
        <v>71</v>
      </c>
      <c r="C78" s="25">
        <v>91</v>
      </c>
      <c r="D78" s="25">
        <v>50</v>
      </c>
      <c r="E78" s="37" t="s">
        <v>54</v>
      </c>
      <c r="F78" s="36">
        <v>3.1969309462915603</v>
      </c>
      <c r="G78">
        <v>8.07</v>
      </c>
      <c r="H78" s="59">
        <f>G78-'Kubiņu masa'!D19</f>
        <v>0.25</v>
      </c>
      <c r="I78" s="59">
        <f t="shared" si="2"/>
        <v>0.92592592592592582</v>
      </c>
    </row>
    <row r="79" spans="1:9" x14ac:dyDescent="0.35">
      <c r="A79" s="25" t="s">
        <v>10</v>
      </c>
      <c r="B79" s="25" t="s">
        <v>72</v>
      </c>
      <c r="C79" s="25">
        <v>103</v>
      </c>
      <c r="D79" s="25">
        <v>50</v>
      </c>
      <c r="E79" s="37" t="s">
        <v>54</v>
      </c>
      <c r="F79" s="36">
        <v>2.8571428571428541</v>
      </c>
      <c r="G79">
        <v>3.96</v>
      </c>
      <c r="H79" s="59">
        <f>G79-'Kubiņu masa'!D20</f>
        <v>0.10999999999999988</v>
      </c>
      <c r="I79" s="59">
        <f t="shared" si="2"/>
        <v>0.40740740740740694</v>
      </c>
    </row>
    <row r="80" spans="1:9" x14ac:dyDescent="0.35">
      <c r="A80" s="25" t="s">
        <v>10</v>
      </c>
      <c r="B80" s="25" t="s">
        <v>72</v>
      </c>
      <c r="C80" s="25">
        <v>283</v>
      </c>
      <c r="D80" s="25">
        <v>50</v>
      </c>
      <c r="E80" s="37" t="s">
        <v>54</v>
      </c>
      <c r="F80" s="36">
        <v>3.0075187969924837</v>
      </c>
      <c r="G80">
        <v>4.1100000000000003</v>
      </c>
      <c r="H80" s="59">
        <f>G80-'Kubiņu masa'!D21</f>
        <v>0.12000000000000011</v>
      </c>
      <c r="I80" s="59">
        <f t="shared" si="2"/>
        <v>0.44444444444444486</v>
      </c>
    </row>
    <row r="81" spans="1:9" x14ac:dyDescent="0.35">
      <c r="A81" s="25" t="s">
        <v>10</v>
      </c>
      <c r="B81" s="25" t="s">
        <v>72</v>
      </c>
      <c r="C81" s="25">
        <v>323</v>
      </c>
      <c r="D81" s="25">
        <v>50</v>
      </c>
      <c r="E81" s="37" t="s">
        <v>54</v>
      </c>
      <c r="F81" s="36">
        <v>3.0878859857482159</v>
      </c>
      <c r="G81">
        <v>4.34</v>
      </c>
      <c r="H81" s="59">
        <f>G81-'Kubiņu masa'!D22</f>
        <v>0.12999999999999989</v>
      </c>
      <c r="I81" s="59">
        <f t="shared" si="2"/>
        <v>0.48148148148148107</v>
      </c>
    </row>
    <row r="82" spans="1:9" x14ac:dyDescent="0.35">
      <c r="A82" s="25" t="s">
        <v>10</v>
      </c>
      <c r="B82" s="25" t="s">
        <v>73</v>
      </c>
      <c r="C82" s="25">
        <v>203</v>
      </c>
      <c r="D82" s="25">
        <v>50</v>
      </c>
      <c r="E82" s="37" t="s">
        <v>54</v>
      </c>
      <c r="F82" s="36">
        <v>3.2064128256513049</v>
      </c>
      <c r="G82">
        <v>5.15</v>
      </c>
      <c r="H82" s="59">
        <f>G82-'Kubiņu masa'!D23</f>
        <v>0.16000000000000014</v>
      </c>
      <c r="I82" s="59">
        <f t="shared" si="2"/>
        <v>0.59259259259259311</v>
      </c>
    </row>
    <row r="83" spans="1:9" x14ac:dyDescent="0.35">
      <c r="A83" s="25" t="s">
        <v>10</v>
      </c>
      <c r="B83" s="25" t="s">
        <v>73</v>
      </c>
      <c r="C83" s="25">
        <v>272</v>
      </c>
      <c r="D83" s="25">
        <v>50</v>
      </c>
      <c r="E83" s="37" t="s">
        <v>54</v>
      </c>
      <c r="F83" s="36">
        <v>3.2520325203252063</v>
      </c>
      <c r="G83">
        <v>5.08</v>
      </c>
      <c r="H83" s="59">
        <f>G83-'Kubiņu masa'!D24</f>
        <v>0.16000000000000014</v>
      </c>
      <c r="I83" s="59">
        <f t="shared" si="2"/>
        <v>0.59259259259259311</v>
      </c>
    </row>
    <row r="84" spans="1:9" x14ac:dyDescent="0.35">
      <c r="A84" s="25" t="s">
        <v>10</v>
      </c>
      <c r="B84" s="25" t="s">
        <v>73</v>
      </c>
      <c r="C84" s="25">
        <v>266</v>
      </c>
      <c r="D84" s="25">
        <v>50</v>
      </c>
      <c r="E84" s="37" t="s">
        <v>54</v>
      </c>
      <c r="F84" s="36">
        <v>3.1936127744511009</v>
      </c>
      <c r="G84">
        <v>5.17</v>
      </c>
      <c r="H84" s="59">
        <f>G84-'Kubiņu masa'!D25</f>
        <v>0.16000000000000014</v>
      </c>
      <c r="I84" s="59">
        <f t="shared" si="2"/>
        <v>0.59259259259259311</v>
      </c>
    </row>
    <row r="85" spans="1:9" x14ac:dyDescent="0.35">
      <c r="A85" s="25" t="s">
        <v>10</v>
      </c>
      <c r="B85" s="25" t="s">
        <v>74</v>
      </c>
      <c r="C85" s="25">
        <v>168</v>
      </c>
      <c r="D85" s="25">
        <v>50</v>
      </c>
      <c r="E85" s="37" t="s">
        <v>54</v>
      </c>
      <c r="F85" s="36">
        <v>3.6269430051813467</v>
      </c>
      <c r="G85">
        <v>6</v>
      </c>
      <c r="H85" s="59">
        <f>G85-'Kubiņu masa'!D26</f>
        <v>0.20999999999999996</v>
      </c>
      <c r="I85" s="59">
        <f t="shared" si="2"/>
        <v>0.77777777777777768</v>
      </c>
    </row>
    <row r="86" spans="1:9" x14ac:dyDescent="0.35">
      <c r="A86" s="25" t="s">
        <v>10</v>
      </c>
      <c r="B86" s="25" t="s">
        <v>74</v>
      </c>
      <c r="C86" s="25">
        <v>343</v>
      </c>
      <c r="D86" s="25">
        <v>50</v>
      </c>
      <c r="E86" s="37" t="s">
        <v>54</v>
      </c>
      <c r="F86" s="36">
        <v>3.6423841059602604</v>
      </c>
      <c r="G86">
        <v>6.26</v>
      </c>
      <c r="H86" s="59">
        <f>G86-'Kubiņu masa'!D27</f>
        <v>0.21999999999999975</v>
      </c>
      <c r="I86" s="59">
        <f t="shared" si="2"/>
        <v>0.81481481481481388</v>
      </c>
    </row>
    <row r="87" spans="1:9" x14ac:dyDescent="0.35">
      <c r="A87" s="25" t="s">
        <v>10</v>
      </c>
      <c r="B87" s="25" t="s">
        <v>74</v>
      </c>
      <c r="C87" s="25">
        <v>58</v>
      </c>
      <c r="D87" s="25">
        <v>50</v>
      </c>
      <c r="E87" s="37" t="s">
        <v>54</v>
      </c>
      <c r="F87" s="36">
        <v>3.5058430717863098</v>
      </c>
      <c r="G87">
        <v>6.2</v>
      </c>
      <c r="H87" s="59">
        <f>G87-'Kubiņu masa'!D28</f>
        <v>0.20999999999999996</v>
      </c>
      <c r="I87" s="59">
        <f t="shared" si="2"/>
        <v>0.77777777777777768</v>
      </c>
    </row>
    <row r="88" spans="1:9" x14ac:dyDescent="0.35">
      <c r="A88" s="25" t="s">
        <v>10</v>
      </c>
      <c r="B88" s="25" t="s">
        <v>75</v>
      </c>
      <c r="C88" s="25">
        <v>187</v>
      </c>
      <c r="D88" s="25">
        <v>50</v>
      </c>
      <c r="E88" s="37" t="s">
        <v>54</v>
      </c>
      <c r="F88" s="36">
        <v>2.8497409326424954</v>
      </c>
      <c r="G88">
        <v>3.97</v>
      </c>
      <c r="H88" s="59">
        <f>G88-'Kubiņu masa'!D29</f>
        <v>0.11000000000000032</v>
      </c>
      <c r="I88" s="59">
        <f t="shared" si="2"/>
        <v>0.40740740740740861</v>
      </c>
    </row>
    <row r="89" spans="1:9" x14ac:dyDescent="0.35">
      <c r="A89" s="25" t="s">
        <v>10</v>
      </c>
      <c r="B89" s="25" t="s">
        <v>75</v>
      </c>
      <c r="C89" s="25">
        <v>248</v>
      </c>
      <c r="D89" s="25">
        <v>50</v>
      </c>
      <c r="E89" s="37" t="s">
        <v>54</v>
      </c>
      <c r="F89" s="36">
        <v>2.8776978417266212</v>
      </c>
      <c r="G89">
        <v>4.29</v>
      </c>
      <c r="H89" s="59">
        <f>G89-'Kubiņu masa'!D30</f>
        <v>0.12000000000000011</v>
      </c>
      <c r="I89" s="59">
        <f t="shared" si="2"/>
        <v>0.44444444444444486</v>
      </c>
    </row>
    <row r="90" spans="1:9" x14ac:dyDescent="0.35">
      <c r="A90" s="25" t="s">
        <v>10</v>
      </c>
      <c r="B90" s="25" t="s">
        <v>75</v>
      </c>
      <c r="C90" s="25">
        <v>212</v>
      </c>
      <c r="D90" s="25">
        <v>50</v>
      </c>
      <c r="E90" s="37" t="s">
        <v>54</v>
      </c>
      <c r="F90" s="36">
        <v>2.531645569620244</v>
      </c>
      <c r="G90">
        <v>4.05</v>
      </c>
      <c r="H90" s="59">
        <f>G90-'Kubiņu masa'!D31</f>
        <v>9.9999999999999645E-2</v>
      </c>
      <c r="I90" s="59">
        <f t="shared" si="2"/>
        <v>0.37037037037036902</v>
      </c>
    </row>
    <row r="91" spans="1:9" x14ac:dyDescent="0.35">
      <c r="A91" s="25" t="s">
        <v>40</v>
      </c>
      <c r="B91" s="25" t="s">
        <v>68</v>
      </c>
      <c r="C91" s="25">
        <v>5</v>
      </c>
      <c r="D91" s="25">
        <v>50</v>
      </c>
      <c r="E91" s="37" t="s">
        <v>54</v>
      </c>
      <c r="F91" s="36">
        <v>3.2967032967032872</v>
      </c>
      <c r="G91">
        <v>7.52</v>
      </c>
      <c r="H91" s="59">
        <f>G91-'Kubiņu masa'!D32</f>
        <v>0.23999999999999932</v>
      </c>
      <c r="I91" s="59">
        <f t="shared" si="2"/>
        <v>0.88888888888888651</v>
      </c>
    </row>
    <row r="92" spans="1:9" x14ac:dyDescent="0.35">
      <c r="A92" s="25" t="s">
        <v>40</v>
      </c>
      <c r="B92" s="25" t="s">
        <v>68</v>
      </c>
      <c r="C92" s="25">
        <v>17</v>
      </c>
      <c r="D92" s="25">
        <v>50</v>
      </c>
      <c r="E92" s="37" t="s">
        <v>54</v>
      </c>
      <c r="F92" s="36">
        <v>3.1680440771349918</v>
      </c>
      <c r="G92">
        <v>7.49</v>
      </c>
      <c r="H92" s="59">
        <f>G92-'Kubiņu masa'!D33</f>
        <v>0.23000000000000043</v>
      </c>
      <c r="I92" s="59">
        <f t="shared" si="2"/>
        <v>0.85185185185185341</v>
      </c>
    </row>
    <row r="93" spans="1:9" x14ac:dyDescent="0.35">
      <c r="A93" s="25" t="s">
        <v>40</v>
      </c>
      <c r="B93" s="25" t="s">
        <v>68</v>
      </c>
      <c r="C93" s="25">
        <v>99</v>
      </c>
      <c r="D93" s="25">
        <v>50</v>
      </c>
      <c r="E93" s="37" t="s">
        <v>54</v>
      </c>
      <c r="F93" s="36">
        <v>3.1249999999999938</v>
      </c>
      <c r="G93">
        <v>7.59</v>
      </c>
      <c r="H93" s="59">
        <f>G93-'Kubiņu masa'!D34</f>
        <v>0.22999999999999954</v>
      </c>
      <c r="I93" s="59">
        <f t="shared" si="2"/>
        <v>0.85185185185185019</v>
      </c>
    </row>
    <row r="94" spans="1:9" x14ac:dyDescent="0.35">
      <c r="A94" s="25" t="s">
        <v>40</v>
      </c>
      <c r="B94" s="25" t="s">
        <v>69</v>
      </c>
      <c r="C94" s="25">
        <v>37</v>
      </c>
      <c r="D94" s="25">
        <v>50</v>
      </c>
      <c r="E94" s="37" t="s">
        <v>54</v>
      </c>
      <c r="F94" s="36">
        <v>3.3101045296167162</v>
      </c>
      <c r="G94">
        <v>5.93</v>
      </c>
      <c r="H94" s="59">
        <f>G94-'Kubiņu masa'!D35</f>
        <v>0.1899999999999995</v>
      </c>
      <c r="I94" s="59">
        <f t="shared" si="2"/>
        <v>0.70370370370370183</v>
      </c>
    </row>
    <row r="95" spans="1:9" x14ac:dyDescent="0.35">
      <c r="A95" s="25" t="s">
        <v>40</v>
      </c>
      <c r="B95" s="25" t="s">
        <v>69</v>
      </c>
      <c r="C95" s="25">
        <v>53</v>
      </c>
      <c r="D95" s="25">
        <v>50</v>
      </c>
      <c r="E95" s="37" t="s">
        <v>54</v>
      </c>
      <c r="F95" s="36">
        <v>3.2051282051282075</v>
      </c>
      <c r="G95">
        <v>6.44</v>
      </c>
      <c r="H95" s="59">
        <f>G95-'Kubiņu masa'!D36</f>
        <v>0.20000000000000018</v>
      </c>
      <c r="I95" s="59">
        <f t="shared" si="2"/>
        <v>0.74074074074074137</v>
      </c>
    </row>
    <row r="96" spans="1:9" x14ac:dyDescent="0.35">
      <c r="A96" s="25" t="s">
        <v>40</v>
      </c>
      <c r="B96" s="25" t="s">
        <v>69</v>
      </c>
      <c r="C96" s="25">
        <v>134</v>
      </c>
      <c r="D96" s="25">
        <v>50</v>
      </c>
      <c r="E96" s="37" t="s">
        <v>54</v>
      </c>
      <c r="F96" s="36">
        <v>3.0201342281879149</v>
      </c>
      <c r="G96">
        <v>6.14</v>
      </c>
      <c r="H96" s="59">
        <f>G96-'Kubiņu masa'!D37</f>
        <v>0.17999999999999972</v>
      </c>
      <c r="I96" s="59">
        <f t="shared" si="2"/>
        <v>0.66666666666666563</v>
      </c>
    </row>
    <row r="97" spans="1:9" x14ac:dyDescent="0.35">
      <c r="A97" s="25" t="s">
        <v>40</v>
      </c>
      <c r="B97" s="25" t="s">
        <v>70</v>
      </c>
      <c r="C97" s="25">
        <v>68</v>
      </c>
      <c r="D97" s="25">
        <v>50</v>
      </c>
      <c r="E97" s="37" t="s">
        <v>54</v>
      </c>
      <c r="F97" s="36">
        <v>3.443526170798898</v>
      </c>
      <c r="G97">
        <v>7.51</v>
      </c>
      <c r="H97" s="59">
        <f>G97-'Kubiņu masa'!D38</f>
        <v>0.25</v>
      </c>
      <c r="I97" s="59">
        <f t="shared" si="2"/>
        <v>0.92592592592592582</v>
      </c>
    </row>
    <row r="98" spans="1:9" x14ac:dyDescent="0.35">
      <c r="A98" s="25" t="s">
        <v>40</v>
      </c>
      <c r="B98" s="25" t="s">
        <v>70</v>
      </c>
      <c r="C98" s="25">
        <v>143</v>
      </c>
      <c r="D98" s="25">
        <v>50</v>
      </c>
      <c r="E98" s="37" t="s">
        <v>54</v>
      </c>
      <c r="F98" s="36">
        <v>3.5182679296346504</v>
      </c>
      <c r="G98">
        <v>7.65</v>
      </c>
      <c r="H98" s="59">
        <f>G98-'Kubiņu masa'!D39</f>
        <v>0.26000000000000068</v>
      </c>
      <c r="I98" s="59">
        <f t="shared" si="2"/>
        <v>0.96296296296296546</v>
      </c>
    </row>
    <row r="99" spans="1:9" x14ac:dyDescent="0.35">
      <c r="A99" s="25" t="s">
        <v>40</v>
      </c>
      <c r="B99" s="25" t="s">
        <v>70</v>
      </c>
      <c r="C99" s="25">
        <v>190</v>
      </c>
      <c r="D99" s="25">
        <v>50</v>
      </c>
      <c r="E99" s="37" t="s">
        <v>54</v>
      </c>
      <c r="F99" s="36">
        <v>3.234880450070317</v>
      </c>
      <c r="G99">
        <v>7.34</v>
      </c>
      <c r="H99" s="59">
        <f>G99-'Kubiņu masa'!D40</f>
        <v>0.22999999999999954</v>
      </c>
      <c r="I99" s="59">
        <f t="shared" si="2"/>
        <v>0.85185185185185019</v>
      </c>
    </row>
    <row r="100" spans="1:9" x14ac:dyDescent="0.35">
      <c r="A100" s="25" t="s">
        <v>40</v>
      </c>
      <c r="B100" s="25" t="s">
        <v>71</v>
      </c>
      <c r="C100" s="25">
        <v>158</v>
      </c>
      <c r="D100" s="25">
        <v>50</v>
      </c>
      <c r="E100" s="37" t="s">
        <v>54</v>
      </c>
      <c r="F100" s="36">
        <v>3.2806804374240528</v>
      </c>
      <c r="G100">
        <v>8.5</v>
      </c>
      <c r="H100" s="59">
        <f>G100-'Kubiņu masa'!D41</f>
        <v>0.26999999999999957</v>
      </c>
      <c r="I100" s="59">
        <f t="shared" si="2"/>
        <v>0.99999999999999845</v>
      </c>
    </row>
    <row r="101" spans="1:9" x14ac:dyDescent="0.35">
      <c r="A101" s="25" t="s">
        <v>40</v>
      </c>
      <c r="B101" s="25" t="s">
        <v>71</v>
      </c>
      <c r="C101" s="25">
        <v>169</v>
      </c>
      <c r="D101" s="25">
        <v>50</v>
      </c>
      <c r="E101" s="37" t="s">
        <v>54</v>
      </c>
      <c r="F101" s="36">
        <v>3.164556962025316</v>
      </c>
      <c r="G101">
        <v>8.15</v>
      </c>
      <c r="H101" s="59">
        <f>G101-'Kubiņu masa'!D42</f>
        <v>0.25</v>
      </c>
      <c r="I101" s="59">
        <f t="shared" si="2"/>
        <v>0.92592592592592582</v>
      </c>
    </row>
    <row r="102" spans="1:9" x14ac:dyDescent="0.35">
      <c r="A102" s="25" t="s">
        <v>40</v>
      </c>
      <c r="B102" s="25" t="s">
        <v>71</v>
      </c>
      <c r="C102" s="25">
        <v>174</v>
      </c>
      <c r="D102" s="25">
        <v>50</v>
      </c>
      <c r="E102" s="37" t="s">
        <v>54</v>
      </c>
      <c r="F102" s="36">
        <v>3.1537450722733151</v>
      </c>
      <c r="G102">
        <v>7.85</v>
      </c>
      <c r="H102" s="59">
        <f>G102-'Kubiņu masa'!D43</f>
        <v>0.23999999999999932</v>
      </c>
      <c r="I102" s="59">
        <f t="shared" si="2"/>
        <v>0.88888888888888651</v>
      </c>
    </row>
    <row r="103" spans="1:9" x14ac:dyDescent="0.35">
      <c r="A103" s="25" t="s">
        <v>40</v>
      </c>
      <c r="B103" s="25" t="s">
        <v>72</v>
      </c>
      <c r="C103" s="25">
        <v>108</v>
      </c>
      <c r="D103" s="25">
        <v>50</v>
      </c>
      <c r="E103" s="37" t="s">
        <v>54</v>
      </c>
      <c r="F103" s="36">
        <v>2.7295285359801347</v>
      </c>
      <c r="G103">
        <v>4.1399999999999997</v>
      </c>
      <c r="H103" s="59">
        <f>G103-'Kubiņu masa'!D44</f>
        <v>0.10999999999999943</v>
      </c>
      <c r="I103" s="59">
        <f t="shared" si="2"/>
        <v>0.40740740740740528</v>
      </c>
    </row>
    <row r="104" spans="1:9" x14ac:dyDescent="0.35">
      <c r="A104" s="25" t="s">
        <v>40</v>
      </c>
      <c r="B104" s="25" t="s">
        <v>72</v>
      </c>
      <c r="C104" s="25">
        <v>287</v>
      </c>
      <c r="D104" s="25">
        <v>50</v>
      </c>
      <c r="E104" s="37" t="s">
        <v>54</v>
      </c>
      <c r="F104" s="36">
        <v>2.5641025641025665</v>
      </c>
      <c r="G104">
        <v>4.8</v>
      </c>
      <c r="H104" s="59">
        <f>G104-'Kubiņu masa'!D45</f>
        <v>0.12000000000000011</v>
      </c>
      <c r="I104" s="59">
        <f t="shared" si="2"/>
        <v>0.44444444444444486</v>
      </c>
    </row>
    <row r="105" spans="1:9" x14ac:dyDescent="0.35">
      <c r="A105" s="25" t="s">
        <v>40</v>
      </c>
      <c r="B105" s="25" t="s">
        <v>72</v>
      </c>
      <c r="C105" s="25">
        <v>328</v>
      </c>
      <c r="D105" s="25">
        <v>50</v>
      </c>
      <c r="E105" s="37" t="s">
        <v>54</v>
      </c>
      <c r="F105" s="36">
        <v>2.6004728132387571</v>
      </c>
      <c r="G105">
        <v>4.34</v>
      </c>
      <c r="H105" s="59">
        <f>G105-'Kubiņu masa'!D46</f>
        <v>0.10999999999999943</v>
      </c>
      <c r="I105" s="59">
        <f t="shared" si="2"/>
        <v>0.40740740740740528</v>
      </c>
    </row>
    <row r="106" spans="1:9" x14ac:dyDescent="0.35">
      <c r="A106" s="25" t="s">
        <v>40</v>
      </c>
      <c r="B106" s="25" t="s">
        <v>73</v>
      </c>
      <c r="C106" s="25">
        <v>207</v>
      </c>
      <c r="D106" s="25">
        <v>50</v>
      </c>
      <c r="E106" s="37" t="s">
        <v>54</v>
      </c>
      <c r="F106" s="36">
        <v>2.8571428571428639</v>
      </c>
      <c r="G106">
        <v>5.4</v>
      </c>
      <c r="H106" s="59">
        <f>G106-'Kubiņu masa'!D47</f>
        <v>0.15000000000000036</v>
      </c>
      <c r="I106" s="59">
        <f t="shared" si="2"/>
        <v>0.55555555555555691</v>
      </c>
    </row>
    <row r="107" spans="1:9" x14ac:dyDescent="0.35">
      <c r="A107" s="25" t="s">
        <v>40</v>
      </c>
      <c r="B107" s="25" t="s">
        <v>73</v>
      </c>
      <c r="C107" s="25">
        <v>314</v>
      </c>
      <c r="D107" s="25">
        <v>50</v>
      </c>
      <c r="E107" s="37" t="s">
        <v>54</v>
      </c>
      <c r="F107" s="36">
        <v>2.7777777777777675</v>
      </c>
      <c r="G107">
        <v>5.55</v>
      </c>
      <c r="H107" s="59">
        <f>G107-'Kubiņu masa'!D48</f>
        <v>0.14999999999999947</v>
      </c>
      <c r="I107" s="59">
        <f t="shared" si="2"/>
        <v>0.55555555555555358</v>
      </c>
    </row>
    <row r="108" spans="1:9" x14ac:dyDescent="0.35">
      <c r="A108" s="25" t="s">
        <v>40</v>
      </c>
      <c r="B108" s="25" t="s">
        <v>73</v>
      </c>
      <c r="C108" s="25">
        <v>280</v>
      </c>
      <c r="D108" s="25">
        <v>50</v>
      </c>
      <c r="E108" s="37" t="s">
        <v>54</v>
      </c>
      <c r="F108" s="36">
        <v>2.7675276752767592</v>
      </c>
      <c r="G108">
        <v>5.57</v>
      </c>
      <c r="H108" s="59">
        <f>G108-'Kubiņu masa'!D49</f>
        <v>0.15000000000000036</v>
      </c>
      <c r="I108" s="59">
        <f t="shared" si="2"/>
        <v>0.55555555555555691</v>
      </c>
    </row>
    <row r="109" spans="1:9" x14ac:dyDescent="0.35">
      <c r="A109" s="25" t="s">
        <v>40</v>
      </c>
      <c r="B109" s="25" t="s">
        <v>74</v>
      </c>
      <c r="C109" s="25">
        <v>172</v>
      </c>
      <c r="D109" s="25">
        <v>50</v>
      </c>
      <c r="E109" s="37" t="s">
        <v>54</v>
      </c>
      <c r="F109" s="36">
        <v>3.092783505154634</v>
      </c>
      <c r="G109">
        <v>6</v>
      </c>
      <c r="H109" s="59">
        <f>G109-'Kubiņu masa'!D50</f>
        <v>0.17999999999999972</v>
      </c>
      <c r="I109" s="59">
        <f t="shared" si="2"/>
        <v>0.66666666666666563</v>
      </c>
    </row>
    <row r="110" spans="1:9" x14ac:dyDescent="0.35">
      <c r="A110" s="25" t="s">
        <v>40</v>
      </c>
      <c r="B110" s="25" t="s">
        <v>74</v>
      </c>
      <c r="C110" s="25">
        <v>229</v>
      </c>
      <c r="D110" s="25">
        <v>50</v>
      </c>
      <c r="E110" s="37" t="s">
        <v>54</v>
      </c>
      <c r="F110" s="36">
        <v>3.2702237521514701</v>
      </c>
      <c r="G110">
        <v>6</v>
      </c>
      <c r="H110" s="59">
        <f>G110-'Kubiņu masa'!D51</f>
        <v>0.19000000000000039</v>
      </c>
      <c r="I110" s="59">
        <f t="shared" si="2"/>
        <v>0.70370370370370516</v>
      </c>
    </row>
    <row r="111" spans="1:9" x14ac:dyDescent="0.35">
      <c r="A111" s="25" t="s">
        <v>40</v>
      </c>
      <c r="B111" s="25" t="s">
        <v>74</v>
      </c>
      <c r="C111" s="25">
        <v>349</v>
      </c>
      <c r="D111" s="25">
        <v>50</v>
      </c>
      <c r="E111" s="37" t="s">
        <v>54</v>
      </c>
      <c r="F111" s="36">
        <v>3.2590051457975902</v>
      </c>
      <c r="G111">
        <v>6.02</v>
      </c>
      <c r="H111" s="59">
        <f>G111-'Kubiņu masa'!D52</f>
        <v>0.1899999999999995</v>
      </c>
      <c r="I111" s="59">
        <f t="shared" si="2"/>
        <v>0.70370370370370183</v>
      </c>
    </row>
    <row r="112" spans="1:9" x14ac:dyDescent="0.35">
      <c r="A112" s="25" t="s">
        <v>40</v>
      </c>
      <c r="B112" s="25" t="s">
        <v>75</v>
      </c>
      <c r="C112" s="25">
        <v>193</v>
      </c>
      <c r="D112" s="25">
        <v>50</v>
      </c>
      <c r="E112" s="37" t="s">
        <v>54</v>
      </c>
      <c r="F112" s="36">
        <v>2.7334851936218705</v>
      </c>
      <c r="G112">
        <v>4.51</v>
      </c>
      <c r="H112" s="59">
        <f>G112-'Kubiņu masa'!D53</f>
        <v>0.12000000000000011</v>
      </c>
      <c r="I112" s="59">
        <f t="shared" si="2"/>
        <v>0.44444444444444486</v>
      </c>
    </row>
    <row r="113" spans="1:9" x14ac:dyDescent="0.35">
      <c r="A113" s="25" t="s">
        <v>40</v>
      </c>
      <c r="B113" s="25" t="s">
        <v>75</v>
      </c>
      <c r="C113" s="25">
        <v>160</v>
      </c>
      <c r="D113" s="25">
        <v>50</v>
      </c>
      <c r="E113" s="37" t="s">
        <v>54</v>
      </c>
      <c r="F113" s="36">
        <v>2.298850574712656</v>
      </c>
      <c r="G113">
        <v>4.45</v>
      </c>
      <c r="H113" s="59">
        <f>G113-'Kubiņu masa'!D54</f>
        <v>0.10000000000000053</v>
      </c>
      <c r="I113" s="59">
        <f t="shared" si="2"/>
        <v>0.37037037037037235</v>
      </c>
    </row>
    <row r="114" spans="1:9" x14ac:dyDescent="0.35">
      <c r="A114" s="25" t="s">
        <v>40</v>
      </c>
      <c r="B114" s="25" t="s">
        <v>75</v>
      </c>
      <c r="C114" s="25">
        <v>218</v>
      </c>
      <c r="D114" s="25">
        <v>50</v>
      </c>
      <c r="E114" s="37" t="s">
        <v>54</v>
      </c>
      <c r="F114" s="36">
        <v>2.3866348448687265</v>
      </c>
      <c r="G114">
        <v>4.29</v>
      </c>
      <c r="H114" s="59">
        <f>G114-'Kubiņu masa'!D55</f>
        <v>9.9999999999999645E-2</v>
      </c>
      <c r="I114" s="59">
        <f t="shared" si="2"/>
        <v>0.37037037037036902</v>
      </c>
    </row>
    <row r="115" spans="1:9" x14ac:dyDescent="0.35">
      <c r="A115" s="25" t="s">
        <v>41</v>
      </c>
      <c r="B115" s="25" t="s">
        <v>91</v>
      </c>
      <c r="C115" s="25">
        <v>32</v>
      </c>
      <c r="D115" s="25">
        <v>50</v>
      </c>
      <c r="E115" s="37" t="s">
        <v>54</v>
      </c>
      <c r="F115" s="36">
        <v>4.0629095674967299</v>
      </c>
      <c r="G115">
        <v>15.88</v>
      </c>
      <c r="H115" s="59">
        <f>G115-'Kubiņu masa'!D56</f>
        <v>0.62000000000000099</v>
      </c>
      <c r="I115" s="59">
        <f>H115/15*100</f>
        <v>4.13333333333334</v>
      </c>
    </row>
    <row r="116" spans="1:9" x14ac:dyDescent="0.35">
      <c r="A116" s="25" t="s">
        <v>41</v>
      </c>
      <c r="B116" s="25" t="s">
        <v>91</v>
      </c>
      <c r="C116" s="25">
        <v>33</v>
      </c>
      <c r="D116" s="25">
        <v>50</v>
      </c>
      <c r="E116" s="37" t="s">
        <v>54</v>
      </c>
      <c r="F116" s="36">
        <v>3.7917737789202959</v>
      </c>
      <c r="G116">
        <v>16.149999999999999</v>
      </c>
      <c r="H116" s="59">
        <f>G116-'Kubiņu masa'!D57</f>
        <v>0.58999999999999808</v>
      </c>
      <c r="I116" s="59">
        <f t="shared" ref="I116:I131" si="3">H116/15*100</f>
        <v>3.9333333333333207</v>
      </c>
    </row>
    <row r="117" spans="1:9" x14ac:dyDescent="0.35">
      <c r="A117" s="25" t="s">
        <v>41</v>
      </c>
      <c r="B117" s="25" t="s">
        <v>91</v>
      </c>
      <c r="C117" s="25">
        <v>34</v>
      </c>
      <c r="D117" s="25">
        <v>50</v>
      </c>
      <c r="E117" s="37" t="s">
        <v>54</v>
      </c>
      <c r="F117" s="36">
        <v>3.6828963795255922</v>
      </c>
      <c r="G117">
        <v>16.61</v>
      </c>
      <c r="H117" s="59">
        <f>G117-'Kubiņu masa'!D58</f>
        <v>0.58999999999999986</v>
      </c>
      <c r="I117" s="59">
        <f t="shared" si="3"/>
        <v>3.9333333333333322</v>
      </c>
    </row>
    <row r="118" spans="1:9" x14ac:dyDescent="0.35">
      <c r="A118" s="25" t="s">
        <v>41</v>
      </c>
      <c r="B118" s="25" t="s">
        <v>29</v>
      </c>
      <c r="C118" s="25">
        <v>50</v>
      </c>
      <c r="D118" s="25">
        <v>50</v>
      </c>
      <c r="E118" s="37" t="s">
        <v>54</v>
      </c>
      <c r="F118" s="36">
        <v>2.8252299605781848</v>
      </c>
      <c r="G118">
        <v>15.65</v>
      </c>
      <c r="H118" s="59">
        <f>G118-'Kubiņu masa'!D59</f>
        <v>0.42999999999999972</v>
      </c>
      <c r="I118" s="59">
        <f t="shared" si="3"/>
        <v>2.8666666666666649</v>
      </c>
    </row>
    <row r="119" spans="1:9" x14ac:dyDescent="0.35">
      <c r="A119" s="25" t="s">
        <v>41</v>
      </c>
      <c r="B119" s="25" t="s">
        <v>29</v>
      </c>
      <c r="C119" s="25">
        <v>51</v>
      </c>
      <c r="D119" s="25">
        <v>50</v>
      </c>
      <c r="E119" s="37" t="s">
        <v>54</v>
      </c>
      <c r="F119" s="36">
        <v>2.8704939919893171</v>
      </c>
      <c r="G119">
        <v>15.41</v>
      </c>
      <c r="H119" s="59">
        <f>G119-'Kubiņu masa'!D60</f>
        <v>0.42999999999999972</v>
      </c>
      <c r="I119" s="59">
        <f t="shared" si="3"/>
        <v>2.8666666666666649</v>
      </c>
    </row>
    <row r="120" spans="1:9" x14ac:dyDescent="0.35">
      <c r="A120" s="25" t="s">
        <v>41</v>
      </c>
      <c r="B120" s="25" t="s">
        <v>29</v>
      </c>
      <c r="C120" s="25">
        <v>52</v>
      </c>
      <c r="D120" s="25">
        <v>50</v>
      </c>
      <c r="E120" s="37" t="s">
        <v>54</v>
      </c>
      <c r="F120" s="36">
        <v>2.9197080291970772</v>
      </c>
      <c r="G120">
        <v>15.51</v>
      </c>
      <c r="H120" s="59">
        <f>G120-'Kubiņu masa'!D61</f>
        <v>0.4399999999999995</v>
      </c>
      <c r="I120" s="59">
        <f t="shared" si="3"/>
        <v>2.93333333333333</v>
      </c>
    </row>
    <row r="121" spans="1:9" x14ac:dyDescent="0.35">
      <c r="A121" s="25" t="s">
        <v>41</v>
      </c>
      <c r="B121" s="25" t="s">
        <v>88</v>
      </c>
      <c r="C121" s="25" t="s">
        <v>42</v>
      </c>
      <c r="D121" s="25">
        <v>50</v>
      </c>
      <c r="E121" s="37" t="s">
        <v>54</v>
      </c>
      <c r="F121" s="36">
        <v>3.3132530120482029</v>
      </c>
      <c r="G121">
        <v>13.72</v>
      </c>
      <c r="H121" s="59">
        <f>G121-'Kubiņu masa'!D62</f>
        <v>0.44000000000000128</v>
      </c>
      <c r="I121" s="59">
        <f t="shared" si="3"/>
        <v>2.933333333333342</v>
      </c>
    </row>
    <row r="122" spans="1:9" x14ac:dyDescent="0.35">
      <c r="A122" s="25" t="s">
        <v>41</v>
      </c>
      <c r="B122" s="25" t="s">
        <v>88</v>
      </c>
      <c r="C122" s="25" t="s">
        <v>43</v>
      </c>
      <c r="D122" s="25">
        <v>50</v>
      </c>
      <c r="E122" s="37" t="s">
        <v>54</v>
      </c>
      <c r="F122" s="36">
        <v>3.3460076045627343</v>
      </c>
      <c r="G122">
        <v>13.59</v>
      </c>
      <c r="H122" s="59">
        <f>G122-'Kubiņu masa'!D63</f>
        <v>0.4399999999999995</v>
      </c>
      <c r="I122" s="59">
        <f t="shared" si="3"/>
        <v>2.93333333333333</v>
      </c>
    </row>
    <row r="123" spans="1:9" x14ac:dyDescent="0.35">
      <c r="A123" s="25" t="s">
        <v>41</v>
      </c>
      <c r="B123" s="25" t="s">
        <v>88</v>
      </c>
      <c r="C123" s="25" t="s">
        <v>44</v>
      </c>
      <c r="D123" s="25">
        <v>50</v>
      </c>
      <c r="E123" s="37" t="s">
        <v>54</v>
      </c>
      <c r="F123" s="36">
        <v>3.4429992348890535</v>
      </c>
      <c r="G123">
        <v>13.52</v>
      </c>
      <c r="H123" s="59">
        <f>G123-'Kubiņu masa'!D64</f>
        <v>0.44999999999999929</v>
      </c>
      <c r="I123" s="59">
        <f t="shared" si="3"/>
        <v>2.9999999999999956</v>
      </c>
    </row>
    <row r="124" spans="1:9" x14ac:dyDescent="0.35">
      <c r="A124" s="25" t="s">
        <v>41</v>
      </c>
      <c r="B124" s="25" t="s">
        <v>89</v>
      </c>
      <c r="C124" s="25" t="s">
        <v>45</v>
      </c>
      <c r="D124" s="25">
        <v>50</v>
      </c>
      <c r="E124" s="37" t="s">
        <v>54</v>
      </c>
      <c r="F124" s="36">
        <v>3.8202247191011223</v>
      </c>
      <c r="G124">
        <v>13.86</v>
      </c>
      <c r="H124" s="59">
        <f>G124-'Kubiņu masa'!D65</f>
        <v>0.50999999999999979</v>
      </c>
      <c r="I124" s="59">
        <f t="shared" si="3"/>
        <v>3.399999999999999</v>
      </c>
    </row>
    <row r="125" spans="1:9" x14ac:dyDescent="0.35">
      <c r="A125" s="25" t="s">
        <v>41</v>
      </c>
      <c r="B125" s="25" t="s">
        <v>89</v>
      </c>
      <c r="C125" s="25" t="s">
        <v>46</v>
      </c>
      <c r="D125" s="25">
        <v>50</v>
      </c>
      <c r="E125" s="37" t="s">
        <v>54</v>
      </c>
      <c r="F125" s="36">
        <v>3.7565740045078884</v>
      </c>
      <c r="G125">
        <v>13.81</v>
      </c>
      <c r="H125" s="59">
        <f>G125-'Kubiņu masa'!D66</f>
        <v>0.5</v>
      </c>
      <c r="I125" s="59">
        <f t="shared" si="3"/>
        <v>3.3333333333333335</v>
      </c>
    </row>
    <row r="126" spans="1:9" x14ac:dyDescent="0.35">
      <c r="A126" s="25" t="s">
        <v>41</v>
      </c>
      <c r="B126" s="25" t="s">
        <v>89</v>
      </c>
      <c r="C126" s="25" t="s">
        <v>47</v>
      </c>
      <c r="D126" s="25">
        <v>50</v>
      </c>
      <c r="E126" s="37" t="s">
        <v>54</v>
      </c>
      <c r="F126" s="36">
        <v>3.7833827893175056</v>
      </c>
      <c r="G126">
        <v>13.99</v>
      </c>
      <c r="H126" s="59">
        <f>G126-'Kubiņu masa'!D67</f>
        <v>0.50999999999999979</v>
      </c>
      <c r="I126" s="59">
        <f t="shared" si="3"/>
        <v>3.399999999999999</v>
      </c>
    </row>
    <row r="127" spans="1:9" x14ac:dyDescent="0.35">
      <c r="A127" s="25" t="s">
        <v>41</v>
      </c>
      <c r="B127" s="25" t="s">
        <v>90</v>
      </c>
      <c r="C127" s="25" t="s">
        <v>48</v>
      </c>
      <c r="D127" s="25">
        <v>50</v>
      </c>
      <c r="E127" s="37" t="s">
        <v>54</v>
      </c>
      <c r="F127" s="36">
        <v>2.7489309712889387</v>
      </c>
      <c r="G127">
        <v>16.82</v>
      </c>
      <c r="H127" s="59">
        <f>G127-'Kubiņu masa'!D68</f>
        <v>0.44999999999999929</v>
      </c>
      <c r="I127" s="59">
        <f t="shared" si="3"/>
        <v>2.9999999999999956</v>
      </c>
    </row>
    <row r="128" spans="1:9" x14ac:dyDescent="0.35">
      <c r="A128" s="25" t="s">
        <v>41</v>
      </c>
      <c r="B128" s="25" t="s">
        <v>90</v>
      </c>
      <c r="C128" s="25" t="s">
        <v>49</v>
      </c>
      <c r="D128" s="25">
        <v>50</v>
      </c>
      <c r="E128" s="37" t="s">
        <v>54</v>
      </c>
      <c r="F128" s="36">
        <v>2.7556644213104895</v>
      </c>
      <c r="G128">
        <v>16.78</v>
      </c>
      <c r="H128" s="59">
        <f>G128-'Kubiņu masa'!D69</f>
        <v>0.45000000000000284</v>
      </c>
      <c r="I128" s="59">
        <f t="shared" si="3"/>
        <v>3.0000000000000191</v>
      </c>
    </row>
    <row r="129" spans="1:9" x14ac:dyDescent="0.35">
      <c r="A129" s="25" t="s">
        <v>41</v>
      </c>
      <c r="B129" s="25" t="s">
        <v>33</v>
      </c>
      <c r="C129" s="25" t="s">
        <v>50</v>
      </c>
      <c r="D129" s="25">
        <v>50</v>
      </c>
      <c r="E129" s="37" t="s">
        <v>54</v>
      </c>
      <c r="F129" s="36">
        <v>3.5690235690235763</v>
      </c>
      <c r="G129">
        <v>15.38</v>
      </c>
      <c r="H129" s="59">
        <f>G129-'Kubiņu masa'!D70</f>
        <v>0.53000000000000114</v>
      </c>
      <c r="I129" s="59">
        <f t="shared" si="3"/>
        <v>3.5333333333333412</v>
      </c>
    </row>
    <row r="130" spans="1:9" x14ac:dyDescent="0.35">
      <c r="A130" s="25" t="s">
        <v>41</v>
      </c>
      <c r="B130" s="25" t="s">
        <v>33</v>
      </c>
      <c r="C130" s="25" t="s">
        <v>51</v>
      </c>
      <c r="D130" s="25">
        <v>50</v>
      </c>
      <c r="E130" s="37" t="s">
        <v>54</v>
      </c>
      <c r="F130" s="36">
        <v>3.5932203389830462</v>
      </c>
      <c r="G130">
        <v>15.28</v>
      </c>
      <c r="H130" s="59">
        <f>G130-'Kubiņu masa'!D71</f>
        <v>0.52999999999999936</v>
      </c>
      <c r="I130" s="59">
        <f t="shared" si="3"/>
        <v>3.5333333333333292</v>
      </c>
    </row>
    <row r="131" spans="1:9" x14ac:dyDescent="0.35">
      <c r="A131" s="25" t="s">
        <v>41</v>
      </c>
      <c r="B131" s="25" t="s">
        <v>33</v>
      </c>
      <c r="C131" s="25" t="s">
        <v>52</v>
      </c>
      <c r="D131" s="25">
        <v>50</v>
      </c>
      <c r="E131" s="37" t="s">
        <v>54</v>
      </c>
      <c r="F131" s="36">
        <v>3.5666218034993347</v>
      </c>
      <c r="G131">
        <v>15.39</v>
      </c>
      <c r="H131" s="59">
        <f>G131-'Kubiņu masa'!D72</f>
        <v>0.53000000000000114</v>
      </c>
      <c r="I131" s="59">
        <f t="shared" si="3"/>
        <v>3.5333333333333412</v>
      </c>
    </row>
    <row r="132" spans="1:9" x14ac:dyDescent="0.35">
      <c r="A132" s="25" t="s">
        <v>10</v>
      </c>
      <c r="B132" s="25" t="s">
        <v>68</v>
      </c>
      <c r="C132" s="25">
        <v>9</v>
      </c>
      <c r="D132" s="25">
        <v>60</v>
      </c>
      <c r="E132" s="38" t="s">
        <v>55</v>
      </c>
      <c r="F132" s="36">
        <v>4.6444121915820071</v>
      </c>
      <c r="G132">
        <v>7.21</v>
      </c>
      <c r="H132" s="59">
        <f>G132-'Kubiņu masa'!D8</f>
        <v>0.32000000000000028</v>
      </c>
      <c r="I132" s="59">
        <f t="shared" ref="I131:I194" si="4">H132/27*100</f>
        <v>1.1851851851851862</v>
      </c>
    </row>
    <row r="133" spans="1:9" x14ac:dyDescent="0.35">
      <c r="A133" s="25" t="s">
        <v>10</v>
      </c>
      <c r="B133" s="25" t="s">
        <v>68</v>
      </c>
      <c r="C133" s="25">
        <v>27</v>
      </c>
      <c r="D133" s="25">
        <v>60</v>
      </c>
      <c r="E133" s="38" t="s">
        <v>55</v>
      </c>
      <c r="F133" s="36">
        <v>4.1608876560332844</v>
      </c>
      <c r="G133">
        <v>7.51</v>
      </c>
      <c r="H133" s="59">
        <f>G133-'Kubiņu masa'!D9</f>
        <v>0.29999999999999982</v>
      </c>
      <c r="I133" s="59">
        <f t="shared" si="4"/>
        <v>1.1111111111111105</v>
      </c>
    </row>
    <row r="134" spans="1:9" x14ac:dyDescent="0.35">
      <c r="A134" s="25" t="s">
        <v>10</v>
      </c>
      <c r="B134" s="25" t="s">
        <v>68</v>
      </c>
      <c r="C134" s="25">
        <v>106</v>
      </c>
      <c r="D134" s="25">
        <v>60</v>
      </c>
      <c r="E134" s="38" t="s">
        <v>55</v>
      </c>
      <c r="F134" s="36">
        <v>4.0559440559440567</v>
      </c>
      <c r="G134">
        <v>7.44</v>
      </c>
      <c r="H134" s="59">
        <f>G134-'Kubiņu masa'!D10</f>
        <v>0.29000000000000004</v>
      </c>
      <c r="I134" s="59">
        <f t="shared" si="4"/>
        <v>1.0740740740740742</v>
      </c>
    </row>
    <row r="135" spans="1:9" x14ac:dyDescent="0.35">
      <c r="A135" s="25" t="s">
        <v>10</v>
      </c>
      <c r="B135" s="25" t="s">
        <v>69</v>
      </c>
      <c r="C135" s="25">
        <v>39</v>
      </c>
      <c r="D135" s="25">
        <v>60</v>
      </c>
      <c r="E135" s="38" t="s">
        <v>55</v>
      </c>
      <c r="F135" s="36">
        <v>3.8983050847457545</v>
      </c>
      <c r="G135">
        <v>6.13</v>
      </c>
      <c r="H135" s="59">
        <f>G135-'Kubiņu masa'!D11</f>
        <v>0.22999999999999954</v>
      </c>
      <c r="I135" s="59">
        <f t="shared" si="4"/>
        <v>0.85185185185185019</v>
      </c>
    </row>
    <row r="136" spans="1:9" x14ac:dyDescent="0.35">
      <c r="A136" s="25" t="s">
        <v>10</v>
      </c>
      <c r="B136" s="25" t="s">
        <v>69</v>
      </c>
      <c r="C136" s="25">
        <v>55</v>
      </c>
      <c r="D136" s="25">
        <v>60</v>
      </c>
      <c r="E136" s="38" t="s">
        <v>55</v>
      </c>
      <c r="F136" s="36">
        <v>3.9215686274509838</v>
      </c>
      <c r="G136">
        <v>6.36</v>
      </c>
      <c r="H136" s="59">
        <f>G136-'Kubiņu masa'!D12</f>
        <v>0.24000000000000021</v>
      </c>
      <c r="I136" s="59">
        <f t="shared" si="4"/>
        <v>0.88888888888888973</v>
      </c>
    </row>
    <row r="137" spans="1:9" x14ac:dyDescent="0.35">
      <c r="A137" s="25" t="s">
        <v>10</v>
      </c>
      <c r="B137" s="25" t="s">
        <v>69</v>
      </c>
      <c r="C137" s="25">
        <v>122</v>
      </c>
      <c r="D137" s="25">
        <v>60</v>
      </c>
      <c r="E137" s="38" t="s">
        <v>55</v>
      </c>
      <c r="F137" s="36">
        <v>3.7216828478964472</v>
      </c>
      <c r="G137">
        <v>6.41</v>
      </c>
      <c r="H137" s="59">
        <f>G137-'Kubiņu masa'!D13</f>
        <v>0.23000000000000043</v>
      </c>
      <c r="I137" s="59">
        <f t="shared" si="4"/>
        <v>0.85185185185185341</v>
      </c>
    </row>
    <row r="138" spans="1:9" x14ac:dyDescent="0.35">
      <c r="A138" s="25" t="s">
        <v>10</v>
      </c>
      <c r="B138" s="25" t="s">
        <v>70</v>
      </c>
      <c r="C138" s="25">
        <v>66</v>
      </c>
      <c r="D138" s="25">
        <v>60</v>
      </c>
      <c r="E138" s="38" t="s">
        <v>55</v>
      </c>
      <c r="F138" s="36">
        <v>4.1493775933609927</v>
      </c>
      <c r="G138">
        <v>7.53</v>
      </c>
      <c r="H138" s="59">
        <f>G138-'Kubiņu masa'!D14</f>
        <v>0.29999999999999982</v>
      </c>
      <c r="I138" s="59">
        <f t="shared" si="4"/>
        <v>1.1111111111111105</v>
      </c>
    </row>
    <row r="139" spans="1:9" x14ac:dyDescent="0.35">
      <c r="A139" s="25" t="s">
        <v>10</v>
      </c>
      <c r="B139" s="25" t="s">
        <v>70</v>
      </c>
      <c r="C139" s="25">
        <v>142</v>
      </c>
      <c r="D139" s="25">
        <v>60</v>
      </c>
      <c r="E139" s="38" t="s">
        <v>55</v>
      </c>
      <c r="F139" s="36">
        <v>4.3421052631578956</v>
      </c>
      <c r="G139">
        <v>7.93</v>
      </c>
      <c r="H139" s="59">
        <f>G139-'Kubiņu masa'!D15</f>
        <v>0.33000000000000007</v>
      </c>
      <c r="I139" s="59">
        <f t="shared" si="4"/>
        <v>1.2222222222222225</v>
      </c>
    </row>
    <row r="140" spans="1:9" x14ac:dyDescent="0.35">
      <c r="A140" s="25" t="s">
        <v>10</v>
      </c>
      <c r="B140" s="25" t="s">
        <v>70</v>
      </c>
      <c r="C140" s="25">
        <v>147</v>
      </c>
      <c r="D140" s="25">
        <v>60</v>
      </c>
      <c r="E140" s="38" t="s">
        <v>55</v>
      </c>
      <c r="F140" s="36">
        <v>4.312668463611864</v>
      </c>
      <c r="G140">
        <v>7.74</v>
      </c>
      <c r="H140" s="59">
        <f>G140-'Kubiņu masa'!D16</f>
        <v>0.32000000000000028</v>
      </c>
      <c r="I140" s="59">
        <f t="shared" si="4"/>
        <v>1.1851851851851862</v>
      </c>
    </row>
    <row r="141" spans="1:9" x14ac:dyDescent="0.35">
      <c r="A141" s="25" t="s">
        <v>10</v>
      </c>
      <c r="B141" s="25" t="s">
        <v>71</v>
      </c>
      <c r="C141" s="25">
        <v>75</v>
      </c>
      <c r="D141" s="25">
        <v>60</v>
      </c>
      <c r="E141" s="38" t="s">
        <v>55</v>
      </c>
      <c r="F141" s="36">
        <v>3.9577836411609475</v>
      </c>
      <c r="G141">
        <v>7.88</v>
      </c>
      <c r="H141" s="59">
        <f>G141-'Kubiņu masa'!D17</f>
        <v>0.29999999999999982</v>
      </c>
      <c r="I141" s="59">
        <f t="shared" si="4"/>
        <v>1.1111111111111105</v>
      </c>
    </row>
    <row r="142" spans="1:9" x14ac:dyDescent="0.35">
      <c r="A142" s="25" t="s">
        <v>10</v>
      </c>
      <c r="B142" s="25" t="s">
        <v>71</v>
      </c>
      <c r="C142" s="25">
        <v>81</v>
      </c>
      <c r="D142" s="25">
        <v>60</v>
      </c>
      <c r="E142" s="38" t="s">
        <v>55</v>
      </c>
      <c r="F142" s="36">
        <v>3.9370078740157459</v>
      </c>
      <c r="G142">
        <v>7.92</v>
      </c>
      <c r="H142" s="59">
        <f>G142-'Kubiņu masa'!D18</f>
        <v>0.29999999999999982</v>
      </c>
      <c r="I142" s="59">
        <f t="shared" si="4"/>
        <v>1.1111111111111105</v>
      </c>
    </row>
    <row r="143" spans="1:9" x14ac:dyDescent="0.35">
      <c r="A143" s="25" t="s">
        <v>10</v>
      </c>
      <c r="B143" s="25" t="s">
        <v>71</v>
      </c>
      <c r="C143" s="25">
        <v>91</v>
      </c>
      <c r="D143" s="25">
        <v>60</v>
      </c>
      <c r="E143" s="38" t="s">
        <v>55</v>
      </c>
      <c r="F143" s="36">
        <v>3.8363171355498582</v>
      </c>
      <c r="G143">
        <v>8.1199999999999992</v>
      </c>
      <c r="H143" s="59">
        <f>G143-'Kubiņu masa'!D19</f>
        <v>0.29999999999999893</v>
      </c>
      <c r="I143" s="59">
        <f t="shared" si="4"/>
        <v>1.1111111111111072</v>
      </c>
    </row>
    <row r="144" spans="1:9" x14ac:dyDescent="0.35">
      <c r="A144" s="25" t="s">
        <v>10</v>
      </c>
      <c r="B144" s="25" t="s">
        <v>72</v>
      </c>
      <c r="C144" s="25">
        <v>103</v>
      </c>
      <c r="D144" s="25">
        <v>60</v>
      </c>
      <c r="E144" s="38" t="s">
        <v>55</v>
      </c>
      <c r="F144" s="36">
        <v>3.6363636363636398</v>
      </c>
      <c r="G144">
        <v>3.99</v>
      </c>
      <c r="H144" s="59">
        <f>G144-'Kubiņu masa'!D20</f>
        <v>0.14000000000000012</v>
      </c>
      <c r="I144" s="59">
        <f t="shared" si="4"/>
        <v>0.51851851851851893</v>
      </c>
    </row>
    <row r="145" spans="1:9" x14ac:dyDescent="0.35">
      <c r="A145" s="25" t="s">
        <v>10</v>
      </c>
      <c r="B145" s="25" t="s">
        <v>72</v>
      </c>
      <c r="C145" s="25">
        <v>283</v>
      </c>
      <c r="D145" s="25">
        <v>60</v>
      </c>
      <c r="E145" s="38" t="s">
        <v>55</v>
      </c>
      <c r="F145" s="36">
        <v>3.7593984962405882</v>
      </c>
      <c r="G145">
        <v>4.1399999999999997</v>
      </c>
      <c r="H145" s="59">
        <f>G145-'Kubiņu masa'!D21</f>
        <v>0.14999999999999947</v>
      </c>
      <c r="I145" s="59">
        <f t="shared" si="4"/>
        <v>0.55555555555555358</v>
      </c>
    </row>
    <row r="146" spans="1:9" x14ac:dyDescent="0.35">
      <c r="A146" s="25" t="s">
        <v>10</v>
      </c>
      <c r="B146" s="25" t="s">
        <v>72</v>
      </c>
      <c r="C146" s="25">
        <v>323</v>
      </c>
      <c r="D146" s="25">
        <v>60</v>
      </c>
      <c r="E146" s="38" t="s">
        <v>55</v>
      </c>
      <c r="F146" s="36">
        <v>3.3254156769596124</v>
      </c>
      <c r="G146">
        <v>4.3499999999999996</v>
      </c>
      <c r="H146" s="59">
        <f>G146-'Kubiņu masa'!D22</f>
        <v>0.13999999999999968</v>
      </c>
      <c r="I146" s="59">
        <f t="shared" si="4"/>
        <v>0.51851851851851738</v>
      </c>
    </row>
    <row r="147" spans="1:9" x14ac:dyDescent="0.35">
      <c r="A147" s="25" t="s">
        <v>10</v>
      </c>
      <c r="B147" s="25" t="s">
        <v>73</v>
      </c>
      <c r="C147" s="25">
        <v>203</v>
      </c>
      <c r="D147" s="25">
        <v>60</v>
      </c>
      <c r="E147" s="38" t="s">
        <v>55</v>
      </c>
      <c r="F147" s="36">
        <v>3.6072144288577093</v>
      </c>
      <c r="G147">
        <v>5.17</v>
      </c>
      <c r="H147" s="59">
        <f>G147-'Kubiņu masa'!D23</f>
        <v>0.17999999999999972</v>
      </c>
      <c r="I147" s="59">
        <f t="shared" si="4"/>
        <v>0.66666666666666563</v>
      </c>
    </row>
    <row r="148" spans="1:9" x14ac:dyDescent="0.35">
      <c r="A148" s="25" t="s">
        <v>10</v>
      </c>
      <c r="B148" s="25" t="s">
        <v>73</v>
      </c>
      <c r="C148" s="25">
        <v>272</v>
      </c>
      <c r="D148" s="25">
        <v>60</v>
      </c>
      <c r="E148" s="38" t="s">
        <v>55</v>
      </c>
      <c r="F148" s="36">
        <v>3.8617886178861869</v>
      </c>
      <c r="G148">
        <v>5.1100000000000003</v>
      </c>
      <c r="H148" s="59">
        <f>G148-'Kubiņu masa'!D24</f>
        <v>0.19000000000000039</v>
      </c>
      <c r="I148" s="59">
        <f t="shared" si="4"/>
        <v>0.70370370370370516</v>
      </c>
    </row>
    <row r="149" spans="1:9" x14ac:dyDescent="0.35">
      <c r="A149" s="25" t="s">
        <v>10</v>
      </c>
      <c r="B149" s="25" t="s">
        <v>73</v>
      </c>
      <c r="C149" s="25">
        <v>266</v>
      </c>
      <c r="D149" s="25">
        <v>60</v>
      </c>
      <c r="E149" s="38" t="s">
        <v>55</v>
      </c>
      <c r="F149" s="36">
        <v>3.7924151696606865</v>
      </c>
      <c r="G149">
        <v>5.2</v>
      </c>
      <c r="H149" s="59">
        <f>G149-'Kubiņu masa'!D25</f>
        <v>0.19000000000000039</v>
      </c>
      <c r="I149" s="59">
        <f t="shared" si="4"/>
        <v>0.70370370370370516</v>
      </c>
    </row>
    <row r="150" spans="1:9" x14ac:dyDescent="0.35">
      <c r="A150" s="25" t="s">
        <v>10</v>
      </c>
      <c r="B150" s="25" t="s">
        <v>74</v>
      </c>
      <c r="C150" s="25">
        <v>168</v>
      </c>
      <c r="D150" s="25">
        <v>60</v>
      </c>
      <c r="E150" s="38" t="s">
        <v>55</v>
      </c>
      <c r="F150" s="36">
        <v>4.3177892918825558</v>
      </c>
      <c r="G150">
        <v>6.04</v>
      </c>
      <c r="H150" s="59">
        <f>G150-'Kubiņu masa'!D26</f>
        <v>0.25</v>
      </c>
      <c r="I150" s="59">
        <f t="shared" si="4"/>
        <v>0.92592592592592582</v>
      </c>
    </row>
    <row r="151" spans="1:9" x14ac:dyDescent="0.35">
      <c r="A151" s="25" t="s">
        <v>10</v>
      </c>
      <c r="B151" s="25" t="s">
        <v>74</v>
      </c>
      <c r="C151" s="25">
        <v>343</v>
      </c>
      <c r="D151" s="25">
        <v>60</v>
      </c>
      <c r="E151" s="38" t="s">
        <v>55</v>
      </c>
      <c r="F151" s="36">
        <v>4.3046357615894006</v>
      </c>
      <c r="G151">
        <v>6.3</v>
      </c>
      <c r="H151" s="59">
        <f>G151-'Kubiņu masa'!D27</f>
        <v>0.25999999999999979</v>
      </c>
      <c r="I151" s="59">
        <f t="shared" si="4"/>
        <v>0.96296296296296213</v>
      </c>
    </row>
    <row r="152" spans="1:9" x14ac:dyDescent="0.35">
      <c r="A152" s="25" t="s">
        <v>10</v>
      </c>
      <c r="B152" s="25" t="s">
        <v>74</v>
      </c>
      <c r="C152" s="25">
        <v>58</v>
      </c>
      <c r="D152" s="25">
        <v>60</v>
      </c>
      <c r="E152" s="38" t="s">
        <v>55</v>
      </c>
      <c r="F152" s="36">
        <v>4.1736227045075127</v>
      </c>
      <c r="G152">
        <v>6.24</v>
      </c>
      <c r="H152" s="59">
        <f>G152-'Kubiņu masa'!D28</f>
        <v>0.25</v>
      </c>
      <c r="I152" s="59">
        <f t="shared" si="4"/>
        <v>0.92592592592592582</v>
      </c>
    </row>
    <row r="153" spans="1:9" x14ac:dyDescent="0.35">
      <c r="A153" s="25" t="s">
        <v>10</v>
      </c>
      <c r="B153" s="25" t="s">
        <v>75</v>
      </c>
      <c r="C153" s="25">
        <v>187</v>
      </c>
      <c r="D153" s="25">
        <v>60</v>
      </c>
      <c r="E153" s="38" t="s">
        <v>55</v>
      </c>
      <c r="F153" s="36">
        <v>3.3678756476684031</v>
      </c>
      <c r="G153">
        <v>3.99</v>
      </c>
      <c r="H153" s="59">
        <f>G153-'Kubiņu masa'!D29</f>
        <v>0.13000000000000034</v>
      </c>
      <c r="I153" s="59">
        <f t="shared" si="4"/>
        <v>0.48148148148148273</v>
      </c>
    </row>
    <row r="154" spans="1:9" x14ac:dyDescent="0.35">
      <c r="A154" s="25" t="s">
        <v>10</v>
      </c>
      <c r="B154" s="25" t="s">
        <v>75</v>
      </c>
      <c r="C154" s="25">
        <v>248</v>
      </c>
      <c r="D154" s="25">
        <v>60</v>
      </c>
      <c r="E154" s="38" t="s">
        <v>55</v>
      </c>
      <c r="F154" s="36">
        <v>3.5971223021582821</v>
      </c>
      <c r="G154">
        <v>4.32</v>
      </c>
      <c r="H154" s="59">
        <f>G154-'Kubiņu masa'!D30</f>
        <v>0.15000000000000036</v>
      </c>
      <c r="I154" s="59">
        <f t="shared" si="4"/>
        <v>0.55555555555555691</v>
      </c>
    </row>
    <row r="155" spans="1:9" x14ac:dyDescent="0.35">
      <c r="A155" s="25" t="s">
        <v>10</v>
      </c>
      <c r="B155" s="25" t="s">
        <v>75</v>
      </c>
      <c r="C155" s="25">
        <v>212</v>
      </c>
      <c r="D155" s="25">
        <v>60</v>
      </c>
      <c r="E155" s="38" t="s">
        <v>55</v>
      </c>
      <c r="F155" s="36">
        <v>3.2911392405063267</v>
      </c>
      <c r="G155">
        <v>4.08</v>
      </c>
      <c r="H155" s="59">
        <f>G155-'Kubiņu masa'!D31</f>
        <v>0.12999999999999989</v>
      </c>
      <c r="I155" s="59">
        <f t="shared" si="4"/>
        <v>0.48148148148148107</v>
      </c>
    </row>
    <row r="156" spans="1:9" x14ac:dyDescent="0.35">
      <c r="A156" s="25" t="s">
        <v>40</v>
      </c>
      <c r="B156" s="25" t="s">
        <v>68</v>
      </c>
      <c r="C156" s="25">
        <v>5</v>
      </c>
      <c r="D156" s="25">
        <v>60</v>
      </c>
      <c r="E156" s="38" t="s">
        <v>55</v>
      </c>
      <c r="F156" s="36">
        <v>3.983516483516484</v>
      </c>
      <c r="G156">
        <v>7.57</v>
      </c>
      <c r="H156" s="59">
        <f>G156-'Kubiņu masa'!D32</f>
        <v>0.29000000000000004</v>
      </c>
      <c r="I156" s="59">
        <f t="shared" si="4"/>
        <v>1.0740740740740742</v>
      </c>
    </row>
    <row r="157" spans="1:9" x14ac:dyDescent="0.35">
      <c r="A157" s="25" t="s">
        <v>40</v>
      </c>
      <c r="B157" s="25" t="s">
        <v>68</v>
      </c>
      <c r="C157" s="25">
        <v>17</v>
      </c>
      <c r="D157" s="25">
        <v>60</v>
      </c>
      <c r="E157" s="38" t="s">
        <v>55</v>
      </c>
      <c r="F157" s="36">
        <v>3.8567493112947693</v>
      </c>
      <c r="G157">
        <v>7.54</v>
      </c>
      <c r="H157" s="59">
        <f>G157-'Kubiņu masa'!D33</f>
        <v>0.28000000000000025</v>
      </c>
      <c r="I157" s="59">
        <f t="shared" si="4"/>
        <v>1.0370370370370379</v>
      </c>
    </row>
    <row r="158" spans="1:9" x14ac:dyDescent="0.35">
      <c r="A158" s="25" t="s">
        <v>40</v>
      </c>
      <c r="B158" s="25" t="s">
        <v>68</v>
      </c>
      <c r="C158" s="25">
        <v>99</v>
      </c>
      <c r="D158" s="25">
        <v>60</v>
      </c>
      <c r="E158" s="38" t="s">
        <v>55</v>
      </c>
      <c r="F158" s="36">
        <v>3.9402173913043481</v>
      </c>
      <c r="G158">
        <v>7.65</v>
      </c>
      <c r="H158" s="59">
        <f>G158-'Kubiņu masa'!D34</f>
        <v>0.29000000000000004</v>
      </c>
      <c r="I158" s="59">
        <f t="shared" si="4"/>
        <v>1.0740740740740742</v>
      </c>
    </row>
    <row r="159" spans="1:9" x14ac:dyDescent="0.35">
      <c r="A159" s="25" t="s">
        <v>40</v>
      </c>
      <c r="B159" s="25" t="s">
        <v>69</v>
      </c>
      <c r="C159" s="25">
        <v>37</v>
      </c>
      <c r="D159" s="25">
        <v>60</v>
      </c>
      <c r="E159" s="38" t="s">
        <v>55</v>
      </c>
      <c r="F159" s="36">
        <v>4.006968641114975</v>
      </c>
      <c r="G159">
        <v>5.97</v>
      </c>
      <c r="H159" s="59">
        <f>G159-'Kubiņu masa'!D35</f>
        <v>0.22999999999999954</v>
      </c>
      <c r="I159" s="59">
        <f t="shared" si="4"/>
        <v>0.85185185185185019</v>
      </c>
    </row>
    <row r="160" spans="1:9" x14ac:dyDescent="0.35">
      <c r="A160" s="25" t="s">
        <v>40</v>
      </c>
      <c r="B160" s="25" t="s">
        <v>69</v>
      </c>
      <c r="C160" s="25">
        <v>53</v>
      </c>
      <c r="D160" s="25">
        <v>60</v>
      </c>
      <c r="E160" s="38" t="s">
        <v>55</v>
      </c>
      <c r="F160" s="36">
        <v>3.8461538461538494</v>
      </c>
      <c r="G160">
        <v>6.48</v>
      </c>
      <c r="H160" s="59">
        <f>G160-'Kubiņu masa'!D36</f>
        <v>0.24000000000000021</v>
      </c>
      <c r="I160" s="59">
        <f t="shared" si="4"/>
        <v>0.88888888888888973</v>
      </c>
    </row>
    <row r="161" spans="1:9" x14ac:dyDescent="0.35">
      <c r="A161" s="25" t="s">
        <v>40</v>
      </c>
      <c r="B161" s="25" t="s">
        <v>69</v>
      </c>
      <c r="C161" s="25">
        <v>134</v>
      </c>
      <c r="D161" s="25">
        <v>60</v>
      </c>
      <c r="E161" s="38" t="s">
        <v>55</v>
      </c>
      <c r="F161" s="36">
        <v>3.6912751677852311</v>
      </c>
      <c r="G161">
        <v>6.18</v>
      </c>
      <c r="H161" s="59">
        <f>G161-'Kubiņu masa'!D37</f>
        <v>0.21999999999999975</v>
      </c>
      <c r="I161" s="59">
        <f t="shared" si="4"/>
        <v>0.81481481481481388</v>
      </c>
    </row>
    <row r="162" spans="1:9" x14ac:dyDescent="0.35">
      <c r="A162" s="25" t="s">
        <v>40</v>
      </c>
      <c r="B162" s="25" t="s">
        <v>70</v>
      </c>
      <c r="C162" s="25">
        <v>68</v>
      </c>
      <c r="D162" s="25">
        <v>60</v>
      </c>
      <c r="E162" s="38" t="s">
        <v>55</v>
      </c>
      <c r="F162" s="36">
        <v>4.1322314049586755</v>
      </c>
      <c r="G162">
        <v>7.56</v>
      </c>
      <c r="H162" s="59">
        <f>G162-'Kubiņu masa'!D38</f>
        <v>0.29999999999999982</v>
      </c>
      <c r="I162" s="59">
        <f t="shared" si="4"/>
        <v>1.1111111111111105</v>
      </c>
    </row>
    <row r="163" spans="1:9" x14ac:dyDescent="0.35">
      <c r="A163" s="25" t="s">
        <v>40</v>
      </c>
      <c r="B163" s="25" t="s">
        <v>70</v>
      </c>
      <c r="C163" s="25">
        <v>143</v>
      </c>
      <c r="D163" s="25">
        <v>60</v>
      </c>
      <c r="E163" s="38" t="s">
        <v>55</v>
      </c>
      <c r="F163" s="36">
        <v>4.3301759133964852</v>
      </c>
      <c r="G163">
        <v>7.71</v>
      </c>
      <c r="H163" s="59">
        <f>G163-'Kubiņu masa'!D39</f>
        <v>0.32000000000000028</v>
      </c>
      <c r="I163" s="59">
        <f t="shared" si="4"/>
        <v>1.1851851851851862</v>
      </c>
    </row>
    <row r="164" spans="1:9" x14ac:dyDescent="0.35">
      <c r="A164" s="25" t="s">
        <v>40</v>
      </c>
      <c r="B164" s="25" t="s">
        <v>70</v>
      </c>
      <c r="C164" s="25">
        <v>190</v>
      </c>
      <c r="D164" s="25">
        <v>60</v>
      </c>
      <c r="E164" s="38" t="s">
        <v>55</v>
      </c>
      <c r="F164" s="36">
        <v>3.9381153305203842</v>
      </c>
      <c r="G164">
        <v>7.39</v>
      </c>
      <c r="H164" s="59">
        <f>G164-'Kubiņu masa'!D40</f>
        <v>0.27999999999999936</v>
      </c>
      <c r="I164" s="59">
        <f t="shared" si="4"/>
        <v>1.0370370370370348</v>
      </c>
    </row>
    <row r="165" spans="1:9" x14ac:dyDescent="0.35">
      <c r="A165" s="25" t="s">
        <v>40</v>
      </c>
      <c r="B165" s="25" t="s">
        <v>71</v>
      </c>
      <c r="C165" s="25">
        <v>158</v>
      </c>
      <c r="D165" s="25">
        <v>60</v>
      </c>
      <c r="E165" s="38" t="s">
        <v>55</v>
      </c>
      <c r="F165" s="36">
        <v>4.0097205346294054</v>
      </c>
      <c r="G165">
        <v>8.56</v>
      </c>
      <c r="H165" s="59">
        <f>G165-'Kubiņu masa'!D41</f>
        <v>0.33000000000000007</v>
      </c>
      <c r="I165" s="59">
        <f t="shared" si="4"/>
        <v>1.2222222222222225</v>
      </c>
    </row>
    <row r="166" spans="1:9" x14ac:dyDescent="0.35">
      <c r="A166" s="25" t="s">
        <v>40</v>
      </c>
      <c r="B166" s="25" t="s">
        <v>71</v>
      </c>
      <c r="C166" s="25">
        <v>169</v>
      </c>
      <c r="D166" s="25">
        <v>60</v>
      </c>
      <c r="E166" s="38" t="s">
        <v>55</v>
      </c>
      <c r="F166" s="36">
        <v>3.7974683544303658</v>
      </c>
      <c r="G166">
        <v>8.1999999999999993</v>
      </c>
      <c r="H166" s="59">
        <f>G166-'Kubiņu masa'!D42</f>
        <v>0.29999999999999893</v>
      </c>
      <c r="I166" s="59">
        <f t="shared" si="4"/>
        <v>1.1111111111111072</v>
      </c>
    </row>
    <row r="167" spans="1:9" x14ac:dyDescent="0.35">
      <c r="A167" s="25" t="s">
        <v>40</v>
      </c>
      <c r="B167" s="25" t="s">
        <v>71</v>
      </c>
      <c r="C167" s="25">
        <v>174</v>
      </c>
      <c r="D167" s="25">
        <v>60</v>
      </c>
      <c r="E167" s="38" t="s">
        <v>55</v>
      </c>
      <c r="F167" s="36">
        <v>3.8107752956636007</v>
      </c>
      <c r="G167">
        <v>7.9</v>
      </c>
      <c r="H167" s="59">
        <f>G167-'Kubiņu masa'!D43</f>
        <v>0.29000000000000004</v>
      </c>
      <c r="I167" s="59">
        <f t="shared" si="4"/>
        <v>1.0740740740740742</v>
      </c>
    </row>
    <row r="168" spans="1:9" x14ac:dyDescent="0.35">
      <c r="A168" s="25" t="s">
        <v>40</v>
      </c>
      <c r="B168" s="25" t="s">
        <v>72</v>
      </c>
      <c r="C168" s="25">
        <v>108</v>
      </c>
      <c r="D168" s="25">
        <v>60</v>
      </c>
      <c r="E168" s="38" t="s">
        <v>55</v>
      </c>
      <c r="F168" s="36">
        <v>3.4739454094292723</v>
      </c>
      <c r="G168">
        <v>4.17</v>
      </c>
      <c r="H168" s="59">
        <f>G168-'Kubiņu masa'!D44</f>
        <v>0.13999999999999968</v>
      </c>
      <c r="I168" s="59">
        <f t="shared" si="4"/>
        <v>0.51851851851851738</v>
      </c>
    </row>
    <row r="169" spans="1:9" x14ac:dyDescent="0.35">
      <c r="A169" s="25" t="s">
        <v>40</v>
      </c>
      <c r="B169" s="25" t="s">
        <v>72</v>
      </c>
      <c r="C169" s="25">
        <v>287</v>
      </c>
      <c r="D169" s="25">
        <v>60</v>
      </c>
      <c r="E169" s="38" t="s">
        <v>55</v>
      </c>
      <c r="F169" s="36">
        <v>3.4188034188034218</v>
      </c>
      <c r="G169">
        <v>4.84</v>
      </c>
      <c r="H169" s="59">
        <f>G169-'Kubiņu masa'!D45</f>
        <v>0.16000000000000014</v>
      </c>
      <c r="I169" s="59">
        <f t="shared" si="4"/>
        <v>0.59259259259259311</v>
      </c>
    </row>
    <row r="170" spans="1:9" x14ac:dyDescent="0.35">
      <c r="A170" s="25" t="s">
        <v>40</v>
      </c>
      <c r="B170" s="25" t="s">
        <v>72</v>
      </c>
      <c r="C170" s="25">
        <v>328</v>
      </c>
      <c r="D170" s="25">
        <v>60</v>
      </c>
      <c r="E170" s="38" t="s">
        <v>55</v>
      </c>
      <c r="F170" s="36">
        <v>3.3096926713947914</v>
      </c>
      <c r="G170">
        <v>4.37</v>
      </c>
      <c r="H170" s="59">
        <f>G170-'Kubiņu masa'!D46</f>
        <v>0.13999999999999968</v>
      </c>
      <c r="I170" s="59">
        <f t="shared" si="4"/>
        <v>0.51851851851851738</v>
      </c>
    </row>
    <row r="171" spans="1:9" x14ac:dyDescent="0.35">
      <c r="A171" s="25" t="s">
        <v>40</v>
      </c>
      <c r="B171" s="25" t="s">
        <v>73</v>
      </c>
      <c r="C171" s="25">
        <v>207</v>
      </c>
      <c r="D171" s="25">
        <v>60</v>
      </c>
      <c r="E171" s="38" t="s">
        <v>55</v>
      </c>
      <c r="F171" s="36">
        <v>3.6190476190476266</v>
      </c>
      <c r="G171">
        <v>5.44</v>
      </c>
      <c r="H171" s="59">
        <f>G171-'Kubiņu masa'!D47</f>
        <v>0.19000000000000039</v>
      </c>
      <c r="I171" s="59">
        <f t="shared" si="4"/>
        <v>0.70370370370370516</v>
      </c>
    </row>
    <row r="172" spans="1:9" x14ac:dyDescent="0.35">
      <c r="A172" s="25" t="s">
        <v>40</v>
      </c>
      <c r="B172" s="25" t="s">
        <v>73</v>
      </c>
      <c r="C172" s="25">
        <v>314</v>
      </c>
      <c r="D172" s="25">
        <v>60</v>
      </c>
      <c r="E172" s="38" t="s">
        <v>55</v>
      </c>
      <c r="F172" s="36">
        <v>3.5185185185185088</v>
      </c>
      <c r="G172">
        <v>5.59</v>
      </c>
      <c r="H172" s="59">
        <f>G172-'Kubiņu masa'!D48</f>
        <v>0.1899999999999995</v>
      </c>
      <c r="I172" s="59">
        <f t="shared" si="4"/>
        <v>0.70370370370370183</v>
      </c>
    </row>
    <row r="173" spans="1:9" x14ac:dyDescent="0.35">
      <c r="A173" s="25" t="s">
        <v>40</v>
      </c>
      <c r="B173" s="25" t="s">
        <v>73</v>
      </c>
      <c r="C173" s="25">
        <v>280</v>
      </c>
      <c r="D173" s="25">
        <v>60</v>
      </c>
      <c r="E173" s="38" t="s">
        <v>55</v>
      </c>
      <c r="F173" s="36">
        <v>3.690036900369007</v>
      </c>
      <c r="G173">
        <v>5.62</v>
      </c>
      <c r="H173" s="59">
        <f>G173-'Kubiņu masa'!D49</f>
        <v>0.20000000000000018</v>
      </c>
      <c r="I173" s="59">
        <f t="shared" si="4"/>
        <v>0.74074074074074137</v>
      </c>
    </row>
    <row r="174" spans="1:9" x14ac:dyDescent="0.35">
      <c r="A174" s="25" t="s">
        <v>40</v>
      </c>
      <c r="B174" s="25" t="s">
        <v>74</v>
      </c>
      <c r="C174" s="25">
        <v>172</v>
      </c>
      <c r="D174" s="25">
        <v>60</v>
      </c>
      <c r="E174" s="38" t="s">
        <v>55</v>
      </c>
      <c r="F174" s="36">
        <v>3.9518900343642533</v>
      </c>
      <c r="G174">
        <v>6.05</v>
      </c>
      <c r="H174" s="59">
        <f>G174-'Kubiņu masa'!D50</f>
        <v>0.22999999999999954</v>
      </c>
      <c r="I174" s="59">
        <f t="shared" si="4"/>
        <v>0.85185185185185019</v>
      </c>
    </row>
    <row r="175" spans="1:9" x14ac:dyDescent="0.35">
      <c r="A175" s="25" t="s">
        <v>40</v>
      </c>
      <c r="B175" s="25" t="s">
        <v>74</v>
      </c>
      <c r="C175" s="25">
        <v>229</v>
      </c>
      <c r="D175" s="25">
        <v>60</v>
      </c>
      <c r="E175" s="38" t="s">
        <v>55</v>
      </c>
      <c r="F175" s="36">
        <v>4.1308089500860623</v>
      </c>
      <c r="G175">
        <v>6.05</v>
      </c>
      <c r="H175" s="59">
        <f>G175-'Kubiņu masa'!D51</f>
        <v>0.24000000000000021</v>
      </c>
      <c r="I175" s="59">
        <f t="shared" si="4"/>
        <v>0.88888888888888973</v>
      </c>
    </row>
    <row r="176" spans="1:9" x14ac:dyDescent="0.35">
      <c r="A176" s="25" t="s">
        <v>40</v>
      </c>
      <c r="B176" s="25" t="s">
        <v>74</v>
      </c>
      <c r="C176" s="25">
        <v>349</v>
      </c>
      <c r="D176" s="25">
        <v>60</v>
      </c>
      <c r="E176" s="38" t="s">
        <v>55</v>
      </c>
      <c r="F176" s="36">
        <v>4.1166380789022332</v>
      </c>
      <c r="G176">
        <v>6.07</v>
      </c>
      <c r="H176" s="59">
        <f>G176-'Kubiņu masa'!D52</f>
        <v>0.24000000000000021</v>
      </c>
      <c r="I176" s="59">
        <f t="shared" si="4"/>
        <v>0.88888888888888973</v>
      </c>
    </row>
    <row r="177" spans="1:9" x14ac:dyDescent="0.35">
      <c r="A177" s="25" t="s">
        <v>40</v>
      </c>
      <c r="B177" s="25" t="s">
        <v>75</v>
      </c>
      <c r="C177" s="25">
        <v>193</v>
      </c>
      <c r="D177" s="25">
        <v>60</v>
      </c>
      <c r="E177" s="38" t="s">
        <v>55</v>
      </c>
      <c r="F177" s="36">
        <v>3.4168564920273434</v>
      </c>
      <c r="G177">
        <v>4.54</v>
      </c>
      <c r="H177" s="59">
        <f>G177-'Kubiņu masa'!D53</f>
        <v>0.15000000000000036</v>
      </c>
      <c r="I177" s="59">
        <f t="shared" si="4"/>
        <v>0.55555555555555691</v>
      </c>
    </row>
    <row r="178" spans="1:9" x14ac:dyDescent="0.35">
      <c r="A178" s="25" t="s">
        <v>40</v>
      </c>
      <c r="B178" s="25" t="s">
        <v>75</v>
      </c>
      <c r="C178" s="25">
        <v>160</v>
      </c>
      <c r="D178" s="25">
        <v>60</v>
      </c>
      <c r="E178" s="38" t="s">
        <v>55</v>
      </c>
      <c r="F178" s="36">
        <v>3.2183908045977141</v>
      </c>
      <c r="G178">
        <v>4.49</v>
      </c>
      <c r="H178" s="59">
        <f>G178-'Kubiņu masa'!D54</f>
        <v>0.14000000000000057</v>
      </c>
      <c r="I178" s="59">
        <f t="shared" si="4"/>
        <v>0.5185185185185206</v>
      </c>
    </row>
    <row r="179" spans="1:9" x14ac:dyDescent="0.35">
      <c r="A179" s="25" t="s">
        <v>40</v>
      </c>
      <c r="B179" s="25" t="s">
        <v>75</v>
      </c>
      <c r="C179" s="25">
        <v>218</v>
      </c>
      <c r="D179" s="25">
        <v>60</v>
      </c>
      <c r="E179" s="38" t="s">
        <v>55</v>
      </c>
      <c r="F179" s="36">
        <v>3.1026252983293525</v>
      </c>
      <c r="G179">
        <v>4.32</v>
      </c>
      <c r="H179" s="59">
        <f>G179-'Kubiņu masa'!D55</f>
        <v>0.12999999999999989</v>
      </c>
      <c r="I179" s="59">
        <f t="shared" si="4"/>
        <v>0.48148148148148107</v>
      </c>
    </row>
    <row r="180" spans="1:9" x14ac:dyDescent="0.35">
      <c r="A180" s="25" t="s">
        <v>41</v>
      </c>
      <c r="B180" s="25" t="s">
        <v>91</v>
      </c>
      <c r="C180" s="25">
        <v>32</v>
      </c>
      <c r="D180" s="25">
        <v>60</v>
      </c>
      <c r="E180" s="38" t="s">
        <v>55</v>
      </c>
      <c r="F180" s="36">
        <v>5.0458715596330359</v>
      </c>
      <c r="G180">
        <v>16.03</v>
      </c>
      <c r="H180" s="59">
        <f>G180-'Kubiņu masa'!D56</f>
        <v>0.77000000000000135</v>
      </c>
      <c r="I180" s="59">
        <f>H180/15*100</f>
        <v>5.1333333333333426</v>
      </c>
    </row>
    <row r="181" spans="1:9" x14ac:dyDescent="0.35">
      <c r="A181" s="25" t="s">
        <v>41</v>
      </c>
      <c r="B181" s="25" t="s">
        <v>91</v>
      </c>
      <c r="C181" s="25">
        <v>33</v>
      </c>
      <c r="D181" s="25">
        <v>60</v>
      </c>
      <c r="E181" s="38" t="s">
        <v>55</v>
      </c>
      <c r="F181" s="36">
        <v>4.7557840616966596</v>
      </c>
      <c r="G181">
        <v>16.3</v>
      </c>
      <c r="H181" s="59">
        <f>G181-'Kubiņu masa'!D57</f>
        <v>0.74000000000000021</v>
      </c>
      <c r="I181" s="59">
        <f t="shared" ref="I181:I196" si="5">H181/15*100</f>
        <v>4.9333333333333345</v>
      </c>
    </row>
    <row r="182" spans="1:9" x14ac:dyDescent="0.35">
      <c r="A182" s="25" t="s">
        <v>41</v>
      </c>
      <c r="B182" s="25" t="s">
        <v>91</v>
      </c>
      <c r="C182" s="25">
        <v>34</v>
      </c>
      <c r="D182" s="25">
        <v>60</v>
      </c>
      <c r="E182" s="38" t="s">
        <v>55</v>
      </c>
      <c r="F182" s="36">
        <v>4.5568039950062449</v>
      </c>
      <c r="G182">
        <v>16.75</v>
      </c>
      <c r="H182" s="59">
        <f>G182-'Kubiņu masa'!D58</f>
        <v>0.73000000000000043</v>
      </c>
      <c r="I182" s="59">
        <f t="shared" si="5"/>
        <v>4.8666666666666698</v>
      </c>
    </row>
    <row r="183" spans="1:9" x14ac:dyDescent="0.35">
      <c r="A183" s="25" t="s">
        <v>41</v>
      </c>
      <c r="B183" s="25" t="s">
        <v>29</v>
      </c>
      <c r="C183" s="25">
        <v>50</v>
      </c>
      <c r="D183" s="25">
        <v>60</v>
      </c>
      <c r="E183" s="38" t="s">
        <v>55</v>
      </c>
      <c r="F183" s="36">
        <v>3.2851511169513801</v>
      </c>
      <c r="G183">
        <v>15.72</v>
      </c>
      <c r="H183" s="59">
        <f>G183-'Kubiņu masa'!D59</f>
        <v>0.5</v>
      </c>
      <c r="I183" s="59">
        <f t="shared" si="5"/>
        <v>3.3333333333333335</v>
      </c>
    </row>
    <row r="184" spans="1:9" x14ac:dyDescent="0.35">
      <c r="A184" s="25" t="s">
        <v>41</v>
      </c>
      <c r="B184" s="25" t="s">
        <v>29</v>
      </c>
      <c r="C184" s="25">
        <v>51</v>
      </c>
      <c r="D184" s="25">
        <v>60</v>
      </c>
      <c r="E184" s="38" t="s">
        <v>55</v>
      </c>
      <c r="F184" s="36">
        <v>3.3377837116154869</v>
      </c>
      <c r="G184">
        <v>15.48</v>
      </c>
      <c r="H184" s="59">
        <f>G184-'Kubiņu masa'!D60</f>
        <v>0.5</v>
      </c>
      <c r="I184" s="59">
        <f t="shared" si="5"/>
        <v>3.3333333333333335</v>
      </c>
    </row>
    <row r="185" spans="1:9" x14ac:dyDescent="0.35">
      <c r="A185" s="25" t="s">
        <v>41</v>
      </c>
      <c r="B185" s="25" t="s">
        <v>29</v>
      </c>
      <c r="C185" s="25">
        <v>52</v>
      </c>
      <c r="D185" s="25">
        <v>60</v>
      </c>
      <c r="E185" s="38" t="s">
        <v>55</v>
      </c>
      <c r="F185" s="36">
        <v>3.3842070338420691</v>
      </c>
      <c r="G185">
        <v>15.58</v>
      </c>
      <c r="H185" s="59">
        <f>G185-'Kubiņu masa'!D61</f>
        <v>0.50999999999999979</v>
      </c>
      <c r="I185" s="59">
        <f t="shared" si="5"/>
        <v>3.399999999999999</v>
      </c>
    </row>
    <row r="186" spans="1:9" x14ac:dyDescent="0.35">
      <c r="A186" s="25" t="s">
        <v>41</v>
      </c>
      <c r="B186" s="25" t="s">
        <v>88</v>
      </c>
      <c r="C186" s="25" t="s">
        <v>42</v>
      </c>
      <c r="D186" s="25">
        <v>60</v>
      </c>
      <c r="E186" s="38" t="s">
        <v>55</v>
      </c>
      <c r="F186" s="36">
        <v>3.9909638554216955</v>
      </c>
      <c r="G186">
        <v>13.81</v>
      </c>
      <c r="H186" s="59">
        <f>G186-'Kubiņu masa'!D62</f>
        <v>0.53000000000000114</v>
      </c>
      <c r="I186" s="59">
        <f t="shared" si="5"/>
        <v>3.5333333333333412</v>
      </c>
    </row>
    <row r="187" spans="1:9" x14ac:dyDescent="0.35">
      <c r="A187" s="25" t="s">
        <v>41</v>
      </c>
      <c r="B187" s="25" t="s">
        <v>88</v>
      </c>
      <c r="C187" s="25" t="s">
        <v>43</v>
      </c>
      <c r="D187" s="25">
        <v>60</v>
      </c>
      <c r="E187" s="38" t="s">
        <v>55</v>
      </c>
      <c r="F187" s="36">
        <v>4.1064638783269896</v>
      </c>
      <c r="G187">
        <v>13.69</v>
      </c>
      <c r="H187" s="59">
        <f>G187-'Kubiņu masa'!D63</f>
        <v>0.53999999999999915</v>
      </c>
      <c r="I187" s="59">
        <f t="shared" si="5"/>
        <v>3.5999999999999943</v>
      </c>
    </row>
    <row r="188" spans="1:9" x14ac:dyDescent="0.35">
      <c r="A188" s="25" t="s">
        <v>41</v>
      </c>
      <c r="B188" s="25" t="s">
        <v>88</v>
      </c>
      <c r="C188" s="25" t="s">
        <v>44</v>
      </c>
      <c r="D188" s="25">
        <v>60</v>
      </c>
      <c r="E188" s="38" t="s">
        <v>55</v>
      </c>
      <c r="F188" s="36">
        <v>4.131599081866864</v>
      </c>
      <c r="G188">
        <v>13.61</v>
      </c>
      <c r="H188" s="59">
        <f>G188-'Kubiņu masa'!D64</f>
        <v>0.53999999999999915</v>
      </c>
      <c r="I188" s="59">
        <f t="shared" si="5"/>
        <v>3.5999999999999943</v>
      </c>
    </row>
    <row r="189" spans="1:9" x14ac:dyDescent="0.35">
      <c r="A189" s="25" t="s">
        <v>41</v>
      </c>
      <c r="B189" s="25" t="s">
        <v>89</v>
      </c>
      <c r="C189" s="25" t="s">
        <v>45</v>
      </c>
      <c r="D189" s="25">
        <v>60</v>
      </c>
      <c r="E189" s="38" t="s">
        <v>55</v>
      </c>
      <c r="F189" s="36">
        <v>4.569288389513118</v>
      </c>
      <c r="G189">
        <v>13.96</v>
      </c>
      <c r="H189" s="59">
        <f>G189-'Kubiņu masa'!D65</f>
        <v>0.61000000000000121</v>
      </c>
      <c r="I189" s="59">
        <f t="shared" si="5"/>
        <v>4.0666666666666744</v>
      </c>
    </row>
    <row r="190" spans="1:9" x14ac:dyDescent="0.35">
      <c r="A190" s="25" t="s">
        <v>41</v>
      </c>
      <c r="B190" s="25" t="s">
        <v>89</v>
      </c>
      <c r="C190" s="25" t="s">
        <v>46</v>
      </c>
      <c r="D190" s="25">
        <v>60</v>
      </c>
      <c r="E190" s="38" t="s">
        <v>55</v>
      </c>
      <c r="F190" s="36">
        <v>4.4327573253193071</v>
      </c>
      <c r="G190">
        <v>13.9</v>
      </c>
      <c r="H190" s="59">
        <f>G190-'Kubiņu masa'!D66</f>
        <v>0.58999999999999986</v>
      </c>
      <c r="I190" s="59">
        <f t="shared" si="5"/>
        <v>3.9333333333333322</v>
      </c>
    </row>
    <row r="191" spans="1:9" x14ac:dyDescent="0.35">
      <c r="A191" s="25" t="s">
        <v>41</v>
      </c>
      <c r="B191" s="25" t="s">
        <v>89</v>
      </c>
      <c r="C191" s="25" t="s">
        <v>47</v>
      </c>
      <c r="D191" s="25">
        <v>60</v>
      </c>
      <c r="E191" s="38" t="s">
        <v>55</v>
      </c>
      <c r="F191" s="36">
        <v>4.4510385756676536</v>
      </c>
      <c r="G191">
        <v>14.08</v>
      </c>
      <c r="H191" s="59">
        <f>G191-'Kubiņu masa'!D67</f>
        <v>0.59999999999999964</v>
      </c>
      <c r="I191" s="59">
        <f t="shared" si="5"/>
        <v>3.9999999999999973</v>
      </c>
    </row>
    <row r="192" spans="1:9" x14ac:dyDescent="0.35">
      <c r="A192" s="25" t="s">
        <v>41</v>
      </c>
      <c r="B192" s="25" t="s">
        <v>90</v>
      </c>
      <c r="C192" s="25" t="s">
        <v>48</v>
      </c>
      <c r="D192" s="25">
        <v>60</v>
      </c>
      <c r="E192" s="38" t="s">
        <v>55</v>
      </c>
      <c r="F192" s="36">
        <v>3.1765424557116653</v>
      </c>
      <c r="G192">
        <v>16.89</v>
      </c>
      <c r="H192" s="59">
        <f>G192-'Kubiņu masa'!D68</f>
        <v>0.51999999999999957</v>
      </c>
      <c r="I192" s="59">
        <f t="shared" si="5"/>
        <v>3.4666666666666637</v>
      </c>
    </row>
    <row r="193" spans="1:9" x14ac:dyDescent="0.35">
      <c r="A193" s="25" t="s">
        <v>41</v>
      </c>
      <c r="B193" s="25" t="s">
        <v>90</v>
      </c>
      <c r="C193" s="25" t="s">
        <v>49</v>
      </c>
      <c r="D193" s="25">
        <v>60</v>
      </c>
      <c r="E193" s="38" t="s">
        <v>55</v>
      </c>
      <c r="F193" s="36">
        <v>3.1230863441518779</v>
      </c>
      <c r="G193">
        <v>16.84</v>
      </c>
      <c r="H193" s="59">
        <f>G193-'Kubiņu masa'!D69</f>
        <v>0.51000000000000156</v>
      </c>
      <c r="I193" s="59">
        <f t="shared" si="5"/>
        <v>3.4000000000000106</v>
      </c>
    </row>
    <row r="194" spans="1:9" x14ac:dyDescent="0.35">
      <c r="A194" s="25" t="s">
        <v>41</v>
      </c>
      <c r="B194" s="25" t="s">
        <v>33</v>
      </c>
      <c r="C194" s="25" t="s">
        <v>50</v>
      </c>
      <c r="D194" s="25">
        <v>60</v>
      </c>
      <c r="E194" s="38" t="s">
        <v>55</v>
      </c>
      <c r="F194" s="36">
        <v>4.1077441077441161</v>
      </c>
      <c r="G194">
        <v>15.46</v>
      </c>
      <c r="H194" s="59">
        <f>G194-'Kubiņu masa'!D70</f>
        <v>0.61000000000000121</v>
      </c>
      <c r="I194" s="59">
        <f t="shared" si="5"/>
        <v>4.0666666666666744</v>
      </c>
    </row>
    <row r="195" spans="1:9" x14ac:dyDescent="0.35">
      <c r="A195" s="25" t="s">
        <v>41</v>
      </c>
      <c r="B195" s="25" t="s">
        <v>33</v>
      </c>
      <c r="C195" s="25" t="s">
        <v>51</v>
      </c>
      <c r="D195" s="25">
        <v>60</v>
      </c>
      <c r="E195" s="38" t="s">
        <v>55</v>
      </c>
      <c r="F195" s="36">
        <v>4.1355932203389791</v>
      </c>
      <c r="G195">
        <v>15.36</v>
      </c>
      <c r="H195" s="59">
        <f>G195-'Kubiņu masa'!D71</f>
        <v>0.60999999999999943</v>
      </c>
      <c r="I195" s="59">
        <f t="shared" si="5"/>
        <v>4.0666666666666629</v>
      </c>
    </row>
    <row r="196" spans="1:9" x14ac:dyDescent="0.35">
      <c r="A196" s="25" t="s">
        <v>41</v>
      </c>
      <c r="B196" s="25" t="s">
        <v>33</v>
      </c>
      <c r="C196" s="25" t="s">
        <v>52</v>
      </c>
      <c r="D196" s="25">
        <v>60</v>
      </c>
      <c r="E196" s="38" t="s">
        <v>55</v>
      </c>
      <c r="F196" s="36">
        <v>4.1049798115747054</v>
      </c>
      <c r="G196">
        <v>15.47</v>
      </c>
      <c r="H196" s="59">
        <f>G196-'Kubiņu masa'!D72</f>
        <v>0.61000000000000121</v>
      </c>
      <c r="I196" s="59">
        <f t="shared" si="5"/>
        <v>4.0666666666666744</v>
      </c>
    </row>
    <row r="197" spans="1:9" x14ac:dyDescent="0.35">
      <c r="A197" s="25" t="s">
        <v>10</v>
      </c>
      <c r="B197" s="25" t="s">
        <v>68</v>
      </c>
      <c r="C197" s="25">
        <v>9</v>
      </c>
      <c r="D197" s="25">
        <v>60</v>
      </c>
      <c r="E197" s="38" t="s">
        <v>56</v>
      </c>
      <c r="F197" s="36">
        <v>4.499274310595073</v>
      </c>
      <c r="G197">
        <v>7.2</v>
      </c>
      <c r="H197" s="59">
        <f>G197-'Kubiņu masa'!D8</f>
        <v>0.3100000000000005</v>
      </c>
      <c r="I197" s="59">
        <f t="shared" ref="I195:I258" si="6">H197/27*100</f>
        <v>1.1481481481481501</v>
      </c>
    </row>
    <row r="198" spans="1:9" x14ac:dyDescent="0.35">
      <c r="A198" s="25" t="s">
        <v>10</v>
      </c>
      <c r="B198" s="25" t="s">
        <v>68</v>
      </c>
      <c r="C198" s="25">
        <v>27</v>
      </c>
      <c r="D198" s="25">
        <v>60</v>
      </c>
      <c r="E198" s="38" t="s">
        <v>56</v>
      </c>
      <c r="F198" s="36">
        <v>4.1608876560332844</v>
      </c>
      <c r="G198">
        <v>7.51</v>
      </c>
      <c r="H198" s="59">
        <f>G198-'Kubiņu masa'!D9</f>
        <v>0.29999999999999982</v>
      </c>
      <c r="I198" s="59">
        <f t="shared" si="6"/>
        <v>1.1111111111111105</v>
      </c>
    </row>
    <row r="199" spans="1:9" x14ac:dyDescent="0.35">
      <c r="A199" s="25" t="s">
        <v>10</v>
      </c>
      <c r="B199" s="25" t="s">
        <v>68</v>
      </c>
      <c r="C199" s="25">
        <v>106</v>
      </c>
      <c r="D199" s="25">
        <v>60</v>
      </c>
      <c r="E199" s="38" t="s">
        <v>56</v>
      </c>
      <c r="F199" s="36">
        <v>4.0559440559440567</v>
      </c>
      <c r="G199">
        <v>7.44</v>
      </c>
      <c r="H199" s="59">
        <f>G199-'Kubiņu masa'!D10</f>
        <v>0.29000000000000004</v>
      </c>
      <c r="I199" s="59">
        <f t="shared" si="6"/>
        <v>1.0740740740740742</v>
      </c>
    </row>
    <row r="200" spans="1:9" x14ac:dyDescent="0.35">
      <c r="A200" s="25" t="s">
        <v>10</v>
      </c>
      <c r="B200" s="25" t="s">
        <v>69</v>
      </c>
      <c r="C200" s="25">
        <v>39</v>
      </c>
      <c r="D200" s="25">
        <v>60</v>
      </c>
      <c r="E200" s="38" t="s">
        <v>56</v>
      </c>
      <c r="F200" s="36">
        <v>3.7288135593220293</v>
      </c>
      <c r="G200">
        <v>6.12</v>
      </c>
      <c r="H200" s="59">
        <f>G200-'Kubiņu masa'!D11</f>
        <v>0.21999999999999975</v>
      </c>
      <c r="I200" s="59">
        <f t="shared" si="6"/>
        <v>0.81481481481481388</v>
      </c>
    </row>
    <row r="201" spans="1:9" x14ac:dyDescent="0.35">
      <c r="A201" s="25" t="s">
        <v>10</v>
      </c>
      <c r="B201" s="25" t="s">
        <v>69</v>
      </c>
      <c r="C201" s="25">
        <v>55</v>
      </c>
      <c r="D201" s="25">
        <v>60</v>
      </c>
      <c r="E201" s="38" t="s">
        <v>56</v>
      </c>
      <c r="F201" s="36">
        <v>3.9215686274509838</v>
      </c>
      <c r="G201">
        <v>6.36</v>
      </c>
      <c r="H201" s="59">
        <f>G201-'Kubiņu masa'!D12</f>
        <v>0.24000000000000021</v>
      </c>
      <c r="I201" s="59">
        <f t="shared" si="6"/>
        <v>0.88888888888888973</v>
      </c>
    </row>
    <row r="202" spans="1:9" x14ac:dyDescent="0.35">
      <c r="A202" s="25" t="s">
        <v>10</v>
      </c>
      <c r="B202" s="25" t="s">
        <v>69</v>
      </c>
      <c r="C202" s="25">
        <v>122</v>
      </c>
      <c r="D202" s="25">
        <v>60</v>
      </c>
      <c r="E202" s="38" t="s">
        <v>56</v>
      </c>
      <c r="F202" s="36">
        <v>3.7216828478964472</v>
      </c>
      <c r="G202">
        <v>6.41</v>
      </c>
      <c r="H202" s="59">
        <f>G202-'Kubiņu masa'!D13</f>
        <v>0.23000000000000043</v>
      </c>
      <c r="I202" s="59">
        <f t="shared" si="6"/>
        <v>0.85185185185185341</v>
      </c>
    </row>
    <row r="203" spans="1:9" x14ac:dyDescent="0.35">
      <c r="A203" s="25" t="s">
        <v>10</v>
      </c>
      <c r="B203" s="25" t="s">
        <v>70</v>
      </c>
      <c r="C203" s="25">
        <v>66</v>
      </c>
      <c r="D203" s="25">
        <v>60</v>
      </c>
      <c r="E203" s="38" t="s">
        <v>56</v>
      </c>
      <c r="F203" s="36">
        <v>4.1493775933609927</v>
      </c>
      <c r="G203">
        <v>7.53</v>
      </c>
      <c r="H203" s="59">
        <f>G203-'Kubiņu masa'!D14</f>
        <v>0.29999999999999982</v>
      </c>
      <c r="I203" s="59">
        <f t="shared" si="6"/>
        <v>1.1111111111111105</v>
      </c>
    </row>
    <row r="204" spans="1:9" x14ac:dyDescent="0.35">
      <c r="A204" s="25" t="s">
        <v>10</v>
      </c>
      <c r="B204" s="25" t="s">
        <v>70</v>
      </c>
      <c r="C204" s="25">
        <v>142</v>
      </c>
      <c r="D204" s="25">
        <v>60</v>
      </c>
      <c r="E204" s="38" t="s">
        <v>56</v>
      </c>
      <c r="F204" s="36">
        <v>4.3421052631578956</v>
      </c>
      <c r="G204">
        <v>7.93</v>
      </c>
      <c r="H204" s="59">
        <f>G204-'Kubiņu masa'!D15</f>
        <v>0.33000000000000007</v>
      </c>
      <c r="I204" s="59">
        <f t="shared" si="6"/>
        <v>1.2222222222222225</v>
      </c>
    </row>
    <row r="205" spans="1:9" x14ac:dyDescent="0.35">
      <c r="A205" s="25" t="s">
        <v>10</v>
      </c>
      <c r="B205" s="25" t="s">
        <v>70</v>
      </c>
      <c r="C205" s="25">
        <v>147</v>
      </c>
      <c r="D205" s="25">
        <v>60</v>
      </c>
      <c r="E205" s="38" t="s">
        <v>56</v>
      </c>
      <c r="F205" s="36">
        <v>4.312668463611864</v>
      </c>
      <c r="G205">
        <v>7.74</v>
      </c>
      <c r="H205" s="59">
        <f>G205-'Kubiņu masa'!D16</f>
        <v>0.32000000000000028</v>
      </c>
      <c r="I205" s="59">
        <f t="shared" si="6"/>
        <v>1.1851851851851862</v>
      </c>
    </row>
    <row r="206" spans="1:9" x14ac:dyDescent="0.35">
      <c r="A206" s="25" t="s">
        <v>10</v>
      </c>
      <c r="B206" s="25" t="s">
        <v>71</v>
      </c>
      <c r="C206" s="25">
        <v>75</v>
      </c>
      <c r="D206" s="25">
        <v>60</v>
      </c>
      <c r="E206" s="38" t="s">
        <v>56</v>
      </c>
      <c r="F206" s="36">
        <v>3.9577836411609475</v>
      </c>
      <c r="G206">
        <v>7.88</v>
      </c>
      <c r="H206" s="59">
        <f>G206-'Kubiņu masa'!D17</f>
        <v>0.29999999999999982</v>
      </c>
      <c r="I206" s="59">
        <f t="shared" si="6"/>
        <v>1.1111111111111105</v>
      </c>
    </row>
    <row r="207" spans="1:9" x14ac:dyDescent="0.35">
      <c r="A207" s="25" t="s">
        <v>10</v>
      </c>
      <c r="B207" s="25" t="s">
        <v>71</v>
      </c>
      <c r="C207" s="25">
        <v>81</v>
      </c>
      <c r="D207" s="25">
        <v>60</v>
      </c>
      <c r="E207" s="38" t="s">
        <v>56</v>
      </c>
      <c r="F207" s="36">
        <v>3.9370078740157459</v>
      </c>
      <c r="G207">
        <v>7.92</v>
      </c>
      <c r="H207" s="59">
        <f>G207-'Kubiņu masa'!D18</f>
        <v>0.29999999999999982</v>
      </c>
      <c r="I207" s="59">
        <f t="shared" si="6"/>
        <v>1.1111111111111105</v>
      </c>
    </row>
    <row r="208" spans="1:9" x14ac:dyDescent="0.35">
      <c r="A208" s="25" t="s">
        <v>10</v>
      </c>
      <c r="B208" s="25" t="s">
        <v>71</v>
      </c>
      <c r="C208" s="25">
        <v>91</v>
      </c>
      <c r="D208" s="25">
        <v>60</v>
      </c>
      <c r="E208" s="38" t="s">
        <v>56</v>
      </c>
      <c r="F208" s="36">
        <v>3.8363171355498582</v>
      </c>
      <c r="G208">
        <v>8.1199999999999992</v>
      </c>
      <c r="H208" s="59">
        <f>G208-'Kubiņu masa'!D19</f>
        <v>0.29999999999999893</v>
      </c>
      <c r="I208" s="59">
        <f t="shared" si="6"/>
        <v>1.1111111111111072</v>
      </c>
    </row>
    <row r="209" spans="1:9" x14ac:dyDescent="0.35">
      <c r="A209" s="25" t="s">
        <v>10</v>
      </c>
      <c r="B209" s="25" t="s">
        <v>72</v>
      </c>
      <c r="C209" s="25">
        <v>103</v>
      </c>
      <c r="D209" s="25">
        <v>60</v>
      </c>
      <c r="E209" s="38" t="s">
        <v>56</v>
      </c>
      <c r="F209" s="36">
        <v>3.6363636363636398</v>
      </c>
      <c r="G209">
        <v>3.99</v>
      </c>
      <c r="H209" s="59">
        <f>G209-'Kubiņu masa'!D20</f>
        <v>0.14000000000000012</v>
      </c>
      <c r="I209" s="59">
        <f t="shared" si="6"/>
        <v>0.51851851851851893</v>
      </c>
    </row>
    <row r="210" spans="1:9" x14ac:dyDescent="0.35">
      <c r="A210" s="25" t="s">
        <v>10</v>
      </c>
      <c r="B210" s="25" t="s">
        <v>72</v>
      </c>
      <c r="C210" s="25">
        <v>283</v>
      </c>
      <c r="D210" s="25">
        <v>60</v>
      </c>
      <c r="E210" s="38" t="s">
        <v>56</v>
      </c>
      <c r="F210" s="36">
        <v>3.7593984962405882</v>
      </c>
      <c r="G210">
        <v>4.1399999999999997</v>
      </c>
      <c r="H210" s="59">
        <f>G210-'Kubiņu masa'!D21</f>
        <v>0.14999999999999947</v>
      </c>
      <c r="I210" s="59">
        <f t="shared" si="6"/>
        <v>0.55555555555555358</v>
      </c>
    </row>
    <row r="211" spans="1:9" x14ac:dyDescent="0.35">
      <c r="A211" s="25" t="s">
        <v>10</v>
      </c>
      <c r="B211" s="25" t="s">
        <v>72</v>
      </c>
      <c r="C211" s="25">
        <v>323</v>
      </c>
      <c r="D211" s="25">
        <v>60</v>
      </c>
      <c r="E211" s="38" t="s">
        <v>56</v>
      </c>
      <c r="F211" s="36">
        <v>3.3254156769596124</v>
      </c>
      <c r="G211">
        <v>4.3499999999999996</v>
      </c>
      <c r="H211" s="59">
        <f>G211-'Kubiņu masa'!D22</f>
        <v>0.13999999999999968</v>
      </c>
      <c r="I211" s="59">
        <f t="shared" si="6"/>
        <v>0.51851851851851738</v>
      </c>
    </row>
    <row r="212" spans="1:9" x14ac:dyDescent="0.35">
      <c r="A212" s="25" t="s">
        <v>10</v>
      </c>
      <c r="B212" s="25" t="s">
        <v>73</v>
      </c>
      <c r="C212" s="25">
        <v>203</v>
      </c>
      <c r="D212" s="25">
        <v>60</v>
      </c>
      <c r="E212" s="38" t="s">
        <v>56</v>
      </c>
      <c r="F212" s="36">
        <v>3.6072144288577093</v>
      </c>
      <c r="G212">
        <v>5.17</v>
      </c>
      <c r="H212" s="59">
        <f>G212-'Kubiņu masa'!D23</f>
        <v>0.17999999999999972</v>
      </c>
      <c r="I212" s="59">
        <f t="shared" si="6"/>
        <v>0.66666666666666563</v>
      </c>
    </row>
    <row r="213" spans="1:9" x14ac:dyDescent="0.35">
      <c r="A213" s="25" t="s">
        <v>10</v>
      </c>
      <c r="B213" s="25" t="s">
        <v>73</v>
      </c>
      <c r="C213" s="25">
        <v>272</v>
      </c>
      <c r="D213" s="25">
        <v>60</v>
      </c>
      <c r="E213" s="38" t="s">
        <v>56</v>
      </c>
      <c r="F213" s="36">
        <v>3.8617886178861869</v>
      </c>
      <c r="G213">
        <v>5.1100000000000003</v>
      </c>
      <c r="H213" s="59">
        <f>G213-'Kubiņu masa'!D24</f>
        <v>0.19000000000000039</v>
      </c>
      <c r="I213" s="59">
        <f t="shared" si="6"/>
        <v>0.70370370370370516</v>
      </c>
    </row>
    <row r="214" spans="1:9" x14ac:dyDescent="0.35">
      <c r="A214" s="25" t="s">
        <v>10</v>
      </c>
      <c r="B214" s="25" t="s">
        <v>73</v>
      </c>
      <c r="C214" s="25">
        <v>266</v>
      </c>
      <c r="D214" s="25">
        <v>60</v>
      </c>
      <c r="E214" s="38" t="s">
        <v>56</v>
      </c>
      <c r="F214" s="36">
        <v>3.7924151696606865</v>
      </c>
      <c r="G214">
        <v>5.2</v>
      </c>
      <c r="H214" s="59">
        <f>G214-'Kubiņu masa'!D25</f>
        <v>0.19000000000000039</v>
      </c>
      <c r="I214" s="59">
        <f t="shared" si="6"/>
        <v>0.70370370370370516</v>
      </c>
    </row>
    <row r="215" spans="1:9" x14ac:dyDescent="0.35">
      <c r="A215" s="25" t="s">
        <v>10</v>
      </c>
      <c r="B215" s="25" t="s">
        <v>74</v>
      </c>
      <c r="C215" s="25">
        <v>168</v>
      </c>
      <c r="D215" s="25">
        <v>60</v>
      </c>
      <c r="E215" s="38" t="s">
        <v>56</v>
      </c>
      <c r="F215" s="36">
        <v>4.3177892918825558</v>
      </c>
      <c r="G215">
        <v>6.04</v>
      </c>
      <c r="H215" s="59">
        <f>G215-'Kubiņu masa'!D26</f>
        <v>0.25</v>
      </c>
      <c r="I215" s="59">
        <f t="shared" si="6"/>
        <v>0.92592592592592582</v>
      </c>
    </row>
    <row r="216" spans="1:9" x14ac:dyDescent="0.35">
      <c r="A216" s="25" t="s">
        <v>10</v>
      </c>
      <c r="B216" s="25" t="s">
        <v>74</v>
      </c>
      <c r="C216" s="25">
        <v>343</v>
      </c>
      <c r="D216" s="25">
        <v>60</v>
      </c>
      <c r="E216" s="38" t="s">
        <v>56</v>
      </c>
      <c r="F216" s="36">
        <v>4.3046357615894006</v>
      </c>
      <c r="G216">
        <v>6.3</v>
      </c>
      <c r="H216" s="59">
        <f>G216-'Kubiņu masa'!D27</f>
        <v>0.25999999999999979</v>
      </c>
      <c r="I216" s="59">
        <f t="shared" si="6"/>
        <v>0.96296296296296213</v>
      </c>
    </row>
    <row r="217" spans="1:9" x14ac:dyDescent="0.35">
      <c r="A217" s="25" t="s">
        <v>10</v>
      </c>
      <c r="B217" s="25" t="s">
        <v>74</v>
      </c>
      <c r="C217" s="25">
        <v>58</v>
      </c>
      <c r="D217" s="25">
        <v>60</v>
      </c>
      <c r="E217" s="38" t="s">
        <v>56</v>
      </c>
      <c r="F217" s="36">
        <v>4.1736227045075127</v>
      </c>
      <c r="G217">
        <v>6.24</v>
      </c>
      <c r="H217" s="59">
        <f>G217-'Kubiņu masa'!D28</f>
        <v>0.25</v>
      </c>
      <c r="I217" s="59">
        <f t="shared" si="6"/>
        <v>0.92592592592592582</v>
      </c>
    </row>
    <row r="218" spans="1:9" x14ac:dyDescent="0.35">
      <c r="A218" s="25" t="s">
        <v>10</v>
      </c>
      <c r="B218" s="25" t="s">
        <v>75</v>
      </c>
      <c r="C218" s="25">
        <v>187</v>
      </c>
      <c r="D218" s="25">
        <v>60</v>
      </c>
      <c r="E218" s="38" t="s">
        <v>56</v>
      </c>
      <c r="F218" s="36">
        <v>3.3678756476684031</v>
      </c>
      <c r="G218">
        <v>3.99</v>
      </c>
      <c r="H218" s="59">
        <f>G218-'Kubiņu masa'!D29</f>
        <v>0.13000000000000034</v>
      </c>
      <c r="I218" s="59">
        <f t="shared" si="6"/>
        <v>0.48148148148148273</v>
      </c>
    </row>
    <row r="219" spans="1:9" x14ac:dyDescent="0.35">
      <c r="A219" s="25" t="s">
        <v>10</v>
      </c>
      <c r="B219" s="25" t="s">
        <v>75</v>
      </c>
      <c r="C219" s="25">
        <v>248</v>
      </c>
      <c r="D219" s="25">
        <v>60</v>
      </c>
      <c r="E219" s="38" t="s">
        <v>56</v>
      </c>
      <c r="F219" s="36">
        <v>3.5971223021582821</v>
      </c>
      <c r="G219">
        <v>4.32</v>
      </c>
      <c r="H219" s="59">
        <f>G219-'Kubiņu masa'!D30</f>
        <v>0.15000000000000036</v>
      </c>
      <c r="I219" s="59">
        <f t="shared" si="6"/>
        <v>0.55555555555555691</v>
      </c>
    </row>
    <row r="220" spans="1:9" x14ac:dyDescent="0.35">
      <c r="A220" s="25" t="s">
        <v>10</v>
      </c>
      <c r="B220" s="25" t="s">
        <v>75</v>
      </c>
      <c r="C220" s="25">
        <v>212</v>
      </c>
      <c r="D220" s="25">
        <v>60</v>
      </c>
      <c r="E220" s="38" t="s">
        <v>56</v>
      </c>
      <c r="F220" s="36">
        <v>3.2911392405063267</v>
      </c>
      <c r="G220">
        <v>4.08</v>
      </c>
      <c r="H220" s="59">
        <f>G220-'Kubiņu masa'!D31</f>
        <v>0.12999999999999989</v>
      </c>
      <c r="I220" s="59">
        <f t="shared" si="6"/>
        <v>0.48148148148148107</v>
      </c>
    </row>
    <row r="221" spans="1:9" x14ac:dyDescent="0.35">
      <c r="A221" s="25" t="s">
        <v>40</v>
      </c>
      <c r="B221" s="25" t="s">
        <v>68</v>
      </c>
      <c r="C221" s="25">
        <v>5</v>
      </c>
      <c r="D221" s="25">
        <v>60</v>
      </c>
      <c r="E221" s="38" t="s">
        <v>56</v>
      </c>
      <c r="F221" s="36">
        <v>3.983516483516484</v>
      </c>
      <c r="G221">
        <v>7.57</v>
      </c>
      <c r="H221" s="59">
        <f>G221-'Kubiņu masa'!D32</f>
        <v>0.29000000000000004</v>
      </c>
      <c r="I221" s="59">
        <f t="shared" si="6"/>
        <v>1.0740740740740742</v>
      </c>
    </row>
    <row r="222" spans="1:9" x14ac:dyDescent="0.35">
      <c r="A222" s="25" t="s">
        <v>40</v>
      </c>
      <c r="B222" s="25" t="s">
        <v>68</v>
      </c>
      <c r="C222" s="25">
        <v>17</v>
      </c>
      <c r="D222" s="25">
        <v>60</v>
      </c>
      <c r="E222" s="38" t="s">
        <v>56</v>
      </c>
      <c r="F222" s="36">
        <v>3.8567493112947693</v>
      </c>
      <c r="G222">
        <v>7.54</v>
      </c>
      <c r="H222" s="59">
        <f>G222-'Kubiņu masa'!D33</f>
        <v>0.28000000000000025</v>
      </c>
      <c r="I222" s="59">
        <f t="shared" si="6"/>
        <v>1.0370370370370379</v>
      </c>
    </row>
    <row r="223" spans="1:9" x14ac:dyDescent="0.35">
      <c r="A223" s="25" t="s">
        <v>40</v>
      </c>
      <c r="B223" s="25" t="s">
        <v>68</v>
      </c>
      <c r="C223" s="25">
        <v>99</v>
      </c>
      <c r="D223" s="25">
        <v>60</v>
      </c>
      <c r="E223" s="38" t="s">
        <v>56</v>
      </c>
      <c r="F223" s="36">
        <v>3.9402173913043481</v>
      </c>
      <c r="G223">
        <v>7.65</v>
      </c>
      <c r="H223" s="59">
        <f>G223-'Kubiņu masa'!D34</f>
        <v>0.29000000000000004</v>
      </c>
      <c r="I223" s="59">
        <f t="shared" si="6"/>
        <v>1.0740740740740742</v>
      </c>
    </row>
    <row r="224" spans="1:9" x14ac:dyDescent="0.35">
      <c r="A224" s="25" t="s">
        <v>40</v>
      </c>
      <c r="B224" s="25" t="s">
        <v>69</v>
      </c>
      <c r="C224" s="25">
        <v>37</v>
      </c>
      <c r="D224" s="25">
        <v>60</v>
      </c>
      <c r="E224" s="38" t="s">
        <v>56</v>
      </c>
      <c r="F224" s="36">
        <v>4.006968641114975</v>
      </c>
      <c r="G224">
        <v>5.97</v>
      </c>
      <c r="H224" s="59">
        <f>G224-'Kubiņu masa'!D35</f>
        <v>0.22999999999999954</v>
      </c>
      <c r="I224" s="59">
        <f t="shared" si="6"/>
        <v>0.85185185185185019</v>
      </c>
    </row>
    <row r="225" spans="1:9" x14ac:dyDescent="0.35">
      <c r="A225" s="25" t="s">
        <v>40</v>
      </c>
      <c r="B225" s="25" t="s">
        <v>69</v>
      </c>
      <c r="C225" s="25">
        <v>53</v>
      </c>
      <c r="D225" s="25">
        <v>60</v>
      </c>
      <c r="E225" s="38" t="s">
        <v>56</v>
      </c>
      <c r="F225" s="36">
        <v>3.8461538461538494</v>
      </c>
      <c r="G225">
        <v>6.48</v>
      </c>
      <c r="H225" s="59">
        <f>G225-'Kubiņu masa'!D36</f>
        <v>0.24000000000000021</v>
      </c>
      <c r="I225" s="59">
        <f t="shared" si="6"/>
        <v>0.88888888888888973</v>
      </c>
    </row>
    <row r="226" spans="1:9" x14ac:dyDescent="0.35">
      <c r="A226" s="25" t="s">
        <v>40</v>
      </c>
      <c r="B226" s="25" t="s">
        <v>69</v>
      </c>
      <c r="C226" s="25">
        <v>134</v>
      </c>
      <c r="D226" s="25">
        <v>60</v>
      </c>
      <c r="E226" s="38" t="s">
        <v>56</v>
      </c>
      <c r="F226" s="36">
        <v>3.6912751677852311</v>
      </c>
      <c r="G226">
        <v>6.18</v>
      </c>
      <c r="H226" s="59">
        <f>G226-'Kubiņu masa'!D37</f>
        <v>0.21999999999999975</v>
      </c>
      <c r="I226" s="59">
        <f t="shared" si="6"/>
        <v>0.81481481481481388</v>
      </c>
    </row>
    <row r="227" spans="1:9" x14ac:dyDescent="0.35">
      <c r="A227" s="25" t="s">
        <v>40</v>
      </c>
      <c r="B227" s="25" t="s">
        <v>70</v>
      </c>
      <c r="C227" s="25">
        <v>68</v>
      </c>
      <c r="D227" s="25">
        <v>60</v>
      </c>
      <c r="E227" s="38" t="s">
        <v>56</v>
      </c>
      <c r="F227" s="36">
        <v>4.1322314049586755</v>
      </c>
      <c r="G227">
        <v>7.56</v>
      </c>
      <c r="H227" s="59">
        <f>G227-'Kubiņu masa'!D38</f>
        <v>0.29999999999999982</v>
      </c>
      <c r="I227" s="59">
        <f t="shared" si="6"/>
        <v>1.1111111111111105</v>
      </c>
    </row>
    <row r="228" spans="1:9" x14ac:dyDescent="0.35">
      <c r="A228" s="25" t="s">
        <v>40</v>
      </c>
      <c r="B228" s="25" t="s">
        <v>70</v>
      </c>
      <c r="C228" s="25">
        <v>143</v>
      </c>
      <c r="D228" s="25">
        <v>60</v>
      </c>
      <c r="E228" s="38" t="s">
        <v>56</v>
      </c>
      <c r="F228" s="36">
        <v>4.3301759133964852</v>
      </c>
      <c r="G228">
        <v>7.71</v>
      </c>
      <c r="H228" s="59">
        <f>G228-'Kubiņu masa'!D39</f>
        <v>0.32000000000000028</v>
      </c>
      <c r="I228" s="59">
        <f t="shared" si="6"/>
        <v>1.1851851851851862</v>
      </c>
    </row>
    <row r="229" spans="1:9" x14ac:dyDescent="0.35">
      <c r="A229" s="25" t="s">
        <v>40</v>
      </c>
      <c r="B229" s="25" t="s">
        <v>70</v>
      </c>
      <c r="C229" s="25">
        <v>190</v>
      </c>
      <c r="D229" s="25">
        <v>60</v>
      </c>
      <c r="E229" s="38" t="s">
        <v>56</v>
      </c>
      <c r="F229" s="36">
        <v>3.9381153305203842</v>
      </c>
      <c r="G229">
        <v>7.39</v>
      </c>
      <c r="H229" s="59">
        <f>G229-'Kubiņu masa'!D40</f>
        <v>0.27999999999999936</v>
      </c>
      <c r="I229" s="59">
        <f t="shared" si="6"/>
        <v>1.0370370370370348</v>
      </c>
    </row>
    <row r="230" spans="1:9" x14ac:dyDescent="0.35">
      <c r="A230" s="25" t="s">
        <v>40</v>
      </c>
      <c r="B230" s="25" t="s">
        <v>71</v>
      </c>
      <c r="C230" s="25">
        <v>158</v>
      </c>
      <c r="D230" s="25">
        <v>60</v>
      </c>
      <c r="E230" s="38" t="s">
        <v>56</v>
      </c>
      <c r="F230" s="36">
        <v>4.0097205346294054</v>
      </c>
      <c r="G230">
        <v>8.56</v>
      </c>
      <c r="H230" s="59">
        <f>G230-'Kubiņu masa'!D41</f>
        <v>0.33000000000000007</v>
      </c>
      <c r="I230" s="59">
        <f t="shared" si="6"/>
        <v>1.2222222222222225</v>
      </c>
    </row>
    <row r="231" spans="1:9" x14ac:dyDescent="0.35">
      <c r="A231" s="25" t="s">
        <v>40</v>
      </c>
      <c r="B231" s="25" t="s">
        <v>71</v>
      </c>
      <c r="C231" s="25">
        <v>169</v>
      </c>
      <c r="D231" s="25">
        <v>60</v>
      </c>
      <c r="E231" s="38" t="s">
        <v>56</v>
      </c>
      <c r="F231" s="36">
        <v>3.7974683544303658</v>
      </c>
      <c r="G231">
        <v>8.1999999999999993</v>
      </c>
      <c r="H231" s="59">
        <f>G231-'Kubiņu masa'!D42</f>
        <v>0.29999999999999893</v>
      </c>
      <c r="I231" s="59">
        <f t="shared" si="6"/>
        <v>1.1111111111111072</v>
      </c>
    </row>
    <row r="232" spans="1:9" x14ac:dyDescent="0.35">
      <c r="A232" s="25" t="s">
        <v>40</v>
      </c>
      <c r="B232" s="25" t="s">
        <v>71</v>
      </c>
      <c r="C232" s="25">
        <v>174</v>
      </c>
      <c r="D232" s="25">
        <v>60</v>
      </c>
      <c r="E232" s="38" t="s">
        <v>56</v>
      </c>
      <c r="F232" s="36">
        <v>3.8107752956636007</v>
      </c>
      <c r="G232">
        <v>7.9</v>
      </c>
      <c r="H232" s="59">
        <f>G232-'Kubiņu masa'!D43</f>
        <v>0.29000000000000004</v>
      </c>
      <c r="I232" s="59">
        <f t="shared" si="6"/>
        <v>1.0740740740740742</v>
      </c>
    </row>
    <row r="233" spans="1:9" x14ac:dyDescent="0.35">
      <c r="A233" s="25" t="s">
        <v>40</v>
      </c>
      <c r="B233" s="25" t="s">
        <v>72</v>
      </c>
      <c r="C233" s="25">
        <v>108</v>
      </c>
      <c r="D233" s="25">
        <v>60</v>
      </c>
      <c r="E233" s="38" t="s">
        <v>56</v>
      </c>
      <c r="F233" s="36">
        <v>3.4739454094292723</v>
      </c>
      <c r="G233">
        <v>4.17</v>
      </c>
      <c r="H233" s="59">
        <f>G233-'Kubiņu masa'!D44</f>
        <v>0.13999999999999968</v>
      </c>
      <c r="I233" s="59">
        <f t="shared" si="6"/>
        <v>0.51851851851851738</v>
      </c>
    </row>
    <row r="234" spans="1:9" x14ac:dyDescent="0.35">
      <c r="A234" s="25" t="s">
        <v>40</v>
      </c>
      <c r="B234" s="25" t="s">
        <v>72</v>
      </c>
      <c r="C234" s="25">
        <v>287</v>
      </c>
      <c r="D234" s="25">
        <v>60</v>
      </c>
      <c r="E234" s="38" t="s">
        <v>56</v>
      </c>
      <c r="F234" s="36">
        <v>3.4188034188034218</v>
      </c>
      <c r="G234">
        <v>4.84</v>
      </c>
      <c r="H234" s="59">
        <f>G234-'Kubiņu masa'!D45</f>
        <v>0.16000000000000014</v>
      </c>
      <c r="I234" s="59">
        <f t="shared" si="6"/>
        <v>0.59259259259259311</v>
      </c>
    </row>
    <row r="235" spans="1:9" x14ac:dyDescent="0.35">
      <c r="A235" s="25" t="s">
        <v>40</v>
      </c>
      <c r="B235" s="25" t="s">
        <v>72</v>
      </c>
      <c r="C235" s="25">
        <v>328</v>
      </c>
      <c r="D235" s="25">
        <v>60</v>
      </c>
      <c r="E235" s="38" t="s">
        <v>56</v>
      </c>
      <c r="F235" s="36">
        <v>3.3096926713947914</v>
      </c>
      <c r="G235">
        <v>4.37</v>
      </c>
      <c r="H235" s="59">
        <f>G235-'Kubiņu masa'!D46</f>
        <v>0.13999999999999968</v>
      </c>
      <c r="I235" s="59">
        <f t="shared" si="6"/>
        <v>0.51851851851851738</v>
      </c>
    </row>
    <row r="236" spans="1:9" x14ac:dyDescent="0.35">
      <c r="A236" s="25" t="s">
        <v>40</v>
      </c>
      <c r="B236" s="25" t="s">
        <v>73</v>
      </c>
      <c r="C236" s="25">
        <v>207</v>
      </c>
      <c r="D236" s="25">
        <v>60</v>
      </c>
      <c r="E236" s="38" t="s">
        <v>56</v>
      </c>
      <c r="F236" s="36">
        <v>3.6190476190476266</v>
      </c>
      <c r="G236">
        <v>5.44</v>
      </c>
      <c r="H236" s="59">
        <f>G236-'Kubiņu masa'!D47</f>
        <v>0.19000000000000039</v>
      </c>
      <c r="I236" s="59">
        <f t="shared" si="6"/>
        <v>0.70370370370370516</v>
      </c>
    </row>
    <row r="237" spans="1:9" x14ac:dyDescent="0.35">
      <c r="A237" s="25" t="s">
        <v>40</v>
      </c>
      <c r="B237" s="25" t="s">
        <v>73</v>
      </c>
      <c r="C237" s="25">
        <v>314</v>
      </c>
      <c r="D237" s="25">
        <v>60</v>
      </c>
      <c r="E237" s="38" t="s">
        <v>56</v>
      </c>
      <c r="F237" s="36">
        <v>3.5185185185185088</v>
      </c>
      <c r="G237">
        <v>5.59</v>
      </c>
      <c r="H237" s="59">
        <f>G237-'Kubiņu masa'!D48</f>
        <v>0.1899999999999995</v>
      </c>
      <c r="I237" s="59">
        <f t="shared" si="6"/>
        <v>0.70370370370370183</v>
      </c>
    </row>
    <row r="238" spans="1:9" x14ac:dyDescent="0.35">
      <c r="A238" s="25" t="s">
        <v>40</v>
      </c>
      <c r="B238" s="25" t="s">
        <v>73</v>
      </c>
      <c r="C238" s="25">
        <v>280</v>
      </c>
      <c r="D238" s="25">
        <v>60</v>
      </c>
      <c r="E238" s="38" t="s">
        <v>56</v>
      </c>
      <c r="F238" s="36">
        <v>3.690036900369007</v>
      </c>
      <c r="G238">
        <v>5.62</v>
      </c>
      <c r="H238" s="59">
        <f>G238-'Kubiņu masa'!D49</f>
        <v>0.20000000000000018</v>
      </c>
      <c r="I238" s="59">
        <f t="shared" si="6"/>
        <v>0.74074074074074137</v>
      </c>
    </row>
    <row r="239" spans="1:9" x14ac:dyDescent="0.35">
      <c r="A239" s="25" t="s">
        <v>40</v>
      </c>
      <c r="B239" s="25" t="s">
        <v>74</v>
      </c>
      <c r="C239" s="25">
        <v>172</v>
      </c>
      <c r="D239" s="25">
        <v>60</v>
      </c>
      <c r="E239" s="38" t="s">
        <v>56</v>
      </c>
      <c r="F239" s="36">
        <v>3.9518900343642533</v>
      </c>
      <c r="G239">
        <v>6.05</v>
      </c>
      <c r="H239" s="59">
        <f>G239-'Kubiņu masa'!D50</f>
        <v>0.22999999999999954</v>
      </c>
      <c r="I239" s="59">
        <f t="shared" si="6"/>
        <v>0.85185185185185019</v>
      </c>
    </row>
    <row r="240" spans="1:9" x14ac:dyDescent="0.35">
      <c r="A240" s="25" t="s">
        <v>40</v>
      </c>
      <c r="B240" s="25" t="s">
        <v>74</v>
      </c>
      <c r="C240" s="25">
        <v>229</v>
      </c>
      <c r="D240" s="25">
        <v>60</v>
      </c>
      <c r="E240" s="38" t="s">
        <v>56</v>
      </c>
      <c r="F240" s="36">
        <v>4.1308089500860623</v>
      </c>
      <c r="G240">
        <v>6.05</v>
      </c>
      <c r="H240" s="59">
        <f>G240-'Kubiņu masa'!D51</f>
        <v>0.24000000000000021</v>
      </c>
      <c r="I240" s="59">
        <f t="shared" si="6"/>
        <v>0.88888888888888973</v>
      </c>
    </row>
    <row r="241" spans="1:9" x14ac:dyDescent="0.35">
      <c r="A241" s="25" t="s">
        <v>40</v>
      </c>
      <c r="B241" s="25" t="s">
        <v>74</v>
      </c>
      <c r="C241" s="25">
        <v>349</v>
      </c>
      <c r="D241" s="25">
        <v>60</v>
      </c>
      <c r="E241" s="38" t="s">
        <v>56</v>
      </c>
      <c r="F241" s="36">
        <v>4.1166380789022332</v>
      </c>
      <c r="G241">
        <v>6.07</v>
      </c>
      <c r="H241" s="59">
        <f>G241-'Kubiņu masa'!D52</f>
        <v>0.24000000000000021</v>
      </c>
      <c r="I241" s="59">
        <f t="shared" si="6"/>
        <v>0.88888888888888973</v>
      </c>
    </row>
    <row r="242" spans="1:9" x14ac:dyDescent="0.35">
      <c r="A242" s="25" t="s">
        <v>40</v>
      </c>
      <c r="B242" s="25" t="s">
        <v>75</v>
      </c>
      <c r="C242" s="25">
        <v>193</v>
      </c>
      <c r="D242" s="25">
        <v>60</v>
      </c>
      <c r="E242" s="38" t="s">
        <v>56</v>
      </c>
      <c r="F242" s="36">
        <v>3.4168564920273434</v>
      </c>
      <c r="G242">
        <v>4.54</v>
      </c>
      <c r="H242" s="59">
        <f>G242-'Kubiņu masa'!D53</f>
        <v>0.15000000000000036</v>
      </c>
      <c r="I242" s="59">
        <f t="shared" si="6"/>
        <v>0.55555555555555691</v>
      </c>
    </row>
    <row r="243" spans="1:9" x14ac:dyDescent="0.35">
      <c r="A243" s="25" t="s">
        <v>40</v>
      </c>
      <c r="B243" s="25" t="s">
        <v>75</v>
      </c>
      <c r="C243" s="25">
        <v>160</v>
      </c>
      <c r="D243" s="25">
        <v>60</v>
      </c>
      <c r="E243" s="38" t="s">
        <v>56</v>
      </c>
      <c r="F243" s="36">
        <v>3.2183908045977141</v>
      </c>
      <c r="G243">
        <v>4.49</v>
      </c>
      <c r="H243" s="59">
        <f>G243-'Kubiņu masa'!D54</f>
        <v>0.14000000000000057</v>
      </c>
      <c r="I243" s="59">
        <f t="shared" si="6"/>
        <v>0.5185185185185206</v>
      </c>
    </row>
    <row r="244" spans="1:9" x14ac:dyDescent="0.35">
      <c r="A244" s="25" t="s">
        <v>40</v>
      </c>
      <c r="B244" s="25" t="s">
        <v>75</v>
      </c>
      <c r="C244" s="25">
        <v>218</v>
      </c>
      <c r="D244" s="25">
        <v>60</v>
      </c>
      <c r="E244" s="38" t="s">
        <v>56</v>
      </c>
      <c r="F244" s="36">
        <v>3.3412887828162217</v>
      </c>
      <c r="G244">
        <v>4.33</v>
      </c>
      <c r="H244" s="59">
        <f>G244-'Kubiņu masa'!D55</f>
        <v>0.13999999999999968</v>
      </c>
      <c r="I244" s="59">
        <f t="shared" si="6"/>
        <v>0.51851851851851738</v>
      </c>
    </row>
    <row r="245" spans="1:9" x14ac:dyDescent="0.35">
      <c r="A245" s="25" t="s">
        <v>41</v>
      </c>
      <c r="B245" s="25" t="s">
        <v>91</v>
      </c>
      <c r="C245" s="25">
        <v>32</v>
      </c>
      <c r="D245" s="25">
        <v>60</v>
      </c>
      <c r="E245" s="38" t="s">
        <v>56</v>
      </c>
      <c r="F245" s="36">
        <v>5.1114023591087774</v>
      </c>
      <c r="G245">
        <v>16.04</v>
      </c>
      <c r="H245" s="59">
        <f>G245-'Kubiņu masa'!D56</f>
        <v>0.77999999999999936</v>
      </c>
      <c r="I245" s="59">
        <f>H245/15*100</f>
        <v>5.1999999999999957</v>
      </c>
    </row>
    <row r="246" spans="1:9" x14ac:dyDescent="0.35">
      <c r="A246" s="25" t="s">
        <v>41</v>
      </c>
      <c r="B246" s="25" t="s">
        <v>91</v>
      </c>
      <c r="C246" s="25">
        <v>33</v>
      </c>
      <c r="D246" s="25">
        <v>60</v>
      </c>
      <c r="E246" s="38" t="s">
        <v>56</v>
      </c>
      <c r="F246" s="36">
        <v>4.8200514138817363</v>
      </c>
      <c r="G246">
        <v>16.309999999999999</v>
      </c>
      <c r="H246" s="59">
        <f>G246-'Kubiņu masa'!D57</f>
        <v>0.74999999999999822</v>
      </c>
      <c r="I246" s="59">
        <f t="shared" ref="I246:I261" si="7">H246/15*100</f>
        <v>4.9999999999999885</v>
      </c>
    </row>
    <row r="247" spans="1:9" x14ac:dyDescent="0.35">
      <c r="A247" s="25" t="s">
        <v>41</v>
      </c>
      <c r="B247" s="25" t="s">
        <v>91</v>
      </c>
      <c r="C247" s="25">
        <v>34</v>
      </c>
      <c r="D247" s="25">
        <v>60</v>
      </c>
      <c r="E247" s="38" t="s">
        <v>56</v>
      </c>
      <c r="F247" s="36">
        <v>4.6192259675405873</v>
      </c>
      <c r="G247">
        <v>16.760000000000002</v>
      </c>
      <c r="H247" s="59">
        <f>G247-'Kubiņu masa'!D58</f>
        <v>0.74000000000000199</v>
      </c>
      <c r="I247" s="59">
        <f t="shared" si="7"/>
        <v>4.9333333333333469</v>
      </c>
    </row>
    <row r="248" spans="1:9" x14ac:dyDescent="0.35">
      <c r="A248" s="25" t="s">
        <v>41</v>
      </c>
      <c r="B248" s="25" t="s">
        <v>29</v>
      </c>
      <c r="C248" s="25">
        <v>50</v>
      </c>
      <c r="D248" s="25">
        <v>60</v>
      </c>
      <c r="E248" s="38" t="s">
        <v>56</v>
      </c>
      <c r="F248" s="36">
        <v>3.2851511169513801</v>
      </c>
      <c r="G248">
        <v>15.72</v>
      </c>
      <c r="H248" s="59">
        <f>G248-'Kubiņu masa'!D59</f>
        <v>0.5</v>
      </c>
      <c r="I248" s="59">
        <f t="shared" si="7"/>
        <v>3.3333333333333335</v>
      </c>
    </row>
    <row r="249" spans="1:9" x14ac:dyDescent="0.35">
      <c r="A249" s="25" t="s">
        <v>41</v>
      </c>
      <c r="B249" s="25" t="s">
        <v>29</v>
      </c>
      <c r="C249" s="25">
        <v>51</v>
      </c>
      <c r="D249" s="25">
        <v>60</v>
      </c>
      <c r="E249" s="38" t="s">
        <v>56</v>
      </c>
      <c r="F249" s="36">
        <v>3.3377837116154869</v>
      </c>
      <c r="G249">
        <v>15.48</v>
      </c>
      <c r="H249" s="59">
        <f>G249-'Kubiņu masa'!D60</f>
        <v>0.5</v>
      </c>
      <c r="I249" s="59">
        <f t="shared" si="7"/>
        <v>3.3333333333333335</v>
      </c>
    </row>
    <row r="250" spans="1:9" x14ac:dyDescent="0.35">
      <c r="A250" s="25" t="s">
        <v>41</v>
      </c>
      <c r="B250" s="25" t="s">
        <v>29</v>
      </c>
      <c r="C250" s="25">
        <v>52</v>
      </c>
      <c r="D250" s="25">
        <v>60</v>
      </c>
      <c r="E250" s="38" t="s">
        <v>56</v>
      </c>
      <c r="F250" s="36">
        <v>3.4505640345056374</v>
      </c>
      <c r="G250">
        <v>15.59</v>
      </c>
      <c r="H250" s="59">
        <f>G250-'Kubiņu masa'!D61</f>
        <v>0.51999999999999957</v>
      </c>
      <c r="I250" s="59">
        <f t="shared" si="7"/>
        <v>3.4666666666666637</v>
      </c>
    </row>
    <row r="251" spans="1:9" x14ac:dyDescent="0.35">
      <c r="A251" s="25" t="s">
        <v>41</v>
      </c>
      <c r="B251" s="25" t="s">
        <v>88</v>
      </c>
      <c r="C251" s="25" t="s">
        <v>42</v>
      </c>
      <c r="D251" s="25">
        <v>60</v>
      </c>
      <c r="E251" s="38" t="s">
        <v>56</v>
      </c>
      <c r="F251" s="36">
        <v>4.0662650602409709</v>
      </c>
      <c r="G251">
        <v>13.82</v>
      </c>
      <c r="H251" s="59">
        <f>G251-'Kubiņu masa'!D62</f>
        <v>0.54000000000000092</v>
      </c>
      <c r="I251" s="59">
        <f t="shared" si="7"/>
        <v>3.6000000000000059</v>
      </c>
    </row>
    <row r="252" spans="1:9" x14ac:dyDescent="0.35">
      <c r="A252" s="25" t="s">
        <v>41</v>
      </c>
      <c r="B252" s="25" t="s">
        <v>88</v>
      </c>
      <c r="C252" s="25" t="s">
        <v>43</v>
      </c>
      <c r="D252" s="25">
        <v>60</v>
      </c>
      <c r="E252" s="38" t="s">
        <v>56</v>
      </c>
      <c r="F252" s="36">
        <v>4.1064638783269896</v>
      </c>
      <c r="G252">
        <v>13.69</v>
      </c>
      <c r="H252" s="59">
        <f>G252-'Kubiņu masa'!D63</f>
        <v>0.53999999999999915</v>
      </c>
      <c r="I252" s="59">
        <f t="shared" si="7"/>
        <v>3.5999999999999943</v>
      </c>
    </row>
    <row r="253" spans="1:9" x14ac:dyDescent="0.35">
      <c r="A253" s="25" t="s">
        <v>41</v>
      </c>
      <c r="B253" s="25" t="s">
        <v>88</v>
      </c>
      <c r="C253" s="25" t="s">
        <v>44</v>
      </c>
      <c r="D253" s="25">
        <v>60</v>
      </c>
      <c r="E253" s="38" t="s">
        <v>56</v>
      </c>
      <c r="F253" s="36">
        <v>4.2081101759755084</v>
      </c>
      <c r="G253">
        <v>13.62</v>
      </c>
      <c r="H253" s="59">
        <f>G253-'Kubiņu masa'!D64</f>
        <v>0.54999999999999893</v>
      </c>
      <c r="I253" s="59">
        <f t="shared" si="7"/>
        <v>3.6666666666666599</v>
      </c>
    </row>
    <row r="254" spans="1:9" x14ac:dyDescent="0.35">
      <c r="A254" s="25" t="s">
        <v>41</v>
      </c>
      <c r="B254" s="25" t="s">
        <v>89</v>
      </c>
      <c r="C254" s="25" t="s">
        <v>45</v>
      </c>
      <c r="D254" s="25">
        <v>60</v>
      </c>
      <c r="E254" s="38" t="s">
        <v>56</v>
      </c>
      <c r="F254" s="36">
        <v>4.569288389513118</v>
      </c>
      <c r="G254">
        <v>13.96</v>
      </c>
      <c r="H254" s="59">
        <f>G254-'Kubiņu masa'!D65</f>
        <v>0.61000000000000121</v>
      </c>
      <c r="I254" s="59">
        <f t="shared" si="7"/>
        <v>4.0666666666666744</v>
      </c>
    </row>
    <row r="255" spans="1:9" x14ac:dyDescent="0.35">
      <c r="A255" s="25" t="s">
        <v>41</v>
      </c>
      <c r="B255" s="25" t="s">
        <v>89</v>
      </c>
      <c r="C255" s="25" t="s">
        <v>46</v>
      </c>
      <c r="D255" s="25">
        <v>60</v>
      </c>
      <c r="E255" s="38" t="s">
        <v>56</v>
      </c>
      <c r="F255" s="36">
        <v>4.5078888054094639</v>
      </c>
      <c r="G255">
        <v>13.91</v>
      </c>
      <c r="H255" s="59">
        <f>G255-'Kubiņu masa'!D66</f>
        <v>0.59999999999999964</v>
      </c>
      <c r="I255" s="59">
        <f t="shared" si="7"/>
        <v>3.9999999999999973</v>
      </c>
    </row>
    <row r="256" spans="1:9" x14ac:dyDescent="0.35">
      <c r="A256" s="25" t="s">
        <v>41</v>
      </c>
      <c r="B256" s="25" t="s">
        <v>89</v>
      </c>
      <c r="C256" s="25" t="s">
        <v>47</v>
      </c>
      <c r="D256" s="25">
        <v>60</v>
      </c>
      <c r="E256" s="38" t="s">
        <v>56</v>
      </c>
      <c r="F256" s="36">
        <v>4.4510385756676536</v>
      </c>
      <c r="G256">
        <v>14.08</v>
      </c>
      <c r="H256" s="59">
        <f>G256-'Kubiņu masa'!D67</f>
        <v>0.59999999999999964</v>
      </c>
      <c r="I256" s="59">
        <f t="shared" si="7"/>
        <v>3.9999999999999973</v>
      </c>
    </row>
    <row r="257" spans="1:9" x14ac:dyDescent="0.35">
      <c r="A257" s="25" t="s">
        <v>41</v>
      </c>
      <c r="B257" s="25" t="s">
        <v>90</v>
      </c>
      <c r="C257" s="25" t="s">
        <v>48</v>
      </c>
      <c r="D257" s="25">
        <v>60</v>
      </c>
      <c r="E257" s="38" t="s">
        <v>56</v>
      </c>
      <c r="F257" s="36">
        <v>3.1765424557116653</v>
      </c>
      <c r="G257">
        <v>16.89</v>
      </c>
      <c r="H257" s="59">
        <f>G257-'Kubiņu masa'!D68</f>
        <v>0.51999999999999957</v>
      </c>
      <c r="I257" s="59">
        <f t="shared" si="7"/>
        <v>3.4666666666666637</v>
      </c>
    </row>
    <row r="258" spans="1:9" x14ac:dyDescent="0.35">
      <c r="A258" s="25" t="s">
        <v>41</v>
      </c>
      <c r="B258" s="25" t="s">
        <v>90</v>
      </c>
      <c r="C258" s="25" t="s">
        <v>49</v>
      </c>
      <c r="D258" s="25">
        <v>60</v>
      </c>
      <c r="E258" s="38" t="s">
        <v>56</v>
      </c>
      <c r="F258" s="36">
        <v>3.18432333129212</v>
      </c>
      <c r="G258">
        <v>16.850000000000001</v>
      </c>
      <c r="H258" s="59">
        <f>G258-'Kubiņu masa'!D69</f>
        <v>0.52000000000000313</v>
      </c>
      <c r="I258" s="59">
        <f t="shared" si="7"/>
        <v>3.4666666666666872</v>
      </c>
    </row>
    <row r="259" spans="1:9" x14ac:dyDescent="0.35">
      <c r="A259" s="25" t="s">
        <v>41</v>
      </c>
      <c r="B259" s="25" t="s">
        <v>33</v>
      </c>
      <c r="C259" s="25" t="s">
        <v>50</v>
      </c>
      <c r="D259" s="25">
        <v>60</v>
      </c>
      <c r="E259" s="38" t="s">
        <v>56</v>
      </c>
      <c r="F259" s="36">
        <v>4.1750841750841818</v>
      </c>
      <c r="G259">
        <v>15.47</v>
      </c>
      <c r="H259" s="59">
        <f>G259-'Kubiņu masa'!D70</f>
        <v>0.62000000000000099</v>
      </c>
      <c r="I259" s="59">
        <f t="shared" si="7"/>
        <v>4.13333333333334</v>
      </c>
    </row>
    <row r="260" spans="1:9" x14ac:dyDescent="0.35">
      <c r="A260" s="25" t="s">
        <v>41</v>
      </c>
      <c r="B260" s="25" t="s">
        <v>33</v>
      </c>
      <c r="C260" s="25" t="s">
        <v>51</v>
      </c>
      <c r="D260" s="25">
        <v>60</v>
      </c>
      <c r="E260" s="38" t="s">
        <v>56</v>
      </c>
      <c r="F260" s="36">
        <v>4.1355932203389791</v>
      </c>
      <c r="G260">
        <v>15.36</v>
      </c>
      <c r="H260" s="59">
        <f>G260-'Kubiņu masa'!D71</f>
        <v>0.60999999999999943</v>
      </c>
      <c r="I260" s="59">
        <f t="shared" si="7"/>
        <v>4.0666666666666629</v>
      </c>
    </row>
    <row r="261" spans="1:9" x14ac:dyDescent="0.35">
      <c r="A261" s="25" t="s">
        <v>41</v>
      </c>
      <c r="B261" s="25" t="s">
        <v>33</v>
      </c>
      <c r="C261" s="25" t="s">
        <v>52</v>
      </c>
      <c r="D261" s="25">
        <v>60</v>
      </c>
      <c r="E261" s="38" t="s">
        <v>56</v>
      </c>
      <c r="F261" s="36">
        <v>4.1049798115747054</v>
      </c>
      <c r="G261">
        <v>15.47</v>
      </c>
      <c r="H261" s="59">
        <f>G261-'Kubiņu masa'!D72</f>
        <v>0.61000000000000121</v>
      </c>
      <c r="I261" s="59">
        <f t="shared" si="7"/>
        <v>4.0666666666666744</v>
      </c>
    </row>
    <row r="262" spans="1:9" x14ac:dyDescent="0.35">
      <c r="A262" s="25" t="s">
        <v>10</v>
      </c>
      <c r="B262" s="25" t="s">
        <v>68</v>
      </c>
      <c r="C262" s="25">
        <v>9</v>
      </c>
      <c r="D262" s="25">
        <v>70</v>
      </c>
      <c r="E262" s="38" t="s">
        <v>57</v>
      </c>
      <c r="F262" s="36">
        <v>5.9506531204644437</v>
      </c>
      <c r="G262">
        <v>7.3</v>
      </c>
      <c r="H262" s="59">
        <f>G262-'Kubiņu masa'!D8</f>
        <v>0.41000000000000014</v>
      </c>
      <c r="I262" s="59">
        <f t="shared" ref="I259:I322" si="8">H262/27*100</f>
        <v>1.518518518518519</v>
      </c>
    </row>
    <row r="263" spans="1:9" x14ac:dyDescent="0.35">
      <c r="A263" s="25" t="s">
        <v>10</v>
      </c>
      <c r="B263" s="25" t="s">
        <v>68</v>
      </c>
      <c r="C263" s="25">
        <v>27</v>
      </c>
      <c r="D263" s="25">
        <v>70</v>
      </c>
      <c r="E263" s="38" t="s">
        <v>57</v>
      </c>
      <c r="F263" s="36">
        <v>5.5478502080443883</v>
      </c>
      <c r="G263">
        <v>7.61</v>
      </c>
      <c r="H263" s="59">
        <f>G263-'Kubiņu masa'!D9</f>
        <v>0.40000000000000036</v>
      </c>
      <c r="I263" s="59">
        <f t="shared" si="8"/>
        <v>1.4814814814814827</v>
      </c>
    </row>
    <row r="264" spans="1:9" x14ac:dyDescent="0.35">
      <c r="A264" s="25" t="s">
        <v>10</v>
      </c>
      <c r="B264" s="25" t="s">
        <v>68</v>
      </c>
      <c r="C264" s="25">
        <v>106</v>
      </c>
      <c r="D264" s="25">
        <v>70</v>
      </c>
      <c r="E264" s="38" t="s">
        <v>57</v>
      </c>
      <c r="F264" s="36">
        <v>5.4545454545454497</v>
      </c>
      <c r="G264">
        <v>7.54</v>
      </c>
      <c r="H264" s="59">
        <f>G264-'Kubiņu masa'!D10</f>
        <v>0.38999999999999968</v>
      </c>
      <c r="I264" s="59">
        <f t="shared" si="8"/>
        <v>1.4444444444444433</v>
      </c>
    </row>
    <row r="265" spans="1:9" x14ac:dyDescent="0.35">
      <c r="A265" s="25" t="s">
        <v>10</v>
      </c>
      <c r="B265" s="25" t="s">
        <v>69</v>
      </c>
      <c r="C265" s="25">
        <v>39</v>
      </c>
      <c r="D265" s="25">
        <v>70</v>
      </c>
      <c r="E265" s="38" t="s">
        <v>57</v>
      </c>
      <c r="F265" s="36">
        <v>5.0847457627118615</v>
      </c>
      <c r="G265">
        <v>6.2</v>
      </c>
      <c r="H265" s="59">
        <f>G265-'Kubiņu masa'!D11</f>
        <v>0.29999999999999982</v>
      </c>
      <c r="I265" s="59">
        <f t="shared" si="8"/>
        <v>1.1111111111111105</v>
      </c>
    </row>
    <row r="266" spans="1:9" x14ac:dyDescent="0.35">
      <c r="A266" s="25" t="s">
        <v>10</v>
      </c>
      <c r="B266" s="25" t="s">
        <v>69</v>
      </c>
      <c r="C266" s="25">
        <v>55</v>
      </c>
      <c r="D266" s="25">
        <v>70</v>
      </c>
      <c r="E266" s="38" t="s">
        <v>57</v>
      </c>
      <c r="F266" s="36">
        <v>5.228758169934645</v>
      </c>
      <c r="G266">
        <v>6.44</v>
      </c>
      <c r="H266" s="59">
        <f>G266-'Kubiņu masa'!D12</f>
        <v>0.32000000000000028</v>
      </c>
      <c r="I266" s="59">
        <f t="shared" si="8"/>
        <v>1.1851851851851862</v>
      </c>
    </row>
    <row r="267" spans="1:9" x14ac:dyDescent="0.35">
      <c r="A267" s="25" t="s">
        <v>10</v>
      </c>
      <c r="B267" s="25" t="s">
        <v>69</v>
      </c>
      <c r="C267" s="25">
        <v>122</v>
      </c>
      <c r="D267" s="25">
        <v>70</v>
      </c>
      <c r="E267" s="38" t="s">
        <v>57</v>
      </c>
      <c r="F267" s="36">
        <v>4.854368932038847</v>
      </c>
      <c r="G267">
        <v>6.48</v>
      </c>
      <c r="H267" s="59">
        <f>G267-'Kubiņu masa'!D13</f>
        <v>0.30000000000000071</v>
      </c>
      <c r="I267" s="59">
        <f t="shared" si="8"/>
        <v>1.1111111111111138</v>
      </c>
    </row>
    <row r="268" spans="1:9" x14ac:dyDescent="0.35">
      <c r="A268" s="25" t="s">
        <v>10</v>
      </c>
      <c r="B268" s="25" t="s">
        <v>70</v>
      </c>
      <c r="C268" s="25">
        <v>66</v>
      </c>
      <c r="D268" s="25">
        <v>70</v>
      </c>
      <c r="E268" s="38" t="s">
        <v>57</v>
      </c>
      <c r="F268" s="36">
        <v>5.2558782849239263</v>
      </c>
      <c r="G268">
        <v>7.61</v>
      </c>
      <c r="H268" s="59">
        <f>G268-'Kubiņu masa'!D14</f>
        <v>0.37999999999999989</v>
      </c>
      <c r="I268" s="59">
        <f t="shared" si="8"/>
        <v>1.407407407407407</v>
      </c>
    </row>
    <row r="269" spans="1:9" x14ac:dyDescent="0.35">
      <c r="A269" s="25" t="s">
        <v>10</v>
      </c>
      <c r="B269" s="25" t="s">
        <v>70</v>
      </c>
      <c r="C269" s="25">
        <v>142</v>
      </c>
      <c r="D269" s="25">
        <v>70</v>
      </c>
      <c r="E269" s="38" t="s">
        <v>57</v>
      </c>
      <c r="F269" s="36">
        <v>5.5263157894736832</v>
      </c>
      <c r="G269">
        <v>8.02</v>
      </c>
      <c r="H269" s="59">
        <f>G269-'Kubiņu masa'!D15</f>
        <v>0.41999999999999993</v>
      </c>
      <c r="I269" s="59">
        <f t="shared" si="8"/>
        <v>1.5555555555555554</v>
      </c>
    </row>
    <row r="270" spans="1:9" x14ac:dyDescent="0.35">
      <c r="A270" s="25" t="s">
        <v>10</v>
      </c>
      <c r="B270" s="25" t="s">
        <v>70</v>
      </c>
      <c r="C270" s="25">
        <v>147</v>
      </c>
      <c r="D270" s="25">
        <v>70</v>
      </c>
      <c r="E270" s="38" t="s">
        <v>57</v>
      </c>
      <c r="F270" s="36">
        <v>5.5256064690026978</v>
      </c>
      <c r="G270">
        <v>7.83</v>
      </c>
      <c r="H270" s="59">
        <f>G270-'Kubiņu masa'!D16</f>
        <v>0.41000000000000014</v>
      </c>
      <c r="I270" s="59">
        <f t="shared" si="8"/>
        <v>1.518518518518519</v>
      </c>
    </row>
    <row r="271" spans="1:9" x14ac:dyDescent="0.35">
      <c r="A271" s="25" t="s">
        <v>10</v>
      </c>
      <c r="B271" s="25" t="s">
        <v>71</v>
      </c>
      <c r="C271" s="25">
        <v>75</v>
      </c>
      <c r="D271" s="25">
        <v>70</v>
      </c>
      <c r="E271" s="38" t="s">
        <v>57</v>
      </c>
      <c r="F271" s="36">
        <v>5.1451187335092303</v>
      </c>
      <c r="G271">
        <v>7.97</v>
      </c>
      <c r="H271" s="59">
        <f>G271-'Kubiņu masa'!D17</f>
        <v>0.38999999999999968</v>
      </c>
      <c r="I271" s="59">
        <f t="shared" si="8"/>
        <v>1.4444444444444433</v>
      </c>
    </row>
    <row r="272" spans="1:9" x14ac:dyDescent="0.35">
      <c r="A272" s="25" t="s">
        <v>10</v>
      </c>
      <c r="B272" s="25" t="s">
        <v>71</v>
      </c>
      <c r="C272" s="25">
        <v>81</v>
      </c>
      <c r="D272" s="25">
        <v>70</v>
      </c>
      <c r="E272" s="38" t="s">
        <v>57</v>
      </c>
      <c r="F272" s="36">
        <v>5.1181102362204678</v>
      </c>
      <c r="G272">
        <v>8.01</v>
      </c>
      <c r="H272" s="59">
        <f>G272-'Kubiņu masa'!D18</f>
        <v>0.38999999999999968</v>
      </c>
      <c r="I272" s="59">
        <f t="shared" si="8"/>
        <v>1.4444444444444433</v>
      </c>
    </row>
    <row r="273" spans="1:9" x14ac:dyDescent="0.35">
      <c r="A273" s="25" t="s">
        <v>10</v>
      </c>
      <c r="B273" s="25" t="s">
        <v>71</v>
      </c>
      <c r="C273" s="25">
        <v>91</v>
      </c>
      <c r="D273" s="25">
        <v>70</v>
      </c>
      <c r="E273" s="38" t="s">
        <v>57</v>
      </c>
      <c r="F273" s="36">
        <v>4.9872122762148408</v>
      </c>
      <c r="G273">
        <v>8.2100000000000009</v>
      </c>
      <c r="H273" s="59">
        <f>G273-'Kubiņu masa'!D19</f>
        <v>0.39000000000000057</v>
      </c>
      <c r="I273" s="59">
        <f t="shared" si="8"/>
        <v>1.4444444444444466</v>
      </c>
    </row>
    <row r="274" spans="1:9" x14ac:dyDescent="0.35">
      <c r="A274" s="25" t="s">
        <v>10</v>
      </c>
      <c r="B274" s="25" t="s">
        <v>72</v>
      </c>
      <c r="C274" s="25">
        <v>103</v>
      </c>
      <c r="D274" s="25">
        <v>70</v>
      </c>
      <c r="E274" s="38" t="s">
        <v>57</v>
      </c>
      <c r="F274" s="36">
        <v>4.9350649350649336</v>
      </c>
      <c r="G274">
        <v>4.04</v>
      </c>
      <c r="H274" s="59">
        <f>G274-'Kubiņu masa'!D20</f>
        <v>0.18999999999999995</v>
      </c>
      <c r="I274" s="59">
        <f t="shared" si="8"/>
        <v>0.7037037037037035</v>
      </c>
    </row>
    <row r="275" spans="1:9" x14ac:dyDescent="0.35">
      <c r="A275" s="25" t="s">
        <v>10</v>
      </c>
      <c r="B275" s="25" t="s">
        <v>72</v>
      </c>
      <c r="C275" s="25">
        <v>283</v>
      </c>
      <c r="D275" s="25">
        <v>70</v>
      </c>
      <c r="E275" s="38" t="s">
        <v>57</v>
      </c>
      <c r="F275" s="36">
        <v>5.0125313283208062</v>
      </c>
      <c r="G275">
        <v>4.1900000000000004</v>
      </c>
      <c r="H275" s="59">
        <f>G275-'Kubiņu masa'!D21</f>
        <v>0.20000000000000018</v>
      </c>
      <c r="I275" s="59">
        <f t="shared" si="8"/>
        <v>0.74074074074074137</v>
      </c>
    </row>
    <row r="276" spans="1:9" x14ac:dyDescent="0.35">
      <c r="A276" s="25" t="s">
        <v>10</v>
      </c>
      <c r="B276" s="25" t="s">
        <v>72</v>
      </c>
      <c r="C276" s="25">
        <v>323</v>
      </c>
      <c r="D276" s="25">
        <v>70</v>
      </c>
      <c r="E276" s="38" t="s">
        <v>57</v>
      </c>
      <c r="F276" s="36">
        <v>4.5130641330166368</v>
      </c>
      <c r="G276">
        <v>4.4000000000000004</v>
      </c>
      <c r="H276" s="59">
        <f>G276-'Kubiņu masa'!D22</f>
        <v>0.19000000000000039</v>
      </c>
      <c r="I276" s="59">
        <f t="shared" si="8"/>
        <v>0.70370370370370516</v>
      </c>
    </row>
    <row r="277" spans="1:9" x14ac:dyDescent="0.35">
      <c r="A277" s="25" t="s">
        <v>10</v>
      </c>
      <c r="B277" s="25" t="s">
        <v>73</v>
      </c>
      <c r="C277" s="25">
        <v>203</v>
      </c>
      <c r="D277" s="25">
        <v>70</v>
      </c>
      <c r="E277" s="38" t="s">
        <v>57</v>
      </c>
      <c r="F277" s="36">
        <v>4.6092184368737383</v>
      </c>
      <c r="G277">
        <v>5.22</v>
      </c>
      <c r="H277" s="59">
        <f>G277-'Kubiņu masa'!D23</f>
        <v>0.22999999999999954</v>
      </c>
      <c r="I277" s="59">
        <f t="shared" si="8"/>
        <v>0.85185185185185019</v>
      </c>
    </row>
    <row r="278" spans="1:9" x14ac:dyDescent="0.35">
      <c r="A278" s="25" t="s">
        <v>10</v>
      </c>
      <c r="B278" s="25" t="s">
        <v>73</v>
      </c>
      <c r="C278" s="25">
        <v>272</v>
      </c>
      <c r="D278" s="25">
        <v>70</v>
      </c>
      <c r="E278" s="38" t="s">
        <v>57</v>
      </c>
      <c r="F278" s="36">
        <v>5.0813008130081299</v>
      </c>
      <c r="G278">
        <v>5.17</v>
      </c>
      <c r="H278" s="59">
        <f>G278-'Kubiņu masa'!D24</f>
        <v>0.25</v>
      </c>
      <c r="I278" s="59">
        <f t="shared" si="8"/>
        <v>0.92592592592592582</v>
      </c>
    </row>
    <row r="279" spans="1:9" x14ac:dyDescent="0.35">
      <c r="A279" s="25" t="s">
        <v>10</v>
      </c>
      <c r="B279" s="25" t="s">
        <v>73</v>
      </c>
      <c r="C279" s="25">
        <v>266</v>
      </c>
      <c r="D279" s="25">
        <v>70</v>
      </c>
      <c r="E279" s="38" t="s">
        <v>57</v>
      </c>
      <c r="F279" s="36">
        <v>4.7904191616766507</v>
      </c>
      <c r="G279">
        <v>5.25</v>
      </c>
      <c r="H279" s="59">
        <f>G279-'Kubiņu masa'!D25</f>
        <v>0.24000000000000021</v>
      </c>
      <c r="I279" s="59">
        <f t="shared" si="8"/>
        <v>0.88888888888888973</v>
      </c>
    </row>
    <row r="280" spans="1:9" x14ac:dyDescent="0.35">
      <c r="A280" s="25" t="s">
        <v>10</v>
      </c>
      <c r="B280" s="25" t="s">
        <v>74</v>
      </c>
      <c r="C280" s="25">
        <v>168</v>
      </c>
      <c r="D280" s="25">
        <v>70</v>
      </c>
      <c r="E280" s="38" t="s">
        <v>57</v>
      </c>
      <c r="F280" s="36">
        <v>5.3540587219343632</v>
      </c>
      <c r="G280">
        <v>6.1</v>
      </c>
      <c r="H280" s="59">
        <f>G280-'Kubiņu masa'!D26</f>
        <v>0.30999999999999961</v>
      </c>
      <c r="I280" s="59">
        <f t="shared" si="8"/>
        <v>1.1481481481481468</v>
      </c>
    </row>
    <row r="281" spans="1:9" x14ac:dyDescent="0.35">
      <c r="A281" s="25" t="s">
        <v>10</v>
      </c>
      <c r="B281" s="25" t="s">
        <v>74</v>
      </c>
      <c r="C281" s="25">
        <v>343</v>
      </c>
      <c r="D281" s="25">
        <v>70</v>
      </c>
      <c r="E281" s="38" t="s">
        <v>57</v>
      </c>
      <c r="F281" s="36">
        <v>5.6291390728476793</v>
      </c>
      <c r="G281">
        <v>6.38</v>
      </c>
      <c r="H281" s="59">
        <f>G281-'Kubiņu masa'!D27</f>
        <v>0.33999999999999986</v>
      </c>
      <c r="I281" s="59">
        <f t="shared" si="8"/>
        <v>1.2592592592592589</v>
      </c>
    </row>
    <row r="282" spans="1:9" x14ac:dyDescent="0.35">
      <c r="A282" s="25" t="s">
        <v>10</v>
      </c>
      <c r="B282" s="25" t="s">
        <v>74</v>
      </c>
      <c r="C282" s="25">
        <v>58</v>
      </c>
      <c r="D282" s="25">
        <v>70</v>
      </c>
      <c r="E282" s="38" t="s">
        <v>57</v>
      </c>
      <c r="F282" s="36">
        <v>5.5091819699499176</v>
      </c>
      <c r="G282">
        <v>6.32</v>
      </c>
      <c r="H282" s="59">
        <f>G282-'Kubiņu masa'!D28</f>
        <v>0.33000000000000007</v>
      </c>
      <c r="I282" s="59">
        <f t="shared" si="8"/>
        <v>1.2222222222222225</v>
      </c>
    </row>
    <row r="283" spans="1:9" x14ac:dyDescent="0.35">
      <c r="A283" s="25" t="s">
        <v>10</v>
      </c>
      <c r="B283" s="25" t="s">
        <v>75</v>
      </c>
      <c r="C283" s="25">
        <v>187</v>
      </c>
      <c r="D283" s="25">
        <v>70</v>
      </c>
      <c r="E283" s="38" t="s">
        <v>57</v>
      </c>
      <c r="F283" s="36">
        <v>4.4041450777202176</v>
      </c>
      <c r="G283">
        <v>4.03</v>
      </c>
      <c r="H283" s="59">
        <f>G283-'Kubiņu masa'!D29</f>
        <v>0.17000000000000037</v>
      </c>
      <c r="I283" s="59">
        <f t="shared" si="8"/>
        <v>0.62962962962963098</v>
      </c>
    </row>
    <row r="284" spans="1:9" x14ac:dyDescent="0.35">
      <c r="A284" s="25" t="s">
        <v>10</v>
      </c>
      <c r="B284" s="25" t="s">
        <v>75</v>
      </c>
      <c r="C284" s="25">
        <v>248</v>
      </c>
      <c r="D284" s="25">
        <v>70</v>
      </c>
      <c r="E284" s="38" t="s">
        <v>57</v>
      </c>
      <c r="F284" s="36">
        <v>4.5563549160671553</v>
      </c>
      <c r="G284">
        <v>4.3600000000000003</v>
      </c>
      <c r="H284" s="59">
        <f>G284-'Kubiņu masa'!D30</f>
        <v>0.19000000000000039</v>
      </c>
      <c r="I284" s="59">
        <f t="shared" si="8"/>
        <v>0.70370370370370516</v>
      </c>
    </row>
    <row r="285" spans="1:9" x14ac:dyDescent="0.35">
      <c r="A285" s="25" t="s">
        <v>10</v>
      </c>
      <c r="B285" s="25" t="s">
        <v>75</v>
      </c>
      <c r="C285" s="25">
        <v>212</v>
      </c>
      <c r="D285" s="25">
        <v>70</v>
      </c>
      <c r="E285" s="38" t="s">
        <v>57</v>
      </c>
      <c r="F285" s="36">
        <v>4.3037974683544284</v>
      </c>
      <c r="G285">
        <v>4.12</v>
      </c>
      <c r="H285" s="59">
        <f>G285-'Kubiņu masa'!D31</f>
        <v>0.16999999999999993</v>
      </c>
      <c r="I285" s="59">
        <f t="shared" si="8"/>
        <v>0.62962962962962943</v>
      </c>
    </row>
    <row r="286" spans="1:9" x14ac:dyDescent="0.35">
      <c r="A286" s="25" t="s">
        <v>40</v>
      </c>
      <c r="B286" s="25" t="s">
        <v>68</v>
      </c>
      <c r="C286" s="25">
        <v>5</v>
      </c>
      <c r="D286" s="25">
        <v>70</v>
      </c>
      <c r="E286" s="38" t="s">
        <v>57</v>
      </c>
      <c r="F286" s="36">
        <v>5.3571428571428523</v>
      </c>
      <c r="G286">
        <v>7.67</v>
      </c>
      <c r="H286" s="59">
        <f>G286-'Kubiņu masa'!D32</f>
        <v>0.38999999999999968</v>
      </c>
      <c r="I286" s="59">
        <f t="shared" si="8"/>
        <v>1.4444444444444433</v>
      </c>
    </row>
    <row r="287" spans="1:9" x14ac:dyDescent="0.35">
      <c r="A287" s="25" t="s">
        <v>40</v>
      </c>
      <c r="B287" s="25" t="s">
        <v>68</v>
      </c>
      <c r="C287" s="25">
        <v>17</v>
      </c>
      <c r="D287" s="25">
        <v>70</v>
      </c>
      <c r="E287" s="38" t="s">
        <v>57</v>
      </c>
      <c r="F287" s="36">
        <v>5.0964187327823707</v>
      </c>
      <c r="G287">
        <v>7.63</v>
      </c>
      <c r="H287" s="59">
        <f>G287-'Kubiņu masa'!D33</f>
        <v>0.37000000000000011</v>
      </c>
      <c r="I287" s="59">
        <f t="shared" si="8"/>
        <v>1.3703703703703707</v>
      </c>
    </row>
    <row r="288" spans="1:9" x14ac:dyDescent="0.35">
      <c r="A288" s="25" t="s">
        <v>40</v>
      </c>
      <c r="B288" s="25" t="s">
        <v>68</v>
      </c>
      <c r="C288" s="25">
        <v>99</v>
      </c>
      <c r="D288" s="25">
        <v>70</v>
      </c>
      <c r="E288" s="38" t="s">
        <v>57</v>
      </c>
      <c r="F288" s="36">
        <v>5.1630434782608683</v>
      </c>
      <c r="G288">
        <v>7.74</v>
      </c>
      <c r="H288" s="59">
        <f>G288-'Kubiņu masa'!D34</f>
        <v>0.37999999999999989</v>
      </c>
      <c r="I288" s="59">
        <f t="shared" si="8"/>
        <v>1.407407407407407</v>
      </c>
    </row>
    <row r="289" spans="1:9" x14ac:dyDescent="0.35">
      <c r="A289" s="25" t="s">
        <v>40</v>
      </c>
      <c r="B289" s="25" t="s">
        <v>69</v>
      </c>
      <c r="C289" s="25">
        <v>37</v>
      </c>
      <c r="D289" s="25">
        <v>70</v>
      </c>
      <c r="E289" s="38" t="s">
        <v>57</v>
      </c>
      <c r="F289" s="36">
        <v>5.2264808362369308</v>
      </c>
      <c r="G289">
        <v>6.04</v>
      </c>
      <c r="H289" s="59">
        <f>G289-'Kubiņu masa'!D35</f>
        <v>0.29999999999999982</v>
      </c>
      <c r="I289" s="59">
        <f t="shared" si="8"/>
        <v>1.1111111111111105</v>
      </c>
    </row>
    <row r="290" spans="1:9" x14ac:dyDescent="0.35">
      <c r="A290" s="25" t="s">
        <v>40</v>
      </c>
      <c r="B290" s="25" t="s">
        <v>69</v>
      </c>
      <c r="C290" s="25">
        <v>53</v>
      </c>
      <c r="D290" s="25">
        <v>70</v>
      </c>
      <c r="E290" s="38" t="s">
        <v>57</v>
      </c>
      <c r="F290" s="36">
        <v>5.128205128205118</v>
      </c>
      <c r="G290">
        <v>6.56</v>
      </c>
      <c r="H290" s="59">
        <f>G290-'Kubiņu masa'!D36</f>
        <v>0.3199999999999994</v>
      </c>
      <c r="I290" s="59">
        <f t="shared" si="8"/>
        <v>1.1851851851851829</v>
      </c>
    </row>
    <row r="291" spans="1:9" x14ac:dyDescent="0.35">
      <c r="A291" s="25" t="s">
        <v>40</v>
      </c>
      <c r="B291" s="25" t="s">
        <v>69</v>
      </c>
      <c r="C291" s="25">
        <v>134</v>
      </c>
      <c r="D291" s="25">
        <v>70</v>
      </c>
      <c r="E291" s="38" t="s">
        <v>57</v>
      </c>
      <c r="F291" s="36">
        <v>5.0335570469798627</v>
      </c>
      <c r="G291">
        <v>6.26</v>
      </c>
      <c r="H291" s="59">
        <f>G291-'Kubiņu masa'!D37</f>
        <v>0.29999999999999982</v>
      </c>
      <c r="I291" s="59">
        <f t="shared" si="8"/>
        <v>1.1111111111111105</v>
      </c>
    </row>
    <row r="292" spans="1:9" x14ac:dyDescent="0.35">
      <c r="A292" s="25" t="s">
        <v>40</v>
      </c>
      <c r="B292" s="25" t="s">
        <v>70</v>
      </c>
      <c r="C292" s="25">
        <v>68</v>
      </c>
      <c r="D292" s="25">
        <v>70</v>
      </c>
      <c r="E292" s="38" t="s">
        <v>57</v>
      </c>
      <c r="F292" s="36">
        <v>5.3719008264462884</v>
      </c>
      <c r="G292">
        <v>7.65</v>
      </c>
      <c r="H292" s="59">
        <f>G292-'Kubiņu masa'!D38</f>
        <v>0.39000000000000057</v>
      </c>
      <c r="I292" s="59">
        <f t="shared" si="8"/>
        <v>1.4444444444444466</v>
      </c>
    </row>
    <row r="293" spans="1:9" x14ac:dyDescent="0.35">
      <c r="A293" s="25" t="s">
        <v>40</v>
      </c>
      <c r="B293" s="25" t="s">
        <v>70</v>
      </c>
      <c r="C293" s="25">
        <v>143</v>
      </c>
      <c r="D293" s="25">
        <v>70</v>
      </c>
      <c r="E293" s="38" t="s">
        <v>57</v>
      </c>
      <c r="F293" s="36">
        <v>5.6833558863328815</v>
      </c>
      <c r="G293">
        <v>7.81</v>
      </c>
      <c r="H293" s="59">
        <f>G293-'Kubiņu masa'!D39</f>
        <v>0.41999999999999993</v>
      </c>
      <c r="I293" s="59">
        <f t="shared" si="8"/>
        <v>1.5555555555555554</v>
      </c>
    </row>
    <row r="294" spans="1:9" x14ac:dyDescent="0.35">
      <c r="A294" s="25" t="s">
        <v>40</v>
      </c>
      <c r="B294" s="25" t="s">
        <v>70</v>
      </c>
      <c r="C294" s="25">
        <v>190</v>
      </c>
      <c r="D294" s="25">
        <v>70</v>
      </c>
      <c r="E294" s="38" t="s">
        <v>57</v>
      </c>
      <c r="F294" s="36">
        <v>5.0632911392404978</v>
      </c>
      <c r="G294">
        <v>7.47</v>
      </c>
      <c r="H294" s="59">
        <f>G294-'Kubiņu masa'!D40</f>
        <v>0.35999999999999943</v>
      </c>
      <c r="I294" s="59">
        <f t="shared" si="8"/>
        <v>1.3333333333333313</v>
      </c>
    </row>
    <row r="295" spans="1:9" x14ac:dyDescent="0.35">
      <c r="A295" s="25" t="s">
        <v>40</v>
      </c>
      <c r="B295" s="25" t="s">
        <v>71</v>
      </c>
      <c r="C295" s="25">
        <v>158</v>
      </c>
      <c r="D295" s="25">
        <v>70</v>
      </c>
      <c r="E295" s="38" t="s">
        <v>57</v>
      </c>
      <c r="F295" s="36">
        <v>5.1032806804374227</v>
      </c>
      <c r="G295">
        <v>8.65</v>
      </c>
      <c r="H295" s="59">
        <f>G295-'Kubiņu masa'!D41</f>
        <v>0.41999999999999993</v>
      </c>
      <c r="I295" s="59">
        <f t="shared" si="8"/>
        <v>1.5555555555555554</v>
      </c>
    </row>
    <row r="296" spans="1:9" x14ac:dyDescent="0.35">
      <c r="A296" s="25" t="s">
        <v>40</v>
      </c>
      <c r="B296" s="25" t="s">
        <v>71</v>
      </c>
      <c r="C296" s="25">
        <v>169</v>
      </c>
      <c r="D296" s="25">
        <v>70</v>
      </c>
      <c r="E296" s="38" t="s">
        <v>57</v>
      </c>
      <c r="F296" s="36">
        <v>4.9367088607594782</v>
      </c>
      <c r="G296">
        <v>8.2899999999999991</v>
      </c>
      <c r="H296" s="59">
        <f>G296-'Kubiņu masa'!D42</f>
        <v>0.38999999999999879</v>
      </c>
      <c r="I296" s="59">
        <f t="shared" si="8"/>
        <v>1.44444444444444</v>
      </c>
    </row>
    <row r="297" spans="1:9" x14ac:dyDescent="0.35">
      <c r="A297" s="25" t="s">
        <v>40</v>
      </c>
      <c r="B297" s="25" t="s">
        <v>71</v>
      </c>
      <c r="C297" s="25">
        <v>174</v>
      </c>
      <c r="D297" s="25">
        <v>70</v>
      </c>
      <c r="E297" s="38" t="s">
        <v>57</v>
      </c>
      <c r="F297" s="36">
        <v>4.9934296977660955</v>
      </c>
      <c r="G297">
        <v>7.99</v>
      </c>
      <c r="H297" s="59">
        <f>G297-'Kubiņu masa'!D43</f>
        <v>0.37999999999999989</v>
      </c>
      <c r="I297" s="59">
        <f t="shared" si="8"/>
        <v>1.407407407407407</v>
      </c>
    </row>
    <row r="298" spans="1:9" x14ac:dyDescent="0.35">
      <c r="A298" s="25" t="s">
        <v>40</v>
      </c>
      <c r="B298" s="25" t="s">
        <v>72</v>
      </c>
      <c r="C298" s="25">
        <v>108</v>
      </c>
      <c r="D298" s="25">
        <v>70</v>
      </c>
      <c r="E298" s="38" t="s">
        <v>57</v>
      </c>
      <c r="F298" s="36">
        <v>4.7146401985111535</v>
      </c>
      <c r="G298">
        <v>4.22</v>
      </c>
      <c r="H298" s="59">
        <f>G298-'Kubiņu masa'!D44</f>
        <v>0.1899999999999995</v>
      </c>
      <c r="I298" s="59">
        <f t="shared" si="8"/>
        <v>0.70370370370370183</v>
      </c>
    </row>
    <row r="299" spans="1:9" x14ac:dyDescent="0.35">
      <c r="A299" s="25" t="s">
        <v>40</v>
      </c>
      <c r="B299" s="25" t="s">
        <v>72</v>
      </c>
      <c r="C299" s="25">
        <v>287</v>
      </c>
      <c r="D299" s="25">
        <v>70</v>
      </c>
      <c r="E299" s="38" t="s">
        <v>57</v>
      </c>
      <c r="F299" s="36">
        <v>4.7008547008547144</v>
      </c>
      <c r="G299">
        <v>4.9000000000000004</v>
      </c>
      <c r="H299" s="59">
        <f>G299-'Kubiņu masa'!D45</f>
        <v>0.22000000000000064</v>
      </c>
      <c r="I299" s="59">
        <f t="shared" si="8"/>
        <v>0.81481481481481721</v>
      </c>
    </row>
    <row r="300" spans="1:9" x14ac:dyDescent="0.35">
      <c r="A300" s="25" t="s">
        <v>40</v>
      </c>
      <c r="B300" s="25" t="s">
        <v>72</v>
      </c>
      <c r="C300" s="25">
        <v>328</v>
      </c>
      <c r="D300" s="25">
        <v>70</v>
      </c>
      <c r="E300" s="38" t="s">
        <v>57</v>
      </c>
      <c r="F300" s="36">
        <v>4.7281323877068386</v>
      </c>
      <c r="G300">
        <v>4.43</v>
      </c>
      <c r="H300" s="59">
        <f>G300-'Kubiņu masa'!D46</f>
        <v>0.19999999999999929</v>
      </c>
      <c r="I300" s="59">
        <f t="shared" si="8"/>
        <v>0.74074074074073804</v>
      </c>
    </row>
    <row r="301" spans="1:9" x14ac:dyDescent="0.35">
      <c r="A301" s="25" t="s">
        <v>40</v>
      </c>
      <c r="B301" s="25" t="s">
        <v>73</v>
      </c>
      <c r="C301" s="25">
        <v>207</v>
      </c>
      <c r="D301" s="25">
        <v>70</v>
      </c>
      <c r="E301" s="38" t="s">
        <v>57</v>
      </c>
      <c r="F301" s="36">
        <v>4.9523809523809481</v>
      </c>
      <c r="G301">
        <v>5.51</v>
      </c>
      <c r="H301" s="59">
        <f>G301-'Kubiņu masa'!D47</f>
        <v>0.25999999999999979</v>
      </c>
      <c r="I301" s="59">
        <f t="shared" si="8"/>
        <v>0.96296296296296213</v>
      </c>
    </row>
    <row r="302" spans="1:9" x14ac:dyDescent="0.35">
      <c r="A302" s="25" t="s">
        <v>40</v>
      </c>
      <c r="B302" s="25" t="s">
        <v>73</v>
      </c>
      <c r="C302" s="25">
        <v>314</v>
      </c>
      <c r="D302" s="25">
        <v>70</v>
      </c>
      <c r="E302" s="38" t="s">
        <v>57</v>
      </c>
      <c r="F302" s="36">
        <v>4.999999999999992</v>
      </c>
      <c r="G302">
        <v>5.67</v>
      </c>
      <c r="H302" s="59">
        <f>G302-'Kubiņu masa'!D48</f>
        <v>0.26999999999999957</v>
      </c>
      <c r="I302" s="59">
        <f t="shared" si="8"/>
        <v>0.99999999999999845</v>
      </c>
    </row>
    <row r="303" spans="1:9" x14ac:dyDescent="0.35">
      <c r="A303" s="25" t="s">
        <v>40</v>
      </c>
      <c r="B303" s="25" t="s">
        <v>73</v>
      </c>
      <c r="C303" s="25">
        <v>280</v>
      </c>
      <c r="D303" s="25">
        <v>70</v>
      </c>
      <c r="E303" s="38" t="s">
        <v>57</v>
      </c>
      <c r="F303" s="36">
        <v>4.9815498154981634</v>
      </c>
      <c r="G303">
        <v>5.69</v>
      </c>
      <c r="H303" s="59">
        <f>G303-'Kubiņu masa'!D49</f>
        <v>0.27000000000000046</v>
      </c>
      <c r="I303" s="59">
        <f t="shared" si="8"/>
        <v>1.0000000000000018</v>
      </c>
    </row>
    <row r="304" spans="1:9" x14ac:dyDescent="0.35">
      <c r="A304" s="25" t="s">
        <v>40</v>
      </c>
      <c r="B304" s="25" t="s">
        <v>74</v>
      </c>
      <c r="C304" s="25">
        <v>172</v>
      </c>
      <c r="D304" s="25">
        <v>70</v>
      </c>
      <c r="E304" s="38" t="s">
        <v>57</v>
      </c>
      <c r="F304" s="36">
        <v>5.326460481099649</v>
      </c>
      <c r="G304">
        <v>6.13</v>
      </c>
      <c r="H304" s="59">
        <f>G304-'Kubiņu masa'!D50</f>
        <v>0.30999999999999961</v>
      </c>
      <c r="I304" s="59">
        <f t="shared" si="8"/>
        <v>1.1481481481481468</v>
      </c>
    </row>
    <row r="305" spans="1:9" x14ac:dyDescent="0.35">
      <c r="A305" s="25" t="s">
        <v>40</v>
      </c>
      <c r="B305" s="25" t="s">
        <v>74</v>
      </c>
      <c r="C305" s="25">
        <v>229</v>
      </c>
      <c r="D305" s="25">
        <v>70</v>
      </c>
      <c r="E305" s="38" t="s">
        <v>57</v>
      </c>
      <c r="F305" s="36">
        <v>5.6798623063683324</v>
      </c>
      <c r="G305">
        <v>6.14</v>
      </c>
      <c r="H305" s="59">
        <f>G305-'Kubiņu masa'!D51</f>
        <v>0.33000000000000007</v>
      </c>
      <c r="I305" s="59">
        <f t="shared" si="8"/>
        <v>1.2222222222222225</v>
      </c>
    </row>
    <row r="306" spans="1:9" x14ac:dyDescent="0.35">
      <c r="A306" s="25" t="s">
        <v>40</v>
      </c>
      <c r="B306" s="25" t="s">
        <v>74</v>
      </c>
      <c r="C306" s="25">
        <v>349</v>
      </c>
      <c r="D306" s="25">
        <v>70</v>
      </c>
      <c r="E306" s="38" t="s">
        <v>57</v>
      </c>
      <c r="F306" s="36">
        <v>5.6603773584905666</v>
      </c>
      <c r="G306">
        <v>6.16</v>
      </c>
      <c r="H306" s="59">
        <f>G306-'Kubiņu masa'!D52</f>
        <v>0.33000000000000007</v>
      </c>
      <c r="I306" s="59">
        <f t="shared" si="8"/>
        <v>1.2222222222222225</v>
      </c>
    </row>
    <row r="307" spans="1:9" x14ac:dyDescent="0.35">
      <c r="A307" s="25" t="s">
        <v>40</v>
      </c>
      <c r="B307" s="25" t="s">
        <v>75</v>
      </c>
      <c r="C307" s="25">
        <v>193</v>
      </c>
      <c r="D307" s="25">
        <v>70</v>
      </c>
      <c r="E307" s="38" t="s">
        <v>57</v>
      </c>
      <c r="F307" s="36">
        <v>4.783599088838268</v>
      </c>
      <c r="G307">
        <v>4.5999999999999996</v>
      </c>
      <c r="H307" s="59">
        <f>G307-'Kubiņu masa'!D53</f>
        <v>0.20999999999999996</v>
      </c>
      <c r="I307" s="59">
        <f t="shared" si="8"/>
        <v>0.77777777777777768</v>
      </c>
    </row>
    <row r="308" spans="1:9" x14ac:dyDescent="0.35">
      <c r="A308" s="25" t="s">
        <v>40</v>
      </c>
      <c r="B308" s="25" t="s">
        <v>75</v>
      </c>
      <c r="C308" s="25">
        <v>160</v>
      </c>
      <c r="D308" s="25">
        <v>70</v>
      </c>
      <c r="E308" s="38" t="s">
        <v>57</v>
      </c>
      <c r="F308" s="36">
        <v>4.3678160919540323</v>
      </c>
      <c r="G308">
        <v>4.54</v>
      </c>
      <c r="H308" s="59">
        <f>G308-'Kubiņu masa'!D54</f>
        <v>0.19000000000000039</v>
      </c>
      <c r="I308" s="59">
        <f t="shared" si="8"/>
        <v>0.70370370370370516</v>
      </c>
    </row>
    <row r="309" spans="1:9" x14ac:dyDescent="0.35">
      <c r="A309" s="25" t="s">
        <v>40</v>
      </c>
      <c r="B309" s="25" t="s">
        <v>75</v>
      </c>
      <c r="C309" s="25">
        <v>218</v>
      </c>
      <c r="D309" s="25">
        <v>70</v>
      </c>
      <c r="E309" s="38" t="s">
        <v>57</v>
      </c>
      <c r="F309" s="36">
        <v>4.5346062052505847</v>
      </c>
      <c r="G309">
        <v>4.38</v>
      </c>
      <c r="H309" s="59">
        <f>G309-'Kubiņu masa'!D55</f>
        <v>0.1899999999999995</v>
      </c>
      <c r="I309" s="59">
        <f t="shared" si="8"/>
        <v>0.70370370370370183</v>
      </c>
    </row>
    <row r="310" spans="1:9" x14ac:dyDescent="0.35">
      <c r="A310" s="25" t="s">
        <v>41</v>
      </c>
      <c r="B310" s="25" t="s">
        <v>91</v>
      </c>
      <c r="C310" s="25">
        <v>32</v>
      </c>
      <c r="D310" s="25">
        <v>70</v>
      </c>
      <c r="E310" s="38" t="s">
        <v>57</v>
      </c>
      <c r="F310" s="36">
        <v>7.1428571428571539</v>
      </c>
      <c r="G310">
        <v>16.350000000000001</v>
      </c>
      <c r="H310" s="59">
        <f>G310-'Kubiņu masa'!D56</f>
        <v>1.0900000000000016</v>
      </c>
      <c r="I310" s="59">
        <f>H310/15*100</f>
        <v>7.2666666666666782</v>
      </c>
    </row>
    <row r="311" spans="1:9" x14ac:dyDescent="0.35">
      <c r="A311" s="25" t="s">
        <v>41</v>
      </c>
      <c r="B311" s="25" t="s">
        <v>91</v>
      </c>
      <c r="C311" s="25">
        <v>33</v>
      </c>
      <c r="D311" s="25">
        <v>70</v>
      </c>
      <c r="E311" s="38" t="s">
        <v>57</v>
      </c>
      <c r="F311" s="36">
        <v>6.8766066838046171</v>
      </c>
      <c r="G311">
        <v>16.63</v>
      </c>
      <c r="H311" s="59">
        <f>G311-'Kubiņu masa'!D57</f>
        <v>1.0699999999999985</v>
      </c>
      <c r="I311" s="59">
        <f t="shared" ref="I311:I326" si="9">H311/15*100</f>
        <v>7.1333333333333231</v>
      </c>
    </row>
    <row r="312" spans="1:9" x14ac:dyDescent="0.35">
      <c r="A312" s="25" t="s">
        <v>41</v>
      </c>
      <c r="B312" s="25" t="s">
        <v>91</v>
      </c>
      <c r="C312" s="25">
        <v>34</v>
      </c>
      <c r="D312" s="25">
        <v>70</v>
      </c>
      <c r="E312" s="38" t="s">
        <v>57</v>
      </c>
      <c r="F312" s="36">
        <v>6.6167290886391932</v>
      </c>
      <c r="G312">
        <v>17.079999999999998</v>
      </c>
      <c r="H312" s="59">
        <f>G312-'Kubiņu masa'!D58</f>
        <v>1.0599999999999987</v>
      </c>
      <c r="I312" s="59">
        <f t="shared" si="9"/>
        <v>7.0666666666666584</v>
      </c>
    </row>
    <row r="313" spans="1:9" x14ac:dyDescent="0.35">
      <c r="A313" s="25" t="s">
        <v>41</v>
      </c>
      <c r="B313" s="25" t="s">
        <v>29</v>
      </c>
      <c r="C313" s="25">
        <v>50</v>
      </c>
      <c r="D313" s="25">
        <v>70</v>
      </c>
      <c r="E313" s="38" t="s">
        <v>57</v>
      </c>
      <c r="F313" s="36">
        <v>4.5335085413929006</v>
      </c>
      <c r="G313">
        <v>15.91</v>
      </c>
      <c r="H313" s="59">
        <f>G313-'Kubiņu masa'!D59</f>
        <v>0.6899999999999995</v>
      </c>
      <c r="I313" s="59">
        <f t="shared" si="9"/>
        <v>4.5999999999999961</v>
      </c>
    </row>
    <row r="314" spans="1:9" x14ac:dyDescent="0.35">
      <c r="A314" s="25" t="s">
        <v>41</v>
      </c>
      <c r="B314" s="25" t="s">
        <v>29</v>
      </c>
      <c r="C314" s="25">
        <v>51</v>
      </c>
      <c r="D314" s="25">
        <v>70</v>
      </c>
      <c r="E314" s="38" t="s">
        <v>57</v>
      </c>
      <c r="F314" s="36">
        <v>4.5393858477970612</v>
      </c>
      <c r="G314">
        <v>15.66</v>
      </c>
      <c r="H314" s="59">
        <f>G314-'Kubiņu masa'!D60</f>
        <v>0.67999999999999972</v>
      </c>
      <c r="I314" s="59">
        <f t="shared" si="9"/>
        <v>4.5333333333333314</v>
      </c>
    </row>
    <row r="315" spans="1:9" x14ac:dyDescent="0.35">
      <c r="A315" s="25" t="s">
        <v>41</v>
      </c>
      <c r="B315" s="25" t="s">
        <v>29</v>
      </c>
      <c r="C315" s="25">
        <v>52</v>
      </c>
      <c r="D315" s="25">
        <v>70</v>
      </c>
      <c r="E315" s="38" t="s">
        <v>57</v>
      </c>
      <c r="F315" s="36">
        <v>4.5786330457863267</v>
      </c>
      <c r="G315">
        <v>15.76</v>
      </c>
      <c r="H315" s="59">
        <f>G315-'Kubiņu masa'!D61</f>
        <v>0.6899999999999995</v>
      </c>
      <c r="I315" s="59">
        <f t="shared" si="9"/>
        <v>4.5999999999999961</v>
      </c>
    </row>
    <row r="316" spans="1:9" x14ac:dyDescent="0.35">
      <c r="A316" s="25" t="s">
        <v>41</v>
      </c>
      <c r="B316" s="25" t="s">
        <v>88</v>
      </c>
      <c r="C316" s="25" t="s">
        <v>42</v>
      </c>
      <c r="D316" s="25">
        <v>70</v>
      </c>
      <c r="E316" s="38" t="s">
        <v>57</v>
      </c>
      <c r="F316" s="36">
        <v>5.6475903614457836</v>
      </c>
      <c r="G316">
        <v>14.03</v>
      </c>
      <c r="H316" s="59">
        <f>G316-'Kubiņu masa'!D62</f>
        <v>0.75</v>
      </c>
      <c r="I316" s="59">
        <f t="shared" si="9"/>
        <v>5</v>
      </c>
    </row>
    <row r="317" spans="1:9" x14ac:dyDescent="0.35">
      <c r="A317" s="25" t="s">
        <v>41</v>
      </c>
      <c r="B317" s="25" t="s">
        <v>88</v>
      </c>
      <c r="C317" s="25" t="s">
        <v>43</v>
      </c>
      <c r="D317" s="25">
        <v>70</v>
      </c>
      <c r="E317" s="38" t="s">
        <v>57</v>
      </c>
      <c r="F317" s="36">
        <v>5.7034220532319395</v>
      </c>
      <c r="G317">
        <v>13.9</v>
      </c>
      <c r="H317" s="59">
        <f>G317-'Kubiņu masa'!D63</f>
        <v>0.75</v>
      </c>
      <c r="I317" s="59">
        <f t="shared" si="9"/>
        <v>5</v>
      </c>
    </row>
    <row r="318" spans="1:9" x14ac:dyDescent="0.35">
      <c r="A318" s="25" t="s">
        <v>41</v>
      </c>
      <c r="B318" s="25" t="s">
        <v>88</v>
      </c>
      <c r="C318" s="25" t="s">
        <v>44</v>
      </c>
      <c r="D318" s="25">
        <v>70</v>
      </c>
      <c r="E318" s="38" t="s">
        <v>57</v>
      </c>
      <c r="F318" s="36">
        <v>5.814843152257076</v>
      </c>
      <c r="G318">
        <v>13.83</v>
      </c>
      <c r="H318" s="59">
        <f>G318-'Kubiņu masa'!D64</f>
        <v>0.75999999999999979</v>
      </c>
      <c r="I318" s="59">
        <f t="shared" si="9"/>
        <v>5.0666666666666655</v>
      </c>
    </row>
    <row r="319" spans="1:9" x14ac:dyDescent="0.35">
      <c r="A319" s="25" t="s">
        <v>41</v>
      </c>
      <c r="B319" s="25" t="s">
        <v>89</v>
      </c>
      <c r="C319" s="25" t="s">
        <v>45</v>
      </c>
      <c r="D319" s="25">
        <v>70</v>
      </c>
      <c r="E319" s="38" t="s">
        <v>57</v>
      </c>
      <c r="F319" s="36">
        <v>6.1423220973782788</v>
      </c>
      <c r="G319">
        <v>14.17</v>
      </c>
      <c r="H319" s="59">
        <f>G319-'Kubiņu masa'!D65</f>
        <v>0.82000000000000028</v>
      </c>
      <c r="I319" s="59">
        <f t="shared" si="9"/>
        <v>5.4666666666666686</v>
      </c>
    </row>
    <row r="320" spans="1:9" x14ac:dyDescent="0.35">
      <c r="A320" s="25" t="s">
        <v>41</v>
      </c>
      <c r="B320" s="25" t="s">
        <v>89</v>
      </c>
      <c r="C320" s="25" t="s">
        <v>46</v>
      </c>
      <c r="D320" s="25">
        <v>70</v>
      </c>
      <c r="E320" s="38" t="s">
        <v>57</v>
      </c>
      <c r="F320" s="36">
        <v>6.0105184072126141</v>
      </c>
      <c r="G320">
        <v>14.11</v>
      </c>
      <c r="H320" s="59">
        <f>G320-'Kubiņu masa'!D66</f>
        <v>0.79999999999999893</v>
      </c>
      <c r="I320" s="59">
        <f t="shared" si="9"/>
        <v>5.3333333333333259</v>
      </c>
    </row>
    <row r="321" spans="1:9" x14ac:dyDescent="0.35">
      <c r="A321" s="25" t="s">
        <v>41</v>
      </c>
      <c r="B321" s="25" t="s">
        <v>89</v>
      </c>
      <c r="C321" s="25" t="s">
        <v>47</v>
      </c>
      <c r="D321" s="25">
        <v>70</v>
      </c>
      <c r="E321" s="38" t="s">
        <v>57</v>
      </c>
      <c r="F321" s="36">
        <v>6.0089020771513253</v>
      </c>
      <c r="G321">
        <v>14.29</v>
      </c>
      <c r="H321" s="59">
        <f>G321-'Kubiņu masa'!D67</f>
        <v>0.80999999999999872</v>
      </c>
      <c r="I321" s="59">
        <f t="shared" si="9"/>
        <v>5.3999999999999915</v>
      </c>
    </row>
    <row r="322" spans="1:9" x14ac:dyDescent="0.35">
      <c r="A322" s="25" t="s">
        <v>41</v>
      </c>
      <c r="B322" s="25" t="s">
        <v>90</v>
      </c>
      <c r="C322" s="25" t="s">
        <v>48</v>
      </c>
      <c r="D322" s="25">
        <v>70</v>
      </c>
      <c r="E322" s="38" t="s">
        <v>57</v>
      </c>
      <c r="F322" s="36">
        <v>4.5204642638973631</v>
      </c>
      <c r="G322">
        <v>17.11</v>
      </c>
      <c r="H322" s="59">
        <f>G322-'Kubiņu masa'!D68</f>
        <v>0.73999999999999844</v>
      </c>
      <c r="I322" s="59">
        <f t="shared" si="9"/>
        <v>4.9333333333333229</v>
      </c>
    </row>
    <row r="323" spans="1:9" x14ac:dyDescent="0.35">
      <c r="A323" s="25" t="s">
        <v>41</v>
      </c>
      <c r="B323" s="25" t="s">
        <v>90</v>
      </c>
      <c r="C323" s="25" t="s">
        <v>49</v>
      </c>
      <c r="D323" s="25">
        <v>70</v>
      </c>
      <c r="E323" s="38" t="s">
        <v>57</v>
      </c>
      <c r="F323" s="36">
        <v>4.4703000612369905</v>
      </c>
      <c r="G323">
        <v>17.059999999999999</v>
      </c>
      <c r="H323" s="59">
        <f>G323-'Kubiņu masa'!D69</f>
        <v>0.73000000000000043</v>
      </c>
      <c r="I323" s="59">
        <f t="shared" si="9"/>
        <v>4.8666666666666698</v>
      </c>
    </row>
    <row r="324" spans="1:9" x14ac:dyDescent="0.35">
      <c r="A324" s="25" t="s">
        <v>41</v>
      </c>
      <c r="B324" s="25" t="s">
        <v>33</v>
      </c>
      <c r="C324" s="25" t="s">
        <v>50</v>
      </c>
      <c r="D324" s="25">
        <v>70</v>
      </c>
      <c r="E324" s="38" t="s">
        <v>57</v>
      </c>
      <c r="F324" s="36">
        <v>5.8585858585858652</v>
      </c>
      <c r="G324">
        <v>15.72</v>
      </c>
      <c r="H324" s="59">
        <f>G324-'Kubiņu masa'!D70</f>
        <v>0.87000000000000099</v>
      </c>
      <c r="I324" s="59">
        <f t="shared" si="9"/>
        <v>5.8000000000000069</v>
      </c>
    </row>
    <row r="325" spans="1:9" x14ac:dyDescent="0.35">
      <c r="A325" s="25" t="s">
        <v>41</v>
      </c>
      <c r="B325" s="25" t="s">
        <v>33</v>
      </c>
      <c r="C325" s="25" t="s">
        <v>51</v>
      </c>
      <c r="D325" s="25">
        <v>70</v>
      </c>
      <c r="E325" s="38" t="s">
        <v>57</v>
      </c>
      <c r="F325" s="36">
        <v>5.8305084745762672</v>
      </c>
      <c r="G325">
        <v>15.61</v>
      </c>
      <c r="H325" s="59">
        <f>G325-'Kubiņu masa'!D71</f>
        <v>0.85999999999999943</v>
      </c>
      <c r="I325" s="59">
        <f t="shared" si="9"/>
        <v>5.7333333333333298</v>
      </c>
    </row>
    <row r="326" spans="1:9" x14ac:dyDescent="0.35">
      <c r="A326" s="25" t="s">
        <v>41</v>
      </c>
      <c r="B326" s="25" t="s">
        <v>33</v>
      </c>
      <c r="C326" s="25" t="s">
        <v>52</v>
      </c>
      <c r="D326" s="25">
        <v>70</v>
      </c>
      <c r="E326" s="38" t="s">
        <v>57</v>
      </c>
      <c r="F326" s="36">
        <v>5.854643337819657</v>
      </c>
      <c r="G326">
        <v>15.73</v>
      </c>
      <c r="H326" s="59">
        <f>G326-'Kubiņu masa'!D72</f>
        <v>0.87000000000000099</v>
      </c>
      <c r="I326" s="59">
        <f t="shared" si="9"/>
        <v>5.8000000000000069</v>
      </c>
    </row>
    <row r="327" spans="1:9" x14ac:dyDescent="0.35">
      <c r="A327" s="25" t="s">
        <v>10</v>
      </c>
      <c r="B327" s="25" t="s">
        <v>68</v>
      </c>
      <c r="C327" s="25">
        <v>9</v>
      </c>
      <c r="D327" s="25">
        <v>70</v>
      </c>
      <c r="E327" s="38" t="s">
        <v>58</v>
      </c>
      <c r="F327" s="36">
        <v>5.9506531204644437</v>
      </c>
      <c r="G327">
        <v>7.3</v>
      </c>
      <c r="H327" s="59">
        <f>G327-'Kubiņu masa'!D8</f>
        <v>0.41000000000000014</v>
      </c>
      <c r="I327" s="59">
        <f t="shared" ref="I323:I386" si="10">H327/27*100</f>
        <v>1.518518518518519</v>
      </c>
    </row>
    <row r="328" spans="1:9" x14ac:dyDescent="0.35">
      <c r="A328" s="25" t="s">
        <v>10</v>
      </c>
      <c r="B328" s="25" t="s">
        <v>68</v>
      </c>
      <c r="C328" s="25">
        <v>27</v>
      </c>
      <c r="D328" s="25">
        <v>70</v>
      </c>
      <c r="E328" s="38" t="s">
        <v>58</v>
      </c>
      <c r="F328" s="36">
        <v>5.5478502080443883</v>
      </c>
      <c r="G328">
        <v>7.61</v>
      </c>
      <c r="H328" s="59">
        <f>G328-'Kubiņu masa'!D9</f>
        <v>0.40000000000000036</v>
      </c>
      <c r="I328" s="59">
        <f t="shared" si="10"/>
        <v>1.4814814814814827</v>
      </c>
    </row>
    <row r="329" spans="1:9" x14ac:dyDescent="0.35">
      <c r="A329" s="25" t="s">
        <v>10</v>
      </c>
      <c r="B329" s="25" t="s">
        <v>68</v>
      </c>
      <c r="C329" s="25">
        <v>106</v>
      </c>
      <c r="D329" s="25">
        <v>70</v>
      </c>
      <c r="E329" s="38" t="s">
        <v>58</v>
      </c>
      <c r="F329" s="36">
        <v>5.4545454545454497</v>
      </c>
      <c r="G329">
        <v>7.54</v>
      </c>
      <c r="H329" s="59">
        <f>G329-'Kubiņu masa'!D10</f>
        <v>0.38999999999999968</v>
      </c>
      <c r="I329" s="59">
        <f t="shared" si="10"/>
        <v>1.4444444444444433</v>
      </c>
    </row>
    <row r="330" spans="1:9" x14ac:dyDescent="0.35">
      <c r="A330" s="25" t="s">
        <v>10</v>
      </c>
      <c r="B330" s="25" t="s">
        <v>69</v>
      </c>
      <c r="C330" s="25">
        <v>39</v>
      </c>
      <c r="D330" s="25">
        <v>70</v>
      </c>
      <c r="E330" s="38" t="s">
        <v>58</v>
      </c>
      <c r="F330" s="36">
        <v>5.0847457627118615</v>
      </c>
      <c r="G330">
        <v>6.2</v>
      </c>
      <c r="H330" s="59">
        <f>G330-'Kubiņu masa'!D11</f>
        <v>0.29999999999999982</v>
      </c>
      <c r="I330" s="59">
        <f t="shared" si="10"/>
        <v>1.1111111111111105</v>
      </c>
    </row>
    <row r="331" spans="1:9" x14ac:dyDescent="0.35">
      <c r="A331" s="25" t="s">
        <v>10</v>
      </c>
      <c r="B331" s="25" t="s">
        <v>69</v>
      </c>
      <c r="C331" s="25">
        <v>55</v>
      </c>
      <c r="D331" s="25">
        <v>70</v>
      </c>
      <c r="E331" s="38" t="s">
        <v>58</v>
      </c>
      <c r="F331" s="36">
        <v>5.228758169934645</v>
      </c>
      <c r="G331">
        <v>6.44</v>
      </c>
      <c r="H331" s="59">
        <f>G331-'Kubiņu masa'!D12</f>
        <v>0.32000000000000028</v>
      </c>
      <c r="I331" s="59">
        <f t="shared" si="10"/>
        <v>1.1851851851851862</v>
      </c>
    </row>
    <row r="332" spans="1:9" x14ac:dyDescent="0.35">
      <c r="A332" s="25" t="s">
        <v>10</v>
      </c>
      <c r="B332" s="25" t="s">
        <v>69</v>
      </c>
      <c r="C332" s="25">
        <v>122</v>
      </c>
      <c r="D332" s="25">
        <v>70</v>
      </c>
      <c r="E332" s="38" t="s">
        <v>58</v>
      </c>
      <c r="F332" s="36">
        <v>5.0161812297734709</v>
      </c>
      <c r="G332">
        <v>6.49</v>
      </c>
      <c r="H332" s="59">
        <f>G332-'Kubiņu masa'!D13</f>
        <v>0.3100000000000005</v>
      </c>
      <c r="I332" s="59">
        <f t="shared" si="10"/>
        <v>1.1481481481481501</v>
      </c>
    </row>
    <row r="333" spans="1:9" x14ac:dyDescent="0.35">
      <c r="A333" s="25" t="s">
        <v>10</v>
      </c>
      <c r="B333" s="25" t="s">
        <v>70</v>
      </c>
      <c r="C333" s="25">
        <v>66</v>
      </c>
      <c r="D333" s="25">
        <v>70</v>
      </c>
      <c r="E333" s="38" t="s">
        <v>58</v>
      </c>
      <c r="F333" s="36">
        <v>5.3941908713692897</v>
      </c>
      <c r="G333">
        <v>7.62</v>
      </c>
      <c r="H333" s="59">
        <f>G333-'Kubiņu masa'!D14</f>
        <v>0.38999999999999968</v>
      </c>
      <c r="I333" s="59">
        <f t="shared" si="10"/>
        <v>1.4444444444444433</v>
      </c>
    </row>
    <row r="334" spans="1:9" x14ac:dyDescent="0.35">
      <c r="A334" s="25" t="s">
        <v>10</v>
      </c>
      <c r="B334" s="25" t="s">
        <v>70</v>
      </c>
      <c r="C334" s="25">
        <v>142</v>
      </c>
      <c r="D334" s="25">
        <v>70</v>
      </c>
      <c r="E334" s="38" t="s">
        <v>58</v>
      </c>
      <c r="F334" s="36">
        <v>5.5263157894736832</v>
      </c>
      <c r="G334">
        <v>8.02</v>
      </c>
      <c r="H334" s="59">
        <f>G334-'Kubiņu masa'!D15</f>
        <v>0.41999999999999993</v>
      </c>
      <c r="I334" s="59">
        <f t="shared" si="10"/>
        <v>1.5555555555555554</v>
      </c>
    </row>
    <row r="335" spans="1:9" x14ac:dyDescent="0.35">
      <c r="A335" s="25" t="s">
        <v>10</v>
      </c>
      <c r="B335" s="25" t="s">
        <v>70</v>
      </c>
      <c r="C335" s="25">
        <v>147</v>
      </c>
      <c r="D335" s="25">
        <v>70</v>
      </c>
      <c r="E335" s="38" t="s">
        <v>58</v>
      </c>
      <c r="F335" s="36">
        <v>5.6603773584905657</v>
      </c>
      <c r="G335">
        <v>7.84</v>
      </c>
      <c r="H335" s="59">
        <f>G335-'Kubiņu masa'!D16</f>
        <v>0.41999999999999993</v>
      </c>
      <c r="I335" s="59">
        <f t="shared" si="10"/>
        <v>1.5555555555555554</v>
      </c>
    </row>
    <row r="336" spans="1:9" x14ac:dyDescent="0.35">
      <c r="A336" s="25" t="s">
        <v>10</v>
      </c>
      <c r="B336" s="25" t="s">
        <v>71</v>
      </c>
      <c r="C336" s="25">
        <v>75</v>
      </c>
      <c r="D336" s="25">
        <v>70</v>
      </c>
      <c r="E336" s="38" t="s">
        <v>58</v>
      </c>
      <c r="F336" s="36">
        <v>5.1451187335092303</v>
      </c>
      <c r="G336">
        <v>7.97</v>
      </c>
      <c r="H336" s="59">
        <f>G336-'Kubiņu masa'!D17</f>
        <v>0.38999999999999968</v>
      </c>
      <c r="I336" s="59">
        <f t="shared" si="10"/>
        <v>1.4444444444444433</v>
      </c>
    </row>
    <row r="337" spans="1:9" x14ac:dyDescent="0.35">
      <c r="A337" s="25" t="s">
        <v>10</v>
      </c>
      <c r="B337" s="25" t="s">
        <v>71</v>
      </c>
      <c r="C337" s="25">
        <v>81</v>
      </c>
      <c r="D337" s="25">
        <v>70</v>
      </c>
      <c r="E337" s="38" t="s">
        <v>58</v>
      </c>
      <c r="F337" s="36">
        <v>5.1181102362204678</v>
      </c>
      <c r="G337">
        <v>8.01</v>
      </c>
      <c r="H337" s="59">
        <f>G337-'Kubiņu masa'!D18</f>
        <v>0.38999999999999968</v>
      </c>
      <c r="I337" s="59">
        <f t="shared" si="10"/>
        <v>1.4444444444444433</v>
      </c>
    </row>
    <row r="338" spans="1:9" x14ac:dyDescent="0.35">
      <c r="A338" s="25" t="s">
        <v>10</v>
      </c>
      <c r="B338" s="25" t="s">
        <v>71</v>
      </c>
      <c r="C338" s="25">
        <v>91</v>
      </c>
      <c r="D338" s="25">
        <v>70</v>
      </c>
      <c r="E338" s="38" t="s">
        <v>58</v>
      </c>
      <c r="F338" s="36">
        <v>4.9872122762148408</v>
      </c>
      <c r="G338">
        <v>8.2100000000000009</v>
      </c>
      <c r="H338" s="59">
        <f>G338-'Kubiņu masa'!D19</f>
        <v>0.39000000000000057</v>
      </c>
      <c r="I338" s="59">
        <f t="shared" si="10"/>
        <v>1.4444444444444466</v>
      </c>
    </row>
    <row r="339" spans="1:9" x14ac:dyDescent="0.35">
      <c r="A339" s="25" t="s">
        <v>10</v>
      </c>
      <c r="B339" s="25" t="s">
        <v>72</v>
      </c>
      <c r="C339" s="25">
        <v>103</v>
      </c>
      <c r="D339" s="25">
        <v>70</v>
      </c>
      <c r="E339" s="38" t="s">
        <v>58</v>
      </c>
      <c r="F339" s="36">
        <v>4.9350649350649336</v>
      </c>
      <c r="G339">
        <v>4.04</v>
      </c>
      <c r="H339" s="59">
        <f>G339-'Kubiņu masa'!D20</f>
        <v>0.18999999999999995</v>
      </c>
      <c r="I339" s="59">
        <f t="shared" si="10"/>
        <v>0.7037037037037035</v>
      </c>
    </row>
    <row r="340" spans="1:9" x14ac:dyDescent="0.35">
      <c r="A340" s="25" t="s">
        <v>10</v>
      </c>
      <c r="B340" s="25" t="s">
        <v>72</v>
      </c>
      <c r="C340" s="25">
        <v>283</v>
      </c>
      <c r="D340" s="25">
        <v>70</v>
      </c>
      <c r="E340" s="38" t="s">
        <v>58</v>
      </c>
      <c r="F340" s="36">
        <v>5.2631578947368407</v>
      </c>
      <c r="G340">
        <v>4.2</v>
      </c>
      <c r="H340" s="59">
        <f>G340-'Kubiņu masa'!D21</f>
        <v>0.20999999999999996</v>
      </c>
      <c r="I340" s="59">
        <f t="shared" si="10"/>
        <v>0.77777777777777768</v>
      </c>
    </row>
    <row r="341" spans="1:9" x14ac:dyDescent="0.35">
      <c r="A341" s="25" t="s">
        <v>10</v>
      </c>
      <c r="B341" s="25" t="s">
        <v>72</v>
      </c>
      <c r="C341" s="25">
        <v>323</v>
      </c>
      <c r="D341" s="25">
        <v>70</v>
      </c>
      <c r="E341" s="38" t="s">
        <v>58</v>
      </c>
      <c r="F341" s="36">
        <v>4.7505938242280328</v>
      </c>
      <c r="G341">
        <v>4.41</v>
      </c>
      <c r="H341" s="59">
        <f>G341-'Kubiņu masa'!D22</f>
        <v>0.20000000000000018</v>
      </c>
      <c r="I341" s="59">
        <f t="shared" si="10"/>
        <v>0.74074074074074137</v>
      </c>
    </row>
    <row r="342" spans="1:9" x14ac:dyDescent="0.35">
      <c r="A342" s="25" t="s">
        <v>10</v>
      </c>
      <c r="B342" s="25" t="s">
        <v>73</v>
      </c>
      <c r="C342" s="25">
        <v>203</v>
      </c>
      <c r="D342" s="25">
        <v>70</v>
      </c>
      <c r="E342" s="38" t="s">
        <v>58</v>
      </c>
      <c r="F342" s="36">
        <v>4.8096192384769578</v>
      </c>
      <c r="G342">
        <v>5.23</v>
      </c>
      <c r="H342" s="59">
        <f>G342-'Kubiņu masa'!D23</f>
        <v>0.24000000000000021</v>
      </c>
      <c r="I342" s="59">
        <f t="shared" si="10"/>
        <v>0.88888888888888973</v>
      </c>
    </row>
    <row r="343" spans="1:9" x14ac:dyDescent="0.35">
      <c r="A343" s="25" t="s">
        <v>10</v>
      </c>
      <c r="B343" s="25" t="s">
        <v>73</v>
      </c>
      <c r="C343" s="25">
        <v>272</v>
      </c>
      <c r="D343" s="25">
        <v>70</v>
      </c>
      <c r="E343" s="38" t="s">
        <v>58</v>
      </c>
      <c r="F343" s="36">
        <v>5.0813008130081299</v>
      </c>
      <c r="G343">
        <v>5.17</v>
      </c>
      <c r="H343" s="59">
        <f>G343-'Kubiņu masa'!D24</f>
        <v>0.25</v>
      </c>
      <c r="I343" s="59">
        <f t="shared" si="10"/>
        <v>0.92592592592592582</v>
      </c>
    </row>
    <row r="344" spans="1:9" x14ac:dyDescent="0.35">
      <c r="A344" s="25" t="s">
        <v>10</v>
      </c>
      <c r="B344" s="25" t="s">
        <v>73</v>
      </c>
      <c r="C344" s="25">
        <v>266</v>
      </c>
      <c r="D344" s="25">
        <v>70</v>
      </c>
      <c r="E344" s="38" t="s">
        <v>58</v>
      </c>
      <c r="F344" s="36">
        <v>4.9900199600798407</v>
      </c>
      <c r="G344">
        <v>5.26</v>
      </c>
      <c r="H344" s="59">
        <f>G344-'Kubiņu masa'!D25</f>
        <v>0.25</v>
      </c>
      <c r="I344" s="59">
        <f t="shared" si="10"/>
        <v>0.92592592592592582</v>
      </c>
    </row>
    <row r="345" spans="1:9" x14ac:dyDescent="0.35">
      <c r="A345" s="25" t="s">
        <v>10</v>
      </c>
      <c r="B345" s="25" t="s">
        <v>74</v>
      </c>
      <c r="C345" s="25">
        <v>168</v>
      </c>
      <c r="D345" s="25">
        <v>70</v>
      </c>
      <c r="E345" s="38" t="s">
        <v>58</v>
      </c>
      <c r="F345" s="36">
        <v>5.5267702936096761</v>
      </c>
      <c r="G345">
        <v>6.11</v>
      </c>
      <c r="H345" s="59">
        <f>G345-'Kubiņu masa'!D26</f>
        <v>0.32000000000000028</v>
      </c>
      <c r="I345" s="59">
        <f t="shared" si="10"/>
        <v>1.1851851851851862</v>
      </c>
    </row>
    <row r="346" spans="1:9" x14ac:dyDescent="0.35">
      <c r="A346" s="25" t="s">
        <v>10</v>
      </c>
      <c r="B346" s="25" t="s">
        <v>74</v>
      </c>
      <c r="C346" s="25">
        <v>343</v>
      </c>
      <c r="D346" s="25">
        <v>70</v>
      </c>
      <c r="E346" s="38" t="s">
        <v>58</v>
      </c>
      <c r="F346" s="36">
        <v>5.7947019867549612</v>
      </c>
      <c r="G346">
        <v>6.39</v>
      </c>
      <c r="H346" s="59">
        <f>G346-'Kubiņu masa'!D27</f>
        <v>0.34999999999999964</v>
      </c>
      <c r="I346" s="59">
        <f t="shared" si="10"/>
        <v>1.2962962962962949</v>
      </c>
    </row>
    <row r="347" spans="1:9" x14ac:dyDescent="0.35">
      <c r="A347" s="25" t="s">
        <v>10</v>
      </c>
      <c r="B347" s="25" t="s">
        <v>74</v>
      </c>
      <c r="C347" s="25">
        <v>58</v>
      </c>
      <c r="D347" s="25">
        <v>70</v>
      </c>
      <c r="E347" s="38" t="s">
        <v>58</v>
      </c>
      <c r="F347" s="36">
        <v>5.6761268781302148</v>
      </c>
      <c r="G347">
        <v>6.33</v>
      </c>
      <c r="H347" s="59">
        <f>G347-'Kubiņu masa'!D28</f>
        <v>0.33999999999999986</v>
      </c>
      <c r="I347" s="59">
        <f t="shared" si="10"/>
        <v>1.2592592592592589</v>
      </c>
    </row>
    <row r="348" spans="1:9" x14ac:dyDescent="0.35">
      <c r="A348" s="25" t="s">
        <v>10</v>
      </c>
      <c r="B348" s="25" t="s">
        <v>75</v>
      </c>
      <c r="C348" s="25">
        <v>187</v>
      </c>
      <c r="D348" s="25">
        <v>70</v>
      </c>
      <c r="E348" s="38" t="s">
        <v>58</v>
      </c>
      <c r="F348" s="36">
        <v>4.6632124352331648</v>
      </c>
      <c r="G348">
        <v>4.04</v>
      </c>
      <c r="H348" s="59">
        <f>G348-'Kubiņu masa'!D29</f>
        <v>0.18000000000000016</v>
      </c>
      <c r="I348" s="59">
        <f t="shared" si="10"/>
        <v>0.66666666666666718</v>
      </c>
    </row>
    <row r="349" spans="1:9" x14ac:dyDescent="0.35">
      <c r="A349" s="25" t="s">
        <v>10</v>
      </c>
      <c r="B349" s="25" t="s">
        <v>75</v>
      </c>
      <c r="C349" s="25">
        <v>248</v>
      </c>
      <c r="D349" s="25">
        <v>70</v>
      </c>
      <c r="E349" s="38" t="s">
        <v>58</v>
      </c>
      <c r="F349" s="36">
        <v>4.7961630695443684</v>
      </c>
      <c r="G349">
        <v>4.37</v>
      </c>
      <c r="H349" s="59">
        <f>G349-'Kubiņu masa'!D30</f>
        <v>0.20000000000000018</v>
      </c>
      <c r="I349" s="59">
        <f t="shared" si="10"/>
        <v>0.74074074074074137</v>
      </c>
    </row>
    <row r="350" spans="1:9" x14ac:dyDescent="0.35">
      <c r="A350" s="25" t="s">
        <v>10</v>
      </c>
      <c r="B350" s="25" t="s">
        <v>75</v>
      </c>
      <c r="C350" s="25">
        <v>212</v>
      </c>
      <c r="D350" s="25">
        <v>70</v>
      </c>
      <c r="E350" s="38" t="s">
        <v>58</v>
      </c>
      <c r="F350" s="36">
        <v>4.3037974683544284</v>
      </c>
      <c r="G350">
        <v>4.12</v>
      </c>
      <c r="H350" s="59">
        <f>G350-'Kubiņu masa'!D31</f>
        <v>0.16999999999999993</v>
      </c>
      <c r="I350" s="59">
        <f t="shared" si="10"/>
        <v>0.62962962962962943</v>
      </c>
    </row>
    <row r="351" spans="1:9" x14ac:dyDescent="0.35">
      <c r="A351" s="25" t="s">
        <v>40</v>
      </c>
      <c r="B351" s="25" t="s">
        <v>68</v>
      </c>
      <c r="C351" s="25">
        <v>5</v>
      </c>
      <c r="D351" s="25">
        <v>70</v>
      </c>
      <c r="E351" s="38" t="s">
        <v>58</v>
      </c>
      <c r="F351" s="36">
        <v>5.3571428571428523</v>
      </c>
      <c r="G351">
        <v>7.67</v>
      </c>
      <c r="H351" s="59">
        <f>G351-'Kubiņu masa'!D32</f>
        <v>0.38999999999999968</v>
      </c>
      <c r="I351" s="59">
        <f t="shared" si="10"/>
        <v>1.4444444444444433</v>
      </c>
    </row>
    <row r="352" spans="1:9" x14ac:dyDescent="0.35">
      <c r="A352" s="25" t="s">
        <v>40</v>
      </c>
      <c r="B352" s="25" t="s">
        <v>68</v>
      </c>
      <c r="C352" s="25">
        <v>17</v>
      </c>
      <c r="D352" s="25">
        <v>70</v>
      </c>
      <c r="E352" s="38" t="s">
        <v>58</v>
      </c>
      <c r="F352" s="36">
        <v>5.0964187327823707</v>
      </c>
      <c r="G352">
        <v>7.63</v>
      </c>
      <c r="H352" s="59">
        <f>G352-'Kubiņu masa'!D33</f>
        <v>0.37000000000000011</v>
      </c>
      <c r="I352" s="59">
        <f t="shared" si="10"/>
        <v>1.3703703703703707</v>
      </c>
    </row>
    <row r="353" spans="1:9" x14ac:dyDescent="0.35">
      <c r="A353" s="25" t="s">
        <v>40</v>
      </c>
      <c r="B353" s="25" t="s">
        <v>68</v>
      </c>
      <c r="C353" s="25">
        <v>99</v>
      </c>
      <c r="D353" s="25">
        <v>70</v>
      </c>
      <c r="E353" s="38" t="s">
        <v>58</v>
      </c>
      <c r="F353" s="36">
        <v>5.1630434782608683</v>
      </c>
      <c r="G353">
        <v>7.74</v>
      </c>
      <c r="H353" s="59">
        <f>G353-'Kubiņu masa'!D34</f>
        <v>0.37999999999999989</v>
      </c>
      <c r="I353" s="59">
        <f t="shared" si="10"/>
        <v>1.407407407407407</v>
      </c>
    </row>
    <row r="354" spans="1:9" x14ac:dyDescent="0.35">
      <c r="A354" s="25" t="s">
        <v>40</v>
      </c>
      <c r="B354" s="25" t="s">
        <v>69</v>
      </c>
      <c r="C354" s="25">
        <v>37</v>
      </c>
      <c r="D354" s="25">
        <v>70</v>
      </c>
      <c r="E354" s="38" t="s">
        <v>58</v>
      </c>
      <c r="F354" s="36">
        <v>5.2264808362369308</v>
      </c>
      <c r="G354">
        <v>6.04</v>
      </c>
      <c r="H354" s="59">
        <f>G354-'Kubiņu masa'!D35</f>
        <v>0.29999999999999982</v>
      </c>
      <c r="I354" s="59">
        <f t="shared" si="10"/>
        <v>1.1111111111111105</v>
      </c>
    </row>
    <row r="355" spans="1:9" x14ac:dyDescent="0.35">
      <c r="A355" s="25" t="s">
        <v>40</v>
      </c>
      <c r="B355" s="25" t="s">
        <v>69</v>
      </c>
      <c r="C355" s="25">
        <v>53</v>
      </c>
      <c r="D355" s="25">
        <v>70</v>
      </c>
      <c r="E355" s="38" t="s">
        <v>58</v>
      </c>
      <c r="F355" s="36">
        <v>5.128205128205118</v>
      </c>
      <c r="G355">
        <v>6.56</v>
      </c>
      <c r="H355" s="59">
        <f>G355-'Kubiņu masa'!D36</f>
        <v>0.3199999999999994</v>
      </c>
      <c r="I355" s="59">
        <f t="shared" si="10"/>
        <v>1.1851851851851829</v>
      </c>
    </row>
    <row r="356" spans="1:9" x14ac:dyDescent="0.35">
      <c r="A356" s="25" t="s">
        <v>40</v>
      </c>
      <c r="B356" s="25" t="s">
        <v>69</v>
      </c>
      <c r="C356" s="25">
        <v>134</v>
      </c>
      <c r="D356" s="25">
        <v>70</v>
      </c>
      <c r="E356" s="38" t="s">
        <v>58</v>
      </c>
      <c r="F356" s="36">
        <v>5.0335570469798627</v>
      </c>
      <c r="G356">
        <v>6.26</v>
      </c>
      <c r="H356" s="59">
        <f>G356-'Kubiņu masa'!D37</f>
        <v>0.29999999999999982</v>
      </c>
      <c r="I356" s="59">
        <f t="shared" si="10"/>
        <v>1.1111111111111105</v>
      </c>
    </row>
    <row r="357" spans="1:9" x14ac:dyDescent="0.35">
      <c r="A357" s="25" t="s">
        <v>40</v>
      </c>
      <c r="B357" s="25" t="s">
        <v>70</v>
      </c>
      <c r="C357" s="25">
        <v>68</v>
      </c>
      <c r="D357" s="25">
        <v>70</v>
      </c>
      <c r="E357" s="38" t="s">
        <v>58</v>
      </c>
      <c r="F357" s="36">
        <v>5.3719008264462884</v>
      </c>
      <c r="G357">
        <v>7.65</v>
      </c>
      <c r="H357" s="59">
        <f>G357-'Kubiņu masa'!D38</f>
        <v>0.39000000000000057</v>
      </c>
      <c r="I357" s="59">
        <f t="shared" si="10"/>
        <v>1.4444444444444466</v>
      </c>
    </row>
    <row r="358" spans="1:9" x14ac:dyDescent="0.35">
      <c r="A358" s="25" t="s">
        <v>40</v>
      </c>
      <c r="B358" s="25" t="s">
        <v>70</v>
      </c>
      <c r="C358" s="25">
        <v>143</v>
      </c>
      <c r="D358" s="25">
        <v>70</v>
      </c>
      <c r="E358" s="38" t="s">
        <v>58</v>
      </c>
      <c r="F358" s="36">
        <v>5.6833558863328815</v>
      </c>
      <c r="G358">
        <v>7.81</v>
      </c>
      <c r="H358" s="59">
        <f>G358-'Kubiņu masa'!D39</f>
        <v>0.41999999999999993</v>
      </c>
      <c r="I358" s="59">
        <f t="shared" si="10"/>
        <v>1.5555555555555554</v>
      </c>
    </row>
    <row r="359" spans="1:9" x14ac:dyDescent="0.35">
      <c r="A359" s="25" t="s">
        <v>40</v>
      </c>
      <c r="B359" s="25" t="s">
        <v>70</v>
      </c>
      <c r="C359" s="25">
        <v>190</v>
      </c>
      <c r="D359" s="25">
        <v>70</v>
      </c>
      <c r="E359" s="38" t="s">
        <v>58</v>
      </c>
      <c r="F359" s="36">
        <v>5.0632911392404978</v>
      </c>
      <c r="G359">
        <v>7.47</v>
      </c>
      <c r="H359" s="59">
        <f>G359-'Kubiņu masa'!D40</f>
        <v>0.35999999999999943</v>
      </c>
      <c r="I359" s="59">
        <f t="shared" si="10"/>
        <v>1.3333333333333313</v>
      </c>
    </row>
    <row r="360" spans="1:9" x14ac:dyDescent="0.35">
      <c r="A360" s="25" t="s">
        <v>40</v>
      </c>
      <c r="B360" s="25" t="s">
        <v>71</v>
      </c>
      <c r="C360" s="25">
        <v>158</v>
      </c>
      <c r="D360" s="25">
        <v>70</v>
      </c>
      <c r="E360" s="38" t="s">
        <v>58</v>
      </c>
      <c r="F360" s="36">
        <v>5.1032806804374227</v>
      </c>
      <c r="G360">
        <v>8.65</v>
      </c>
      <c r="H360" s="59">
        <f>G360-'Kubiņu masa'!D41</f>
        <v>0.41999999999999993</v>
      </c>
      <c r="I360" s="59">
        <f t="shared" si="10"/>
        <v>1.5555555555555554</v>
      </c>
    </row>
    <row r="361" spans="1:9" x14ac:dyDescent="0.35">
      <c r="A361" s="25" t="s">
        <v>40</v>
      </c>
      <c r="B361" s="25" t="s">
        <v>71</v>
      </c>
      <c r="C361" s="25">
        <v>169</v>
      </c>
      <c r="D361" s="25">
        <v>70</v>
      </c>
      <c r="E361" s="38" t="s">
        <v>58</v>
      </c>
      <c r="F361" s="36">
        <v>4.9367088607594782</v>
      </c>
      <c r="G361">
        <v>8.2899999999999991</v>
      </c>
      <c r="H361" s="59">
        <f>G361-'Kubiņu masa'!D42</f>
        <v>0.38999999999999879</v>
      </c>
      <c r="I361" s="59">
        <f t="shared" si="10"/>
        <v>1.44444444444444</v>
      </c>
    </row>
    <row r="362" spans="1:9" x14ac:dyDescent="0.35">
      <c r="A362" s="25" t="s">
        <v>40</v>
      </c>
      <c r="B362" s="25" t="s">
        <v>71</v>
      </c>
      <c r="C362" s="25">
        <v>174</v>
      </c>
      <c r="D362" s="25">
        <v>70</v>
      </c>
      <c r="E362" s="38" t="s">
        <v>58</v>
      </c>
      <c r="F362" s="36">
        <v>4.9934296977660955</v>
      </c>
      <c r="G362">
        <v>7.99</v>
      </c>
      <c r="H362" s="59">
        <f>G362-'Kubiņu masa'!D43</f>
        <v>0.37999999999999989</v>
      </c>
      <c r="I362" s="59">
        <f t="shared" si="10"/>
        <v>1.407407407407407</v>
      </c>
    </row>
    <row r="363" spans="1:9" x14ac:dyDescent="0.35">
      <c r="A363" s="25" t="s">
        <v>40</v>
      </c>
      <c r="B363" s="25" t="s">
        <v>72</v>
      </c>
      <c r="C363" s="25">
        <v>108</v>
      </c>
      <c r="D363" s="25">
        <v>70</v>
      </c>
      <c r="E363" s="38" t="s">
        <v>58</v>
      </c>
      <c r="F363" s="36">
        <v>4.7146401985111535</v>
      </c>
      <c r="G363">
        <v>4.22</v>
      </c>
      <c r="H363" s="59">
        <f>G363-'Kubiņu masa'!D44</f>
        <v>0.1899999999999995</v>
      </c>
      <c r="I363" s="59">
        <f t="shared" si="10"/>
        <v>0.70370370370370183</v>
      </c>
    </row>
    <row r="364" spans="1:9" x14ac:dyDescent="0.35">
      <c r="A364" s="25" t="s">
        <v>40</v>
      </c>
      <c r="B364" s="25" t="s">
        <v>72</v>
      </c>
      <c r="C364" s="25">
        <v>287</v>
      </c>
      <c r="D364" s="25">
        <v>70</v>
      </c>
      <c r="E364" s="38" t="s">
        <v>58</v>
      </c>
      <c r="F364" s="36">
        <v>4.7008547008547144</v>
      </c>
      <c r="G364">
        <v>4.9000000000000004</v>
      </c>
      <c r="H364" s="59">
        <f>G364-'Kubiņu masa'!D45</f>
        <v>0.22000000000000064</v>
      </c>
      <c r="I364" s="59">
        <f t="shared" si="10"/>
        <v>0.81481481481481721</v>
      </c>
    </row>
    <row r="365" spans="1:9" x14ac:dyDescent="0.35">
      <c r="A365" s="25" t="s">
        <v>40</v>
      </c>
      <c r="B365" s="25" t="s">
        <v>72</v>
      </c>
      <c r="C365" s="25">
        <v>328</v>
      </c>
      <c r="D365" s="25">
        <v>70</v>
      </c>
      <c r="E365" s="38" t="s">
        <v>58</v>
      </c>
      <c r="F365" s="36">
        <v>4.7281323877068386</v>
      </c>
      <c r="G365">
        <v>4.43</v>
      </c>
      <c r="H365" s="59">
        <f>G365-'Kubiņu masa'!D46</f>
        <v>0.19999999999999929</v>
      </c>
      <c r="I365" s="59">
        <f t="shared" si="10"/>
        <v>0.74074074074073804</v>
      </c>
    </row>
    <row r="366" spans="1:9" x14ac:dyDescent="0.35">
      <c r="A366" s="25" t="s">
        <v>40</v>
      </c>
      <c r="B366" s="25" t="s">
        <v>73</v>
      </c>
      <c r="C366" s="25">
        <v>207</v>
      </c>
      <c r="D366" s="25">
        <v>70</v>
      </c>
      <c r="E366" s="38" t="s">
        <v>58</v>
      </c>
      <c r="F366" s="36">
        <v>4.9523809523809481</v>
      </c>
      <c r="G366">
        <v>5.51</v>
      </c>
      <c r="H366" s="59">
        <f>G366-'Kubiņu masa'!D47</f>
        <v>0.25999999999999979</v>
      </c>
      <c r="I366" s="59">
        <f t="shared" si="10"/>
        <v>0.96296296296296213</v>
      </c>
    </row>
    <row r="367" spans="1:9" x14ac:dyDescent="0.35">
      <c r="A367" s="25" t="s">
        <v>40</v>
      </c>
      <c r="B367" s="25" t="s">
        <v>73</v>
      </c>
      <c r="C367" s="25">
        <v>314</v>
      </c>
      <c r="D367" s="25">
        <v>70</v>
      </c>
      <c r="E367" s="38" t="s">
        <v>58</v>
      </c>
      <c r="F367" s="36">
        <v>4.999999999999992</v>
      </c>
      <c r="G367">
        <v>5.67</v>
      </c>
      <c r="H367" s="59">
        <f>G367-'Kubiņu masa'!D48</f>
        <v>0.26999999999999957</v>
      </c>
      <c r="I367" s="59">
        <f t="shared" si="10"/>
        <v>0.99999999999999845</v>
      </c>
    </row>
    <row r="368" spans="1:9" x14ac:dyDescent="0.35">
      <c r="A368" s="25" t="s">
        <v>40</v>
      </c>
      <c r="B368" s="25" t="s">
        <v>73</v>
      </c>
      <c r="C368" s="25">
        <v>280</v>
      </c>
      <c r="D368" s="25">
        <v>70</v>
      </c>
      <c r="E368" s="38" t="s">
        <v>58</v>
      </c>
      <c r="F368" s="36">
        <v>4.9815498154981634</v>
      </c>
      <c r="G368">
        <v>5.69</v>
      </c>
      <c r="H368" s="59">
        <f>G368-'Kubiņu masa'!D49</f>
        <v>0.27000000000000046</v>
      </c>
      <c r="I368" s="59">
        <f t="shared" si="10"/>
        <v>1.0000000000000018</v>
      </c>
    </row>
    <row r="369" spans="1:9" x14ac:dyDescent="0.35">
      <c r="A369" s="25" t="s">
        <v>40</v>
      </c>
      <c r="B369" s="25" t="s">
        <v>74</v>
      </c>
      <c r="C369" s="25">
        <v>172</v>
      </c>
      <c r="D369" s="25">
        <v>70</v>
      </c>
      <c r="E369" s="38" t="s">
        <v>58</v>
      </c>
      <c r="F369" s="36">
        <v>5.326460481099649</v>
      </c>
      <c r="G369">
        <v>6.13</v>
      </c>
      <c r="H369" s="59">
        <f>G369-'Kubiņu masa'!D50</f>
        <v>0.30999999999999961</v>
      </c>
      <c r="I369" s="59">
        <f t="shared" si="10"/>
        <v>1.1481481481481468</v>
      </c>
    </row>
    <row r="370" spans="1:9" x14ac:dyDescent="0.35">
      <c r="A370" s="25" t="s">
        <v>40</v>
      </c>
      <c r="B370" s="25" t="s">
        <v>74</v>
      </c>
      <c r="C370" s="25">
        <v>229</v>
      </c>
      <c r="D370" s="25">
        <v>70</v>
      </c>
      <c r="E370" s="38" t="s">
        <v>58</v>
      </c>
      <c r="F370" s="36">
        <v>5.6798623063683324</v>
      </c>
      <c r="G370">
        <v>6.14</v>
      </c>
      <c r="H370" s="59">
        <f>G370-'Kubiņu masa'!D51</f>
        <v>0.33000000000000007</v>
      </c>
      <c r="I370" s="59">
        <f t="shared" si="10"/>
        <v>1.2222222222222225</v>
      </c>
    </row>
    <row r="371" spans="1:9" x14ac:dyDescent="0.35">
      <c r="A371" s="25" t="s">
        <v>40</v>
      </c>
      <c r="B371" s="25" t="s">
        <v>74</v>
      </c>
      <c r="C371" s="25">
        <v>349</v>
      </c>
      <c r="D371" s="25">
        <v>70</v>
      </c>
      <c r="E371" s="38" t="s">
        <v>58</v>
      </c>
      <c r="F371" s="36">
        <v>5.6603773584905666</v>
      </c>
      <c r="G371">
        <v>6.16</v>
      </c>
      <c r="H371" s="59">
        <f>G371-'Kubiņu masa'!D52</f>
        <v>0.33000000000000007</v>
      </c>
      <c r="I371" s="59">
        <f t="shared" si="10"/>
        <v>1.2222222222222225</v>
      </c>
    </row>
    <row r="372" spans="1:9" x14ac:dyDescent="0.35">
      <c r="A372" s="25" t="s">
        <v>40</v>
      </c>
      <c r="B372" s="25" t="s">
        <v>75</v>
      </c>
      <c r="C372" s="25">
        <v>193</v>
      </c>
      <c r="D372" s="25">
        <v>70</v>
      </c>
      <c r="E372" s="38" t="s">
        <v>58</v>
      </c>
      <c r="F372" s="36">
        <v>4.783599088838268</v>
      </c>
      <c r="G372">
        <v>4.5999999999999996</v>
      </c>
      <c r="H372" s="59">
        <f>G372-'Kubiņu masa'!D53</f>
        <v>0.20999999999999996</v>
      </c>
      <c r="I372" s="59">
        <f t="shared" si="10"/>
        <v>0.77777777777777768</v>
      </c>
    </row>
    <row r="373" spans="1:9" x14ac:dyDescent="0.35">
      <c r="A373" s="25" t="s">
        <v>40</v>
      </c>
      <c r="B373" s="25" t="s">
        <v>75</v>
      </c>
      <c r="C373" s="25">
        <v>160</v>
      </c>
      <c r="D373" s="25">
        <v>70</v>
      </c>
      <c r="E373" s="38" t="s">
        <v>58</v>
      </c>
      <c r="F373" s="36">
        <v>4.3678160919540323</v>
      </c>
      <c r="G373">
        <v>4.54</v>
      </c>
      <c r="H373" s="59">
        <f>G373-'Kubiņu masa'!D54</f>
        <v>0.19000000000000039</v>
      </c>
      <c r="I373" s="59">
        <f t="shared" si="10"/>
        <v>0.70370370370370516</v>
      </c>
    </row>
    <row r="374" spans="1:9" x14ac:dyDescent="0.35">
      <c r="A374" s="25" t="s">
        <v>40</v>
      </c>
      <c r="B374" s="25" t="s">
        <v>75</v>
      </c>
      <c r="C374" s="25">
        <v>218</v>
      </c>
      <c r="D374" s="25">
        <v>70</v>
      </c>
      <c r="E374" s="38" t="s">
        <v>58</v>
      </c>
      <c r="F374" s="36">
        <v>4.5346062052505847</v>
      </c>
      <c r="G374">
        <v>4.38</v>
      </c>
      <c r="H374" s="59">
        <f>G374-'Kubiņu masa'!D55</f>
        <v>0.1899999999999995</v>
      </c>
      <c r="I374" s="59">
        <f t="shared" si="10"/>
        <v>0.70370370370370183</v>
      </c>
    </row>
    <row r="375" spans="1:9" x14ac:dyDescent="0.35">
      <c r="A375" s="25" t="s">
        <v>41</v>
      </c>
      <c r="B375" s="25" t="s">
        <v>91</v>
      </c>
      <c r="C375" s="25">
        <v>32</v>
      </c>
      <c r="D375" s="25">
        <v>70</v>
      </c>
      <c r="E375" s="38" t="s">
        <v>58</v>
      </c>
      <c r="F375" s="36">
        <v>7.1428571428571539</v>
      </c>
      <c r="G375">
        <v>16.350000000000001</v>
      </c>
      <c r="H375" s="59">
        <f>G375-'Kubiņu masa'!D56</f>
        <v>1.0900000000000016</v>
      </c>
      <c r="I375" s="59">
        <f>H375/15*100</f>
        <v>7.2666666666666782</v>
      </c>
    </row>
    <row r="376" spans="1:9" x14ac:dyDescent="0.35">
      <c r="A376" s="25" t="s">
        <v>41</v>
      </c>
      <c r="B376" s="25" t="s">
        <v>91</v>
      </c>
      <c r="C376" s="25">
        <v>33</v>
      </c>
      <c r="D376" s="25">
        <v>70</v>
      </c>
      <c r="E376" s="38" t="s">
        <v>58</v>
      </c>
      <c r="F376" s="36">
        <v>6.9408740359897179</v>
      </c>
      <c r="G376">
        <v>16.64</v>
      </c>
      <c r="H376" s="59">
        <f>G376-'Kubiņu masa'!D57</f>
        <v>1.08</v>
      </c>
      <c r="I376" s="59">
        <f t="shared" ref="I376:I391" si="11">H376/15*100</f>
        <v>7.2000000000000011</v>
      </c>
    </row>
    <row r="377" spans="1:9" x14ac:dyDescent="0.35">
      <c r="A377" s="25" t="s">
        <v>41</v>
      </c>
      <c r="B377" s="25" t="s">
        <v>91</v>
      </c>
      <c r="C377" s="25">
        <v>34</v>
      </c>
      <c r="D377" s="25">
        <v>70</v>
      </c>
      <c r="E377" s="38" t="s">
        <v>58</v>
      </c>
      <c r="F377" s="36">
        <v>6.6791510611735356</v>
      </c>
      <c r="G377">
        <v>17.09</v>
      </c>
      <c r="H377" s="59">
        <f>G377-'Kubiņu masa'!D58</f>
        <v>1.0700000000000003</v>
      </c>
      <c r="I377" s="59">
        <f t="shared" si="11"/>
        <v>7.1333333333333346</v>
      </c>
    </row>
    <row r="378" spans="1:9" x14ac:dyDescent="0.35">
      <c r="A378" s="25" t="s">
        <v>41</v>
      </c>
      <c r="B378" s="25" t="s">
        <v>29</v>
      </c>
      <c r="C378" s="25">
        <v>50</v>
      </c>
      <c r="D378" s="25">
        <v>70</v>
      </c>
      <c r="E378" s="38" t="s">
        <v>58</v>
      </c>
      <c r="F378" s="36">
        <v>4.5992115637319264</v>
      </c>
      <c r="G378">
        <v>15.92</v>
      </c>
      <c r="H378" s="59">
        <f>G378-'Kubiņu masa'!D59</f>
        <v>0.69999999999999929</v>
      </c>
      <c r="I378" s="59">
        <f t="shared" si="11"/>
        <v>4.6666666666666616</v>
      </c>
    </row>
    <row r="379" spans="1:9" x14ac:dyDescent="0.35">
      <c r="A379" s="25" t="s">
        <v>41</v>
      </c>
      <c r="B379" s="25" t="s">
        <v>29</v>
      </c>
      <c r="C379" s="25">
        <v>51</v>
      </c>
      <c r="D379" s="25">
        <v>70</v>
      </c>
      <c r="E379" s="38" t="s">
        <v>58</v>
      </c>
      <c r="F379" s="36">
        <v>4.6061415220293691</v>
      </c>
      <c r="G379">
        <v>15.67</v>
      </c>
      <c r="H379" s="59">
        <f>G379-'Kubiņu masa'!D60</f>
        <v>0.6899999999999995</v>
      </c>
      <c r="I379" s="59">
        <f t="shared" si="11"/>
        <v>4.5999999999999961</v>
      </c>
    </row>
    <row r="380" spans="1:9" x14ac:dyDescent="0.35">
      <c r="A380" s="25" t="s">
        <v>41</v>
      </c>
      <c r="B380" s="25" t="s">
        <v>29</v>
      </c>
      <c r="C380" s="25">
        <v>52</v>
      </c>
      <c r="D380" s="25">
        <v>70</v>
      </c>
      <c r="E380" s="38" t="s">
        <v>58</v>
      </c>
      <c r="F380" s="36">
        <v>4.6449900464498954</v>
      </c>
      <c r="G380">
        <v>15.77</v>
      </c>
      <c r="H380" s="59">
        <f>G380-'Kubiņu masa'!D61</f>
        <v>0.69999999999999929</v>
      </c>
      <c r="I380" s="59">
        <f t="shared" si="11"/>
        <v>4.6666666666666616</v>
      </c>
    </row>
    <row r="381" spans="1:9" x14ac:dyDescent="0.35">
      <c r="A381" s="25" t="s">
        <v>41</v>
      </c>
      <c r="B381" s="25" t="s">
        <v>88</v>
      </c>
      <c r="C381" s="25" t="s">
        <v>42</v>
      </c>
      <c r="D381" s="25">
        <v>70</v>
      </c>
      <c r="E381" s="38" t="s">
        <v>58</v>
      </c>
      <c r="F381" s="36">
        <v>5.6475903614457836</v>
      </c>
      <c r="G381">
        <v>14.03</v>
      </c>
      <c r="H381" s="59">
        <f>G381-'Kubiņu masa'!D62</f>
        <v>0.75</v>
      </c>
      <c r="I381" s="59">
        <f t="shared" si="11"/>
        <v>5</v>
      </c>
    </row>
    <row r="382" spans="1:9" x14ac:dyDescent="0.35">
      <c r="A382" s="25" t="s">
        <v>41</v>
      </c>
      <c r="B382" s="25" t="s">
        <v>88</v>
      </c>
      <c r="C382" s="25" t="s">
        <v>43</v>
      </c>
      <c r="D382" s="25">
        <v>70</v>
      </c>
      <c r="E382" s="38" t="s">
        <v>58</v>
      </c>
      <c r="F382" s="36">
        <v>5.7034220532319395</v>
      </c>
      <c r="G382">
        <v>13.9</v>
      </c>
      <c r="H382" s="59">
        <f>G382-'Kubiņu masa'!D63</f>
        <v>0.75</v>
      </c>
      <c r="I382" s="59">
        <f t="shared" si="11"/>
        <v>5</v>
      </c>
    </row>
    <row r="383" spans="1:9" x14ac:dyDescent="0.35">
      <c r="A383" s="25" t="s">
        <v>41</v>
      </c>
      <c r="B383" s="25" t="s">
        <v>88</v>
      </c>
      <c r="C383" s="25" t="s">
        <v>44</v>
      </c>
      <c r="D383" s="25">
        <v>70</v>
      </c>
      <c r="E383" s="38" t="s">
        <v>58</v>
      </c>
      <c r="F383" s="36">
        <v>5.814843152257076</v>
      </c>
      <c r="G383">
        <v>13.83</v>
      </c>
      <c r="H383" s="59">
        <f>G383-'Kubiņu masa'!D64</f>
        <v>0.75999999999999979</v>
      </c>
      <c r="I383" s="59">
        <f t="shared" si="11"/>
        <v>5.0666666666666655</v>
      </c>
    </row>
    <row r="384" spans="1:9" x14ac:dyDescent="0.35">
      <c r="A384" s="25" t="s">
        <v>41</v>
      </c>
      <c r="B384" s="25" t="s">
        <v>89</v>
      </c>
      <c r="C384" s="25" t="s">
        <v>45</v>
      </c>
      <c r="D384" s="25">
        <v>70</v>
      </c>
      <c r="E384" s="38" t="s">
        <v>58</v>
      </c>
      <c r="F384" s="36">
        <v>6.2172284644194757</v>
      </c>
      <c r="G384">
        <v>14.18</v>
      </c>
      <c r="H384" s="59">
        <f>G384-'Kubiņu masa'!D65</f>
        <v>0.83000000000000007</v>
      </c>
      <c r="I384" s="59">
        <f t="shared" si="11"/>
        <v>5.5333333333333341</v>
      </c>
    </row>
    <row r="385" spans="1:9" x14ac:dyDescent="0.35">
      <c r="A385" s="25" t="s">
        <v>41</v>
      </c>
      <c r="B385" s="25" t="s">
        <v>89</v>
      </c>
      <c r="C385" s="25" t="s">
        <v>46</v>
      </c>
      <c r="D385" s="25">
        <v>70</v>
      </c>
      <c r="E385" s="38" t="s">
        <v>58</v>
      </c>
      <c r="F385" s="36">
        <v>6.08564988730277</v>
      </c>
      <c r="G385">
        <v>14.12</v>
      </c>
      <c r="H385" s="59">
        <f>G385-'Kubiņu masa'!D66</f>
        <v>0.80999999999999872</v>
      </c>
      <c r="I385" s="59">
        <f t="shared" si="11"/>
        <v>5.3999999999999915</v>
      </c>
    </row>
    <row r="386" spans="1:9" x14ac:dyDescent="0.35">
      <c r="A386" s="25" t="s">
        <v>41</v>
      </c>
      <c r="B386" s="25" t="s">
        <v>89</v>
      </c>
      <c r="C386" s="25" t="s">
        <v>47</v>
      </c>
      <c r="D386" s="25">
        <v>70</v>
      </c>
      <c r="E386" s="38" t="s">
        <v>58</v>
      </c>
      <c r="F386" s="36">
        <v>6.0830860534124644</v>
      </c>
      <c r="G386">
        <v>14.3</v>
      </c>
      <c r="H386" s="59">
        <f>G386-'Kubiņu masa'!D67</f>
        <v>0.82000000000000028</v>
      </c>
      <c r="I386" s="59">
        <f t="shared" si="11"/>
        <v>5.4666666666666686</v>
      </c>
    </row>
    <row r="387" spans="1:9" x14ac:dyDescent="0.35">
      <c r="A387" s="25" t="s">
        <v>41</v>
      </c>
      <c r="B387" s="25" t="s">
        <v>90</v>
      </c>
      <c r="C387" s="25" t="s">
        <v>48</v>
      </c>
      <c r="D387" s="25">
        <v>70</v>
      </c>
      <c r="E387" s="38" t="s">
        <v>58</v>
      </c>
      <c r="F387" s="36">
        <v>4.5815516188149052</v>
      </c>
      <c r="G387">
        <v>17.12</v>
      </c>
      <c r="H387" s="59">
        <f>G387-'Kubiņu masa'!D68</f>
        <v>0.75</v>
      </c>
      <c r="I387" s="59">
        <f t="shared" si="11"/>
        <v>5</v>
      </c>
    </row>
    <row r="388" spans="1:9" x14ac:dyDescent="0.35">
      <c r="A388" s="25" t="s">
        <v>41</v>
      </c>
      <c r="B388" s="25" t="s">
        <v>90</v>
      </c>
      <c r="C388" s="25" t="s">
        <v>49</v>
      </c>
      <c r="D388" s="25">
        <v>70</v>
      </c>
      <c r="E388" s="38" t="s">
        <v>58</v>
      </c>
      <c r="F388" s="36">
        <v>4.531537048377233</v>
      </c>
      <c r="G388">
        <v>17.07</v>
      </c>
      <c r="H388" s="59">
        <f>G388-'Kubiņu masa'!D69</f>
        <v>0.74000000000000199</v>
      </c>
      <c r="I388" s="59">
        <f t="shared" si="11"/>
        <v>4.9333333333333469</v>
      </c>
    </row>
    <row r="389" spans="1:9" x14ac:dyDescent="0.35">
      <c r="A389" s="25" t="s">
        <v>41</v>
      </c>
      <c r="B389" s="25" t="s">
        <v>33</v>
      </c>
      <c r="C389" s="25" t="s">
        <v>50</v>
      </c>
      <c r="D389" s="25">
        <v>70</v>
      </c>
      <c r="E389" s="38" t="s">
        <v>58</v>
      </c>
      <c r="F389" s="36">
        <v>5.9259259259259309</v>
      </c>
      <c r="G389">
        <v>15.73</v>
      </c>
      <c r="H389" s="59">
        <f>G389-'Kubiņu masa'!D70</f>
        <v>0.88000000000000078</v>
      </c>
      <c r="I389" s="59">
        <f t="shared" si="11"/>
        <v>5.8666666666666725</v>
      </c>
    </row>
    <row r="390" spans="1:9" x14ac:dyDescent="0.35">
      <c r="A390" s="25" t="s">
        <v>41</v>
      </c>
      <c r="B390" s="25" t="s">
        <v>33</v>
      </c>
      <c r="C390" s="25" t="s">
        <v>51</v>
      </c>
      <c r="D390" s="25">
        <v>70</v>
      </c>
      <c r="E390" s="38" t="s">
        <v>58</v>
      </c>
      <c r="F390" s="36">
        <v>5.8983050847457568</v>
      </c>
      <c r="G390">
        <v>15.62</v>
      </c>
      <c r="H390" s="59">
        <f>G390-'Kubiņu masa'!D71</f>
        <v>0.86999999999999922</v>
      </c>
      <c r="I390" s="59">
        <f t="shared" si="11"/>
        <v>5.7999999999999945</v>
      </c>
    </row>
    <row r="391" spans="1:9" x14ac:dyDescent="0.35">
      <c r="A391" s="25" t="s">
        <v>41</v>
      </c>
      <c r="B391" s="25" t="s">
        <v>33</v>
      </c>
      <c r="C391" s="25" t="s">
        <v>52</v>
      </c>
      <c r="D391" s="25">
        <v>70</v>
      </c>
      <c r="E391" s="38" t="s">
        <v>58</v>
      </c>
      <c r="F391" s="36">
        <v>5.9219380888290774</v>
      </c>
      <c r="G391">
        <v>15.74</v>
      </c>
      <c r="H391" s="59">
        <f>G391-'Kubiņu masa'!D72</f>
        <v>0.88000000000000078</v>
      </c>
      <c r="I391" s="59">
        <f t="shared" si="11"/>
        <v>5.8666666666666725</v>
      </c>
    </row>
    <row r="392" spans="1:9" x14ac:dyDescent="0.35">
      <c r="A392" s="25" t="s">
        <v>10</v>
      </c>
      <c r="B392" s="25" t="s">
        <v>68</v>
      </c>
      <c r="C392" s="25">
        <v>9</v>
      </c>
      <c r="D392" s="25">
        <v>80</v>
      </c>
      <c r="E392" s="38" t="s">
        <v>59</v>
      </c>
      <c r="F392" s="36">
        <v>8.1277213352685127</v>
      </c>
      <c r="G392">
        <v>7.45</v>
      </c>
      <c r="H392" s="59">
        <f>G392-'Kubiņu masa'!D8</f>
        <v>0.5600000000000005</v>
      </c>
      <c r="I392" s="59">
        <f t="shared" ref="I387:I450" si="12">H392/27*100</f>
        <v>2.0740740740740757</v>
      </c>
    </row>
    <row r="393" spans="1:9" x14ac:dyDescent="0.35">
      <c r="A393" s="25" t="s">
        <v>10</v>
      </c>
      <c r="B393" s="25" t="s">
        <v>68</v>
      </c>
      <c r="C393" s="25">
        <v>27</v>
      </c>
      <c r="D393" s="25">
        <v>80</v>
      </c>
      <c r="E393" s="38" t="s">
        <v>59</v>
      </c>
      <c r="F393" s="36">
        <v>7.4895977808599179</v>
      </c>
      <c r="G393">
        <v>7.75</v>
      </c>
      <c r="H393" s="59">
        <f>G393-'Kubiņu masa'!D9</f>
        <v>0.54</v>
      </c>
      <c r="I393" s="59">
        <f t="shared" si="12"/>
        <v>2</v>
      </c>
    </row>
    <row r="394" spans="1:9" x14ac:dyDescent="0.35">
      <c r="A394" s="25" t="s">
        <v>10</v>
      </c>
      <c r="B394" s="25" t="s">
        <v>68</v>
      </c>
      <c r="C394" s="25">
        <v>106</v>
      </c>
      <c r="D394" s="25">
        <v>80</v>
      </c>
      <c r="E394" s="38" t="s">
        <v>59</v>
      </c>
      <c r="F394" s="36">
        <v>7.4125874125874027</v>
      </c>
      <c r="G394">
        <v>7.68</v>
      </c>
      <c r="H394" s="59">
        <f>G394-'Kubiņu masa'!D10</f>
        <v>0.52999999999999936</v>
      </c>
      <c r="I394" s="59">
        <f t="shared" si="12"/>
        <v>1.9629629629629604</v>
      </c>
    </row>
    <row r="395" spans="1:9" x14ac:dyDescent="0.35">
      <c r="A395" s="25" t="s">
        <v>10</v>
      </c>
      <c r="B395" s="25" t="s">
        <v>69</v>
      </c>
      <c r="C395" s="25">
        <v>39</v>
      </c>
      <c r="D395" s="25">
        <v>80</v>
      </c>
      <c r="E395" s="38" t="s">
        <v>59</v>
      </c>
      <c r="F395" s="36">
        <v>6.9491525423728691</v>
      </c>
      <c r="G395">
        <v>6.31</v>
      </c>
      <c r="H395" s="59">
        <f>G395-'Kubiņu masa'!D11</f>
        <v>0.40999999999999925</v>
      </c>
      <c r="I395" s="59">
        <f t="shared" si="12"/>
        <v>1.5185185185185157</v>
      </c>
    </row>
    <row r="396" spans="1:9" x14ac:dyDescent="0.35">
      <c r="A396" s="25" t="s">
        <v>10</v>
      </c>
      <c r="B396" s="25" t="s">
        <v>69</v>
      </c>
      <c r="C396" s="25">
        <v>55</v>
      </c>
      <c r="D396" s="25">
        <v>80</v>
      </c>
      <c r="E396" s="38" t="s">
        <v>59</v>
      </c>
      <c r="F396" s="36">
        <v>7.1895424836601221</v>
      </c>
      <c r="G396">
        <v>6.56</v>
      </c>
      <c r="H396" s="59">
        <f>G396-'Kubiņu masa'!D12</f>
        <v>0.4399999999999995</v>
      </c>
      <c r="I396" s="59">
        <f t="shared" si="12"/>
        <v>1.6296296296296278</v>
      </c>
    </row>
    <row r="397" spans="1:9" x14ac:dyDescent="0.35">
      <c r="A397" s="25" t="s">
        <v>10</v>
      </c>
      <c r="B397" s="25" t="s">
        <v>69</v>
      </c>
      <c r="C397" s="25">
        <v>122</v>
      </c>
      <c r="D397" s="25">
        <v>80</v>
      </c>
      <c r="E397" s="38" t="s">
        <v>59</v>
      </c>
      <c r="F397" s="36">
        <v>6.7961165048543686</v>
      </c>
      <c r="G397">
        <v>6.6</v>
      </c>
      <c r="H397" s="59">
        <f>G397-'Kubiņu masa'!D13</f>
        <v>0.41999999999999993</v>
      </c>
      <c r="I397" s="59">
        <f t="shared" si="12"/>
        <v>1.5555555555555554</v>
      </c>
    </row>
    <row r="398" spans="1:9" x14ac:dyDescent="0.35">
      <c r="A398" s="25" t="s">
        <v>10</v>
      </c>
      <c r="B398" s="25" t="s">
        <v>70</v>
      </c>
      <c r="C398" s="25">
        <v>66</v>
      </c>
      <c r="D398" s="25">
        <v>80</v>
      </c>
      <c r="E398" s="38" t="s">
        <v>59</v>
      </c>
      <c r="F398" s="36">
        <v>7.3305670816044168</v>
      </c>
      <c r="G398">
        <v>7.76</v>
      </c>
      <c r="H398" s="59">
        <f>G398-'Kubiņu masa'!D14</f>
        <v>0.52999999999999936</v>
      </c>
      <c r="I398" s="59">
        <f t="shared" si="12"/>
        <v>1.9629629629629604</v>
      </c>
    </row>
    <row r="399" spans="1:9" x14ac:dyDescent="0.35">
      <c r="A399" s="25" t="s">
        <v>10</v>
      </c>
      <c r="B399" s="25" t="s">
        <v>70</v>
      </c>
      <c r="C399" s="25">
        <v>142</v>
      </c>
      <c r="D399" s="25">
        <v>80</v>
      </c>
      <c r="E399" s="38" t="s">
        <v>59</v>
      </c>
      <c r="F399" s="36">
        <v>7.5000000000000036</v>
      </c>
      <c r="G399">
        <v>8.17</v>
      </c>
      <c r="H399" s="59">
        <f>G399-'Kubiņu masa'!D15</f>
        <v>0.57000000000000028</v>
      </c>
      <c r="I399" s="59">
        <f t="shared" si="12"/>
        <v>2.111111111111112</v>
      </c>
    </row>
    <row r="400" spans="1:9" x14ac:dyDescent="0.35">
      <c r="A400" s="25" t="s">
        <v>10</v>
      </c>
      <c r="B400" s="25" t="s">
        <v>70</v>
      </c>
      <c r="C400" s="25">
        <v>147</v>
      </c>
      <c r="D400" s="25">
        <v>80</v>
      </c>
      <c r="E400" s="38" t="s">
        <v>59</v>
      </c>
      <c r="F400" s="36">
        <v>7.6819407008086289</v>
      </c>
      <c r="G400">
        <v>7.99</v>
      </c>
      <c r="H400" s="59">
        <f>G400-'Kubiņu masa'!D16</f>
        <v>0.57000000000000028</v>
      </c>
      <c r="I400" s="59">
        <f t="shared" si="12"/>
        <v>2.111111111111112</v>
      </c>
    </row>
    <row r="401" spans="1:9" x14ac:dyDescent="0.35">
      <c r="A401" s="25" t="s">
        <v>10</v>
      </c>
      <c r="B401" s="25" t="s">
        <v>71</v>
      </c>
      <c r="C401" s="25">
        <v>75</v>
      </c>
      <c r="D401" s="25">
        <v>80</v>
      </c>
      <c r="E401" s="38" t="s">
        <v>59</v>
      </c>
      <c r="F401" s="36">
        <v>6.8601583113456401</v>
      </c>
      <c r="G401">
        <v>8.1</v>
      </c>
      <c r="H401" s="59">
        <f>G401-'Kubiņu masa'!D17</f>
        <v>0.51999999999999957</v>
      </c>
      <c r="I401" s="59">
        <f t="shared" si="12"/>
        <v>1.9259259259259243</v>
      </c>
    </row>
    <row r="402" spans="1:9" x14ac:dyDescent="0.35">
      <c r="A402" s="25" t="s">
        <v>10</v>
      </c>
      <c r="B402" s="25" t="s">
        <v>71</v>
      </c>
      <c r="C402" s="25">
        <v>81</v>
      </c>
      <c r="D402" s="25">
        <v>80</v>
      </c>
      <c r="E402" s="38" t="s">
        <v>59</v>
      </c>
      <c r="F402" s="36">
        <v>6.8241469816273019</v>
      </c>
      <c r="G402">
        <v>8.14</v>
      </c>
      <c r="H402" s="59">
        <f>G402-'Kubiņu masa'!D18</f>
        <v>0.52000000000000046</v>
      </c>
      <c r="I402" s="59">
        <f t="shared" si="12"/>
        <v>1.9259259259259278</v>
      </c>
    </row>
    <row r="403" spans="1:9" x14ac:dyDescent="0.35">
      <c r="A403" s="25" t="s">
        <v>10</v>
      </c>
      <c r="B403" s="25" t="s">
        <v>71</v>
      </c>
      <c r="C403" s="25">
        <v>91</v>
      </c>
      <c r="D403" s="25">
        <v>80</v>
      </c>
      <c r="E403" s="38" t="s">
        <v>59</v>
      </c>
      <c r="F403" s="36">
        <v>6.6496163682864387</v>
      </c>
      <c r="G403">
        <v>8.34</v>
      </c>
      <c r="H403" s="59">
        <f>G403-'Kubiņu masa'!D19</f>
        <v>0.51999999999999957</v>
      </c>
      <c r="I403" s="59">
        <f t="shared" si="12"/>
        <v>1.9259259259259243</v>
      </c>
    </row>
    <row r="404" spans="1:9" x14ac:dyDescent="0.35">
      <c r="A404" s="25" t="s">
        <v>10</v>
      </c>
      <c r="B404" s="25" t="s">
        <v>72</v>
      </c>
      <c r="C404" s="25">
        <v>103</v>
      </c>
      <c r="D404" s="25">
        <v>80</v>
      </c>
      <c r="E404" s="38" t="s">
        <v>59</v>
      </c>
      <c r="F404" s="36">
        <v>7.2727272727272672</v>
      </c>
      <c r="G404">
        <v>4.13</v>
      </c>
      <c r="H404" s="59">
        <f>G404-'Kubiņu masa'!D20</f>
        <v>0.2799999999999998</v>
      </c>
      <c r="I404" s="59">
        <f t="shared" si="12"/>
        <v>1.0370370370370363</v>
      </c>
    </row>
    <row r="405" spans="1:9" x14ac:dyDescent="0.35">
      <c r="A405" s="25" t="s">
        <v>10</v>
      </c>
      <c r="B405" s="25" t="s">
        <v>72</v>
      </c>
      <c r="C405" s="25">
        <v>283</v>
      </c>
      <c r="D405" s="25">
        <v>80</v>
      </c>
      <c r="E405" s="38" t="s">
        <v>59</v>
      </c>
      <c r="F405" s="36">
        <v>7.5187969924811986</v>
      </c>
      <c r="G405">
        <v>4.29</v>
      </c>
      <c r="H405" s="59">
        <f>G405-'Kubiņu masa'!D21</f>
        <v>0.29999999999999982</v>
      </c>
      <c r="I405" s="59">
        <f t="shared" si="12"/>
        <v>1.1111111111111105</v>
      </c>
    </row>
    <row r="406" spans="1:9" x14ac:dyDescent="0.35">
      <c r="A406" s="25" t="s">
        <v>10</v>
      </c>
      <c r="B406" s="25" t="s">
        <v>72</v>
      </c>
      <c r="C406" s="25">
        <v>323</v>
      </c>
      <c r="D406" s="25">
        <v>80</v>
      </c>
      <c r="E406" s="38" t="s">
        <v>59</v>
      </c>
      <c r="F406" s="36">
        <v>6.8883610451306421</v>
      </c>
      <c r="G406">
        <v>4.5</v>
      </c>
      <c r="H406" s="59">
        <f>G406-'Kubiņu masa'!D22</f>
        <v>0.29000000000000004</v>
      </c>
      <c r="I406" s="59">
        <f t="shared" si="12"/>
        <v>1.0740740740740742</v>
      </c>
    </row>
    <row r="407" spans="1:9" x14ac:dyDescent="0.35">
      <c r="A407" s="25" t="s">
        <v>10</v>
      </c>
      <c r="B407" s="25" t="s">
        <v>73</v>
      </c>
      <c r="C407" s="25">
        <v>203</v>
      </c>
      <c r="D407" s="25">
        <v>80</v>
      </c>
      <c r="E407" s="38" t="s">
        <v>59</v>
      </c>
      <c r="F407" s="36">
        <v>6.8136272545090151</v>
      </c>
      <c r="G407">
        <v>5.33</v>
      </c>
      <c r="H407" s="59">
        <f>G407-'Kubiņu masa'!D23</f>
        <v>0.33999999999999986</v>
      </c>
      <c r="I407" s="59">
        <f t="shared" si="12"/>
        <v>1.2592592592592589</v>
      </c>
    </row>
    <row r="408" spans="1:9" x14ac:dyDescent="0.35">
      <c r="A408" s="25" t="s">
        <v>10</v>
      </c>
      <c r="B408" s="25" t="s">
        <v>73</v>
      </c>
      <c r="C408" s="25">
        <v>272</v>
      </c>
      <c r="D408" s="25">
        <v>80</v>
      </c>
      <c r="E408" s="38" t="s">
        <v>59</v>
      </c>
      <c r="F408" s="36">
        <v>7.1138211382113754</v>
      </c>
      <c r="G408">
        <v>5.27</v>
      </c>
      <c r="H408" s="59">
        <f>G408-'Kubiņu masa'!D24</f>
        <v>0.34999999999999964</v>
      </c>
      <c r="I408" s="59">
        <f t="shared" si="12"/>
        <v>1.2962962962962949</v>
      </c>
    </row>
    <row r="409" spans="1:9" x14ac:dyDescent="0.35">
      <c r="A409" s="25" t="s">
        <v>10</v>
      </c>
      <c r="B409" s="25" t="s">
        <v>73</v>
      </c>
      <c r="C409" s="25">
        <v>266</v>
      </c>
      <c r="D409" s="25">
        <v>80</v>
      </c>
      <c r="E409" s="38" t="s">
        <v>59</v>
      </c>
      <c r="F409" s="36">
        <v>6.7864271457085801</v>
      </c>
      <c r="G409">
        <v>5.35</v>
      </c>
      <c r="H409" s="59">
        <f>G409-'Kubiņu masa'!D25</f>
        <v>0.33999999999999986</v>
      </c>
      <c r="I409" s="59">
        <f t="shared" si="12"/>
        <v>1.2592592592592589</v>
      </c>
    </row>
    <row r="410" spans="1:9" x14ac:dyDescent="0.35">
      <c r="A410" s="25" t="s">
        <v>10</v>
      </c>
      <c r="B410" s="25" t="s">
        <v>74</v>
      </c>
      <c r="C410" s="25">
        <v>168</v>
      </c>
      <c r="D410" s="25">
        <v>80</v>
      </c>
      <c r="E410" s="38" t="s">
        <v>59</v>
      </c>
      <c r="F410" s="36">
        <v>7.599309153713306</v>
      </c>
      <c r="G410">
        <v>6.23</v>
      </c>
      <c r="H410" s="59">
        <f>G410-'Kubiņu masa'!D26</f>
        <v>0.44000000000000039</v>
      </c>
      <c r="I410" s="59">
        <f t="shared" si="12"/>
        <v>1.6296296296296313</v>
      </c>
    </row>
    <row r="411" spans="1:9" x14ac:dyDescent="0.35">
      <c r="A411" s="25" t="s">
        <v>10</v>
      </c>
      <c r="B411" s="25" t="s">
        <v>74</v>
      </c>
      <c r="C411" s="25">
        <v>343</v>
      </c>
      <c r="D411" s="25">
        <v>80</v>
      </c>
      <c r="E411" s="38" t="s">
        <v>59</v>
      </c>
      <c r="F411" s="36">
        <v>7.9470198675496606</v>
      </c>
      <c r="G411">
        <v>6.52</v>
      </c>
      <c r="H411" s="59">
        <f>G411-'Kubiņu masa'!D27</f>
        <v>0.47999999999999954</v>
      </c>
      <c r="I411" s="59">
        <f t="shared" si="12"/>
        <v>1.7777777777777761</v>
      </c>
    </row>
    <row r="412" spans="1:9" x14ac:dyDescent="0.35">
      <c r="A412" s="25" t="s">
        <v>10</v>
      </c>
      <c r="B412" s="25" t="s">
        <v>74</v>
      </c>
      <c r="C412" s="25">
        <v>58</v>
      </c>
      <c r="D412" s="25">
        <v>80</v>
      </c>
      <c r="E412" s="38" t="s">
        <v>59</v>
      </c>
      <c r="F412" s="36">
        <v>7.8464106844741188</v>
      </c>
      <c r="G412">
        <v>6.46</v>
      </c>
      <c r="H412" s="59">
        <f>G412-'Kubiņu masa'!D28</f>
        <v>0.46999999999999975</v>
      </c>
      <c r="I412" s="59">
        <f t="shared" si="12"/>
        <v>1.74074074074074</v>
      </c>
    </row>
    <row r="413" spans="1:9" x14ac:dyDescent="0.35">
      <c r="A413" s="25" t="s">
        <v>10</v>
      </c>
      <c r="B413" s="25" t="s">
        <v>75</v>
      </c>
      <c r="C413" s="25">
        <v>187</v>
      </c>
      <c r="D413" s="25">
        <v>80</v>
      </c>
      <c r="E413" s="38" t="s">
        <v>59</v>
      </c>
      <c r="F413" s="36">
        <v>6.4766839378238465</v>
      </c>
      <c r="G413">
        <v>4.1100000000000003</v>
      </c>
      <c r="H413" s="59">
        <f>G413-'Kubiņu masa'!D29</f>
        <v>0.25000000000000044</v>
      </c>
      <c r="I413" s="59">
        <f t="shared" si="12"/>
        <v>0.9259259259259276</v>
      </c>
    </row>
    <row r="414" spans="1:9" x14ac:dyDescent="0.35">
      <c r="A414" s="25" t="s">
        <v>10</v>
      </c>
      <c r="B414" s="25" t="s">
        <v>75</v>
      </c>
      <c r="C414" s="25">
        <v>248</v>
      </c>
      <c r="D414" s="25">
        <v>80</v>
      </c>
      <c r="E414" s="38" t="s">
        <v>59</v>
      </c>
      <c r="F414" s="36">
        <v>6.7146282973621156</v>
      </c>
      <c r="G414">
        <v>4.45</v>
      </c>
      <c r="H414" s="59">
        <f>G414-'Kubiņu masa'!D30</f>
        <v>0.28000000000000025</v>
      </c>
      <c r="I414" s="59">
        <f t="shared" si="12"/>
        <v>1.0370370370370379</v>
      </c>
    </row>
    <row r="415" spans="1:9" x14ac:dyDescent="0.35">
      <c r="A415" s="25" t="s">
        <v>10</v>
      </c>
      <c r="B415" s="25" t="s">
        <v>75</v>
      </c>
      <c r="C415" s="25">
        <v>212</v>
      </c>
      <c r="D415" s="25">
        <v>80</v>
      </c>
      <c r="E415" s="38" t="s">
        <v>59</v>
      </c>
      <c r="F415" s="36">
        <v>6.329113924050632</v>
      </c>
      <c r="G415">
        <v>4.2</v>
      </c>
      <c r="H415" s="59">
        <f>G415-'Kubiņu masa'!D31</f>
        <v>0.25</v>
      </c>
      <c r="I415" s="59">
        <f t="shared" si="12"/>
        <v>0.92592592592592582</v>
      </c>
    </row>
    <row r="416" spans="1:9" x14ac:dyDescent="0.35">
      <c r="A416" s="25" t="s">
        <v>40</v>
      </c>
      <c r="B416" s="25" t="s">
        <v>68</v>
      </c>
      <c r="C416" s="25">
        <v>5</v>
      </c>
      <c r="D416" s="25">
        <v>80</v>
      </c>
      <c r="E416" s="38" t="s">
        <v>59</v>
      </c>
      <c r="F416" s="36">
        <v>7.4175824175824179</v>
      </c>
      <c r="G416">
        <v>7.82</v>
      </c>
      <c r="H416" s="59">
        <f>G416-'Kubiņu masa'!D32</f>
        <v>0.54</v>
      </c>
      <c r="I416" s="59">
        <f t="shared" si="12"/>
        <v>2</v>
      </c>
    </row>
    <row r="417" spans="1:9" x14ac:dyDescent="0.35">
      <c r="A417" s="25" t="s">
        <v>40</v>
      </c>
      <c r="B417" s="25" t="s">
        <v>68</v>
      </c>
      <c r="C417" s="25">
        <v>17</v>
      </c>
      <c r="D417" s="25">
        <v>80</v>
      </c>
      <c r="E417" s="38" t="s">
        <v>59</v>
      </c>
      <c r="F417" s="36">
        <v>7.1625344352617155</v>
      </c>
      <c r="G417">
        <v>7.78</v>
      </c>
      <c r="H417" s="59">
        <f>G417-'Kubiņu masa'!D33</f>
        <v>0.52000000000000046</v>
      </c>
      <c r="I417" s="59">
        <f t="shared" si="12"/>
        <v>1.9259259259259278</v>
      </c>
    </row>
    <row r="418" spans="1:9" x14ac:dyDescent="0.35">
      <c r="A418" s="25" t="s">
        <v>40</v>
      </c>
      <c r="B418" s="25" t="s">
        <v>68</v>
      </c>
      <c r="C418" s="25">
        <v>99</v>
      </c>
      <c r="D418" s="25">
        <v>80</v>
      </c>
      <c r="E418" s="38" t="s">
        <v>59</v>
      </c>
      <c r="F418" s="36">
        <v>7.3369565217391308</v>
      </c>
      <c r="G418">
        <v>7.9</v>
      </c>
      <c r="H418" s="59">
        <f>G418-'Kubiņu masa'!D34</f>
        <v>0.54</v>
      </c>
      <c r="I418" s="59">
        <f t="shared" si="12"/>
        <v>2</v>
      </c>
    </row>
    <row r="419" spans="1:9" x14ac:dyDescent="0.35">
      <c r="A419" s="25" t="s">
        <v>40</v>
      </c>
      <c r="B419" s="25" t="s">
        <v>69</v>
      </c>
      <c r="C419" s="25">
        <v>37</v>
      </c>
      <c r="D419" s="25">
        <v>80</v>
      </c>
      <c r="E419" s="38" t="s">
        <v>59</v>
      </c>
      <c r="F419" s="36">
        <v>7.3170731707317058</v>
      </c>
      <c r="G419">
        <v>6.16</v>
      </c>
      <c r="H419" s="59">
        <f>G419-'Kubiņu masa'!D35</f>
        <v>0.41999999999999993</v>
      </c>
      <c r="I419" s="59">
        <f t="shared" si="12"/>
        <v>1.5555555555555554</v>
      </c>
    </row>
    <row r="420" spans="1:9" x14ac:dyDescent="0.35">
      <c r="A420" s="25" t="s">
        <v>40</v>
      </c>
      <c r="B420" s="25" t="s">
        <v>69</v>
      </c>
      <c r="C420" s="25">
        <v>53</v>
      </c>
      <c r="D420" s="25">
        <v>80</v>
      </c>
      <c r="E420" s="38" t="s">
        <v>59</v>
      </c>
      <c r="F420" s="36">
        <v>7.2115384615384635</v>
      </c>
      <c r="G420">
        <v>6.69</v>
      </c>
      <c r="H420" s="59">
        <f>G420-'Kubiņu masa'!D36</f>
        <v>0.45000000000000018</v>
      </c>
      <c r="I420" s="59">
        <f t="shared" si="12"/>
        <v>1.6666666666666674</v>
      </c>
    </row>
    <row r="421" spans="1:9" x14ac:dyDescent="0.35">
      <c r="A421" s="25" t="s">
        <v>40</v>
      </c>
      <c r="B421" s="25" t="s">
        <v>69</v>
      </c>
      <c r="C421" s="25">
        <v>134</v>
      </c>
      <c r="D421" s="25">
        <v>80</v>
      </c>
      <c r="E421" s="38" t="s">
        <v>59</v>
      </c>
      <c r="F421" s="36">
        <v>7.0469798657718119</v>
      </c>
      <c r="G421">
        <v>6.38</v>
      </c>
      <c r="H421" s="59">
        <f>G421-'Kubiņu masa'!D37</f>
        <v>0.41999999999999993</v>
      </c>
      <c r="I421" s="59">
        <f t="shared" si="12"/>
        <v>1.5555555555555554</v>
      </c>
    </row>
    <row r="422" spans="1:9" x14ac:dyDescent="0.35">
      <c r="A422" s="25" t="s">
        <v>40</v>
      </c>
      <c r="B422" s="25" t="s">
        <v>70</v>
      </c>
      <c r="C422" s="25">
        <v>68</v>
      </c>
      <c r="D422" s="25">
        <v>80</v>
      </c>
      <c r="E422" s="38" t="s">
        <v>59</v>
      </c>
      <c r="F422" s="36">
        <v>7.4380165289256199</v>
      </c>
      <c r="G422">
        <v>7.8</v>
      </c>
      <c r="H422" s="59">
        <f>G422-'Kubiņu masa'!D38</f>
        <v>0.54</v>
      </c>
      <c r="I422" s="59">
        <f t="shared" si="12"/>
        <v>2</v>
      </c>
    </row>
    <row r="423" spans="1:9" x14ac:dyDescent="0.35">
      <c r="A423" s="25" t="s">
        <v>40</v>
      </c>
      <c r="B423" s="25" t="s">
        <v>70</v>
      </c>
      <c r="C423" s="25">
        <v>143</v>
      </c>
      <c r="D423" s="25">
        <v>80</v>
      </c>
      <c r="E423" s="38" t="s">
        <v>59</v>
      </c>
      <c r="F423" s="36">
        <v>7.8484438430311245</v>
      </c>
      <c r="G423">
        <v>7.97</v>
      </c>
      <c r="H423" s="59">
        <f>G423-'Kubiņu masa'!D39</f>
        <v>0.58000000000000007</v>
      </c>
      <c r="I423" s="59">
        <f t="shared" si="12"/>
        <v>2.1481481481481484</v>
      </c>
    </row>
    <row r="424" spans="1:9" x14ac:dyDescent="0.35">
      <c r="A424" s="25" t="s">
        <v>40</v>
      </c>
      <c r="B424" s="25" t="s">
        <v>70</v>
      </c>
      <c r="C424" s="25">
        <v>190</v>
      </c>
      <c r="D424" s="25">
        <v>80</v>
      </c>
      <c r="E424" s="38" t="s">
        <v>59</v>
      </c>
      <c r="F424" s="36">
        <v>7.0323488045007032</v>
      </c>
      <c r="G424">
        <v>7.61</v>
      </c>
      <c r="H424" s="59">
        <f>G424-'Kubiņu masa'!D40</f>
        <v>0.5</v>
      </c>
      <c r="I424" s="59">
        <f t="shared" si="12"/>
        <v>1.8518518518518516</v>
      </c>
    </row>
    <row r="425" spans="1:9" x14ac:dyDescent="0.35">
      <c r="A425" s="25" t="s">
        <v>40</v>
      </c>
      <c r="B425" s="25" t="s">
        <v>71</v>
      </c>
      <c r="C425" s="25">
        <v>158</v>
      </c>
      <c r="D425" s="25">
        <v>80</v>
      </c>
      <c r="E425" s="38" t="s">
        <v>59</v>
      </c>
      <c r="F425" s="36">
        <v>7.047387606318348</v>
      </c>
      <c r="G425">
        <v>8.81</v>
      </c>
      <c r="H425" s="59">
        <f>G425-'Kubiņu masa'!D41</f>
        <v>0.58000000000000007</v>
      </c>
      <c r="I425" s="59">
        <f t="shared" si="12"/>
        <v>2.1481481481481484</v>
      </c>
    </row>
    <row r="426" spans="1:9" x14ac:dyDescent="0.35">
      <c r="A426" s="25" t="s">
        <v>40</v>
      </c>
      <c r="B426" s="25" t="s">
        <v>71</v>
      </c>
      <c r="C426" s="25">
        <v>169</v>
      </c>
      <c r="D426" s="25">
        <v>80</v>
      </c>
      <c r="E426" s="38" t="s">
        <v>59</v>
      </c>
      <c r="F426" s="36">
        <v>6.9620253164556818</v>
      </c>
      <c r="G426">
        <v>8.4499999999999993</v>
      </c>
      <c r="H426" s="59">
        <f>G426-'Kubiņu masa'!D42</f>
        <v>0.54999999999999893</v>
      </c>
      <c r="I426" s="59">
        <f t="shared" si="12"/>
        <v>2.0370370370370332</v>
      </c>
    </row>
    <row r="427" spans="1:9" x14ac:dyDescent="0.35">
      <c r="A427" s="25" t="s">
        <v>40</v>
      </c>
      <c r="B427" s="25" t="s">
        <v>71</v>
      </c>
      <c r="C427" s="25">
        <v>174</v>
      </c>
      <c r="D427" s="25">
        <v>80</v>
      </c>
      <c r="E427" s="38" t="s">
        <v>59</v>
      </c>
      <c r="F427" s="36">
        <v>6.9645203679369283</v>
      </c>
      <c r="G427">
        <v>8.14</v>
      </c>
      <c r="H427" s="59">
        <f>G427-'Kubiņu masa'!D43</f>
        <v>0.53000000000000025</v>
      </c>
      <c r="I427" s="59">
        <f t="shared" si="12"/>
        <v>1.9629629629629639</v>
      </c>
    </row>
    <row r="428" spans="1:9" x14ac:dyDescent="0.35">
      <c r="A428" s="25" t="s">
        <v>40</v>
      </c>
      <c r="B428" s="25" t="s">
        <v>72</v>
      </c>
      <c r="C428" s="25">
        <v>108</v>
      </c>
      <c r="D428" s="25">
        <v>80</v>
      </c>
      <c r="E428" s="38" t="s">
        <v>59</v>
      </c>
      <c r="F428" s="36">
        <v>6.6997518610421736</v>
      </c>
      <c r="G428">
        <v>4.3</v>
      </c>
      <c r="H428" s="59">
        <f>G428-'Kubiņu masa'!D44</f>
        <v>0.26999999999999957</v>
      </c>
      <c r="I428" s="59">
        <f t="shared" si="12"/>
        <v>0.99999999999999845</v>
      </c>
    </row>
    <row r="429" spans="1:9" x14ac:dyDescent="0.35">
      <c r="A429" s="25" t="s">
        <v>40</v>
      </c>
      <c r="B429" s="25" t="s">
        <v>72</v>
      </c>
      <c r="C429" s="25">
        <v>287</v>
      </c>
      <c r="D429" s="25">
        <v>80</v>
      </c>
      <c r="E429" s="38" t="s">
        <v>59</v>
      </c>
      <c r="F429" s="36">
        <v>6.4102564102564266</v>
      </c>
      <c r="G429">
        <v>4.9800000000000004</v>
      </c>
      <c r="H429" s="59">
        <f>G429-'Kubiņu masa'!D45</f>
        <v>0.30000000000000071</v>
      </c>
      <c r="I429" s="59">
        <f t="shared" si="12"/>
        <v>1.1111111111111138</v>
      </c>
    </row>
    <row r="430" spans="1:9" x14ac:dyDescent="0.35">
      <c r="A430" s="25" t="s">
        <v>40</v>
      </c>
      <c r="B430" s="25" t="s">
        <v>72</v>
      </c>
      <c r="C430" s="25">
        <v>328</v>
      </c>
      <c r="D430" s="25">
        <v>80</v>
      </c>
      <c r="E430" s="38" t="s">
        <v>59</v>
      </c>
      <c r="F430" s="36">
        <v>6.6193853427895828</v>
      </c>
      <c r="G430">
        <v>4.51</v>
      </c>
      <c r="H430" s="59">
        <f>G430-'Kubiņu masa'!D46</f>
        <v>0.27999999999999936</v>
      </c>
      <c r="I430" s="59">
        <f t="shared" si="12"/>
        <v>1.0370370370370348</v>
      </c>
    </row>
    <row r="431" spans="1:9" x14ac:dyDescent="0.35">
      <c r="A431" s="25" t="s">
        <v>40</v>
      </c>
      <c r="B431" s="25" t="s">
        <v>73</v>
      </c>
      <c r="C431" s="25">
        <v>207</v>
      </c>
      <c r="D431" s="25">
        <v>80</v>
      </c>
      <c r="E431" s="38" t="s">
        <v>59</v>
      </c>
      <c r="F431" s="36">
        <v>6.6666666666666599</v>
      </c>
      <c r="G431">
        <v>5.6</v>
      </c>
      <c r="H431" s="59">
        <f>G431-'Kubiņu masa'!D47</f>
        <v>0.34999999999999964</v>
      </c>
      <c r="I431" s="59">
        <f t="shared" si="12"/>
        <v>1.2962962962962949</v>
      </c>
    </row>
    <row r="432" spans="1:9" x14ac:dyDescent="0.35">
      <c r="A432" s="25" t="s">
        <v>40</v>
      </c>
      <c r="B432" s="25" t="s">
        <v>73</v>
      </c>
      <c r="C432" s="25">
        <v>314</v>
      </c>
      <c r="D432" s="25">
        <v>80</v>
      </c>
      <c r="E432" s="38" t="s">
        <v>59</v>
      </c>
      <c r="F432" s="36">
        <v>6.6666666666666554</v>
      </c>
      <c r="G432">
        <v>5.76</v>
      </c>
      <c r="H432" s="59">
        <f>G432-'Kubiņu masa'!D48</f>
        <v>0.35999999999999943</v>
      </c>
      <c r="I432" s="59">
        <f t="shared" si="12"/>
        <v>1.3333333333333313</v>
      </c>
    </row>
    <row r="433" spans="1:9" x14ac:dyDescent="0.35">
      <c r="A433" s="25" t="s">
        <v>40</v>
      </c>
      <c r="B433" s="25" t="s">
        <v>73</v>
      </c>
      <c r="C433" s="25">
        <v>280</v>
      </c>
      <c r="D433" s="25">
        <v>80</v>
      </c>
      <c r="E433" s="38" t="s">
        <v>59</v>
      </c>
      <c r="F433" s="36">
        <v>6.826568265682659</v>
      </c>
      <c r="G433">
        <v>5.79</v>
      </c>
      <c r="H433" s="59">
        <f>G433-'Kubiņu masa'!D49</f>
        <v>0.37000000000000011</v>
      </c>
      <c r="I433" s="59">
        <f t="shared" si="12"/>
        <v>1.3703703703703707</v>
      </c>
    </row>
    <row r="434" spans="1:9" x14ac:dyDescent="0.35">
      <c r="A434" s="25" t="s">
        <v>40</v>
      </c>
      <c r="B434" s="25" t="s">
        <v>74</v>
      </c>
      <c r="C434" s="25">
        <v>172</v>
      </c>
      <c r="D434" s="25">
        <v>80</v>
      </c>
      <c r="E434" s="38" t="s">
        <v>59</v>
      </c>
      <c r="F434" s="36">
        <v>7.2164948453608231</v>
      </c>
      <c r="G434">
        <v>6.24</v>
      </c>
      <c r="H434" s="59">
        <f>G434-'Kubiņu masa'!D50</f>
        <v>0.41999999999999993</v>
      </c>
      <c r="I434" s="59">
        <f t="shared" si="12"/>
        <v>1.5555555555555554</v>
      </c>
    </row>
    <row r="435" spans="1:9" x14ac:dyDescent="0.35">
      <c r="A435" s="25" t="s">
        <v>40</v>
      </c>
      <c r="B435" s="25" t="s">
        <v>74</v>
      </c>
      <c r="C435" s="25">
        <v>229</v>
      </c>
      <c r="D435" s="25">
        <v>80</v>
      </c>
      <c r="E435" s="38" t="s">
        <v>59</v>
      </c>
      <c r="F435" s="36">
        <v>7.573149741824448</v>
      </c>
      <c r="G435">
        <v>6.25</v>
      </c>
      <c r="H435" s="59">
        <f>G435-'Kubiņu masa'!D51</f>
        <v>0.44000000000000039</v>
      </c>
      <c r="I435" s="59">
        <f t="shared" si="12"/>
        <v>1.6296296296296313</v>
      </c>
    </row>
    <row r="436" spans="1:9" x14ac:dyDescent="0.35">
      <c r="A436" s="25" t="s">
        <v>40</v>
      </c>
      <c r="B436" s="25" t="s">
        <v>74</v>
      </c>
      <c r="C436" s="25">
        <v>349</v>
      </c>
      <c r="D436" s="25">
        <v>80</v>
      </c>
      <c r="E436" s="38" t="s">
        <v>59</v>
      </c>
      <c r="F436" s="36">
        <v>7.5471698113207459</v>
      </c>
      <c r="G436">
        <v>6.27</v>
      </c>
      <c r="H436" s="59">
        <f>G436-'Kubiņu masa'!D52</f>
        <v>0.4399999999999995</v>
      </c>
      <c r="I436" s="59">
        <f t="shared" si="12"/>
        <v>1.6296296296296278</v>
      </c>
    </row>
    <row r="437" spans="1:9" x14ac:dyDescent="0.35">
      <c r="A437" s="25" t="s">
        <v>40</v>
      </c>
      <c r="B437" s="25" t="s">
        <v>75</v>
      </c>
      <c r="C437" s="25">
        <v>193</v>
      </c>
      <c r="D437" s="25">
        <v>80</v>
      </c>
      <c r="E437" s="38" t="s">
        <v>59</v>
      </c>
      <c r="F437" s="36">
        <v>6.6059225512528492</v>
      </c>
      <c r="G437">
        <v>4.68</v>
      </c>
      <c r="H437" s="59">
        <f>G437-'Kubiņu masa'!D53</f>
        <v>0.29000000000000004</v>
      </c>
      <c r="I437" s="59">
        <f t="shared" si="12"/>
        <v>1.0740740740740742</v>
      </c>
    </row>
    <row r="438" spans="1:9" x14ac:dyDescent="0.35">
      <c r="A438" s="25" t="s">
        <v>40</v>
      </c>
      <c r="B438" s="25" t="s">
        <v>75</v>
      </c>
      <c r="C438" s="25">
        <v>160</v>
      </c>
      <c r="D438" s="25">
        <v>80</v>
      </c>
      <c r="E438" s="38" t="s">
        <v>59</v>
      </c>
      <c r="F438" s="36">
        <v>6.2068965517241486</v>
      </c>
      <c r="G438">
        <v>4.62</v>
      </c>
      <c r="H438" s="59">
        <f>G438-'Kubiņu masa'!D54</f>
        <v>0.27000000000000046</v>
      </c>
      <c r="I438" s="59">
        <f t="shared" si="12"/>
        <v>1.0000000000000018</v>
      </c>
    </row>
    <row r="439" spans="1:9" x14ac:dyDescent="0.35">
      <c r="A439" s="25" t="s">
        <v>40</v>
      </c>
      <c r="B439" s="25" t="s">
        <v>75</v>
      </c>
      <c r="C439" s="25">
        <v>218</v>
      </c>
      <c r="D439" s="25">
        <v>80</v>
      </c>
      <c r="E439" s="38" t="s">
        <v>59</v>
      </c>
      <c r="F439" s="36">
        <v>6.205250596658705</v>
      </c>
      <c r="G439">
        <v>4.45</v>
      </c>
      <c r="H439" s="59">
        <f>G439-'Kubiņu masa'!D55</f>
        <v>0.25999999999999979</v>
      </c>
      <c r="I439" s="59">
        <f t="shared" si="12"/>
        <v>0.96296296296296213</v>
      </c>
    </row>
    <row r="440" spans="1:9" x14ac:dyDescent="0.35">
      <c r="A440" s="25" t="s">
        <v>41</v>
      </c>
      <c r="B440" s="25" t="s">
        <v>91</v>
      </c>
      <c r="C440" s="25">
        <v>32</v>
      </c>
      <c r="D440" s="25">
        <v>80</v>
      </c>
      <c r="E440" s="38" t="s">
        <v>59</v>
      </c>
      <c r="F440" s="36">
        <v>8.9121887287024979</v>
      </c>
      <c r="G440">
        <v>16.62</v>
      </c>
      <c r="H440" s="59">
        <f>G440-'Kubiņu masa'!D56</f>
        <v>1.3600000000000012</v>
      </c>
      <c r="I440" s="59">
        <f>H440/15*100</f>
        <v>9.0666666666666735</v>
      </c>
    </row>
    <row r="441" spans="1:9" x14ac:dyDescent="0.35">
      <c r="A441" s="25" t="s">
        <v>41</v>
      </c>
      <c r="B441" s="25" t="s">
        <v>91</v>
      </c>
      <c r="C441" s="25">
        <v>33</v>
      </c>
      <c r="D441" s="25">
        <v>80</v>
      </c>
      <c r="E441" s="38" t="s">
        <v>59</v>
      </c>
      <c r="F441" s="36">
        <v>8.676092544987144</v>
      </c>
      <c r="G441">
        <v>16.91</v>
      </c>
      <c r="H441" s="59">
        <f>G441-'Kubiņu masa'!D57</f>
        <v>1.3499999999999996</v>
      </c>
      <c r="I441" s="59">
        <f t="shared" ref="I441:I456" si="13">H441/15*100</f>
        <v>8.9999999999999982</v>
      </c>
    </row>
    <row r="442" spans="1:9" x14ac:dyDescent="0.35">
      <c r="A442" s="25" t="s">
        <v>41</v>
      </c>
      <c r="B442" s="25" t="s">
        <v>91</v>
      </c>
      <c r="C442" s="25">
        <v>34</v>
      </c>
      <c r="D442" s="25">
        <v>80</v>
      </c>
      <c r="E442" s="38" t="s">
        <v>59</v>
      </c>
      <c r="F442" s="36">
        <v>8.5518102372035028</v>
      </c>
      <c r="G442">
        <v>17.39</v>
      </c>
      <c r="H442" s="59">
        <f>G442-'Kubiņu masa'!D58</f>
        <v>1.370000000000001</v>
      </c>
      <c r="I442" s="59">
        <f t="shared" si="13"/>
        <v>9.13333333333334</v>
      </c>
    </row>
    <row r="443" spans="1:9" x14ac:dyDescent="0.35">
      <c r="A443" s="25" t="s">
        <v>41</v>
      </c>
      <c r="B443" s="25" t="s">
        <v>29</v>
      </c>
      <c r="C443" s="25">
        <v>50</v>
      </c>
      <c r="D443" s="25">
        <v>80</v>
      </c>
      <c r="E443" s="38" t="s">
        <v>59</v>
      </c>
      <c r="F443" s="36">
        <v>6.1760840998685902</v>
      </c>
      <c r="G443">
        <v>16.16</v>
      </c>
      <c r="H443" s="59">
        <f>G443-'Kubiņu masa'!D59</f>
        <v>0.9399999999999995</v>
      </c>
      <c r="I443" s="59">
        <f t="shared" si="13"/>
        <v>6.2666666666666631</v>
      </c>
    </row>
    <row r="444" spans="1:9" x14ac:dyDescent="0.35">
      <c r="A444" s="25" t="s">
        <v>41</v>
      </c>
      <c r="B444" s="25" t="s">
        <v>29</v>
      </c>
      <c r="C444" s="25">
        <v>51</v>
      </c>
      <c r="D444" s="25">
        <v>80</v>
      </c>
      <c r="E444" s="38" t="s">
        <v>59</v>
      </c>
      <c r="F444" s="36">
        <v>6.1415220293724957</v>
      </c>
      <c r="G444">
        <v>15.9</v>
      </c>
      <c r="H444" s="59">
        <f>G444-'Kubiņu masa'!D60</f>
        <v>0.91999999999999993</v>
      </c>
      <c r="I444" s="59">
        <f t="shared" si="13"/>
        <v>6.1333333333333329</v>
      </c>
    </row>
    <row r="445" spans="1:9" x14ac:dyDescent="0.35">
      <c r="A445" s="25" t="s">
        <v>41</v>
      </c>
      <c r="B445" s="25" t="s">
        <v>29</v>
      </c>
      <c r="C445" s="25">
        <v>52</v>
      </c>
      <c r="D445" s="25">
        <v>80</v>
      </c>
      <c r="E445" s="38" t="s">
        <v>59</v>
      </c>
      <c r="F445" s="36">
        <v>6.10484406104844</v>
      </c>
      <c r="G445">
        <v>15.99</v>
      </c>
      <c r="H445" s="59">
        <f>G445-'Kubiņu masa'!D61</f>
        <v>0.91999999999999993</v>
      </c>
      <c r="I445" s="59">
        <f t="shared" si="13"/>
        <v>6.1333333333333329</v>
      </c>
    </row>
    <row r="446" spans="1:9" x14ac:dyDescent="0.35">
      <c r="A446" s="25" t="s">
        <v>41</v>
      </c>
      <c r="B446" s="25" t="s">
        <v>88</v>
      </c>
      <c r="C446" s="25" t="s">
        <v>42</v>
      </c>
      <c r="D446" s="25">
        <v>80</v>
      </c>
      <c r="E446" s="38" t="s">
        <v>59</v>
      </c>
      <c r="F446" s="36">
        <v>7.1536144578313339</v>
      </c>
      <c r="G446">
        <v>14.23</v>
      </c>
      <c r="H446" s="59">
        <f>G446-'Kubiņu masa'!D62</f>
        <v>0.95000000000000107</v>
      </c>
      <c r="I446" s="59">
        <f t="shared" si="13"/>
        <v>6.333333333333341</v>
      </c>
    </row>
    <row r="447" spans="1:9" x14ac:dyDescent="0.35">
      <c r="A447" s="25" t="s">
        <v>41</v>
      </c>
      <c r="B447" s="25" t="s">
        <v>88</v>
      </c>
      <c r="C447" s="25" t="s">
        <v>43</v>
      </c>
      <c r="D447" s="25">
        <v>80</v>
      </c>
      <c r="E447" s="38" t="s">
        <v>59</v>
      </c>
      <c r="F447" s="36">
        <v>7.0722433460076024</v>
      </c>
      <c r="G447">
        <v>14.08</v>
      </c>
      <c r="H447" s="59">
        <f>G447-'Kubiņu masa'!D63</f>
        <v>0.92999999999999972</v>
      </c>
      <c r="I447" s="59">
        <f t="shared" si="13"/>
        <v>6.1999999999999975</v>
      </c>
    </row>
    <row r="448" spans="1:9" x14ac:dyDescent="0.35">
      <c r="A448" s="25" t="s">
        <v>41</v>
      </c>
      <c r="B448" s="25" t="s">
        <v>88</v>
      </c>
      <c r="C448" s="25" t="s">
        <v>44</v>
      </c>
      <c r="D448" s="25">
        <v>80</v>
      </c>
      <c r="E448" s="38" t="s">
        <v>59</v>
      </c>
      <c r="F448" s="36">
        <v>7.1920428462126971</v>
      </c>
      <c r="G448">
        <v>14.01</v>
      </c>
      <c r="H448" s="59">
        <f>G448-'Kubiņu masa'!D64</f>
        <v>0.9399999999999995</v>
      </c>
      <c r="I448" s="59">
        <f t="shared" si="13"/>
        <v>6.2666666666666631</v>
      </c>
    </row>
    <row r="449" spans="1:9" x14ac:dyDescent="0.35">
      <c r="A449" s="25" t="s">
        <v>41</v>
      </c>
      <c r="B449" s="25" t="s">
        <v>89</v>
      </c>
      <c r="C449" s="25" t="s">
        <v>45</v>
      </c>
      <c r="D449" s="25">
        <v>80</v>
      </c>
      <c r="E449" s="38" t="s">
        <v>59</v>
      </c>
      <c r="F449" s="36">
        <v>7.7153558052434539</v>
      </c>
      <c r="G449">
        <v>14.38</v>
      </c>
      <c r="H449" s="59">
        <f>G449-'Kubiņu masa'!D65</f>
        <v>1.0300000000000011</v>
      </c>
      <c r="I449" s="59">
        <f t="shared" si="13"/>
        <v>6.8666666666666734</v>
      </c>
    </row>
    <row r="450" spans="1:9" x14ac:dyDescent="0.35">
      <c r="A450" s="25" t="s">
        <v>41</v>
      </c>
      <c r="B450" s="25" t="s">
        <v>89</v>
      </c>
      <c r="C450" s="25" t="s">
        <v>46</v>
      </c>
      <c r="D450" s="25">
        <v>80</v>
      </c>
      <c r="E450" s="38" t="s">
        <v>59</v>
      </c>
      <c r="F450" s="36">
        <v>7.5131480090157767</v>
      </c>
      <c r="G450">
        <v>14.31</v>
      </c>
      <c r="H450" s="59">
        <f>G450-'Kubiņu masa'!D66</f>
        <v>1</v>
      </c>
      <c r="I450" s="59">
        <f t="shared" si="13"/>
        <v>6.666666666666667</v>
      </c>
    </row>
    <row r="451" spans="1:9" x14ac:dyDescent="0.35">
      <c r="A451" s="25" t="s">
        <v>41</v>
      </c>
      <c r="B451" s="25" t="s">
        <v>89</v>
      </c>
      <c r="C451" s="25" t="s">
        <v>47</v>
      </c>
      <c r="D451" s="25">
        <v>80</v>
      </c>
      <c r="E451" s="38" t="s">
        <v>59</v>
      </c>
      <c r="F451" s="36">
        <v>7.640949554896137</v>
      </c>
      <c r="G451">
        <v>14.51</v>
      </c>
      <c r="H451" s="59">
        <f>G451-'Kubiņu masa'!D67</f>
        <v>1.0299999999999994</v>
      </c>
      <c r="I451" s="59">
        <f t="shared" si="13"/>
        <v>6.8666666666666627</v>
      </c>
    </row>
    <row r="452" spans="1:9" x14ac:dyDescent="0.35">
      <c r="A452" s="25" t="s">
        <v>41</v>
      </c>
      <c r="B452" s="25" t="s">
        <v>90</v>
      </c>
      <c r="C452" s="25" t="s">
        <v>48</v>
      </c>
      <c r="D452" s="25">
        <v>80</v>
      </c>
      <c r="E452" s="38" t="s">
        <v>59</v>
      </c>
      <c r="F452" s="36">
        <v>5.9254734270006031</v>
      </c>
      <c r="G452">
        <v>17.34</v>
      </c>
      <c r="H452" s="59">
        <f>G452-'Kubiņu masa'!D68</f>
        <v>0.96999999999999886</v>
      </c>
      <c r="I452" s="59">
        <f t="shared" si="13"/>
        <v>6.4666666666666597</v>
      </c>
    </row>
    <row r="453" spans="1:9" x14ac:dyDescent="0.35">
      <c r="A453" s="25" t="s">
        <v>41</v>
      </c>
      <c r="B453" s="25" t="s">
        <v>90</v>
      </c>
      <c r="C453" s="25" t="s">
        <v>49</v>
      </c>
      <c r="D453" s="25">
        <v>80</v>
      </c>
      <c r="E453" s="38" t="s">
        <v>59</v>
      </c>
      <c r="F453" s="36">
        <v>6.001224739742808</v>
      </c>
      <c r="G453">
        <v>17.309999999999999</v>
      </c>
      <c r="H453" s="59">
        <f>G453-'Kubiņu masa'!D69</f>
        <v>0.98000000000000043</v>
      </c>
      <c r="I453" s="59">
        <f t="shared" si="13"/>
        <v>6.5333333333333368</v>
      </c>
    </row>
    <row r="454" spans="1:9" x14ac:dyDescent="0.35">
      <c r="A454" s="25" t="s">
        <v>41</v>
      </c>
      <c r="B454" s="25" t="s">
        <v>33</v>
      </c>
      <c r="C454" s="25" t="s">
        <v>50</v>
      </c>
      <c r="D454" s="25">
        <v>80</v>
      </c>
      <c r="E454" s="38" t="s">
        <v>59</v>
      </c>
      <c r="F454" s="36">
        <v>7.67676767676768</v>
      </c>
      <c r="G454">
        <v>15.99</v>
      </c>
      <c r="H454" s="59">
        <f>G454-'Kubiņu masa'!D70</f>
        <v>1.1400000000000006</v>
      </c>
      <c r="I454" s="59">
        <f t="shared" si="13"/>
        <v>7.6000000000000041</v>
      </c>
    </row>
    <row r="455" spans="1:9" x14ac:dyDescent="0.35">
      <c r="A455" s="25" t="s">
        <v>41</v>
      </c>
      <c r="B455" s="25" t="s">
        <v>33</v>
      </c>
      <c r="C455" s="25" t="s">
        <v>51</v>
      </c>
      <c r="D455" s="25">
        <v>80</v>
      </c>
      <c r="E455" s="38" t="s">
        <v>59</v>
      </c>
      <c r="F455" s="36">
        <v>7.6610169491525477</v>
      </c>
      <c r="G455">
        <v>15.88</v>
      </c>
      <c r="H455" s="59">
        <f>G455-'Kubiņu masa'!D71</f>
        <v>1.1300000000000008</v>
      </c>
      <c r="I455" s="59">
        <f t="shared" si="13"/>
        <v>7.5333333333333394</v>
      </c>
    </row>
    <row r="456" spans="1:9" x14ac:dyDescent="0.35">
      <c r="A456" s="25" t="s">
        <v>41</v>
      </c>
      <c r="B456" s="25" t="s">
        <v>33</v>
      </c>
      <c r="C456" s="25" t="s">
        <v>52</v>
      </c>
      <c r="D456" s="25">
        <v>80</v>
      </c>
      <c r="E456" s="38" t="s">
        <v>59</v>
      </c>
      <c r="F456" s="36">
        <v>7.537012113055189</v>
      </c>
      <c r="G456">
        <v>15.98</v>
      </c>
      <c r="H456" s="59">
        <f>G456-'Kubiņu masa'!D72</f>
        <v>1.120000000000001</v>
      </c>
      <c r="I456" s="59">
        <f t="shared" si="13"/>
        <v>7.466666666666673</v>
      </c>
    </row>
    <row r="457" spans="1:9" x14ac:dyDescent="0.35">
      <c r="A457" s="25" t="s">
        <v>10</v>
      </c>
      <c r="B457" s="25" t="s">
        <v>68</v>
      </c>
      <c r="C457" s="25">
        <v>9</v>
      </c>
      <c r="D457" s="25">
        <v>80</v>
      </c>
      <c r="E457" s="37" t="s">
        <v>60</v>
      </c>
      <c r="F457" s="36">
        <v>8.417997097242381</v>
      </c>
      <c r="G457">
        <v>7.47</v>
      </c>
      <c r="H457" s="59">
        <f>G457-'Kubiņu masa'!D8</f>
        <v>0.58000000000000007</v>
      </c>
      <c r="I457" s="59">
        <f t="shared" ref="I451:I514" si="14">H457/27*100</f>
        <v>2.1481481481481484</v>
      </c>
    </row>
    <row r="458" spans="1:9" x14ac:dyDescent="0.35">
      <c r="A458" s="25" t="s">
        <v>10</v>
      </c>
      <c r="B458" s="25" t="s">
        <v>68</v>
      </c>
      <c r="C458" s="25">
        <v>27</v>
      </c>
      <c r="D458" s="25">
        <v>80</v>
      </c>
      <c r="E458" s="37" t="s">
        <v>60</v>
      </c>
      <c r="F458" s="36">
        <v>7.7669902912621307</v>
      </c>
      <c r="G458">
        <v>7.77</v>
      </c>
      <c r="H458" s="59">
        <f>G458-'Kubiņu masa'!D9</f>
        <v>0.55999999999999961</v>
      </c>
      <c r="I458" s="59">
        <f t="shared" si="14"/>
        <v>2.0740740740740726</v>
      </c>
    </row>
    <row r="459" spans="1:9" x14ac:dyDescent="0.35">
      <c r="A459" s="25" t="s">
        <v>10</v>
      </c>
      <c r="B459" s="25" t="s">
        <v>68</v>
      </c>
      <c r="C459" s="25">
        <v>106</v>
      </c>
      <c r="D459" s="25">
        <v>80</v>
      </c>
      <c r="E459" s="37" t="s">
        <v>60</v>
      </c>
      <c r="F459" s="36">
        <v>7.6923076923076898</v>
      </c>
      <c r="G459">
        <v>7.7</v>
      </c>
      <c r="H459" s="59">
        <f>G459-'Kubiņu masa'!D10</f>
        <v>0.54999999999999982</v>
      </c>
      <c r="I459" s="59">
        <f t="shared" si="14"/>
        <v>2.0370370370370363</v>
      </c>
    </row>
    <row r="460" spans="1:9" x14ac:dyDescent="0.35">
      <c r="A460" s="25" t="s">
        <v>10</v>
      </c>
      <c r="B460" s="25" t="s">
        <v>69</v>
      </c>
      <c r="C460" s="25">
        <v>39</v>
      </c>
      <c r="D460" s="25">
        <v>80</v>
      </c>
      <c r="E460" s="37" t="s">
        <v>60</v>
      </c>
      <c r="F460" s="36">
        <v>7.118644067796609</v>
      </c>
      <c r="G460">
        <v>6.32</v>
      </c>
      <c r="H460" s="59">
        <f>G460-'Kubiņu masa'!D11</f>
        <v>0.41999999999999993</v>
      </c>
      <c r="I460" s="59">
        <f t="shared" si="14"/>
        <v>1.5555555555555554</v>
      </c>
    </row>
    <row r="461" spans="1:9" x14ac:dyDescent="0.35">
      <c r="A461" s="25" t="s">
        <v>10</v>
      </c>
      <c r="B461" s="25" t="s">
        <v>69</v>
      </c>
      <c r="C461" s="25">
        <v>55</v>
      </c>
      <c r="D461" s="25">
        <v>80</v>
      </c>
      <c r="E461" s="37" t="s">
        <v>60</v>
      </c>
      <c r="F461" s="36">
        <v>7.3529411764705914</v>
      </c>
      <c r="G461">
        <v>6.57</v>
      </c>
      <c r="H461" s="59">
        <f>G461-'Kubiņu masa'!D12</f>
        <v>0.45000000000000018</v>
      </c>
      <c r="I461" s="59">
        <f t="shared" si="14"/>
        <v>1.6666666666666674</v>
      </c>
    </row>
    <row r="462" spans="1:9" x14ac:dyDescent="0.35">
      <c r="A462" s="25" t="s">
        <v>10</v>
      </c>
      <c r="B462" s="25" t="s">
        <v>69</v>
      </c>
      <c r="C462" s="25">
        <v>122</v>
      </c>
      <c r="D462" s="25">
        <v>80</v>
      </c>
      <c r="E462" s="37" t="s">
        <v>60</v>
      </c>
      <c r="F462" s="36">
        <v>6.9579288025890067</v>
      </c>
      <c r="G462">
        <v>6.61</v>
      </c>
      <c r="H462" s="59">
        <f>G462-'Kubiņu masa'!D13</f>
        <v>0.4300000000000006</v>
      </c>
      <c r="I462" s="59">
        <f t="shared" si="14"/>
        <v>1.5925925925925948</v>
      </c>
    </row>
    <row r="463" spans="1:9" x14ac:dyDescent="0.35">
      <c r="A463" s="25" t="s">
        <v>10</v>
      </c>
      <c r="B463" s="25" t="s">
        <v>70</v>
      </c>
      <c r="C463" s="25">
        <v>66</v>
      </c>
      <c r="D463" s="25">
        <v>80</v>
      </c>
      <c r="E463" s="37" t="s">
        <v>60</v>
      </c>
      <c r="F463" s="36">
        <v>7.607192254495156</v>
      </c>
      <c r="G463">
        <v>7.78</v>
      </c>
      <c r="H463" s="59">
        <f>G463-'Kubiņu masa'!D14</f>
        <v>0.54999999999999982</v>
      </c>
      <c r="I463" s="59">
        <f t="shared" si="14"/>
        <v>2.0370370370370363</v>
      </c>
    </row>
    <row r="464" spans="1:9" x14ac:dyDescent="0.35">
      <c r="A464" s="25" t="s">
        <v>10</v>
      </c>
      <c r="B464" s="25" t="s">
        <v>70</v>
      </c>
      <c r="C464" s="25">
        <v>142</v>
      </c>
      <c r="D464" s="25">
        <v>80</v>
      </c>
      <c r="E464" s="37" t="s">
        <v>60</v>
      </c>
      <c r="F464" s="36">
        <v>7.7631578947368416</v>
      </c>
      <c r="G464">
        <v>8.19</v>
      </c>
      <c r="H464" s="59">
        <f>G464-'Kubiņu masa'!D15</f>
        <v>0.58999999999999986</v>
      </c>
      <c r="I464" s="59">
        <f t="shared" si="14"/>
        <v>2.1851851851851847</v>
      </c>
    </row>
    <row r="465" spans="1:9" x14ac:dyDescent="0.35">
      <c r="A465" s="25" t="s">
        <v>10</v>
      </c>
      <c r="B465" s="25" t="s">
        <v>70</v>
      </c>
      <c r="C465" s="25">
        <v>147</v>
      </c>
      <c r="D465" s="25">
        <v>80</v>
      </c>
      <c r="E465" s="37" t="s">
        <v>60</v>
      </c>
      <c r="F465" s="36">
        <v>7.9514824797843646</v>
      </c>
      <c r="G465">
        <v>8.01</v>
      </c>
      <c r="H465" s="59">
        <f>G465-'Kubiņu masa'!D16</f>
        <v>0.58999999999999986</v>
      </c>
      <c r="I465" s="59">
        <f t="shared" si="14"/>
        <v>2.1851851851851847</v>
      </c>
    </row>
    <row r="466" spans="1:9" x14ac:dyDescent="0.35">
      <c r="A466" s="25" t="s">
        <v>10</v>
      </c>
      <c r="B466" s="25" t="s">
        <v>71</v>
      </c>
      <c r="C466" s="25">
        <v>75</v>
      </c>
      <c r="D466" s="25">
        <v>80</v>
      </c>
      <c r="E466" s="37" t="s">
        <v>60</v>
      </c>
      <c r="F466" s="36">
        <v>7.2559366754617507</v>
      </c>
      <c r="G466">
        <v>8.1300000000000008</v>
      </c>
      <c r="H466" s="59">
        <f>G466-'Kubiņu masa'!D17</f>
        <v>0.55000000000000071</v>
      </c>
      <c r="I466" s="59">
        <f t="shared" si="14"/>
        <v>2.0370370370370394</v>
      </c>
    </row>
    <row r="467" spans="1:9" x14ac:dyDescent="0.35">
      <c r="A467" s="25" t="s">
        <v>10</v>
      </c>
      <c r="B467" s="25" t="s">
        <v>71</v>
      </c>
      <c r="C467" s="25">
        <v>81</v>
      </c>
      <c r="D467" s="25">
        <v>80</v>
      </c>
      <c r="E467" s="37" t="s">
        <v>60</v>
      </c>
      <c r="F467" s="36">
        <v>7.0866141732283463</v>
      </c>
      <c r="G467">
        <v>8.16</v>
      </c>
      <c r="H467" s="59">
        <f>G467-'Kubiņu masa'!D18</f>
        <v>0.54</v>
      </c>
      <c r="I467" s="59">
        <f t="shared" si="14"/>
        <v>2</v>
      </c>
    </row>
    <row r="468" spans="1:9" x14ac:dyDescent="0.35">
      <c r="A468" s="25" t="s">
        <v>10</v>
      </c>
      <c r="B468" s="25" t="s">
        <v>71</v>
      </c>
      <c r="C468" s="25">
        <v>91</v>
      </c>
      <c r="D468" s="25">
        <v>80</v>
      </c>
      <c r="E468" s="37" t="s">
        <v>60</v>
      </c>
      <c r="F468" s="36">
        <v>7.0332480818414185</v>
      </c>
      <c r="G468">
        <v>8.3699999999999992</v>
      </c>
      <c r="H468" s="59">
        <f>G468-'Kubiņu masa'!D19</f>
        <v>0.54999999999999893</v>
      </c>
      <c r="I468" s="59">
        <f t="shared" si="14"/>
        <v>2.0370370370370332</v>
      </c>
    </row>
    <row r="469" spans="1:9" x14ac:dyDescent="0.35">
      <c r="A469" s="25" t="s">
        <v>10</v>
      </c>
      <c r="B469" s="25" t="s">
        <v>72</v>
      </c>
      <c r="C469" s="25">
        <v>103</v>
      </c>
      <c r="D469" s="25">
        <v>80</v>
      </c>
      <c r="E469" s="37" t="s">
        <v>60</v>
      </c>
      <c r="F469" s="36">
        <v>7.2727272727272672</v>
      </c>
      <c r="G469">
        <v>4.13</v>
      </c>
      <c r="H469" s="59">
        <f>G469-'Kubiņu masa'!D20</f>
        <v>0.2799999999999998</v>
      </c>
      <c r="I469" s="59">
        <f t="shared" si="14"/>
        <v>1.0370370370370363</v>
      </c>
    </row>
    <row r="470" spans="1:9" x14ac:dyDescent="0.35">
      <c r="A470" s="25" t="s">
        <v>10</v>
      </c>
      <c r="B470" s="25" t="s">
        <v>72</v>
      </c>
      <c r="C470" s="25">
        <v>283</v>
      </c>
      <c r="D470" s="25">
        <v>80</v>
      </c>
      <c r="E470" s="37" t="s">
        <v>60</v>
      </c>
      <c r="F470" s="36">
        <v>7.5187969924811986</v>
      </c>
      <c r="G470">
        <v>4.29</v>
      </c>
      <c r="H470" s="59">
        <f>G470-'Kubiņu masa'!D21</f>
        <v>0.29999999999999982</v>
      </c>
      <c r="I470" s="59">
        <f t="shared" si="14"/>
        <v>1.1111111111111105</v>
      </c>
    </row>
    <row r="471" spans="1:9" x14ac:dyDescent="0.35">
      <c r="A471" s="25" t="s">
        <v>10</v>
      </c>
      <c r="B471" s="25" t="s">
        <v>72</v>
      </c>
      <c r="C471" s="25">
        <v>323</v>
      </c>
      <c r="D471" s="25">
        <v>80</v>
      </c>
      <c r="E471" s="37" t="s">
        <v>60</v>
      </c>
      <c r="F471" s="36">
        <v>6.8883610451306421</v>
      </c>
      <c r="G471">
        <v>4.5</v>
      </c>
      <c r="H471" s="59">
        <f>G471-'Kubiņu masa'!D22</f>
        <v>0.29000000000000004</v>
      </c>
      <c r="I471" s="59">
        <f t="shared" si="14"/>
        <v>1.0740740740740742</v>
      </c>
    </row>
    <row r="472" spans="1:9" x14ac:dyDescent="0.35">
      <c r="A472" s="25" t="s">
        <v>10</v>
      </c>
      <c r="B472" s="25" t="s">
        <v>73</v>
      </c>
      <c r="C472" s="25">
        <v>203</v>
      </c>
      <c r="D472" s="25">
        <v>80</v>
      </c>
      <c r="E472" s="37" t="s">
        <v>60</v>
      </c>
      <c r="F472" s="36">
        <v>6.8136272545090151</v>
      </c>
      <c r="G472">
        <v>5.33</v>
      </c>
      <c r="H472" s="59">
        <f>G472-'Kubiņu masa'!D23</f>
        <v>0.33999999999999986</v>
      </c>
      <c r="I472" s="59">
        <f t="shared" si="14"/>
        <v>1.2592592592592589</v>
      </c>
    </row>
    <row r="473" spans="1:9" x14ac:dyDescent="0.35">
      <c r="A473" s="25" t="s">
        <v>10</v>
      </c>
      <c r="B473" s="25" t="s">
        <v>73</v>
      </c>
      <c r="C473" s="25">
        <v>272</v>
      </c>
      <c r="D473" s="25">
        <v>80</v>
      </c>
      <c r="E473" s="37" t="s">
        <v>60</v>
      </c>
      <c r="F473" s="36">
        <v>7.1138211382113754</v>
      </c>
      <c r="G473">
        <v>5.27</v>
      </c>
      <c r="H473" s="59">
        <f>G473-'Kubiņu masa'!D24</f>
        <v>0.34999999999999964</v>
      </c>
      <c r="I473" s="59">
        <f t="shared" si="14"/>
        <v>1.2962962962962949</v>
      </c>
    </row>
    <row r="474" spans="1:9" x14ac:dyDescent="0.35">
      <c r="A474" s="25" t="s">
        <v>10</v>
      </c>
      <c r="B474" s="25" t="s">
        <v>73</v>
      </c>
      <c r="C474" s="25">
        <v>266</v>
      </c>
      <c r="D474" s="25">
        <v>80</v>
      </c>
      <c r="E474" s="37" t="s">
        <v>60</v>
      </c>
      <c r="F474" s="36">
        <v>6.9860279441117878</v>
      </c>
      <c r="G474">
        <v>5.36</v>
      </c>
      <c r="H474" s="59">
        <f>G474-'Kubiņu masa'!D25</f>
        <v>0.35000000000000053</v>
      </c>
      <c r="I474" s="59">
        <f t="shared" si="14"/>
        <v>1.2962962962962983</v>
      </c>
    </row>
    <row r="475" spans="1:9" x14ac:dyDescent="0.35">
      <c r="A475" s="25" t="s">
        <v>10</v>
      </c>
      <c r="B475" s="25" t="s">
        <v>74</v>
      </c>
      <c r="C475" s="25">
        <v>168</v>
      </c>
      <c r="D475" s="25">
        <v>80</v>
      </c>
      <c r="E475" s="37" t="s">
        <v>60</v>
      </c>
      <c r="F475" s="36">
        <v>7.7720207253886038</v>
      </c>
      <c r="G475">
        <v>6.24</v>
      </c>
      <c r="H475" s="59">
        <f>G475-'Kubiņu masa'!D26</f>
        <v>0.45000000000000018</v>
      </c>
      <c r="I475" s="59">
        <f t="shared" si="14"/>
        <v>1.6666666666666674</v>
      </c>
    </row>
    <row r="476" spans="1:9" x14ac:dyDescent="0.35">
      <c r="A476" s="25" t="s">
        <v>10</v>
      </c>
      <c r="B476" s="25" t="s">
        <v>74</v>
      </c>
      <c r="C476" s="25">
        <v>343</v>
      </c>
      <c r="D476" s="25">
        <v>80</v>
      </c>
      <c r="E476" s="37" t="s">
        <v>60</v>
      </c>
      <c r="F476" s="36">
        <v>8.1125827814569575</v>
      </c>
      <c r="G476">
        <v>6.53</v>
      </c>
      <c r="H476" s="59">
        <f>G476-'Kubiņu masa'!D27</f>
        <v>0.49000000000000021</v>
      </c>
      <c r="I476" s="59">
        <f t="shared" si="14"/>
        <v>1.8148148148148155</v>
      </c>
    </row>
    <row r="477" spans="1:9" x14ac:dyDescent="0.35">
      <c r="A477" s="25" t="s">
        <v>10</v>
      </c>
      <c r="B477" s="25" t="s">
        <v>74</v>
      </c>
      <c r="C477" s="25">
        <v>58</v>
      </c>
      <c r="D477" s="25">
        <v>80</v>
      </c>
      <c r="E477" s="37" t="s">
        <v>60</v>
      </c>
      <c r="F477" s="36">
        <v>8.0133555926544151</v>
      </c>
      <c r="G477">
        <v>6.47</v>
      </c>
      <c r="H477" s="59">
        <f>G477-'Kubiņu masa'!D28</f>
        <v>0.47999999999999954</v>
      </c>
      <c r="I477" s="59">
        <f t="shared" si="14"/>
        <v>1.7777777777777761</v>
      </c>
    </row>
    <row r="478" spans="1:9" x14ac:dyDescent="0.35">
      <c r="A478" s="25" t="s">
        <v>10</v>
      </c>
      <c r="B478" s="25" t="s">
        <v>75</v>
      </c>
      <c r="C478" s="25">
        <v>187</v>
      </c>
      <c r="D478" s="25">
        <v>80</v>
      </c>
      <c r="E478" s="37" t="s">
        <v>60</v>
      </c>
      <c r="F478" s="36">
        <v>6.4766839378238465</v>
      </c>
      <c r="G478">
        <v>4.1100000000000003</v>
      </c>
      <c r="H478" s="59">
        <f>G478-'Kubiņu masa'!D29</f>
        <v>0.25000000000000044</v>
      </c>
      <c r="I478" s="59">
        <f t="shared" si="14"/>
        <v>0.9259259259259276</v>
      </c>
    </row>
    <row r="479" spans="1:9" x14ac:dyDescent="0.35">
      <c r="A479" s="25" t="s">
        <v>10</v>
      </c>
      <c r="B479" s="25" t="s">
        <v>75</v>
      </c>
      <c r="C479" s="25">
        <v>248</v>
      </c>
      <c r="D479" s="25">
        <v>80</v>
      </c>
      <c r="E479" s="37" t="s">
        <v>60</v>
      </c>
      <c r="F479" s="36">
        <v>6.7146282973621156</v>
      </c>
      <c r="G479">
        <v>4.45</v>
      </c>
      <c r="H479" s="59">
        <f>G479-'Kubiņu masa'!D30</f>
        <v>0.28000000000000025</v>
      </c>
      <c r="I479" s="59">
        <f t="shared" si="14"/>
        <v>1.0370370370370379</v>
      </c>
    </row>
    <row r="480" spans="1:9" x14ac:dyDescent="0.35">
      <c r="A480" s="25" t="s">
        <v>10</v>
      </c>
      <c r="B480" s="25" t="s">
        <v>75</v>
      </c>
      <c r="C480" s="25">
        <v>212</v>
      </c>
      <c r="D480" s="25">
        <v>80</v>
      </c>
      <c r="E480" s="37" t="s">
        <v>60</v>
      </c>
      <c r="F480" s="36">
        <v>6.329113924050632</v>
      </c>
      <c r="G480">
        <v>4.2</v>
      </c>
      <c r="H480" s="59">
        <f>G480-'Kubiņu masa'!D31</f>
        <v>0.25</v>
      </c>
      <c r="I480" s="59">
        <f t="shared" si="14"/>
        <v>0.92592592592592582</v>
      </c>
    </row>
    <row r="481" spans="1:9" x14ac:dyDescent="0.35">
      <c r="A481" s="25" t="s">
        <v>40</v>
      </c>
      <c r="B481" s="25" t="s">
        <v>68</v>
      </c>
      <c r="C481" s="25">
        <v>5</v>
      </c>
      <c r="D481" s="25">
        <v>80</v>
      </c>
      <c r="E481" s="37" t="s">
        <v>60</v>
      </c>
      <c r="F481" s="36">
        <v>7.6923076923076872</v>
      </c>
      <c r="G481">
        <v>7.84</v>
      </c>
      <c r="H481" s="59">
        <f>G481-'Kubiņu masa'!D32</f>
        <v>0.55999999999999961</v>
      </c>
      <c r="I481" s="59">
        <f t="shared" si="14"/>
        <v>2.0740740740740726</v>
      </c>
    </row>
    <row r="482" spans="1:9" x14ac:dyDescent="0.35">
      <c r="A482" s="25" t="s">
        <v>40</v>
      </c>
      <c r="B482" s="25" t="s">
        <v>68</v>
      </c>
      <c r="C482" s="25">
        <v>17</v>
      </c>
      <c r="D482" s="25">
        <v>80</v>
      </c>
      <c r="E482" s="37" t="s">
        <v>60</v>
      </c>
      <c r="F482" s="36">
        <v>7.4380165289256199</v>
      </c>
      <c r="G482">
        <v>7.8</v>
      </c>
      <c r="H482" s="59">
        <f>G482-'Kubiņu masa'!D33</f>
        <v>0.54</v>
      </c>
      <c r="I482" s="59">
        <f t="shared" si="14"/>
        <v>2</v>
      </c>
    </row>
    <row r="483" spans="1:9" x14ac:dyDescent="0.35">
      <c r="A483" s="25" t="s">
        <v>40</v>
      </c>
      <c r="B483" s="25" t="s">
        <v>68</v>
      </c>
      <c r="C483" s="25">
        <v>99</v>
      </c>
      <c r="D483" s="25">
        <v>80</v>
      </c>
      <c r="E483" s="37" t="s">
        <v>60</v>
      </c>
      <c r="F483" s="36">
        <v>7.7445652173912958</v>
      </c>
      <c r="G483">
        <v>7.93</v>
      </c>
      <c r="H483" s="59">
        <f>G483-'Kubiņu masa'!D34</f>
        <v>0.5699999999999994</v>
      </c>
      <c r="I483" s="59">
        <f t="shared" si="14"/>
        <v>2.1111111111111089</v>
      </c>
    </row>
    <row r="484" spans="1:9" x14ac:dyDescent="0.35">
      <c r="A484" s="25" t="s">
        <v>40</v>
      </c>
      <c r="B484" s="25" t="s">
        <v>69</v>
      </c>
      <c r="C484" s="25">
        <v>37</v>
      </c>
      <c r="D484" s="25">
        <v>80</v>
      </c>
      <c r="E484" s="37" t="s">
        <v>60</v>
      </c>
      <c r="F484" s="36">
        <v>7.4912891986062675</v>
      </c>
      <c r="G484">
        <v>6.17</v>
      </c>
      <c r="H484" s="59">
        <f>G484-'Kubiņu masa'!D35</f>
        <v>0.42999999999999972</v>
      </c>
      <c r="I484" s="59">
        <f t="shared" si="14"/>
        <v>1.5925925925925917</v>
      </c>
    </row>
    <row r="485" spans="1:9" x14ac:dyDescent="0.35">
      <c r="A485" s="25" t="s">
        <v>40</v>
      </c>
      <c r="B485" s="25" t="s">
        <v>69</v>
      </c>
      <c r="C485" s="25">
        <v>53</v>
      </c>
      <c r="D485" s="25">
        <v>80</v>
      </c>
      <c r="E485" s="37" t="s">
        <v>60</v>
      </c>
      <c r="F485" s="36">
        <v>7.5320512820512775</v>
      </c>
      <c r="G485">
        <v>6.71</v>
      </c>
      <c r="H485" s="59">
        <f>G485-'Kubiņu masa'!D36</f>
        <v>0.46999999999999975</v>
      </c>
      <c r="I485" s="59">
        <f t="shared" si="14"/>
        <v>1.74074074074074</v>
      </c>
    </row>
    <row r="486" spans="1:9" x14ac:dyDescent="0.35">
      <c r="A486" s="25" t="s">
        <v>40</v>
      </c>
      <c r="B486" s="25" t="s">
        <v>69</v>
      </c>
      <c r="C486" s="25">
        <v>134</v>
      </c>
      <c r="D486" s="25">
        <v>80</v>
      </c>
      <c r="E486" s="37" t="s">
        <v>60</v>
      </c>
      <c r="F486" s="36">
        <v>7.3825503355704756</v>
      </c>
      <c r="G486">
        <v>6.4</v>
      </c>
      <c r="H486" s="59">
        <f>G486-'Kubiņu masa'!D37</f>
        <v>0.44000000000000039</v>
      </c>
      <c r="I486" s="59">
        <f t="shared" si="14"/>
        <v>1.6296296296296313</v>
      </c>
    </row>
    <row r="487" spans="1:9" x14ac:dyDescent="0.35">
      <c r="A487" s="25" t="s">
        <v>40</v>
      </c>
      <c r="B487" s="25" t="s">
        <v>70</v>
      </c>
      <c r="C487" s="25">
        <v>68</v>
      </c>
      <c r="D487" s="25">
        <v>80</v>
      </c>
      <c r="E487" s="37" t="s">
        <v>60</v>
      </c>
      <c r="F487" s="36">
        <v>7.7134986225895386</v>
      </c>
      <c r="G487">
        <v>7.82</v>
      </c>
      <c r="H487" s="59">
        <f>G487-'Kubiņu masa'!D38</f>
        <v>0.5600000000000005</v>
      </c>
      <c r="I487" s="59">
        <f t="shared" si="14"/>
        <v>2.0740740740740757</v>
      </c>
    </row>
    <row r="488" spans="1:9" x14ac:dyDescent="0.35">
      <c r="A488" s="25" t="s">
        <v>40</v>
      </c>
      <c r="B488" s="25" t="s">
        <v>70</v>
      </c>
      <c r="C488" s="25">
        <v>143</v>
      </c>
      <c r="D488" s="25">
        <v>80</v>
      </c>
      <c r="E488" s="37" t="s">
        <v>60</v>
      </c>
      <c r="F488" s="36">
        <v>8.1190798376184112</v>
      </c>
      <c r="G488">
        <v>7.99</v>
      </c>
      <c r="H488" s="59">
        <f>G488-'Kubiņu masa'!D39</f>
        <v>0.60000000000000053</v>
      </c>
      <c r="I488" s="59">
        <f t="shared" si="14"/>
        <v>2.2222222222222241</v>
      </c>
    </row>
    <row r="489" spans="1:9" x14ac:dyDescent="0.35">
      <c r="A489" s="25" t="s">
        <v>40</v>
      </c>
      <c r="B489" s="25" t="s">
        <v>70</v>
      </c>
      <c r="C489" s="25">
        <v>190</v>
      </c>
      <c r="D489" s="25">
        <v>80</v>
      </c>
      <c r="E489" s="37" t="s">
        <v>60</v>
      </c>
      <c r="F489" s="36">
        <v>7.3136427566807241</v>
      </c>
      <c r="G489">
        <v>7.63</v>
      </c>
      <c r="H489" s="59">
        <f>G489-'Kubiņu masa'!D40</f>
        <v>0.51999999999999957</v>
      </c>
      <c r="I489" s="59">
        <f t="shared" si="14"/>
        <v>1.9259259259259243</v>
      </c>
    </row>
    <row r="490" spans="1:9" x14ac:dyDescent="0.35">
      <c r="A490" s="25" t="s">
        <v>40</v>
      </c>
      <c r="B490" s="25" t="s">
        <v>71</v>
      </c>
      <c r="C490" s="25">
        <v>158</v>
      </c>
      <c r="D490" s="25">
        <v>80</v>
      </c>
      <c r="E490" s="37" t="s">
        <v>60</v>
      </c>
      <c r="F490" s="36">
        <v>7.2904009720534582</v>
      </c>
      <c r="G490">
        <v>8.83</v>
      </c>
      <c r="H490" s="59">
        <f>G490-'Kubiņu masa'!D41</f>
        <v>0.59999999999999964</v>
      </c>
      <c r="I490" s="59">
        <f t="shared" si="14"/>
        <v>2.222222222222221</v>
      </c>
    </row>
    <row r="491" spans="1:9" x14ac:dyDescent="0.35">
      <c r="A491" s="25" t="s">
        <v>40</v>
      </c>
      <c r="B491" s="25" t="s">
        <v>71</v>
      </c>
      <c r="C491" s="25">
        <v>169</v>
      </c>
      <c r="D491" s="25">
        <v>80</v>
      </c>
      <c r="E491" s="37" t="s">
        <v>60</v>
      </c>
      <c r="F491" s="36">
        <v>7.2151898734177253</v>
      </c>
      <c r="G491">
        <v>8.4700000000000006</v>
      </c>
      <c r="H491" s="59">
        <f>G491-'Kubiņu masa'!D42</f>
        <v>0.57000000000000028</v>
      </c>
      <c r="I491" s="59">
        <f t="shared" si="14"/>
        <v>2.111111111111112</v>
      </c>
    </row>
    <row r="492" spans="1:9" x14ac:dyDescent="0.35">
      <c r="A492" s="25" t="s">
        <v>40</v>
      </c>
      <c r="B492" s="25" t="s">
        <v>71</v>
      </c>
      <c r="C492" s="25">
        <v>174</v>
      </c>
      <c r="D492" s="25">
        <v>80</v>
      </c>
      <c r="E492" s="37" t="s">
        <v>60</v>
      </c>
      <c r="F492" s="36">
        <v>7.2273324572930324</v>
      </c>
      <c r="G492">
        <v>8.16</v>
      </c>
      <c r="H492" s="59">
        <f>G492-'Kubiņu masa'!D43</f>
        <v>0.54999999999999982</v>
      </c>
      <c r="I492" s="59">
        <f t="shared" si="14"/>
        <v>2.0370370370370363</v>
      </c>
    </row>
    <row r="493" spans="1:9" x14ac:dyDescent="0.35">
      <c r="A493" s="25" t="s">
        <v>40</v>
      </c>
      <c r="B493" s="25" t="s">
        <v>72</v>
      </c>
      <c r="C493" s="25">
        <v>108</v>
      </c>
      <c r="D493" s="25">
        <v>80</v>
      </c>
      <c r="E493" s="37" t="s">
        <v>60</v>
      </c>
      <c r="F493" s="36">
        <v>6.6997518610421736</v>
      </c>
      <c r="G493">
        <v>4.3</v>
      </c>
      <c r="H493" s="59">
        <f>G493-'Kubiņu masa'!D44</f>
        <v>0.26999999999999957</v>
      </c>
      <c r="I493" s="59">
        <f t="shared" si="14"/>
        <v>0.99999999999999845</v>
      </c>
    </row>
    <row r="494" spans="1:9" x14ac:dyDescent="0.35">
      <c r="A494" s="25" t="s">
        <v>40</v>
      </c>
      <c r="B494" s="25" t="s">
        <v>72</v>
      </c>
      <c r="C494" s="25">
        <v>287</v>
      </c>
      <c r="D494" s="25">
        <v>80</v>
      </c>
      <c r="E494" s="37" t="s">
        <v>60</v>
      </c>
      <c r="F494" s="36">
        <v>6.623931623931635</v>
      </c>
      <c r="G494">
        <v>4.99</v>
      </c>
      <c r="H494" s="59">
        <f>G494-'Kubiņu masa'!D45</f>
        <v>0.3100000000000005</v>
      </c>
      <c r="I494" s="59">
        <f t="shared" si="14"/>
        <v>1.1481481481481501</v>
      </c>
    </row>
    <row r="495" spans="1:9" x14ac:dyDescent="0.35">
      <c r="A495" s="25" t="s">
        <v>40</v>
      </c>
      <c r="B495" s="25" t="s">
        <v>72</v>
      </c>
      <c r="C495" s="25">
        <v>328</v>
      </c>
      <c r="D495" s="25">
        <v>80</v>
      </c>
      <c r="E495" s="37" t="s">
        <v>60</v>
      </c>
      <c r="F495" s="36">
        <v>6.8557919621749202</v>
      </c>
      <c r="G495">
        <v>4.5199999999999996</v>
      </c>
      <c r="H495" s="59">
        <f>G495-'Kubiņu masa'!D46</f>
        <v>0.28999999999999915</v>
      </c>
      <c r="I495" s="59">
        <f t="shared" si="14"/>
        <v>1.0740740740740709</v>
      </c>
    </row>
    <row r="496" spans="1:9" x14ac:dyDescent="0.35">
      <c r="A496" s="25" t="s">
        <v>40</v>
      </c>
      <c r="B496" s="25" t="s">
        <v>73</v>
      </c>
      <c r="C496" s="25">
        <v>207</v>
      </c>
      <c r="D496" s="25">
        <v>80</v>
      </c>
      <c r="E496" s="37" t="s">
        <v>60</v>
      </c>
      <c r="F496" s="36">
        <v>6.857142857142863</v>
      </c>
      <c r="G496">
        <v>5.61</v>
      </c>
      <c r="H496" s="59">
        <f>G496-'Kubiņu masa'!D47</f>
        <v>0.36000000000000032</v>
      </c>
      <c r="I496" s="59">
        <f t="shared" si="14"/>
        <v>1.3333333333333344</v>
      </c>
    </row>
    <row r="497" spans="1:9" x14ac:dyDescent="0.35">
      <c r="A497" s="25" t="s">
        <v>40</v>
      </c>
      <c r="B497" s="25" t="s">
        <v>73</v>
      </c>
      <c r="C497" s="25">
        <v>314</v>
      </c>
      <c r="D497" s="25">
        <v>80</v>
      </c>
      <c r="E497" s="37" t="s">
        <v>60</v>
      </c>
      <c r="F497" s="36">
        <v>6.851851851851837</v>
      </c>
      <c r="G497">
        <v>5.77</v>
      </c>
      <c r="H497" s="59">
        <f>G497-'Kubiņu masa'!D48</f>
        <v>0.36999999999999922</v>
      </c>
      <c r="I497" s="59">
        <f t="shared" si="14"/>
        <v>1.3703703703703674</v>
      </c>
    </row>
    <row r="498" spans="1:9" x14ac:dyDescent="0.35">
      <c r="A498" s="25" t="s">
        <v>40</v>
      </c>
      <c r="B498" s="25" t="s">
        <v>73</v>
      </c>
      <c r="C498" s="25">
        <v>280</v>
      </c>
      <c r="D498" s="25">
        <v>80</v>
      </c>
      <c r="E498" s="37" t="s">
        <v>60</v>
      </c>
      <c r="F498" s="36">
        <v>7.0110701107011053</v>
      </c>
      <c r="G498">
        <v>5.8</v>
      </c>
      <c r="H498" s="59">
        <f>G498-'Kubiņu masa'!D49</f>
        <v>0.37999999999999989</v>
      </c>
      <c r="I498" s="59">
        <f t="shared" si="14"/>
        <v>1.407407407407407</v>
      </c>
    </row>
    <row r="499" spans="1:9" x14ac:dyDescent="0.35">
      <c r="A499" s="25" t="s">
        <v>40</v>
      </c>
      <c r="B499" s="25" t="s">
        <v>74</v>
      </c>
      <c r="C499" s="25">
        <v>172</v>
      </c>
      <c r="D499" s="25">
        <v>80</v>
      </c>
      <c r="E499" s="37" t="s">
        <v>60</v>
      </c>
      <c r="F499" s="36">
        <v>7.3883161512027433</v>
      </c>
      <c r="G499">
        <v>6.25</v>
      </c>
      <c r="H499" s="59">
        <f>G499-'Kubiņu masa'!D50</f>
        <v>0.42999999999999972</v>
      </c>
      <c r="I499" s="59">
        <f t="shared" si="14"/>
        <v>1.5925925925925917</v>
      </c>
    </row>
    <row r="500" spans="1:9" x14ac:dyDescent="0.35">
      <c r="A500" s="25" t="s">
        <v>40</v>
      </c>
      <c r="B500" s="25" t="s">
        <v>74</v>
      </c>
      <c r="C500" s="25">
        <v>229</v>
      </c>
      <c r="D500" s="25">
        <v>80</v>
      </c>
      <c r="E500" s="37" t="s">
        <v>60</v>
      </c>
      <c r="F500" s="36">
        <v>7.7452667814113623</v>
      </c>
      <c r="G500">
        <v>6.26</v>
      </c>
      <c r="H500" s="59">
        <f>G500-'Kubiņu masa'!D51</f>
        <v>0.45000000000000018</v>
      </c>
      <c r="I500" s="59">
        <f t="shared" si="14"/>
        <v>1.6666666666666674</v>
      </c>
    </row>
    <row r="501" spans="1:9" x14ac:dyDescent="0.35">
      <c r="A501" s="25" t="s">
        <v>40</v>
      </c>
      <c r="B501" s="25" t="s">
        <v>74</v>
      </c>
      <c r="C501" s="25">
        <v>349</v>
      </c>
      <c r="D501" s="25">
        <v>80</v>
      </c>
      <c r="E501" s="37" t="s">
        <v>60</v>
      </c>
      <c r="F501" s="36">
        <v>7.7186963979416836</v>
      </c>
      <c r="G501">
        <v>6.28</v>
      </c>
      <c r="H501" s="59">
        <f>G501-'Kubiņu masa'!D52</f>
        <v>0.45000000000000018</v>
      </c>
      <c r="I501" s="59">
        <f t="shared" si="14"/>
        <v>1.6666666666666674</v>
      </c>
    </row>
    <row r="502" spans="1:9" x14ac:dyDescent="0.35">
      <c r="A502" s="25" t="s">
        <v>40</v>
      </c>
      <c r="B502" s="25" t="s">
        <v>75</v>
      </c>
      <c r="C502" s="25">
        <v>193</v>
      </c>
      <c r="D502" s="25">
        <v>80</v>
      </c>
      <c r="E502" s="37" t="s">
        <v>60</v>
      </c>
      <c r="F502" s="36">
        <v>6.8337129840546869</v>
      </c>
      <c r="G502">
        <v>4.6900000000000004</v>
      </c>
      <c r="H502" s="59">
        <f>G502-'Kubiņu masa'!D53</f>
        <v>0.30000000000000071</v>
      </c>
      <c r="I502" s="59">
        <f t="shared" si="14"/>
        <v>1.1111111111111138</v>
      </c>
    </row>
    <row r="503" spans="1:9" x14ac:dyDescent="0.35">
      <c r="A503" s="25" t="s">
        <v>40</v>
      </c>
      <c r="B503" s="25" t="s">
        <v>75</v>
      </c>
      <c r="C503" s="25">
        <v>160</v>
      </c>
      <c r="D503" s="25">
        <v>80</v>
      </c>
      <c r="E503" s="37" t="s">
        <v>60</v>
      </c>
      <c r="F503" s="36">
        <v>6.2068965517241486</v>
      </c>
      <c r="G503">
        <v>4.62</v>
      </c>
      <c r="H503" s="59">
        <f>G503-'Kubiņu masa'!D54</f>
        <v>0.27000000000000046</v>
      </c>
      <c r="I503" s="59">
        <f t="shared" si="14"/>
        <v>1.0000000000000018</v>
      </c>
    </row>
    <row r="504" spans="1:9" x14ac:dyDescent="0.35">
      <c r="A504" s="25" t="s">
        <v>40</v>
      </c>
      <c r="B504" s="25" t="s">
        <v>75</v>
      </c>
      <c r="C504" s="25">
        <v>218</v>
      </c>
      <c r="D504" s="25">
        <v>80</v>
      </c>
      <c r="E504" s="37" t="s">
        <v>60</v>
      </c>
      <c r="F504" s="36">
        <v>6.205250596658705</v>
      </c>
      <c r="G504">
        <v>4.45</v>
      </c>
      <c r="H504" s="59">
        <f>G504-'Kubiņu masa'!D55</f>
        <v>0.25999999999999979</v>
      </c>
      <c r="I504" s="59">
        <f t="shared" si="14"/>
        <v>0.96296296296296213</v>
      </c>
    </row>
    <row r="505" spans="1:9" x14ac:dyDescent="0.35">
      <c r="A505" s="25" t="s">
        <v>41</v>
      </c>
      <c r="B505" s="25" t="s">
        <v>91</v>
      </c>
      <c r="C505" s="25">
        <v>32</v>
      </c>
      <c r="D505" s="25">
        <v>80</v>
      </c>
      <c r="E505" s="37" t="s">
        <v>60</v>
      </c>
      <c r="F505" s="36">
        <v>10.222804718217565</v>
      </c>
      <c r="G505">
        <v>16.82</v>
      </c>
      <c r="H505" s="59">
        <f>G505-'Kubiņu masa'!D56</f>
        <v>1.5600000000000005</v>
      </c>
      <c r="I505" s="59">
        <f>H505/15*100</f>
        <v>10.400000000000004</v>
      </c>
    </row>
    <row r="506" spans="1:9" x14ac:dyDescent="0.35">
      <c r="A506" s="25" t="s">
        <v>41</v>
      </c>
      <c r="B506" s="25" t="s">
        <v>91</v>
      </c>
      <c r="C506" s="25">
        <v>33</v>
      </c>
      <c r="D506" s="25">
        <v>80</v>
      </c>
      <c r="E506" s="37" t="s">
        <v>60</v>
      </c>
      <c r="F506" s="36">
        <v>9.897172236503863</v>
      </c>
      <c r="G506">
        <v>17.100000000000001</v>
      </c>
      <c r="H506" s="59">
        <f>G506-'Kubiņu masa'!D57</f>
        <v>1.5400000000000009</v>
      </c>
      <c r="I506" s="59">
        <f t="shared" ref="I506:I521" si="15">H506/15*100</f>
        <v>10.266666666666673</v>
      </c>
    </row>
    <row r="507" spans="1:9" x14ac:dyDescent="0.35">
      <c r="A507" s="25" t="s">
        <v>41</v>
      </c>
      <c r="B507" s="25" t="s">
        <v>91</v>
      </c>
      <c r="C507" s="25">
        <v>34</v>
      </c>
      <c r="D507" s="25">
        <v>80</v>
      </c>
      <c r="E507" s="37" t="s">
        <v>60</v>
      </c>
      <c r="F507" s="36">
        <v>9.6754057428214768</v>
      </c>
      <c r="G507">
        <v>17.57</v>
      </c>
      <c r="H507" s="59">
        <f>G507-'Kubiņu masa'!D58</f>
        <v>1.5500000000000007</v>
      </c>
      <c r="I507" s="59">
        <f t="shared" si="15"/>
        <v>10.333333333333337</v>
      </c>
    </row>
    <row r="508" spans="1:9" x14ac:dyDescent="0.35">
      <c r="A508" s="25" t="s">
        <v>41</v>
      </c>
      <c r="B508" s="25" t="s">
        <v>29</v>
      </c>
      <c r="C508" s="25">
        <v>50</v>
      </c>
      <c r="D508" s="25">
        <v>80</v>
      </c>
      <c r="E508" s="37" t="s">
        <v>60</v>
      </c>
      <c r="F508" s="36">
        <v>7.4244415243101232</v>
      </c>
      <c r="G508">
        <v>16.350000000000001</v>
      </c>
      <c r="H508" s="59">
        <f>G508-'Kubiņu masa'!D59</f>
        <v>1.1300000000000008</v>
      </c>
      <c r="I508" s="59">
        <f t="shared" si="15"/>
        <v>7.5333333333333394</v>
      </c>
    </row>
    <row r="509" spans="1:9" x14ac:dyDescent="0.35">
      <c r="A509" s="25" t="s">
        <v>41</v>
      </c>
      <c r="B509" s="25" t="s">
        <v>29</v>
      </c>
      <c r="C509" s="25">
        <v>51</v>
      </c>
      <c r="D509" s="25">
        <v>80</v>
      </c>
      <c r="E509" s="37" t="s">
        <v>60</v>
      </c>
      <c r="F509" s="36">
        <v>7.4098798397863774</v>
      </c>
      <c r="G509">
        <v>16.09</v>
      </c>
      <c r="H509" s="59">
        <f>G509-'Kubiņu masa'!D60</f>
        <v>1.1099999999999994</v>
      </c>
      <c r="I509" s="59">
        <f t="shared" si="15"/>
        <v>7.3999999999999968</v>
      </c>
    </row>
    <row r="510" spans="1:9" x14ac:dyDescent="0.35">
      <c r="A510" s="25" t="s">
        <v>41</v>
      </c>
      <c r="B510" s="25" t="s">
        <v>29</v>
      </c>
      <c r="C510" s="25">
        <v>52</v>
      </c>
      <c r="D510" s="25">
        <v>80</v>
      </c>
      <c r="E510" s="37" t="s">
        <v>60</v>
      </c>
      <c r="F510" s="36">
        <v>7.3656270736562668</v>
      </c>
      <c r="G510">
        <v>16.18</v>
      </c>
      <c r="H510" s="59">
        <f>G510-'Kubiņu masa'!D61</f>
        <v>1.1099999999999994</v>
      </c>
      <c r="I510" s="59">
        <f t="shared" si="15"/>
        <v>7.3999999999999968</v>
      </c>
    </row>
    <row r="511" spans="1:9" x14ac:dyDescent="0.35">
      <c r="A511" s="25" t="s">
        <v>41</v>
      </c>
      <c r="B511" s="25" t="s">
        <v>88</v>
      </c>
      <c r="C511" s="25" t="s">
        <v>42</v>
      </c>
      <c r="D511" s="25">
        <v>80</v>
      </c>
      <c r="E511" s="37" t="s">
        <v>60</v>
      </c>
      <c r="F511" s="36">
        <v>8.1325301204819294</v>
      </c>
      <c r="G511">
        <v>14.36</v>
      </c>
      <c r="H511" s="59">
        <f>G511-'Kubiņu masa'!D62</f>
        <v>1.08</v>
      </c>
      <c r="I511" s="59">
        <f t="shared" si="15"/>
        <v>7.2000000000000011</v>
      </c>
    </row>
    <row r="512" spans="1:9" x14ac:dyDescent="0.35">
      <c r="A512" s="25" t="s">
        <v>41</v>
      </c>
      <c r="B512" s="25" t="s">
        <v>88</v>
      </c>
      <c r="C512" s="25" t="s">
        <v>43</v>
      </c>
      <c r="D512" s="25">
        <v>80</v>
      </c>
      <c r="E512" s="37" t="s">
        <v>60</v>
      </c>
      <c r="F512" s="36">
        <v>8.2129277566539933</v>
      </c>
      <c r="G512">
        <v>14.23</v>
      </c>
      <c r="H512" s="59">
        <f>G512-'Kubiņu masa'!D63</f>
        <v>1.08</v>
      </c>
      <c r="I512" s="59">
        <f t="shared" si="15"/>
        <v>7.2000000000000011</v>
      </c>
    </row>
    <row r="513" spans="1:9" x14ac:dyDescent="0.35">
      <c r="A513" s="25" t="s">
        <v>41</v>
      </c>
      <c r="B513" s="25" t="s">
        <v>88</v>
      </c>
      <c r="C513" s="25" t="s">
        <v>44</v>
      </c>
      <c r="D513" s="25">
        <v>80</v>
      </c>
      <c r="E513" s="37" t="s">
        <v>60</v>
      </c>
      <c r="F513" s="36">
        <v>8.2631981637337404</v>
      </c>
      <c r="G513">
        <v>14.15</v>
      </c>
      <c r="H513" s="59">
        <f>G513-'Kubiņu masa'!D64</f>
        <v>1.08</v>
      </c>
      <c r="I513" s="59">
        <f t="shared" si="15"/>
        <v>7.2000000000000011</v>
      </c>
    </row>
    <row r="514" spans="1:9" x14ac:dyDescent="0.35">
      <c r="A514" s="25" t="s">
        <v>41</v>
      </c>
      <c r="B514" s="25" t="s">
        <v>89</v>
      </c>
      <c r="C514" s="25" t="s">
        <v>45</v>
      </c>
      <c r="D514" s="25">
        <v>80</v>
      </c>
      <c r="E514" s="37" t="s">
        <v>60</v>
      </c>
      <c r="F514" s="36">
        <v>8.6891385767790279</v>
      </c>
      <c r="G514">
        <v>14.51</v>
      </c>
      <c r="H514" s="59">
        <f>G514-'Kubiņu masa'!D65</f>
        <v>1.1600000000000001</v>
      </c>
      <c r="I514" s="59">
        <f t="shared" si="15"/>
        <v>7.7333333333333334</v>
      </c>
    </row>
    <row r="515" spans="1:9" x14ac:dyDescent="0.35">
      <c r="A515" s="25" t="s">
        <v>41</v>
      </c>
      <c r="B515" s="25" t="s">
        <v>89</v>
      </c>
      <c r="C515" s="25" t="s">
        <v>46</v>
      </c>
      <c r="D515" s="25">
        <v>80</v>
      </c>
      <c r="E515" s="37" t="s">
        <v>60</v>
      </c>
      <c r="F515" s="36">
        <v>8.5649887302779764</v>
      </c>
      <c r="G515">
        <v>14.45</v>
      </c>
      <c r="H515" s="59">
        <f>G515-'Kubiņu masa'!D66</f>
        <v>1.1399999999999988</v>
      </c>
      <c r="I515" s="59">
        <f t="shared" si="15"/>
        <v>7.5999999999999917</v>
      </c>
    </row>
    <row r="516" spans="1:9" x14ac:dyDescent="0.35">
      <c r="A516" s="25" t="s">
        <v>41</v>
      </c>
      <c r="B516" s="25" t="s">
        <v>89</v>
      </c>
      <c r="C516" s="25" t="s">
        <v>47</v>
      </c>
      <c r="D516" s="25">
        <v>80</v>
      </c>
      <c r="E516" s="37" t="s">
        <v>60</v>
      </c>
      <c r="F516" s="36">
        <v>8.5311572700296754</v>
      </c>
      <c r="G516">
        <v>14.63</v>
      </c>
      <c r="H516" s="59">
        <f>G516-'Kubiņu masa'!D67</f>
        <v>1.1500000000000004</v>
      </c>
      <c r="I516" s="59">
        <f t="shared" si="15"/>
        <v>7.6666666666666687</v>
      </c>
    </row>
    <row r="517" spans="1:9" x14ac:dyDescent="0.35">
      <c r="A517" s="25" t="s">
        <v>41</v>
      </c>
      <c r="B517" s="25" t="s">
        <v>90</v>
      </c>
      <c r="C517" s="25" t="s">
        <v>48</v>
      </c>
      <c r="D517" s="25">
        <v>80</v>
      </c>
      <c r="E517" s="37" t="s">
        <v>60</v>
      </c>
      <c r="F517" s="36">
        <v>7.0250458155161786</v>
      </c>
      <c r="G517">
        <v>17.52</v>
      </c>
      <c r="H517" s="59">
        <f>G517-'Kubiņu masa'!D68</f>
        <v>1.1499999999999986</v>
      </c>
      <c r="I517" s="59">
        <f t="shared" si="15"/>
        <v>7.6666666666666581</v>
      </c>
    </row>
    <row r="518" spans="1:9" x14ac:dyDescent="0.35">
      <c r="A518" s="25" t="s">
        <v>41</v>
      </c>
      <c r="B518" s="25" t="s">
        <v>90</v>
      </c>
      <c r="C518" s="25" t="s">
        <v>49</v>
      </c>
      <c r="D518" s="25">
        <v>80</v>
      </c>
      <c r="E518" s="37" t="s">
        <v>60</v>
      </c>
      <c r="F518" s="36">
        <v>7.0422535211267752</v>
      </c>
      <c r="G518">
        <v>17.48</v>
      </c>
      <c r="H518" s="59">
        <f>G518-'Kubiņu masa'!D69</f>
        <v>1.1500000000000021</v>
      </c>
      <c r="I518" s="59">
        <f t="shared" si="15"/>
        <v>7.6666666666666812</v>
      </c>
    </row>
    <row r="519" spans="1:9" x14ac:dyDescent="0.35">
      <c r="A519" s="25" t="s">
        <v>41</v>
      </c>
      <c r="B519" s="25" t="s">
        <v>33</v>
      </c>
      <c r="C519" s="25" t="s">
        <v>50</v>
      </c>
      <c r="D519" s="25">
        <v>80</v>
      </c>
      <c r="E519" s="37" t="s">
        <v>60</v>
      </c>
      <c r="F519" s="36">
        <v>8.4175084175084294</v>
      </c>
      <c r="G519">
        <v>16.100000000000001</v>
      </c>
      <c r="H519" s="59">
        <f>G519-'Kubiņu masa'!D70</f>
        <v>1.2500000000000018</v>
      </c>
      <c r="I519" s="59">
        <f t="shared" si="15"/>
        <v>8.3333333333333446</v>
      </c>
    </row>
    <row r="520" spans="1:9" x14ac:dyDescent="0.35">
      <c r="A520" s="25" t="s">
        <v>41</v>
      </c>
      <c r="B520" s="25" t="s">
        <v>33</v>
      </c>
      <c r="C520" s="25" t="s">
        <v>51</v>
      </c>
      <c r="D520" s="25">
        <v>80</v>
      </c>
      <c r="E520" s="37" t="s">
        <v>60</v>
      </c>
      <c r="F520" s="36">
        <v>8.4745762711864394</v>
      </c>
      <c r="G520">
        <v>16</v>
      </c>
      <c r="H520" s="59">
        <f>G520-'Kubiņu masa'!D71</f>
        <v>1.25</v>
      </c>
      <c r="I520" s="59">
        <f t="shared" si="15"/>
        <v>8.3333333333333321</v>
      </c>
    </row>
    <row r="521" spans="1:9" x14ac:dyDescent="0.35">
      <c r="A521" s="25" t="s">
        <v>41</v>
      </c>
      <c r="B521" s="25" t="s">
        <v>33</v>
      </c>
      <c r="C521" s="25" t="s">
        <v>52</v>
      </c>
      <c r="D521" s="25">
        <v>80</v>
      </c>
      <c r="E521" s="37" t="s">
        <v>60</v>
      </c>
      <c r="F521" s="36">
        <v>8.4791386271870905</v>
      </c>
      <c r="G521">
        <v>16.12</v>
      </c>
      <c r="H521" s="59">
        <f>G521-'Kubiņu masa'!D72</f>
        <v>1.2600000000000016</v>
      </c>
      <c r="I521" s="59">
        <f t="shared" si="15"/>
        <v>8.400000000000011</v>
      </c>
    </row>
    <row r="522" spans="1:9" x14ac:dyDescent="0.35">
      <c r="A522" s="25" t="s">
        <v>10</v>
      </c>
      <c r="B522" s="25" t="s">
        <v>68</v>
      </c>
      <c r="C522" s="25">
        <v>9</v>
      </c>
      <c r="D522" s="25">
        <v>80</v>
      </c>
      <c r="E522" s="37" t="s">
        <v>61</v>
      </c>
      <c r="F522" s="36">
        <v>8.417997097242381</v>
      </c>
      <c r="G522">
        <v>7.47</v>
      </c>
      <c r="H522" s="59">
        <f>G522-'Kubiņu masa'!D8</f>
        <v>0.58000000000000007</v>
      </c>
      <c r="I522" s="59">
        <f t="shared" ref="I515:I578" si="16">H522/27*100</f>
        <v>2.1481481481481484</v>
      </c>
    </row>
    <row r="523" spans="1:9" x14ac:dyDescent="0.35">
      <c r="A523" s="25" t="s">
        <v>10</v>
      </c>
      <c r="B523" s="25" t="s">
        <v>68</v>
      </c>
      <c r="C523" s="25">
        <v>27</v>
      </c>
      <c r="D523" s="25">
        <v>80</v>
      </c>
      <c r="E523" s="37" t="s">
        <v>61</v>
      </c>
      <c r="F523" s="36">
        <v>7.9056865464632491</v>
      </c>
      <c r="G523">
        <v>7.78</v>
      </c>
      <c r="H523" s="59">
        <f>G523-'Kubiņu masa'!D9</f>
        <v>0.57000000000000028</v>
      </c>
      <c r="I523" s="59">
        <f t="shared" si="16"/>
        <v>2.111111111111112</v>
      </c>
    </row>
    <row r="524" spans="1:9" x14ac:dyDescent="0.35">
      <c r="A524" s="25" t="s">
        <v>10</v>
      </c>
      <c r="B524" s="25" t="s">
        <v>68</v>
      </c>
      <c r="C524" s="25">
        <v>106</v>
      </c>
      <c r="D524" s="25">
        <v>80</v>
      </c>
      <c r="E524" s="37" t="s">
        <v>61</v>
      </c>
      <c r="F524" s="36">
        <v>7.6923076923076898</v>
      </c>
      <c r="G524">
        <v>7.7</v>
      </c>
      <c r="H524" s="59">
        <f>G524-'Kubiņu masa'!D10</f>
        <v>0.54999999999999982</v>
      </c>
      <c r="I524" s="59">
        <f t="shared" si="16"/>
        <v>2.0370370370370363</v>
      </c>
    </row>
    <row r="525" spans="1:9" x14ac:dyDescent="0.35">
      <c r="A525" s="25" t="s">
        <v>10</v>
      </c>
      <c r="B525" s="25" t="s">
        <v>69</v>
      </c>
      <c r="C525" s="25">
        <v>39</v>
      </c>
      <c r="D525" s="25">
        <v>80</v>
      </c>
      <c r="E525" s="37" t="s">
        <v>61</v>
      </c>
      <c r="F525" s="36">
        <v>7.118644067796609</v>
      </c>
      <c r="G525">
        <v>6.32</v>
      </c>
      <c r="H525" s="59">
        <f>G525-'Kubiņu masa'!D11</f>
        <v>0.41999999999999993</v>
      </c>
      <c r="I525" s="59">
        <f t="shared" si="16"/>
        <v>1.5555555555555554</v>
      </c>
    </row>
    <row r="526" spans="1:9" x14ac:dyDescent="0.35">
      <c r="A526" s="25" t="s">
        <v>10</v>
      </c>
      <c r="B526" s="25" t="s">
        <v>69</v>
      </c>
      <c r="C526" s="25">
        <v>55</v>
      </c>
      <c r="D526" s="25">
        <v>80</v>
      </c>
      <c r="E526" s="37" t="s">
        <v>61</v>
      </c>
      <c r="F526" s="36">
        <v>7.3529411764705914</v>
      </c>
      <c r="G526">
        <v>6.57</v>
      </c>
      <c r="H526" s="59">
        <f>G526-'Kubiņu masa'!D12</f>
        <v>0.45000000000000018</v>
      </c>
      <c r="I526" s="59">
        <f t="shared" si="16"/>
        <v>1.6666666666666674</v>
      </c>
    </row>
    <row r="527" spans="1:9" x14ac:dyDescent="0.35">
      <c r="A527" s="25" t="s">
        <v>10</v>
      </c>
      <c r="B527" s="25" t="s">
        <v>69</v>
      </c>
      <c r="C527" s="25">
        <v>122</v>
      </c>
      <c r="D527" s="25">
        <v>80</v>
      </c>
      <c r="E527" s="37" t="s">
        <v>61</v>
      </c>
      <c r="F527" s="36">
        <v>6.9579288025890067</v>
      </c>
      <c r="G527">
        <v>6.61</v>
      </c>
      <c r="H527" s="59">
        <f>G527-'Kubiņu masa'!D13</f>
        <v>0.4300000000000006</v>
      </c>
      <c r="I527" s="59">
        <f t="shared" si="16"/>
        <v>1.5925925925925948</v>
      </c>
    </row>
    <row r="528" spans="1:9" x14ac:dyDescent="0.35">
      <c r="A528" s="25" t="s">
        <v>10</v>
      </c>
      <c r="B528" s="25" t="s">
        <v>70</v>
      </c>
      <c r="C528" s="25">
        <v>66</v>
      </c>
      <c r="D528" s="25">
        <v>80</v>
      </c>
      <c r="E528" s="37" t="s">
        <v>61</v>
      </c>
      <c r="F528" s="36">
        <v>7.607192254495156</v>
      </c>
      <c r="G528">
        <v>7.78</v>
      </c>
      <c r="H528" s="59">
        <f>G528-'Kubiņu masa'!D14</f>
        <v>0.54999999999999982</v>
      </c>
      <c r="I528" s="59">
        <f t="shared" si="16"/>
        <v>2.0370370370370363</v>
      </c>
    </row>
    <row r="529" spans="1:9" x14ac:dyDescent="0.35">
      <c r="A529" s="25" t="s">
        <v>10</v>
      </c>
      <c r="B529" s="25" t="s">
        <v>70</v>
      </c>
      <c r="C529" s="25">
        <v>142</v>
      </c>
      <c r="D529" s="25">
        <v>80</v>
      </c>
      <c r="E529" s="37" t="s">
        <v>61</v>
      </c>
      <c r="F529" s="36">
        <v>7.8947368421052584</v>
      </c>
      <c r="G529">
        <v>8.1999999999999993</v>
      </c>
      <c r="H529" s="59">
        <f>G529-'Kubiņu masa'!D15</f>
        <v>0.59999999999999964</v>
      </c>
      <c r="I529" s="59">
        <f t="shared" si="16"/>
        <v>2.222222222222221</v>
      </c>
    </row>
    <row r="530" spans="1:9" x14ac:dyDescent="0.35">
      <c r="A530" s="25" t="s">
        <v>10</v>
      </c>
      <c r="B530" s="25" t="s">
        <v>70</v>
      </c>
      <c r="C530" s="25">
        <v>147</v>
      </c>
      <c r="D530" s="25">
        <v>80</v>
      </c>
      <c r="E530" s="37" t="s">
        <v>61</v>
      </c>
      <c r="F530" s="36">
        <v>7.8167115902964976</v>
      </c>
      <c r="G530">
        <v>8</v>
      </c>
      <c r="H530" s="59">
        <f>G530-'Kubiņu masa'!D16</f>
        <v>0.58000000000000007</v>
      </c>
      <c r="I530" s="59">
        <f t="shared" si="16"/>
        <v>2.1481481481481484</v>
      </c>
    </row>
    <row r="531" spans="1:9" x14ac:dyDescent="0.35">
      <c r="A531" s="25" t="s">
        <v>10</v>
      </c>
      <c r="B531" s="25" t="s">
        <v>71</v>
      </c>
      <c r="C531" s="25">
        <v>75</v>
      </c>
      <c r="D531" s="25">
        <v>80</v>
      </c>
      <c r="E531" s="37" t="s">
        <v>61</v>
      </c>
      <c r="F531" s="36">
        <v>7.1240105540896979</v>
      </c>
      <c r="G531">
        <v>8.1199999999999992</v>
      </c>
      <c r="H531" s="59">
        <f>G531-'Kubiņu masa'!D17</f>
        <v>0.53999999999999915</v>
      </c>
      <c r="I531" s="59">
        <f t="shared" si="16"/>
        <v>1.9999999999999969</v>
      </c>
    </row>
    <row r="532" spans="1:9" x14ac:dyDescent="0.35">
      <c r="A532" s="25" t="s">
        <v>10</v>
      </c>
      <c r="B532" s="25" t="s">
        <v>71</v>
      </c>
      <c r="C532" s="25">
        <v>81</v>
      </c>
      <c r="D532" s="25">
        <v>80</v>
      </c>
      <c r="E532" s="37" t="s">
        <v>61</v>
      </c>
      <c r="F532" s="36">
        <v>7.0866141732283463</v>
      </c>
      <c r="G532">
        <v>8.16</v>
      </c>
      <c r="H532" s="59">
        <f>G532-'Kubiņu masa'!D18</f>
        <v>0.54</v>
      </c>
      <c r="I532" s="59">
        <f t="shared" si="16"/>
        <v>2</v>
      </c>
    </row>
    <row r="533" spans="1:9" x14ac:dyDescent="0.35">
      <c r="A533" s="25" t="s">
        <v>10</v>
      </c>
      <c r="B533" s="25" t="s">
        <v>71</v>
      </c>
      <c r="C533" s="25">
        <v>91</v>
      </c>
      <c r="D533" s="25">
        <v>80</v>
      </c>
      <c r="E533" s="37" t="s">
        <v>61</v>
      </c>
      <c r="F533" s="36">
        <v>6.9053708439897585</v>
      </c>
      <c r="G533">
        <v>8.36</v>
      </c>
      <c r="H533" s="59">
        <f>G533-'Kubiņu masa'!D19</f>
        <v>0.53999999999999915</v>
      </c>
      <c r="I533" s="59">
        <f t="shared" si="16"/>
        <v>1.9999999999999969</v>
      </c>
    </row>
    <row r="534" spans="1:9" x14ac:dyDescent="0.35">
      <c r="A534" s="25" t="s">
        <v>10</v>
      </c>
      <c r="B534" s="25" t="s">
        <v>72</v>
      </c>
      <c r="C534" s="25">
        <v>103</v>
      </c>
      <c r="D534" s="25">
        <v>80</v>
      </c>
      <c r="E534" s="37" t="s">
        <v>61</v>
      </c>
      <c r="F534" s="36">
        <v>7.2727272727272672</v>
      </c>
      <c r="G534">
        <v>4.13</v>
      </c>
      <c r="H534" s="59">
        <f>G534-'Kubiņu masa'!D20</f>
        <v>0.2799999999999998</v>
      </c>
      <c r="I534" s="59">
        <f t="shared" si="16"/>
        <v>1.0370370370370363</v>
      </c>
    </row>
    <row r="535" spans="1:9" x14ac:dyDescent="0.35">
      <c r="A535" s="25" t="s">
        <v>10</v>
      </c>
      <c r="B535" s="25" t="s">
        <v>72</v>
      </c>
      <c r="C535" s="25">
        <v>283</v>
      </c>
      <c r="D535" s="25">
        <v>80</v>
      </c>
      <c r="E535" s="37" t="s">
        <v>61</v>
      </c>
      <c r="F535" s="36">
        <v>7.5187969924811986</v>
      </c>
      <c r="G535">
        <v>4.29</v>
      </c>
      <c r="H535" s="59">
        <f>G535-'Kubiņu masa'!D21</f>
        <v>0.29999999999999982</v>
      </c>
      <c r="I535" s="59">
        <f t="shared" si="16"/>
        <v>1.1111111111111105</v>
      </c>
    </row>
    <row r="536" spans="1:9" x14ac:dyDescent="0.35">
      <c r="A536" s="25" t="s">
        <v>10</v>
      </c>
      <c r="B536" s="25" t="s">
        <v>72</v>
      </c>
      <c r="C536" s="25">
        <v>323</v>
      </c>
      <c r="D536" s="25">
        <v>80</v>
      </c>
      <c r="E536" s="37" t="s">
        <v>61</v>
      </c>
      <c r="F536" s="36">
        <v>6.8883610451306421</v>
      </c>
      <c r="G536">
        <v>4.5</v>
      </c>
      <c r="H536" s="59">
        <f>G536-'Kubiņu masa'!D22</f>
        <v>0.29000000000000004</v>
      </c>
      <c r="I536" s="59">
        <f t="shared" si="16"/>
        <v>1.0740740740740742</v>
      </c>
    </row>
    <row r="537" spans="1:9" x14ac:dyDescent="0.35">
      <c r="A537" s="25" t="s">
        <v>10</v>
      </c>
      <c r="B537" s="25" t="s">
        <v>73</v>
      </c>
      <c r="C537" s="25">
        <v>203</v>
      </c>
      <c r="D537" s="25">
        <v>80</v>
      </c>
      <c r="E537" s="37" t="s">
        <v>61</v>
      </c>
      <c r="F537" s="36">
        <v>6.8136272545090151</v>
      </c>
      <c r="G537">
        <v>5.33</v>
      </c>
      <c r="H537" s="59">
        <f>G537-'Kubiņu masa'!D23</f>
        <v>0.33999999999999986</v>
      </c>
      <c r="I537" s="59">
        <f t="shared" si="16"/>
        <v>1.2592592592592589</v>
      </c>
    </row>
    <row r="538" spans="1:9" x14ac:dyDescent="0.35">
      <c r="A538" s="25" t="s">
        <v>10</v>
      </c>
      <c r="B538" s="25" t="s">
        <v>73</v>
      </c>
      <c r="C538" s="25">
        <v>272</v>
      </c>
      <c r="D538" s="25">
        <v>80</v>
      </c>
      <c r="E538" s="37" t="s">
        <v>61</v>
      </c>
      <c r="F538" s="36">
        <v>7.1138211382113754</v>
      </c>
      <c r="G538">
        <v>5.27</v>
      </c>
      <c r="H538" s="59">
        <f>G538-'Kubiņu masa'!D24</f>
        <v>0.34999999999999964</v>
      </c>
      <c r="I538" s="59">
        <f t="shared" si="16"/>
        <v>1.2962962962962949</v>
      </c>
    </row>
    <row r="539" spans="1:9" x14ac:dyDescent="0.35">
      <c r="A539" s="25" t="s">
        <v>10</v>
      </c>
      <c r="B539" s="25" t="s">
        <v>73</v>
      </c>
      <c r="C539" s="25">
        <v>266</v>
      </c>
      <c r="D539" s="25">
        <v>80</v>
      </c>
      <c r="E539" s="37" t="s">
        <v>61</v>
      </c>
      <c r="F539" s="36">
        <v>6.9860279441117878</v>
      </c>
      <c r="G539">
        <v>5.36</v>
      </c>
      <c r="H539" s="59">
        <f>G539-'Kubiņu masa'!D25</f>
        <v>0.35000000000000053</v>
      </c>
      <c r="I539" s="59">
        <f t="shared" si="16"/>
        <v>1.2962962962962983</v>
      </c>
    </row>
    <row r="540" spans="1:9" x14ac:dyDescent="0.35">
      <c r="A540" s="25" t="s">
        <v>10</v>
      </c>
      <c r="B540" s="25" t="s">
        <v>74</v>
      </c>
      <c r="C540" s="25">
        <v>168</v>
      </c>
      <c r="D540" s="25">
        <v>80</v>
      </c>
      <c r="E540" s="37" t="s">
        <v>61</v>
      </c>
      <c r="F540" s="36">
        <v>7.7720207253886038</v>
      </c>
      <c r="G540">
        <v>6.24</v>
      </c>
      <c r="H540" s="59">
        <f>G540-'Kubiņu masa'!D26</f>
        <v>0.45000000000000018</v>
      </c>
      <c r="I540" s="59">
        <f t="shared" si="16"/>
        <v>1.6666666666666674</v>
      </c>
    </row>
    <row r="541" spans="1:9" x14ac:dyDescent="0.35">
      <c r="A541" s="25" t="s">
        <v>10</v>
      </c>
      <c r="B541" s="25" t="s">
        <v>74</v>
      </c>
      <c r="C541" s="25">
        <v>343</v>
      </c>
      <c r="D541" s="25">
        <v>80</v>
      </c>
      <c r="E541" s="37" t="s">
        <v>61</v>
      </c>
      <c r="F541" s="36">
        <v>8.1125827814569575</v>
      </c>
      <c r="G541">
        <v>6.53</v>
      </c>
      <c r="H541" s="59">
        <f>G541-'Kubiņu masa'!D27</f>
        <v>0.49000000000000021</v>
      </c>
      <c r="I541" s="59">
        <f t="shared" si="16"/>
        <v>1.8148148148148155</v>
      </c>
    </row>
    <row r="542" spans="1:9" x14ac:dyDescent="0.35">
      <c r="A542" s="25" t="s">
        <v>10</v>
      </c>
      <c r="B542" s="25" t="s">
        <v>74</v>
      </c>
      <c r="C542" s="25">
        <v>58</v>
      </c>
      <c r="D542" s="25">
        <v>80</v>
      </c>
      <c r="E542" s="37" t="s">
        <v>61</v>
      </c>
      <c r="F542" s="36">
        <v>8.0133555926544151</v>
      </c>
      <c r="G542">
        <v>6.47</v>
      </c>
      <c r="H542" s="59">
        <f>G542-'Kubiņu masa'!D28</f>
        <v>0.47999999999999954</v>
      </c>
      <c r="I542" s="59">
        <f t="shared" si="16"/>
        <v>1.7777777777777761</v>
      </c>
    </row>
    <row r="543" spans="1:9" x14ac:dyDescent="0.35">
      <c r="A543" s="25" t="s">
        <v>10</v>
      </c>
      <c r="B543" s="25" t="s">
        <v>75</v>
      </c>
      <c r="C543" s="25">
        <v>187</v>
      </c>
      <c r="D543" s="25">
        <v>80</v>
      </c>
      <c r="E543" s="37" t="s">
        <v>61</v>
      </c>
      <c r="F543" s="36">
        <v>6.4766839378238465</v>
      </c>
      <c r="G543">
        <v>4.1100000000000003</v>
      </c>
      <c r="H543" s="59">
        <f>G543-'Kubiņu masa'!D29</f>
        <v>0.25000000000000044</v>
      </c>
      <c r="I543" s="59">
        <f t="shared" si="16"/>
        <v>0.9259259259259276</v>
      </c>
    </row>
    <row r="544" spans="1:9" x14ac:dyDescent="0.35">
      <c r="A544" s="25" t="s">
        <v>10</v>
      </c>
      <c r="B544" s="25" t="s">
        <v>75</v>
      </c>
      <c r="C544" s="25">
        <v>248</v>
      </c>
      <c r="D544" s="25">
        <v>80</v>
      </c>
      <c r="E544" s="37" t="s">
        <v>61</v>
      </c>
      <c r="F544" s="36">
        <v>6.7146282973621156</v>
      </c>
      <c r="G544">
        <v>4.45</v>
      </c>
      <c r="H544" s="59">
        <f>G544-'Kubiņu masa'!D30</f>
        <v>0.28000000000000025</v>
      </c>
      <c r="I544" s="59">
        <f t="shared" si="16"/>
        <v>1.0370370370370379</v>
      </c>
    </row>
    <row r="545" spans="1:9" x14ac:dyDescent="0.35">
      <c r="A545" s="25" t="s">
        <v>10</v>
      </c>
      <c r="B545" s="25" t="s">
        <v>75</v>
      </c>
      <c r="C545" s="25">
        <v>212</v>
      </c>
      <c r="D545" s="25">
        <v>80</v>
      </c>
      <c r="E545" s="37" t="s">
        <v>61</v>
      </c>
      <c r="F545" s="36">
        <v>6.329113924050632</v>
      </c>
      <c r="G545">
        <v>4.2</v>
      </c>
      <c r="H545" s="59">
        <f>G545-'Kubiņu masa'!D31</f>
        <v>0.25</v>
      </c>
      <c r="I545" s="59">
        <f t="shared" si="16"/>
        <v>0.92592592592592582</v>
      </c>
    </row>
    <row r="546" spans="1:9" x14ac:dyDescent="0.35">
      <c r="A546" s="25" t="s">
        <v>40</v>
      </c>
      <c r="B546" s="25" t="s">
        <v>68</v>
      </c>
      <c r="C546" s="25">
        <v>5</v>
      </c>
      <c r="D546" s="25">
        <v>80</v>
      </c>
      <c r="E546" s="37" t="s">
        <v>61</v>
      </c>
      <c r="F546" s="36">
        <v>7.6923076923076872</v>
      </c>
      <c r="G546">
        <v>7.84</v>
      </c>
      <c r="H546" s="59">
        <f>G546-'Kubiņu masa'!D32</f>
        <v>0.55999999999999961</v>
      </c>
      <c r="I546" s="59">
        <f t="shared" si="16"/>
        <v>2.0740740740740726</v>
      </c>
    </row>
    <row r="547" spans="1:9" x14ac:dyDescent="0.35">
      <c r="A547" s="25" t="s">
        <v>40</v>
      </c>
      <c r="B547" s="25" t="s">
        <v>68</v>
      </c>
      <c r="C547" s="25">
        <v>17</v>
      </c>
      <c r="D547" s="25">
        <v>80</v>
      </c>
      <c r="E547" s="37" t="s">
        <v>61</v>
      </c>
      <c r="F547" s="36">
        <v>7.5757575757575735</v>
      </c>
      <c r="G547">
        <v>7.81</v>
      </c>
      <c r="H547" s="59">
        <f>G547-'Kubiņu masa'!D33</f>
        <v>0.54999999999999982</v>
      </c>
      <c r="I547" s="59">
        <f t="shared" si="16"/>
        <v>2.0370370370370363</v>
      </c>
    </row>
    <row r="548" spans="1:9" x14ac:dyDescent="0.35">
      <c r="A548" s="25" t="s">
        <v>40</v>
      </c>
      <c r="B548" s="25" t="s">
        <v>68</v>
      </c>
      <c r="C548" s="25">
        <v>99</v>
      </c>
      <c r="D548" s="25">
        <v>80</v>
      </c>
      <c r="E548" s="37" t="s">
        <v>61</v>
      </c>
      <c r="F548" s="36">
        <v>7.7445652173912958</v>
      </c>
      <c r="G548">
        <v>7.93</v>
      </c>
      <c r="H548" s="59">
        <f>G548-'Kubiņu masa'!D34</f>
        <v>0.5699999999999994</v>
      </c>
      <c r="I548" s="59">
        <f t="shared" si="16"/>
        <v>2.1111111111111089</v>
      </c>
    </row>
    <row r="549" spans="1:9" x14ac:dyDescent="0.35">
      <c r="A549" s="25" t="s">
        <v>40</v>
      </c>
      <c r="B549" s="25" t="s">
        <v>69</v>
      </c>
      <c r="C549" s="25">
        <v>37</v>
      </c>
      <c r="D549" s="25">
        <v>80</v>
      </c>
      <c r="E549" s="37" t="s">
        <v>61</v>
      </c>
      <c r="F549" s="36">
        <v>7.4912891986062675</v>
      </c>
      <c r="G549">
        <v>6.17</v>
      </c>
      <c r="H549" s="59">
        <f>G549-'Kubiņu masa'!D35</f>
        <v>0.42999999999999972</v>
      </c>
      <c r="I549" s="59">
        <f t="shared" si="16"/>
        <v>1.5925925925925917</v>
      </c>
    </row>
    <row r="550" spans="1:9" x14ac:dyDescent="0.35">
      <c r="A550" s="25" t="s">
        <v>40</v>
      </c>
      <c r="B550" s="25" t="s">
        <v>69</v>
      </c>
      <c r="C550" s="25">
        <v>53</v>
      </c>
      <c r="D550" s="25">
        <v>80</v>
      </c>
      <c r="E550" s="37" t="s">
        <v>61</v>
      </c>
      <c r="F550" s="36">
        <v>7.5320512820512775</v>
      </c>
      <c r="G550">
        <v>6.71</v>
      </c>
      <c r="H550" s="59">
        <f>G550-'Kubiņu masa'!D36</f>
        <v>0.46999999999999975</v>
      </c>
      <c r="I550" s="59">
        <f t="shared" si="16"/>
        <v>1.74074074074074</v>
      </c>
    </row>
    <row r="551" spans="1:9" x14ac:dyDescent="0.35">
      <c r="A551" s="25" t="s">
        <v>40</v>
      </c>
      <c r="B551" s="25" t="s">
        <v>69</v>
      </c>
      <c r="C551" s="25">
        <v>134</v>
      </c>
      <c r="D551" s="25">
        <v>80</v>
      </c>
      <c r="E551" s="37" t="s">
        <v>61</v>
      </c>
      <c r="F551" s="36">
        <v>7.3825503355704756</v>
      </c>
      <c r="G551">
        <v>6.4</v>
      </c>
      <c r="H551" s="59">
        <f>G551-'Kubiņu masa'!D37</f>
        <v>0.44000000000000039</v>
      </c>
      <c r="I551" s="59">
        <f t="shared" si="16"/>
        <v>1.6296296296296313</v>
      </c>
    </row>
    <row r="552" spans="1:9" x14ac:dyDescent="0.35">
      <c r="A552" s="25" t="s">
        <v>40</v>
      </c>
      <c r="B552" s="25" t="s">
        <v>70</v>
      </c>
      <c r="C552" s="25">
        <v>68</v>
      </c>
      <c r="D552" s="25">
        <v>80</v>
      </c>
      <c r="E552" s="37" t="s">
        <v>61</v>
      </c>
      <c r="F552" s="36">
        <v>7.7134986225895386</v>
      </c>
      <c r="G552">
        <v>7.82</v>
      </c>
      <c r="H552" s="59">
        <f>G552-'Kubiņu masa'!D38</f>
        <v>0.5600000000000005</v>
      </c>
      <c r="I552" s="59">
        <f t="shared" si="16"/>
        <v>2.0740740740740757</v>
      </c>
    </row>
    <row r="553" spans="1:9" x14ac:dyDescent="0.35">
      <c r="A553" s="25" t="s">
        <v>40</v>
      </c>
      <c r="B553" s="25" t="s">
        <v>70</v>
      </c>
      <c r="C553" s="25">
        <v>143</v>
      </c>
      <c r="D553" s="25">
        <v>80</v>
      </c>
      <c r="E553" s="37" t="s">
        <v>61</v>
      </c>
      <c r="F553" s="36">
        <v>8.1190798376184112</v>
      </c>
      <c r="G553">
        <v>7.99</v>
      </c>
      <c r="H553" s="59">
        <f>G553-'Kubiņu masa'!D39</f>
        <v>0.60000000000000053</v>
      </c>
      <c r="I553" s="59">
        <f t="shared" si="16"/>
        <v>2.2222222222222241</v>
      </c>
    </row>
    <row r="554" spans="1:9" x14ac:dyDescent="0.35">
      <c r="A554" s="25" t="s">
        <v>40</v>
      </c>
      <c r="B554" s="25" t="s">
        <v>70</v>
      </c>
      <c r="C554" s="25">
        <v>190</v>
      </c>
      <c r="D554" s="25">
        <v>80</v>
      </c>
      <c r="E554" s="37" t="s">
        <v>61</v>
      </c>
      <c r="F554" s="36">
        <v>7.3136427566807241</v>
      </c>
      <c r="G554">
        <v>7.63</v>
      </c>
      <c r="H554" s="59">
        <f>G554-'Kubiņu masa'!D40</f>
        <v>0.51999999999999957</v>
      </c>
      <c r="I554" s="59">
        <f t="shared" si="16"/>
        <v>1.9259259259259243</v>
      </c>
    </row>
    <row r="555" spans="1:9" x14ac:dyDescent="0.35">
      <c r="A555" s="25" t="s">
        <v>40</v>
      </c>
      <c r="B555" s="25" t="s">
        <v>71</v>
      </c>
      <c r="C555" s="25">
        <v>158</v>
      </c>
      <c r="D555" s="25">
        <v>80</v>
      </c>
      <c r="E555" s="37" t="s">
        <v>61</v>
      </c>
      <c r="F555" s="36">
        <v>7.2904009720534582</v>
      </c>
      <c r="G555">
        <v>8.83</v>
      </c>
      <c r="H555" s="59">
        <f>G555-'Kubiņu masa'!D41</f>
        <v>0.59999999999999964</v>
      </c>
      <c r="I555" s="59">
        <f t="shared" si="16"/>
        <v>2.222222222222221</v>
      </c>
    </row>
    <row r="556" spans="1:9" x14ac:dyDescent="0.35">
      <c r="A556" s="25" t="s">
        <v>40</v>
      </c>
      <c r="B556" s="25" t="s">
        <v>71</v>
      </c>
      <c r="C556" s="25">
        <v>169</v>
      </c>
      <c r="D556" s="25">
        <v>80</v>
      </c>
      <c r="E556" s="37" t="s">
        <v>61</v>
      </c>
      <c r="F556" s="36">
        <v>7.0886075949367147</v>
      </c>
      <c r="G556">
        <v>8.4600000000000009</v>
      </c>
      <c r="H556" s="59">
        <f>G556-'Kubiņu masa'!D42</f>
        <v>0.5600000000000005</v>
      </c>
      <c r="I556" s="59">
        <f t="shared" si="16"/>
        <v>2.0740740740740757</v>
      </c>
    </row>
    <row r="557" spans="1:9" x14ac:dyDescent="0.35">
      <c r="A557" s="25" t="s">
        <v>40</v>
      </c>
      <c r="B557" s="25" t="s">
        <v>71</v>
      </c>
      <c r="C557" s="25">
        <v>174</v>
      </c>
      <c r="D557" s="25">
        <v>80</v>
      </c>
      <c r="E557" s="37" t="s">
        <v>61</v>
      </c>
      <c r="F557" s="36">
        <v>7.2273324572930324</v>
      </c>
      <c r="G557">
        <v>8.16</v>
      </c>
      <c r="H557" s="59">
        <f>G557-'Kubiņu masa'!D43</f>
        <v>0.54999999999999982</v>
      </c>
      <c r="I557" s="59">
        <f t="shared" si="16"/>
        <v>2.0370370370370363</v>
      </c>
    </row>
    <row r="558" spans="1:9" x14ac:dyDescent="0.35">
      <c r="A558" s="25" t="s">
        <v>40</v>
      </c>
      <c r="B558" s="25" t="s">
        <v>72</v>
      </c>
      <c r="C558" s="25">
        <v>108</v>
      </c>
      <c r="D558" s="25">
        <v>80</v>
      </c>
      <c r="E558" s="37" t="s">
        <v>61</v>
      </c>
      <c r="F558" s="36">
        <v>6.6997518610421736</v>
      </c>
      <c r="G558">
        <v>4.3</v>
      </c>
      <c r="H558" s="59">
        <f>G558-'Kubiņu masa'!D44</f>
        <v>0.26999999999999957</v>
      </c>
      <c r="I558" s="59">
        <f t="shared" si="16"/>
        <v>0.99999999999999845</v>
      </c>
    </row>
    <row r="559" spans="1:9" x14ac:dyDescent="0.35">
      <c r="A559" s="25" t="s">
        <v>40</v>
      </c>
      <c r="B559" s="25" t="s">
        <v>72</v>
      </c>
      <c r="C559" s="25">
        <v>287</v>
      </c>
      <c r="D559" s="25">
        <v>80</v>
      </c>
      <c r="E559" s="37" t="s">
        <v>61</v>
      </c>
      <c r="F559" s="36">
        <v>6.4102564102564266</v>
      </c>
      <c r="G559">
        <v>4.9800000000000004</v>
      </c>
      <c r="H559" s="59">
        <f>G559-'Kubiņu masa'!D45</f>
        <v>0.30000000000000071</v>
      </c>
      <c r="I559" s="59">
        <f t="shared" si="16"/>
        <v>1.1111111111111138</v>
      </c>
    </row>
    <row r="560" spans="1:9" x14ac:dyDescent="0.35">
      <c r="A560" s="25" t="s">
        <v>40</v>
      </c>
      <c r="B560" s="25" t="s">
        <v>72</v>
      </c>
      <c r="C560" s="25">
        <v>328</v>
      </c>
      <c r="D560" s="25">
        <v>80</v>
      </c>
      <c r="E560" s="37" t="s">
        <v>61</v>
      </c>
      <c r="F560" s="36">
        <v>6.6193853427895828</v>
      </c>
      <c r="G560">
        <v>4.51</v>
      </c>
      <c r="H560" s="59">
        <f>G560-'Kubiņu masa'!D46</f>
        <v>0.27999999999999936</v>
      </c>
      <c r="I560" s="59">
        <f t="shared" si="16"/>
        <v>1.0370370370370348</v>
      </c>
    </row>
    <row r="561" spans="1:9" x14ac:dyDescent="0.35">
      <c r="A561" s="25" t="s">
        <v>40</v>
      </c>
      <c r="B561" s="25" t="s">
        <v>73</v>
      </c>
      <c r="C561" s="25">
        <v>207</v>
      </c>
      <c r="D561" s="25">
        <v>80</v>
      </c>
      <c r="E561" s="37" t="s">
        <v>61</v>
      </c>
      <c r="F561" s="36">
        <v>6.6666666666666599</v>
      </c>
      <c r="G561">
        <v>5.6</v>
      </c>
      <c r="H561" s="59">
        <f>G561-'Kubiņu masa'!D47</f>
        <v>0.34999999999999964</v>
      </c>
      <c r="I561" s="59">
        <f t="shared" si="16"/>
        <v>1.2962962962962949</v>
      </c>
    </row>
    <row r="562" spans="1:9" x14ac:dyDescent="0.35">
      <c r="A562" s="25" t="s">
        <v>40</v>
      </c>
      <c r="B562" s="25" t="s">
        <v>73</v>
      </c>
      <c r="C562" s="25">
        <v>314</v>
      </c>
      <c r="D562" s="25">
        <v>80</v>
      </c>
      <c r="E562" s="37" t="s">
        <v>61</v>
      </c>
      <c r="F562" s="36">
        <v>6.851851851851837</v>
      </c>
      <c r="G562">
        <v>5.77</v>
      </c>
      <c r="H562" s="59">
        <f>G562-'Kubiņu masa'!D48</f>
        <v>0.36999999999999922</v>
      </c>
      <c r="I562" s="59">
        <f t="shared" si="16"/>
        <v>1.3703703703703674</v>
      </c>
    </row>
    <row r="563" spans="1:9" x14ac:dyDescent="0.35">
      <c r="A563" s="25" t="s">
        <v>40</v>
      </c>
      <c r="B563" s="25" t="s">
        <v>73</v>
      </c>
      <c r="C563" s="25">
        <v>280</v>
      </c>
      <c r="D563" s="25">
        <v>80</v>
      </c>
      <c r="E563" s="37" t="s">
        <v>61</v>
      </c>
      <c r="F563" s="36">
        <v>6.826568265682659</v>
      </c>
      <c r="G563">
        <v>5.79</v>
      </c>
      <c r="H563" s="59">
        <f>G563-'Kubiņu masa'!D49</f>
        <v>0.37000000000000011</v>
      </c>
      <c r="I563" s="59">
        <f t="shared" si="16"/>
        <v>1.3703703703703707</v>
      </c>
    </row>
    <row r="564" spans="1:9" x14ac:dyDescent="0.35">
      <c r="A564" s="25" t="s">
        <v>40</v>
      </c>
      <c r="B564" s="25" t="s">
        <v>74</v>
      </c>
      <c r="C564" s="25">
        <v>172</v>
      </c>
      <c r="D564" s="25">
        <v>80</v>
      </c>
      <c r="E564" s="37" t="s">
        <v>61</v>
      </c>
      <c r="F564" s="36">
        <v>7.3883161512027433</v>
      </c>
      <c r="G564">
        <v>6.25</v>
      </c>
      <c r="H564" s="59">
        <f>G564-'Kubiņu masa'!D50</f>
        <v>0.42999999999999972</v>
      </c>
      <c r="I564" s="59">
        <f t="shared" si="16"/>
        <v>1.5925925925925917</v>
      </c>
    </row>
    <row r="565" spans="1:9" x14ac:dyDescent="0.35">
      <c r="A565" s="25" t="s">
        <v>40</v>
      </c>
      <c r="B565" s="25" t="s">
        <v>74</v>
      </c>
      <c r="C565" s="25">
        <v>229</v>
      </c>
      <c r="D565" s="25">
        <v>80</v>
      </c>
      <c r="E565" s="37" t="s">
        <v>61</v>
      </c>
      <c r="F565" s="36">
        <v>7.7452667814113623</v>
      </c>
      <c r="G565">
        <v>6.26</v>
      </c>
      <c r="H565" s="59">
        <f>G565-'Kubiņu masa'!D51</f>
        <v>0.45000000000000018</v>
      </c>
      <c r="I565" s="59">
        <f t="shared" si="16"/>
        <v>1.6666666666666674</v>
      </c>
    </row>
    <row r="566" spans="1:9" x14ac:dyDescent="0.35">
      <c r="A566" s="25" t="s">
        <v>40</v>
      </c>
      <c r="B566" s="25" t="s">
        <v>74</v>
      </c>
      <c r="C566" s="25">
        <v>349</v>
      </c>
      <c r="D566" s="25">
        <v>80</v>
      </c>
      <c r="E566" s="37" t="s">
        <v>61</v>
      </c>
      <c r="F566" s="36">
        <v>7.7186963979416836</v>
      </c>
      <c r="G566">
        <v>6.28</v>
      </c>
      <c r="H566" s="59">
        <f>G566-'Kubiņu masa'!D52</f>
        <v>0.45000000000000018</v>
      </c>
      <c r="I566" s="59">
        <f t="shared" si="16"/>
        <v>1.6666666666666674</v>
      </c>
    </row>
    <row r="567" spans="1:9" x14ac:dyDescent="0.35">
      <c r="A567" s="25" t="s">
        <v>40</v>
      </c>
      <c r="B567" s="25" t="s">
        <v>75</v>
      </c>
      <c r="C567" s="25">
        <v>193</v>
      </c>
      <c r="D567" s="25">
        <v>80</v>
      </c>
      <c r="E567" s="37" t="s">
        <v>61</v>
      </c>
      <c r="F567" s="36">
        <v>6.8337129840546869</v>
      </c>
      <c r="G567">
        <v>4.6900000000000004</v>
      </c>
      <c r="H567" s="59">
        <f>G567-'Kubiņu masa'!D53</f>
        <v>0.30000000000000071</v>
      </c>
      <c r="I567" s="59">
        <f t="shared" si="16"/>
        <v>1.1111111111111138</v>
      </c>
    </row>
    <row r="568" spans="1:9" x14ac:dyDescent="0.35">
      <c r="A568" s="25" t="s">
        <v>40</v>
      </c>
      <c r="B568" s="25" t="s">
        <v>75</v>
      </c>
      <c r="C568" s="25">
        <v>160</v>
      </c>
      <c r="D568" s="25">
        <v>80</v>
      </c>
      <c r="E568" s="37" t="s">
        <v>61</v>
      </c>
      <c r="F568" s="36">
        <v>6.2068965517241486</v>
      </c>
      <c r="G568">
        <v>4.62</v>
      </c>
      <c r="H568" s="59">
        <f>G568-'Kubiņu masa'!D54</f>
        <v>0.27000000000000046</v>
      </c>
      <c r="I568" s="59">
        <f t="shared" si="16"/>
        <v>1.0000000000000018</v>
      </c>
    </row>
    <row r="569" spans="1:9" x14ac:dyDescent="0.35">
      <c r="A569" s="25" t="s">
        <v>40</v>
      </c>
      <c r="B569" s="25" t="s">
        <v>75</v>
      </c>
      <c r="C569" s="25">
        <v>218</v>
      </c>
      <c r="D569" s="25">
        <v>80</v>
      </c>
      <c r="E569" s="37" t="s">
        <v>61</v>
      </c>
      <c r="F569" s="36">
        <v>6.205250596658705</v>
      </c>
      <c r="G569">
        <v>4.45</v>
      </c>
      <c r="H569" s="59">
        <f>G569-'Kubiņu masa'!D55</f>
        <v>0.25999999999999979</v>
      </c>
      <c r="I569" s="59">
        <f t="shared" si="16"/>
        <v>0.96296296296296213</v>
      </c>
    </row>
    <row r="570" spans="1:9" x14ac:dyDescent="0.35">
      <c r="A570" s="25" t="s">
        <v>41</v>
      </c>
      <c r="B570" s="25" t="s">
        <v>91</v>
      </c>
      <c r="C570" s="25">
        <v>32</v>
      </c>
      <c r="D570" s="25">
        <v>80</v>
      </c>
      <c r="E570" s="37" t="s">
        <v>61</v>
      </c>
      <c r="F570" s="36">
        <v>10.288335517693307</v>
      </c>
      <c r="G570">
        <v>16.829999999999998</v>
      </c>
      <c r="H570" s="59">
        <f>G570-'Kubiņu masa'!D56</f>
        <v>1.5699999999999985</v>
      </c>
      <c r="I570" s="59">
        <f>H570/15*100</f>
        <v>10.466666666666656</v>
      </c>
    </row>
    <row r="571" spans="1:9" x14ac:dyDescent="0.35">
      <c r="A571" s="25" t="s">
        <v>41</v>
      </c>
      <c r="B571" s="25" t="s">
        <v>91</v>
      </c>
      <c r="C571" s="25">
        <v>33</v>
      </c>
      <c r="D571" s="25">
        <v>80</v>
      </c>
      <c r="E571" s="37" t="s">
        <v>61</v>
      </c>
      <c r="F571" s="36">
        <v>9.9614395886889398</v>
      </c>
      <c r="G571">
        <v>17.11</v>
      </c>
      <c r="H571" s="59">
        <f>G571-'Kubiņu masa'!D57</f>
        <v>1.5499999999999989</v>
      </c>
      <c r="I571" s="59">
        <f t="shared" ref="I571:I586" si="17">H571/15*100</f>
        <v>10.333333333333327</v>
      </c>
    </row>
    <row r="572" spans="1:9" x14ac:dyDescent="0.35">
      <c r="A572" s="25" t="s">
        <v>41</v>
      </c>
      <c r="B572" s="25" t="s">
        <v>91</v>
      </c>
      <c r="C572" s="25">
        <v>34</v>
      </c>
      <c r="D572" s="25">
        <v>80</v>
      </c>
      <c r="E572" s="37" t="s">
        <v>61</v>
      </c>
      <c r="F572" s="36">
        <v>9.7378277153557971</v>
      </c>
      <c r="G572">
        <v>17.579999999999998</v>
      </c>
      <c r="H572" s="59">
        <f>G572-'Kubiņu masa'!D58</f>
        <v>1.5599999999999987</v>
      </c>
      <c r="I572" s="59">
        <f t="shared" si="17"/>
        <v>10.399999999999991</v>
      </c>
    </row>
    <row r="573" spans="1:9" x14ac:dyDescent="0.35">
      <c r="A573" s="25" t="s">
        <v>41</v>
      </c>
      <c r="B573" s="25" t="s">
        <v>29</v>
      </c>
      <c r="C573" s="25">
        <v>50</v>
      </c>
      <c r="D573" s="25">
        <v>80</v>
      </c>
      <c r="E573" s="37" t="s">
        <v>61</v>
      </c>
      <c r="F573" s="36">
        <v>7.4244415243101232</v>
      </c>
      <c r="G573">
        <v>16.350000000000001</v>
      </c>
      <c r="H573" s="59">
        <f>G573-'Kubiņu masa'!D59</f>
        <v>1.1300000000000008</v>
      </c>
      <c r="I573" s="59">
        <f t="shared" si="17"/>
        <v>7.5333333333333394</v>
      </c>
    </row>
    <row r="574" spans="1:9" x14ac:dyDescent="0.35">
      <c r="A574" s="25" t="s">
        <v>41</v>
      </c>
      <c r="B574" s="25" t="s">
        <v>29</v>
      </c>
      <c r="C574" s="25">
        <v>51</v>
      </c>
      <c r="D574" s="25">
        <v>80</v>
      </c>
      <c r="E574" s="37" t="s">
        <v>61</v>
      </c>
      <c r="F574" s="36">
        <v>7.4098798397863774</v>
      </c>
      <c r="G574">
        <v>16.09</v>
      </c>
      <c r="H574" s="59">
        <f>G574-'Kubiņu masa'!D60</f>
        <v>1.1099999999999994</v>
      </c>
      <c r="I574" s="59">
        <f t="shared" si="17"/>
        <v>7.3999999999999968</v>
      </c>
    </row>
    <row r="575" spans="1:9" x14ac:dyDescent="0.35">
      <c r="A575" s="25" t="s">
        <v>41</v>
      </c>
      <c r="B575" s="25" t="s">
        <v>29</v>
      </c>
      <c r="C575" s="25">
        <v>52</v>
      </c>
      <c r="D575" s="25">
        <v>80</v>
      </c>
      <c r="E575" s="37" t="s">
        <v>61</v>
      </c>
      <c r="F575" s="36">
        <v>7.3656270736562668</v>
      </c>
      <c r="G575">
        <v>16.18</v>
      </c>
      <c r="H575" s="59">
        <f>G575-'Kubiņu masa'!D61</f>
        <v>1.1099999999999994</v>
      </c>
      <c r="I575" s="59">
        <f t="shared" si="17"/>
        <v>7.3999999999999968</v>
      </c>
    </row>
    <row r="576" spans="1:9" x14ac:dyDescent="0.35">
      <c r="A576" s="25" t="s">
        <v>41</v>
      </c>
      <c r="B576" s="25" t="s">
        <v>88</v>
      </c>
      <c r="C576" s="25" t="s">
        <v>42</v>
      </c>
      <c r="D576" s="25">
        <v>80</v>
      </c>
      <c r="E576" s="37" t="s">
        <v>61</v>
      </c>
      <c r="F576" s="36">
        <v>8.1325301204819294</v>
      </c>
      <c r="G576">
        <v>14.36</v>
      </c>
      <c r="H576" s="59">
        <f>G576-'Kubiņu masa'!D62</f>
        <v>1.08</v>
      </c>
      <c r="I576" s="59">
        <f t="shared" si="17"/>
        <v>7.2000000000000011</v>
      </c>
    </row>
    <row r="577" spans="1:9" x14ac:dyDescent="0.35">
      <c r="A577" s="25" t="s">
        <v>41</v>
      </c>
      <c r="B577" s="25" t="s">
        <v>88</v>
      </c>
      <c r="C577" s="25" t="s">
        <v>43</v>
      </c>
      <c r="D577" s="25">
        <v>80</v>
      </c>
      <c r="E577" s="37" t="s">
        <v>61</v>
      </c>
      <c r="F577" s="36">
        <v>8.2889733840304167</v>
      </c>
      <c r="G577">
        <v>14.24</v>
      </c>
      <c r="H577" s="59">
        <f>G577-'Kubiņu masa'!D63</f>
        <v>1.0899999999999999</v>
      </c>
      <c r="I577" s="59">
        <f t="shared" si="17"/>
        <v>7.2666666666666657</v>
      </c>
    </row>
    <row r="578" spans="1:9" x14ac:dyDescent="0.35">
      <c r="A578" s="25" t="s">
        <v>41</v>
      </c>
      <c r="B578" s="25" t="s">
        <v>88</v>
      </c>
      <c r="C578" s="25" t="s">
        <v>44</v>
      </c>
      <c r="D578" s="25">
        <v>80</v>
      </c>
      <c r="E578" s="37" t="s">
        <v>61</v>
      </c>
      <c r="F578" s="36">
        <v>8.2631981637337404</v>
      </c>
      <c r="G578">
        <v>14.15</v>
      </c>
      <c r="H578" s="59">
        <f>G578-'Kubiņu masa'!D64</f>
        <v>1.08</v>
      </c>
      <c r="I578" s="59">
        <f t="shared" si="17"/>
        <v>7.2000000000000011</v>
      </c>
    </row>
    <row r="579" spans="1:9" x14ac:dyDescent="0.35">
      <c r="A579" s="25" t="s">
        <v>41</v>
      </c>
      <c r="B579" s="25" t="s">
        <v>89</v>
      </c>
      <c r="C579" s="25" t="s">
        <v>45</v>
      </c>
      <c r="D579" s="25">
        <v>80</v>
      </c>
      <c r="E579" s="37" t="s">
        <v>61</v>
      </c>
      <c r="F579" s="36">
        <v>8.6891385767790279</v>
      </c>
      <c r="G579">
        <v>14.51</v>
      </c>
      <c r="H579" s="59">
        <f>G579-'Kubiņu masa'!D65</f>
        <v>1.1600000000000001</v>
      </c>
      <c r="I579" s="59">
        <f t="shared" si="17"/>
        <v>7.7333333333333334</v>
      </c>
    </row>
    <row r="580" spans="1:9" x14ac:dyDescent="0.35">
      <c r="A580" s="25" t="s">
        <v>41</v>
      </c>
      <c r="B580" s="25" t="s">
        <v>89</v>
      </c>
      <c r="C580" s="25" t="s">
        <v>46</v>
      </c>
      <c r="D580" s="25">
        <v>80</v>
      </c>
      <c r="E580" s="37" t="s">
        <v>61</v>
      </c>
      <c r="F580" s="36">
        <v>8.5649887302779764</v>
      </c>
      <c r="G580">
        <v>14.45</v>
      </c>
      <c r="H580" s="59">
        <f>G580-'Kubiņu masa'!D66</f>
        <v>1.1399999999999988</v>
      </c>
      <c r="I580" s="59">
        <f t="shared" si="17"/>
        <v>7.5999999999999917</v>
      </c>
    </row>
    <row r="581" spans="1:9" x14ac:dyDescent="0.35">
      <c r="A581" s="25" t="s">
        <v>41</v>
      </c>
      <c r="B581" s="25" t="s">
        <v>89</v>
      </c>
      <c r="C581" s="25" t="s">
        <v>47</v>
      </c>
      <c r="D581" s="25">
        <v>80</v>
      </c>
      <c r="E581" s="37" t="s">
        <v>61</v>
      </c>
      <c r="F581" s="36">
        <v>8.6053412462908021</v>
      </c>
      <c r="G581">
        <v>14.64</v>
      </c>
      <c r="H581" s="59">
        <f>G581-'Kubiņu masa'!D67</f>
        <v>1.1600000000000001</v>
      </c>
      <c r="I581" s="59">
        <f t="shared" si="17"/>
        <v>7.7333333333333334</v>
      </c>
    </row>
    <row r="582" spans="1:9" x14ac:dyDescent="0.35">
      <c r="A582" s="25" t="s">
        <v>41</v>
      </c>
      <c r="B582" s="25" t="s">
        <v>90</v>
      </c>
      <c r="C582" s="25" t="s">
        <v>48</v>
      </c>
      <c r="D582" s="25">
        <v>80</v>
      </c>
      <c r="E582" s="37" t="s">
        <v>61</v>
      </c>
      <c r="F582" s="36">
        <v>7.0250458155161786</v>
      </c>
      <c r="G582">
        <v>17.52</v>
      </c>
      <c r="H582" s="59">
        <f>G582-'Kubiņu masa'!D68</f>
        <v>1.1499999999999986</v>
      </c>
      <c r="I582" s="59">
        <f t="shared" si="17"/>
        <v>7.6666666666666581</v>
      </c>
    </row>
    <row r="583" spans="1:9" x14ac:dyDescent="0.35">
      <c r="A583" s="25" t="s">
        <v>41</v>
      </c>
      <c r="B583" s="25" t="s">
        <v>90</v>
      </c>
      <c r="C583" s="25" t="s">
        <v>49</v>
      </c>
      <c r="D583" s="25">
        <v>80</v>
      </c>
      <c r="E583" s="37" t="s">
        <v>61</v>
      </c>
      <c r="F583" s="36">
        <v>7.1034905082669946</v>
      </c>
      <c r="G583">
        <v>17.489999999999998</v>
      </c>
      <c r="H583" s="59">
        <f>G583-'Kubiņu masa'!D69</f>
        <v>1.1600000000000001</v>
      </c>
      <c r="I583" s="59">
        <f t="shared" si="17"/>
        <v>7.7333333333333334</v>
      </c>
    </row>
    <row r="584" spans="1:9" x14ac:dyDescent="0.35">
      <c r="A584" s="25" t="s">
        <v>41</v>
      </c>
      <c r="B584" s="25" t="s">
        <v>33</v>
      </c>
      <c r="C584" s="25" t="s">
        <v>50</v>
      </c>
      <c r="D584" s="25">
        <v>80</v>
      </c>
      <c r="E584" s="37" t="s">
        <v>61</v>
      </c>
      <c r="F584" s="36">
        <v>8.4848484848484844</v>
      </c>
      <c r="G584">
        <v>16.11</v>
      </c>
      <c r="H584" s="59">
        <f>G584-'Kubiņu masa'!D70</f>
        <v>1.2599999999999998</v>
      </c>
      <c r="I584" s="59">
        <f t="shared" si="17"/>
        <v>8.3999999999999986</v>
      </c>
    </row>
    <row r="585" spans="1:9" x14ac:dyDescent="0.35">
      <c r="A585" s="25" t="s">
        <v>41</v>
      </c>
      <c r="B585" s="25" t="s">
        <v>33</v>
      </c>
      <c r="C585" s="25" t="s">
        <v>51</v>
      </c>
      <c r="D585" s="25">
        <v>80</v>
      </c>
      <c r="E585" s="37" t="s">
        <v>61</v>
      </c>
      <c r="F585" s="36">
        <v>8.4745762711864394</v>
      </c>
      <c r="G585">
        <v>16</v>
      </c>
      <c r="H585" s="59">
        <f>G585-'Kubiņu masa'!D71</f>
        <v>1.25</v>
      </c>
      <c r="I585" s="59">
        <f t="shared" si="17"/>
        <v>8.3333333333333321</v>
      </c>
    </row>
    <row r="586" spans="1:9" x14ac:dyDescent="0.35">
      <c r="A586" s="25" t="s">
        <v>41</v>
      </c>
      <c r="B586" s="25" t="s">
        <v>33</v>
      </c>
      <c r="C586" s="25" t="s">
        <v>52</v>
      </c>
      <c r="D586" s="25">
        <v>80</v>
      </c>
      <c r="E586" s="37" t="s">
        <v>61</v>
      </c>
      <c r="F586" s="36">
        <v>8.4791386271870905</v>
      </c>
      <c r="G586">
        <v>16.12</v>
      </c>
      <c r="H586" s="59">
        <f>G586-'Kubiņu masa'!D72</f>
        <v>1.2600000000000016</v>
      </c>
      <c r="I586" s="59">
        <f t="shared" si="17"/>
        <v>8.400000000000011</v>
      </c>
    </row>
    <row r="587" spans="1:9" x14ac:dyDescent="0.35">
      <c r="A587" s="25" t="s">
        <v>10</v>
      </c>
      <c r="B587" s="25" t="s">
        <v>68</v>
      </c>
      <c r="C587" s="25">
        <v>9</v>
      </c>
      <c r="D587" s="25">
        <v>90</v>
      </c>
      <c r="E587" s="37" t="s">
        <v>62</v>
      </c>
      <c r="F587" s="36">
        <v>12.336719883889703</v>
      </c>
      <c r="G587">
        <v>7.74</v>
      </c>
      <c r="H587" s="59">
        <f>G587-'Kubiņu masa'!D8</f>
        <v>0.85000000000000053</v>
      </c>
      <c r="I587" s="59">
        <f t="shared" ref="I579:I642" si="18">H587/27*100</f>
        <v>3.1481481481481497</v>
      </c>
    </row>
    <row r="588" spans="1:9" x14ac:dyDescent="0.35">
      <c r="A588" s="25" t="s">
        <v>10</v>
      </c>
      <c r="B588" s="25" t="s">
        <v>68</v>
      </c>
      <c r="C588" s="25">
        <v>27</v>
      </c>
      <c r="D588" s="25">
        <v>90</v>
      </c>
      <c r="E588" s="37" t="s">
        <v>62</v>
      </c>
      <c r="F588" s="36">
        <v>11.373092926490976</v>
      </c>
      <c r="G588">
        <v>8.0299999999999994</v>
      </c>
      <c r="H588" s="59">
        <f>G588-'Kubiņu masa'!D9</f>
        <v>0.8199999999999994</v>
      </c>
      <c r="I588" s="59">
        <f t="shared" si="18"/>
        <v>3.037037037037035</v>
      </c>
    </row>
    <row r="589" spans="1:9" x14ac:dyDescent="0.35">
      <c r="A589" s="25" t="s">
        <v>10</v>
      </c>
      <c r="B589" s="25" t="s">
        <v>68</v>
      </c>
      <c r="C589" s="25">
        <v>106</v>
      </c>
      <c r="D589" s="25">
        <v>90</v>
      </c>
      <c r="E589" s="37" t="s">
        <v>62</v>
      </c>
      <c r="F589" s="36">
        <v>11.188811188811187</v>
      </c>
      <c r="G589">
        <v>7.95</v>
      </c>
      <c r="H589" s="59">
        <f>G589-'Kubiņu masa'!D10</f>
        <v>0.79999999999999982</v>
      </c>
      <c r="I589" s="59">
        <f t="shared" si="18"/>
        <v>2.9629629629629624</v>
      </c>
    </row>
    <row r="590" spans="1:9" x14ac:dyDescent="0.35">
      <c r="A590" s="25" t="s">
        <v>10</v>
      </c>
      <c r="B590" s="25" t="s">
        <v>69</v>
      </c>
      <c r="C590" s="25">
        <v>39</v>
      </c>
      <c r="D590" s="25">
        <v>90</v>
      </c>
      <c r="E590" s="37" t="s">
        <v>62</v>
      </c>
      <c r="F590" s="36">
        <v>10.677966101694913</v>
      </c>
      <c r="G590">
        <v>6.53</v>
      </c>
      <c r="H590" s="59">
        <f>G590-'Kubiņu masa'!D11</f>
        <v>0.62999999999999989</v>
      </c>
      <c r="I590" s="59">
        <f t="shared" si="18"/>
        <v>2.333333333333333</v>
      </c>
    </row>
    <row r="591" spans="1:9" x14ac:dyDescent="0.35">
      <c r="A591" s="25" t="s">
        <v>10</v>
      </c>
      <c r="B591" s="25" t="s">
        <v>69</v>
      </c>
      <c r="C591" s="25">
        <v>55</v>
      </c>
      <c r="D591" s="25">
        <v>90</v>
      </c>
      <c r="E591" s="37" t="s">
        <v>62</v>
      </c>
      <c r="F591" s="36">
        <v>11.111111111111107</v>
      </c>
      <c r="G591">
        <v>6.8</v>
      </c>
      <c r="H591" s="59">
        <f>G591-'Kubiņu masa'!D12</f>
        <v>0.67999999999999972</v>
      </c>
      <c r="I591" s="59">
        <f t="shared" si="18"/>
        <v>2.5185185185185177</v>
      </c>
    </row>
    <row r="592" spans="1:9" x14ac:dyDescent="0.35">
      <c r="A592" s="25" t="s">
        <v>10</v>
      </c>
      <c r="B592" s="25" t="s">
        <v>69</v>
      </c>
      <c r="C592" s="25">
        <v>122</v>
      </c>
      <c r="D592" s="25">
        <v>90</v>
      </c>
      <c r="E592" s="37" t="s">
        <v>62</v>
      </c>
      <c r="F592" s="36">
        <v>10.355987055016191</v>
      </c>
      <c r="G592">
        <v>6.82</v>
      </c>
      <c r="H592" s="59">
        <f>G592-'Kubiņu masa'!D13</f>
        <v>0.64000000000000057</v>
      </c>
      <c r="I592" s="59">
        <f t="shared" si="18"/>
        <v>2.3703703703703725</v>
      </c>
    </row>
    <row r="593" spans="1:9" x14ac:dyDescent="0.35">
      <c r="A593" s="25" t="s">
        <v>10</v>
      </c>
      <c r="B593" s="25" t="s">
        <v>70</v>
      </c>
      <c r="C593" s="25">
        <v>66</v>
      </c>
      <c r="D593" s="25">
        <v>90</v>
      </c>
      <c r="E593" s="37" t="s">
        <v>62</v>
      </c>
      <c r="F593" s="36">
        <v>11.20331950207467</v>
      </c>
      <c r="G593">
        <v>8.0399999999999991</v>
      </c>
      <c r="H593" s="59">
        <f>G593-'Kubiņu masa'!D14</f>
        <v>0.80999999999999872</v>
      </c>
      <c r="I593" s="59">
        <f t="shared" si="18"/>
        <v>2.9999999999999956</v>
      </c>
    </row>
    <row r="594" spans="1:9" x14ac:dyDescent="0.35">
      <c r="A594" s="25" t="s">
        <v>10</v>
      </c>
      <c r="B594" s="25" t="s">
        <v>70</v>
      </c>
      <c r="C594" s="25">
        <v>142</v>
      </c>
      <c r="D594" s="25">
        <v>90</v>
      </c>
      <c r="E594" s="37" t="s">
        <v>62</v>
      </c>
      <c r="F594" s="36">
        <v>11.578947368421064</v>
      </c>
      <c r="G594">
        <v>8.48</v>
      </c>
      <c r="H594" s="59">
        <f>G594-'Kubiņu masa'!D15</f>
        <v>0.88000000000000078</v>
      </c>
      <c r="I594" s="59">
        <f t="shared" si="18"/>
        <v>3.2592592592592626</v>
      </c>
    </row>
    <row r="595" spans="1:9" x14ac:dyDescent="0.35">
      <c r="A595" s="25" t="s">
        <v>10</v>
      </c>
      <c r="B595" s="25" t="s">
        <v>70</v>
      </c>
      <c r="C595" s="25">
        <v>147</v>
      </c>
      <c r="D595" s="25">
        <v>90</v>
      </c>
      <c r="E595" s="37" t="s">
        <v>62</v>
      </c>
      <c r="F595" s="36">
        <v>11.455525606468999</v>
      </c>
      <c r="G595">
        <v>8.27</v>
      </c>
      <c r="H595" s="59">
        <f>G595-'Kubiņu masa'!D16</f>
        <v>0.84999999999999964</v>
      </c>
      <c r="I595" s="59">
        <f t="shared" si="18"/>
        <v>3.148148148148147</v>
      </c>
    </row>
    <row r="596" spans="1:9" x14ac:dyDescent="0.35">
      <c r="A596" s="25" t="s">
        <v>10</v>
      </c>
      <c r="B596" s="25" t="s">
        <v>71</v>
      </c>
      <c r="C596" s="25">
        <v>75</v>
      </c>
      <c r="D596" s="25">
        <v>90</v>
      </c>
      <c r="E596" s="37" t="s">
        <v>62</v>
      </c>
      <c r="F596" s="36">
        <v>10.158311345646434</v>
      </c>
      <c r="G596">
        <v>8.35</v>
      </c>
      <c r="H596" s="59">
        <f>G596-'Kubiņu masa'!D17</f>
        <v>0.76999999999999957</v>
      </c>
      <c r="I596" s="59">
        <f t="shared" si="18"/>
        <v>2.8518518518518503</v>
      </c>
    </row>
    <row r="597" spans="1:9" x14ac:dyDescent="0.35">
      <c r="A597" s="25" t="s">
        <v>10</v>
      </c>
      <c r="B597" s="25" t="s">
        <v>71</v>
      </c>
      <c r="C597" s="25">
        <v>81</v>
      </c>
      <c r="D597" s="25">
        <v>90</v>
      </c>
      <c r="E597" s="37" t="s">
        <v>62</v>
      </c>
      <c r="F597" s="36">
        <v>10.236220472440948</v>
      </c>
      <c r="G597">
        <v>8.4</v>
      </c>
      <c r="H597" s="59">
        <f>G597-'Kubiņu masa'!D18</f>
        <v>0.78000000000000025</v>
      </c>
      <c r="I597" s="59">
        <f t="shared" si="18"/>
        <v>2.8888888888888897</v>
      </c>
    </row>
    <row r="598" spans="1:9" x14ac:dyDescent="0.35">
      <c r="A598" s="25" t="s">
        <v>10</v>
      </c>
      <c r="B598" s="25" t="s">
        <v>71</v>
      </c>
      <c r="C598" s="25">
        <v>91</v>
      </c>
      <c r="D598" s="25">
        <v>90</v>
      </c>
      <c r="E598" s="37" t="s">
        <v>62</v>
      </c>
      <c r="F598" s="36">
        <v>9.8465473145780003</v>
      </c>
      <c r="G598">
        <v>8.59</v>
      </c>
      <c r="H598" s="59">
        <f>G598-'Kubiņu masa'!D19</f>
        <v>0.76999999999999957</v>
      </c>
      <c r="I598" s="59">
        <f t="shared" si="18"/>
        <v>2.8518518518518503</v>
      </c>
    </row>
    <row r="599" spans="1:9" x14ac:dyDescent="0.35">
      <c r="A599" s="25" t="s">
        <v>10</v>
      </c>
      <c r="B599" s="25" t="s">
        <v>72</v>
      </c>
      <c r="C599" s="25">
        <v>103</v>
      </c>
      <c r="D599" s="25">
        <v>90</v>
      </c>
      <c r="E599" s="37" t="s">
        <v>62</v>
      </c>
      <c r="F599" s="36">
        <v>11.948051948051935</v>
      </c>
      <c r="G599">
        <v>4.3099999999999996</v>
      </c>
      <c r="H599" s="59">
        <f>G599-'Kubiņu masa'!D20</f>
        <v>0.45999999999999952</v>
      </c>
      <c r="I599" s="59">
        <f t="shared" si="18"/>
        <v>1.7037037037037022</v>
      </c>
    </row>
    <row r="600" spans="1:9" x14ac:dyDescent="0.35">
      <c r="A600" s="25" t="s">
        <v>10</v>
      </c>
      <c r="B600" s="25" t="s">
        <v>72</v>
      </c>
      <c r="C600" s="25">
        <v>283</v>
      </c>
      <c r="D600" s="25">
        <v>90</v>
      </c>
      <c r="E600" s="37" t="s">
        <v>62</v>
      </c>
      <c r="F600" s="36">
        <v>12.280701754385969</v>
      </c>
      <c r="G600">
        <v>4.4800000000000004</v>
      </c>
      <c r="H600" s="59">
        <f>G600-'Kubiņu masa'!D21</f>
        <v>0.49000000000000021</v>
      </c>
      <c r="I600" s="59">
        <f t="shared" si="18"/>
        <v>1.8148148148148155</v>
      </c>
    </row>
    <row r="601" spans="1:9" x14ac:dyDescent="0.35">
      <c r="A601" s="25" t="s">
        <v>10</v>
      </c>
      <c r="B601" s="25" t="s">
        <v>72</v>
      </c>
      <c r="C601" s="25">
        <v>323</v>
      </c>
      <c r="D601" s="25">
        <v>90</v>
      </c>
      <c r="E601" s="37" t="s">
        <v>62</v>
      </c>
      <c r="F601" s="36">
        <v>11.401425178147278</v>
      </c>
      <c r="G601">
        <v>4.6900000000000004</v>
      </c>
      <c r="H601" s="59">
        <f>G601-'Kubiņu masa'!D22</f>
        <v>0.48000000000000043</v>
      </c>
      <c r="I601" s="59">
        <f t="shared" si="18"/>
        <v>1.7777777777777795</v>
      </c>
    </row>
    <row r="602" spans="1:9" x14ac:dyDescent="0.35">
      <c r="A602" s="25" t="s">
        <v>10</v>
      </c>
      <c r="B602" s="25" t="s">
        <v>73</v>
      </c>
      <c r="C602" s="25">
        <v>203</v>
      </c>
      <c r="D602" s="25">
        <v>90</v>
      </c>
      <c r="E602" s="37" t="s">
        <v>62</v>
      </c>
      <c r="F602" s="36">
        <v>10.420841683366724</v>
      </c>
      <c r="G602">
        <v>5.51</v>
      </c>
      <c r="H602" s="59">
        <f>G602-'Kubiņu masa'!D23</f>
        <v>0.51999999999999957</v>
      </c>
      <c r="I602" s="59">
        <f t="shared" si="18"/>
        <v>1.9259259259259243</v>
      </c>
    </row>
    <row r="603" spans="1:9" x14ac:dyDescent="0.35">
      <c r="A603" s="25" t="s">
        <v>10</v>
      </c>
      <c r="B603" s="25" t="s">
        <v>73</v>
      </c>
      <c r="C603" s="25">
        <v>272</v>
      </c>
      <c r="D603" s="25">
        <v>90</v>
      </c>
      <c r="E603" s="37" t="s">
        <v>62</v>
      </c>
      <c r="F603" s="36">
        <v>10.772357723577242</v>
      </c>
      <c r="G603">
        <v>5.45</v>
      </c>
      <c r="H603" s="59">
        <f>G603-'Kubiņu masa'!D24</f>
        <v>0.53000000000000025</v>
      </c>
      <c r="I603" s="59">
        <f t="shared" si="18"/>
        <v>1.9629629629629639</v>
      </c>
    </row>
    <row r="604" spans="1:9" x14ac:dyDescent="0.35">
      <c r="A604" s="25" t="s">
        <v>10</v>
      </c>
      <c r="B604" s="25" t="s">
        <v>73</v>
      </c>
      <c r="C604" s="25">
        <v>266</v>
      </c>
      <c r="D604" s="25">
        <v>90</v>
      </c>
      <c r="E604" s="37" t="s">
        <v>62</v>
      </c>
      <c r="F604" s="36">
        <v>10.578842315369267</v>
      </c>
      <c r="G604">
        <v>5.54</v>
      </c>
      <c r="H604" s="59">
        <f>G604-'Kubiņu masa'!D25</f>
        <v>0.53000000000000025</v>
      </c>
      <c r="I604" s="59">
        <f t="shared" si="18"/>
        <v>1.9629629629629639</v>
      </c>
    </row>
    <row r="605" spans="1:9" x14ac:dyDescent="0.35">
      <c r="A605" s="25" t="s">
        <v>10</v>
      </c>
      <c r="B605" s="25" t="s">
        <v>74</v>
      </c>
      <c r="C605" s="25">
        <v>168</v>
      </c>
      <c r="D605" s="25">
        <v>90</v>
      </c>
      <c r="E605" s="37" t="s">
        <v>62</v>
      </c>
      <c r="F605" s="36">
        <v>11.744386873920549</v>
      </c>
      <c r="G605">
        <v>6.47</v>
      </c>
      <c r="H605" s="59">
        <f>G605-'Kubiņu masa'!D26</f>
        <v>0.67999999999999972</v>
      </c>
      <c r="I605" s="59">
        <f t="shared" si="18"/>
        <v>2.5185185185185177</v>
      </c>
    </row>
    <row r="606" spans="1:9" x14ac:dyDescent="0.35">
      <c r="A606" s="25" t="s">
        <v>10</v>
      </c>
      <c r="B606" s="25" t="s">
        <v>74</v>
      </c>
      <c r="C606" s="25">
        <v>343</v>
      </c>
      <c r="D606" s="25">
        <v>90</v>
      </c>
      <c r="E606" s="37" t="s">
        <v>62</v>
      </c>
      <c r="F606" s="36">
        <v>12.417218543046356</v>
      </c>
      <c r="G606">
        <v>6.79</v>
      </c>
      <c r="H606" s="59">
        <f>G606-'Kubiņu masa'!D27</f>
        <v>0.75</v>
      </c>
      <c r="I606" s="59">
        <f t="shared" si="18"/>
        <v>2.7777777777777777</v>
      </c>
    </row>
    <row r="607" spans="1:9" x14ac:dyDescent="0.35">
      <c r="A607" s="25" t="s">
        <v>10</v>
      </c>
      <c r="B607" s="25" t="s">
        <v>74</v>
      </c>
      <c r="C607" s="25">
        <v>58</v>
      </c>
      <c r="D607" s="25">
        <v>90</v>
      </c>
      <c r="E607" s="37" t="s">
        <v>62</v>
      </c>
      <c r="F607" s="36">
        <v>12.353923205342241</v>
      </c>
      <c r="G607">
        <v>6.73</v>
      </c>
      <c r="H607" s="59">
        <f>G607-'Kubiņu masa'!D28</f>
        <v>0.74000000000000021</v>
      </c>
      <c r="I607" s="59">
        <f t="shared" si="18"/>
        <v>2.7407407407407414</v>
      </c>
    </row>
    <row r="608" spans="1:9" x14ac:dyDescent="0.35">
      <c r="A608" s="25" t="s">
        <v>10</v>
      </c>
      <c r="B608" s="25" t="s">
        <v>75</v>
      </c>
      <c r="C608" s="25">
        <v>187</v>
      </c>
      <c r="D608" s="25">
        <v>90</v>
      </c>
      <c r="E608" s="37" t="s">
        <v>62</v>
      </c>
      <c r="F608" s="36">
        <v>10.103626943005185</v>
      </c>
      <c r="G608">
        <v>4.25</v>
      </c>
      <c r="H608" s="59">
        <f>G608-'Kubiņu masa'!D29</f>
        <v>0.39000000000000012</v>
      </c>
      <c r="I608" s="59">
        <f t="shared" si="18"/>
        <v>1.4444444444444449</v>
      </c>
    </row>
    <row r="609" spans="1:9" x14ac:dyDescent="0.35">
      <c r="A609" s="25" t="s">
        <v>10</v>
      </c>
      <c r="B609" s="25" t="s">
        <v>75</v>
      </c>
      <c r="C609" s="25">
        <v>248</v>
      </c>
      <c r="D609" s="25">
        <v>90</v>
      </c>
      <c r="E609" s="37" t="s">
        <v>62</v>
      </c>
      <c r="F609" s="36">
        <v>10.071942446043163</v>
      </c>
      <c r="G609">
        <v>4.59</v>
      </c>
      <c r="H609" s="59">
        <f>G609-'Kubiņu masa'!D30</f>
        <v>0.41999999999999993</v>
      </c>
      <c r="I609" s="59">
        <f t="shared" si="18"/>
        <v>1.5555555555555554</v>
      </c>
    </row>
    <row r="610" spans="1:9" x14ac:dyDescent="0.35">
      <c r="A610" s="25" t="s">
        <v>10</v>
      </c>
      <c r="B610" s="25" t="s">
        <v>75</v>
      </c>
      <c r="C610" s="25">
        <v>212</v>
      </c>
      <c r="D610" s="25">
        <v>90</v>
      </c>
      <c r="E610" s="37" t="s">
        <v>62</v>
      </c>
      <c r="F610" s="36">
        <v>9.8734177215189796</v>
      </c>
      <c r="G610">
        <v>4.34</v>
      </c>
      <c r="H610" s="59">
        <f>G610-'Kubiņu masa'!D31</f>
        <v>0.38999999999999968</v>
      </c>
      <c r="I610" s="59">
        <f t="shared" si="18"/>
        <v>1.4444444444444433</v>
      </c>
    </row>
    <row r="611" spans="1:9" x14ac:dyDescent="0.35">
      <c r="A611" s="25" t="s">
        <v>40</v>
      </c>
      <c r="B611" s="25" t="s">
        <v>68</v>
      </c>
      <c r="C611" s="25">
        <v>5</v>
      </c>
      <c r="D611" s="25">
        <v>90</v>
      </c>
      <c r="E611" s="37" t="s">
        <v>62</v>
      </c>
      <c r="F611" s="36">
        <v>11.263736263736256</v>
      </c>
      <c r="G611">
        <v>8.1</v>
      </c>
      <c r="H611" s="59">
        <f>G611-'Kubiņu masa'!D32</f>
        <v>0.8199999999999994</v>
      </c>
      <c r="I611" s="59">
        <f t="shared" si="18"/>
        <v>3.037037037037035</v>
      </c>
    </row>
    <row r="612" spans="1:9" x14ac:dyDescent="0.35">
      <c r="A612" s="25" t="s">
        <v>40</v>
      </c>
      <c r="B612" s="25" t="s">
        <v>68</v>
      </c>
      <c r="C612" s="25">
        <v>17</v>
      </c>
      <c r="D612" s="25">
        <v>90</v>
      </c>
      <c r="E612" s="37" t="s">
        <v>62</v>
      </c>
      <c r="F612" s="36">
        <v>11.019283746556484</v>
      </c>
      <c r="G612">
        <v>8.06</v>
      </c>
      <c r="H612" s="59">
        <f>G612-'Kubiņu masa'!D33</f>
        <v>0.80000000000000071</v>
      </c>
      <c r="I612" s="59">
        <f t="shared" si="18"/>
        <v>2.9629629629629655</v>
      </c>
    </row>
    <row r="613" spans="1:9" x14ac:dyDescent="0.35">
      <c r="A613" s="25" t="s">
        <v>40</v>
      </c>
      <c r="B613" s="25" t="s">
        <v>68</v>
      </c>
      <c r="C613" s="25">
        <v>99</v>
      </c>
      <c r="D613" s="25">
        <v>90</v>
      </c>
      <c r="E613" s="37" t="s">
        <v>62</v>
      </c>
      <c r="F613" s="36">
        <v>11.277173913043468</v>
      </c>
      <c r="G613">
        <v>8.19</v>
      </c>
      <c r="H613" s="59">
        <f>G613-'Kubiņu masa'!D34</f>
        <v>0.82999999999999918</v>
      </c>
      <c r="I613" s="59">
        <f t="shared" si="18"/>
        <v>3.0740740740740713</v>
      </c>
    </row>
    <row r="614" spans="1:9" x14ac:dyDescent="0.35">
      <c r="A614" s="25" t="s">
        <v>40</v>
      </c>
      <c r="B614" s="25" t="s">
        <v>69</v>
      </c>
      <c r="C614" s="25">
        <v>37</v>
      </c>
      <c r="D614" s="25">
        <v>90</v>
      </c>
      <c r="E614" s="37" t="s">
        <v>62</v>
      </c>
      <c r="F614" s="36">
        <v>10.975609756097558</v>
      </c>
      <c r="G614">
        <v>6.37</v>
      </c>
      <c r="H614" s="59">
        <f>G614-'Kubiņu masa'!D35</f>
        <v>0.62999999999999989</v>
      </c>
      <c r="I614" s="59">
        <f t="shared" si="18"/>
        <v>2.333333333333333</v>
      </c>
    </row>
    <row r="615" spans="1:9" x14ac:dyDescent="0.35">
      <c r="A615" s="25" t="s">
        <v>40</v>
      </c>
      <c r="B615" s="25" t="s">
        <v>69</v>
      </c>
      <c r="C615" s="25">
        <v>53</v>
      </c>
      <c r="D615" s="25">
        <v>90</v>
      </c>
      <c r="E615" s="37" t="s">
        <v>62</v>
      </c>
      <c r="F615" s="36">
        <v>11.057692307692299</v>
      </c>
      <c r="G615">
        <v>6.93</v>
      </c>
      <c r="H615" s="59">
        <f>G615-'Kubiņu masa'!D36</f>
        <v>0.6899999999999995</v>
      </c>
      <c r="I615" s="59">
        <f t="shared" si="18"/>
        <v>2.5555555555555536</v>
      </c>
    </row>
    <row r="616" spans="1:9" x14ac:dyDescent="0.35">
      <c r="A616" s="25" t="s">
        <v>40</v>
      </c>
      <c r="B616" s="25" t="s">
        <v>69</v>
      </c>
      <c r="C616" s="25">
        <v>134</v>
      </c>
      <c r="D616" s="25">
        <v>90</v>
      </c>
      <c r="E616" s="37" t="s">
        <v>62</v>
      </c>
      <c r="F616" s="36">
        <v>10.906040268456382</v>
      </c>
      <c r="G616">
        <v>6.61</v>
      </c>
      <c r="H616" s="59">
        <f>G616-'Kubiņu masa'!D37</f>
        <v>0.65000000000000036</v>
      </c>
      <c r="I616" s="59">
        <f t="shared" si="18"/>
        <v>2.4074074074074088</v>
      </c>
    </row>
    <row r="617" spans="1:9" x14ac:dyDescent="0.35">
      <c r="A617" s="25" t="s">
        <v>40</v>
      </c>
      <c r="B617" s="25" t="s">
        <v>70</v>
      </c>
      <c r="C617" s="25">
        <v>68</v>
      </c>
      <c r="D617" s="25">
        <v>90</v>
      </c>
      <c r="E617" s="37" t="s">
        <v>62</v>
      </c>
      <c r="F617" s="36">
        <v>11.157024793388437</v>
      </c>
      <c r="G617">
        <v>8.07</v>
      </c>
      <c r="H617" s="59">
        <f>G617-'Kubiņu masa'!D38</f>
        <v>0.8100000000000005</v>
      </c>
      <c r="I617" s="59">
        <f t="shared" si="18"/>
        <v>3.0000000000000018</v>
      </c>
    </row>
    <row r="618" spans="1:9" x14ac:dyDescent="0.35">
      <c r="A618" s="25" t="s">
        <v>40</v>
      </c>
      <c r="B618" s="25" t="s">
        <v>70</v>
      </c>
      <c r="C618" s="25">
        <v>143</v>
      </c>
      <c r="D618" s="25">
        <v>90</v>
      </c>
      <c r="E618" s="37" t="s">
        <v>62</v>
      </c>
      <c r="F618" s="36">
        <v>11.772665764546687</v>
      </c>
      <c r="G618">
        <v>8.26</v>
      </c>
      <c r="H618" s="59">
        <f>G618-'Kubiņu masa'!D39</f>
        <v>0.87000000000000011</v>
      </c>
      <c r="I618" s="59">
        <f t="shared" si="18"/>
        <v>3.2222222222222228</v>
      </c>
    </row>
    <row r="619" spans="1:9" x14ac:dyDescent="0.35">
      <c r="A619" s="25" t="s">
        <v>40</v>
      </c>
      <c r="B619" s="25" t="s">
        <v>70</v>
      </c>
      <c r="C619" s="25">
        <v>190</v>
      </c>
      <c r="D619" s="25">
        <v>90</v>
      </c>
      <c r="E619" s="37" t="s">
        <v>62</v>
      </c>
      <c r="F619" s="36">
        <v>10.548523206751053</v>
      </c>
      <c r="G619">
        <v>7.86</v>
      </c>
      <c r="H619" s="59">
        <f>G619-'Kubiņu masa'!D40</f>
        <v>0.75</v>
      </c>
      <c r="I619" s="59">
        <f t="shared" si="18"/>
        <v>2.7777777777777777</v>
      </c>
    </row>
    <row r="620" spans="1:9" x14ac:dyDescent="0.35">
      <c r="A620" s="25" t="s">
        <v>40</v>
      </c>
      <c r="B620" s="25" t="s">
        <v>71</v>
      </c>
      <c r="C620" s="25">
        <v>158</v>
      </c>
      <c r="D620" s="25">
        <v>90</v>
      </c>
      <c r="E620" s="37" t="s">
        <v>62</v>
      </c>
      <c r="F620" s="36">
        <v>10.206561360874845</v>
      </c>
      <c r="G620">
        <v>9.07</v>
      </c>
      <c r="H620" s="59">
        <f>G620-'Kubiņu masa'!D41</f>
        <v>0.83999999999999986</v>
      </c>
      <c r="I620" s="59">
        <f t="shared" si="18"/>
        <v>3.1111111111111107</v>
      </c>
    </row>
    <row r="621" spans="1:9" x14ac:dyDescent="0.35">
      <c r="A621" s="25" t="s">
        <v>40</v>
      </c>
      <c r="B621" s="25" t="s">
        <v>71</v>
      </c>
      <c r="C621" s="25">
        <v>169</v>
      </c>
      <c r="D621" s="25">
        <v>90</v>
      </c>
      <c r="E621" s="37" t="s">
        <v>62</v>
      </c>
      <c r="F621" s="36">
        <v>10.126582278480999</v>
      </c>
      <c r="G621">
        <v>8.6999999999999993</v>
      </c>
      <c r="H621" s="59">
        <f>G621-'Kubiņu masa'!D42</f>
        <v>0.79999999999999893</v>
      </c>
      <c r="I621" s="59">
        <f t="shared" si="18"/>
        <v>2.9629629629629588</v>
      </c>
    </row>
    <row r="622" spans="1:9" x14ac:dyDescent="0.35">
      <c r="A622" s="25" t="s">
        <v>40</v>
      </c>
      <c r="B622" s="25" t="s">
        <v>71</v>
      </c>
      <c r="C622" s="25">
        <v>174</v>
      </c>
      <c r="D622" s="25">
        <v>90</v>
      </c>
      <c r="E622" s="37" t="s">
        <v>62</v>
      </c>
      <c r="F622" s="36">
        <v>10.118265440210255</v>
      </c>
      <c r="G622">
        <v>8.3800000000000008</v>
      </c>
      <c r="H622" s="59">
        <f>G622-'Kubiņu masa'!D43</f>
        <v>0.77000000000000046</v>
      </c>
      <c r="I622" s="59">
        <f t="shared" si="18"/>
        <v>2.8518518518518539</v>
      </c>
    </row>
    <row r="623" spans="1:9" x14ac:dyDescent="0.35">
      <c r="A623" s="25" t="s">
        <v>40</v>
      </c>
      <c r="B623" s="25" t="s">
        <v>72</v>
      </c>
      <c r="C623" s="25">
        <v>108</v>
      </c>
      <c r="D623" s="25">
        <v>90</v>
      </c>
      <c r="E623" s="37" t="s">
        <v>62</v>
      </c>
      <c r="F623" s="36">
        <v>10.66997518610421</v>
      </c>
      <c r="G623">
        <v>4.46</v>
      </c>
      <c r="H623" s="59">
        <f>G623-'Kubiņu masa'!D44</f>
        <v>0.42999999999999972</v>
      </c>
      <c r="I623" s="59">
        <f t="shared" si="18"/>
        <v>1.5925925925925917</v>
      </c>
    </row>
    <row r="624" spans="1:9" x14ac:dyDescent="0.35">
      <c r="A624" s="25" t="s">
        <v>40</v>
      </c>
      <c r="B624" s="25" t="s">
        <v>72</v>
      </c>
      <c r="C624" s="25">
        <v>287</v>
      </c>
      <c r="D624" s="25">
        <v>90</v>
      </c>
      <c r="E624" s="37" t="s">
        <v>62</v>
      </c>
      <c r="F624" s="36">
        <v>9.6153846153846203</v>
      </c>
      <c r="G624">
        <v>5.13</v>
      </c>
      <c r="H624" s="59">
        <f>G624-'Kubiņu masa'!D45</f>
        <v>0.45000000000000018</v>
      </c>
      <c r="I624" s="59">
        <f t="shared" si="18"/>
        <v>1.6666666666666674</v>
      </c>
    </row>
    <row r="625" spans="1:9" x14ac:dyDescent="0.35">
      <c r="A625" s="25" t="s">
        <v>40</v>
      </c>
      <c r="B625" s="25" t="s">
        <v>72</v>
      </c>
      <c r="C625" s="25">
        <v>328</v>
      </c>
      <c r="D625" s="25">
        <v>90</v>
      </c>
      <c r="E625" s="37" t="s">
        <v>62</v>
      </c>
      <c r="F625" s="36">
        <v>10.401891252955069</v>
      </c>
      <c r="G625">
        <v>4.67</v>
      </c>
      <c r="H625" s="59">
        <f>G625-'Kubiņu masa'!D46</f>
        <v>0.4399999999999995</v>
      </c>
      <c r="I625" s="59">
        <f t="shared" si="18"/>
        <v>1.6296296296296278</v>
      </c>
    </row>
    <row r="626" spans="1:9" x14ac:dyDescent="0.35">
      <c r="A626" s="25" t="s">
        <v>40</v>
      </c>
      <c r="B626" s="25" t="s">
        <v>73</v>
      </c>
      <c r="C626" s="25">
        <v>207</v>
      </c>
      <c r="D626" s="25">
        <v>90</v>
      </c>
      <c r="E626" s="37" t="s">
        <v>62</v>
      </c>
      <c r="F626" s="36">
        <v>9.9047619047618962</v>
      </c>
      <c r="G626">
        <v>5.77</v>
      </c>
      <c r="H626" s="59">
        <f>G626-'Kubiņu masa'!D47</f>
        <v>0.51999999999999957</v>
      </c>
      <c r="I626" s="59">
        <f t="shared" si="18"/>
        <v>1.9259259259259243</v>
      </c>
    </row>
    <row r="627" spans="1:9" x14ac:dyDescent="0.35">
      <c r="A627" s="25" t="s">
        <v>40</v>
      </c>
      <c r="B627" s="25" t="s">
        <v>73</v>
      </c>
      <c r="C627" s="25">
        <v>314</v>
      </c>
      <c r="D627" s="25">
        <v>90</v>
      </c>
      <c r="E627" s="37" t="s">
        <v>62</v>
      </c>
      <c r="F627" s="36">
        <v>10</v>
      </c>
      <c r="G627">
        <v>5.94</v>
      </c>
      <c r="H627" s="59">
        <f>G627-'Kubiņu masa'!D48</f>
        <v>0.54</v>
      </c>
      <c r="I627" s="59">
        <f t="shared" si="18"/>
        <v>2</v>
      </c>
    </row>
    <row r="628" spans="1:9" x14ac:dyDescent="0.35">
      <c r="A628" s="25" t="s">
        <v>40</v>
      </c>
      <c r="B628" s="25" t="s">
        <v>73</v>
      </c>
      <c r="C628" s="25">
        <v>280</v>
      </c>
      <c r="D628" s="25">
        <v>90</v>
      </c>
      <c r="E628" s="37" t="s">
        <v>62</v>
      </c>
      <c r="F628" s="36">
        <v>9.9630996309963109</v>
      </c>
      <c r="G628">
        <v>5.96</v>
      </c>
      <c r="H628" s="59">
        <f>G628-'Kubiņu masa'!D49</f>
        <v>0.54</v>
      </c>
      <c r="I628" s="59">
        <f t="shared" si="18"/>
        <v>2</v>
      </c>
    </row>
    <row r="629" spans="1:9" x14ac:dyDescent="0.35">
      <c r="A629" s="25" t="s">
        <v>40</v>
      </c>
      <c r="B629" s="25" t="s">
        <v>74</v>
      </c>
      <c r="C629" s="25">
        <v>172</v>
      </c>
      <c r="D629" s="25">
        <v>90</v>
      </c>
      <c r="E629" s="37" t="s">
        <v>62</v>
      </c>
      <c r="F629" s="36">
        <v>10.824742268041234</v>
      </c>
      <c r="G629">
        <v>6.45</v>
      </c>
      <c r="H629" s="59">
        <f>G629-'Kubiņu masa'!D50</f>
        <v>0.62999999999999989</v>
      </c>
      <c r="I629" s="59">
        <f t="shared" si="18"/>
        <v>2.333333333333333</v>
      </c>
    </row>
    <row r="630" spans="1:9" x14ac:dyDescent="0.35">
      <c r="A630" s="25" t="s">
        <v>40</v>
      </c>
      <c r="B630" s="25" t="s">
        <v>74</v>
      </c>
      <c r="C630" s="25">
        <v>229</v>
      </c>
      <c r="D630" s="25">
        <v>90</v>
      </c>
      <c r="E630" s="37" t="s">
        <v>62</v>
      </c>
      <c r="F630" s="36">
        <v>11.18760757314975</v>
      </c>
      <c r="G630">
        <v>6.46</v>
      </c>
      <c r="H630" s="59">
        <f>G630-'Kubiņu masa'!D51</f>
        <v>0.65000000000000036</v>
      </c>
      <c r="I630" s="59">
        <f t="shared" si="18"/>
        <v>2.4074074074074088</v>
      </c>
    </row>
    <row r="631" spans="1:9" x14ac:dyDescent="0.35">
      <c r="A631" s="25" t="s">
        <v>40</v>
      </c>
      <c r="B631" s="25" t="s">
        <v>74</v>
      </c>
      <c r="C631" s="25">
        <v>349</v>
      </c>
      <c r="D631" s="25">
        <v>90</v>
      </c>
      <c r="E631" s="37" t="s">
        <v>62</v>
      </c>
      <c r="F631" s="36">
        <v>11.492281303602057</v>
      </c>
      <c r="G631">
        <v>6.5</v>
      </c>
      <c r="H631" s="59">
        <f>G631-'Kubiņu masa'!D52</f>
        <v>0.66999999999999993</v>
      </c>
      <c r="I631" s="59">
        <f t="shared" si="18"/>
        <v>2.4814814814814814</v>
      </c>
    </row>
    <row r="632" spans="1:9" x14ac:dyDescent="0.35">
      <c r="A632" s="25" t="s">
        <v>40</v>
      </c>
      <c r="B632" s="25" t="s">
        <v>75</v>
      </c>
      <c r="C632" s="25">
        <v>193</v>
      </c>
      <c r="D632" s="25">
        <v>90</v>
      </c>
      <c r="E632" s="37" t="s">
        <v>62</v>
      </c>
      <c r="F632" s="36">
        <v>10.25056947608201</v>
      </c>
      <c r="G632">
        <v>4.84</v>
      </c>
      <c r="H632" s="59">
        <f>G632-'Kubiņu masa'!D53</f>
        <v>0.45000000000000018</v>
      </c>
      <c r="I632" s="59">
        <f t="shared" si="18"/>
        <v>1.6666666666666674</v>
      </c>
    </row>
    <row r="633" spans="1:9" x14ac:dyDescent="0.35">
      <c r="A633" s="25" t="s">
        <v>40</v>
      </c>
      <c r="B633" s="25" t="s">
        <v>75</v>
      </c>
      <c r="C633" s="25">
        <v>160</v>
      </c>
      <c r="D633" s="25">
        <v>90</v>
      </c>
      <c r="E633" s="37" t="s">
        <v>62</v>
      </c>
      <c r="F633" s="36">
        <v>9.4252873563218422</v>
      </c>
      <c r="G633">
        <v>4.76</v>
      </c>
      <c r="H633" s="59">
        <f>G633-'Kubiņu masa'!D54</f>
        <v>0.41000000000000014</v>
      </c>
      <c r="I633" s="59">
        <f t="shared" si="18"/>
        <v>1.518518518518519</v>
      </c>
    </row>
    <row r="634" spans="1:9" x14ac:dyDescent="0.35">
      <c r="A634" s="25" t="s">
        <v>40</v>
      </c>
      <c r="B634" s="25" t="s">
        <v>75</v>
      </c>
      <c r="C634" s="25">
        <v>218</v>
      </c>
      <c r="D634" s="25">
        <v>90</v>
      </c>
      <c r="E634" s="37" t="s">
        <v>62</v>
      </c>
      <c r="F634" s="36">
        <v>9.5465393794749254</v>
      </c>
      <c r="G634">
        <v>4.59</v>
      </c>
      <c r="H634" s="59">
        <f>G634-'Kubiņu masa'!D55</f>
        <v>0.39999999999999947</v>
      </c>
      <c r="I634" s="59">
        <f t="shared" si="18"/>
        <v>1.4814814814814794</v>
      </c>
    </row>
    <row r="635" spans="1:9" x14ac:dyDescent="0.35">
      <c r="A635" s="25" t="s">
        <v>41</v>
      </c>
      <c r="B635" s="25" t="s">
        <v>91</v>
      </c>
      <c r="C635" s="25">
        <v>32</v>
      </c>
      <c r="D635" s="25">
        <v>90</v>
      </c>
      <c r="E635" s="37" t="s">
        <v>62</v>
      </c>
      <c r="F635" s="36">
        <v>14.613368283093045</v>
      </c>
      <c r="G635">
        <v>17.489999999999998</v>
      </c>
      <c r="H635" s="59">
        <f>G635-'Kubiņu masa'!D56</f>
        <v>2.2299999999999986</v>
      </c>
      <c r="I635" s="59">
        <f>H635/15*100</f>
        <v>14.866666666666658</v>
      </c>
    </row>
    <row r="636" spans="1:9" x14ac:dyDescent="0.35">
      <c r="A636" s="25" t="s">
        <v>41</v>
      </c>
      <c r="B636" s="25" t="s">
        <v>91</v>
      </c>
      <c r="C636" s="25">
        <v>33</v>
      </c>
      <c r="D636" s="25">
        <v>90</v>
      </c>
      <c r="E636" s="37" t="s">
        <v>62</v>
      </c>
      <c r="F636" s="36">
        <v>13.881748071979425</v>
      </c>
      <c r="G636">
        <v>17.72</v>
      </c>
      <c r="H636" s="59">
        <f>G636-'Kubiņu masa'!D57</f>
        <v>2.1599999999999984</v>
      </c>
      <c r="I636" s="59">
        <f t="shared" ref="I636:I651" si="19">H636/15*100</f>
        <v>14.399999999999988</v>
      </c>
    </row>
    <row r="637" spans="1:9" x14ac:dyDescent="0.35">
      <c r="A637" s="25" t="s">
        <v>41</v>
      </c>
      <c r="B637" s="25" t="s">
        <v>91</v>
      </c>
      <c r="C637" s="25">
        <v>34</v>
      </c>
      <c r="D637" s="25">
        <v>90</v>
      </c>
      <c r="E637" s="37" t="s">
        <v>62</v>
      </c>
      <c r="F637" s="36">
        <v>13.670411985018735</v>
      </c>
      <c r="G637">
        <v>18.21</v>
      </c>
      <c r="H637" s="59">
        <f>G637-'Kubiņu masa'!D58</f>
        <v>2.1900000000000013</v>
      </c>
      <c r="I637" s="59">
        <f t="shared" si="19"/>
        <v>14.600000000000007</v>
      </c>
    </row>
    <row r="638" spans="1:9" x14ac:dyDescent="0.35">
      <c r="A638" s="25" t="s">
        <v>41</v>
      </c>
      <c r="B638" s="25" t="s">
        <v>29</v>
      </c>
      <c r="C638" s="25">
        <v>50</v>
      </c>
      <c r="D638" s="25">
        <v>90</v>
      </c>
      <c r="E638" s="37" t="s">
        <v>62</v>
      </c>
      <c r="F638" s="36">
        <v>10.052562417871219</v>
      </c>
      <c r="G638">
        <v>16.75</v>
      </c>
      <c r="H638" s="59">
        <f>G638-'Kubiņu masa'!D59</f>
        <v>1.5299999999999994</v>
      </c>
      <c r="I638" s="59">
        <f t="shared" si="19"/>
        <v>10.199999999999996</v>
      </c>
    </row>
    <row r="639" spans="1:9" x14ac:dyDescent="0.35">
      <c r="A639" s="25" t="s">
        <v>41</v>
      </c>
      <c r="B639" s="25" t="s">
        <v>29</v>
      </c>
      <c r="C639" s="25">
        <v>51</v>
      </c>
      <c r="D639" s="25">
        <v>90</v>
      </c>
      <c r="E639" s="37" t="s">
        <v>62</v>
      </c>
      <c r="F639" s="36">
        <v>10.080106809078758</v>
      </c>
      <c r="G639">
        <v>16.489999999999998</v>
      </c>
      <c r="H639" s="59">
        <f>G639-'Kubiņu masa'!D60</f>
        <v>1.509999999999998</v>
      </c>
      <c r="I639" s="59">
        <f t="shared" si="19"/>
        <v>10.066666666666652</v>
      </c>
    </row>
    <row r="640" spans="1:9" x14ac:dyDescent="0.35">
      <c r="A640" s="25" t="s">
        <v>41</v>
      </c>
      <c r="B640" s="25" t="s">
        <v>29</v>
      </c>
      <c r="C640" s="25">
        <v>52</v>
      </c>
      <c r="D640" s="25">
        <v>90</v>
      </c>
      <c r="E640" s="37" t="s">
        <v>62</v>
      </c>
      <c r="F640" s="36">
        <v>10.086264100862637</v>
      </c>
      <c r="G640">
        <v>16.59</v>
      </c>
      <c r="H640" s="59">
        <f>G640-'Kubiņu masa'!D61</f>
        <v>1.5199999999999996</v>
      </c>
      <c r="I640" s="59">
        <f t="shared" si="19"/>
        <v>10.133333333333331</v>
      </c>
    </row>
    <row r="641" spans="1:9" x14ac:dyDescent="0.35">
      <c r="A641" s="25" t="s">
        <v>41</v>
      </c>
      <c r="B641" s="25" t="s">
        <v>88</v>
      </c>
      <c r="C641" s="25" t="s">
        <v>42</v>
      </c>
      <c r="D641" s="25">
        <v>90</v>
      </c>
      <c r="E641" s="37" t="s">
        <v>62</v>
      </c>
      <c r="F641" s="36">
        <v>10.768072289156638</v>
      </c>
      <c r="G641">
        <v>14.71</v>
      </c>
      <c r="H641" s="59">
        <f>G641-'Kubiņu masa'!D62</f>
        <v>1.4300000000000015</v>
      </c>
      <c r="I641" s="59">
        <f t="shared" si="19"/>
        <v>9.5333333333333439</v>
      </c>
    </row>
    <row r="642" spans="1:9" x14ac:dyDescent="0.35">
      <c r="A642" s="25" t="s">
        <v>41</v>
      </c>
      <c r="B642" s="25" t="s">
        <v>88</v>
      </c>
      <c r="C642" s="25" t="s">
        <v>43</v>
      </c>
      <c r="D642" s="25">
        <v>90</v>
      </c>
      <c r="E642" s="37" t="s">
        <v>62</v>
      </c>
      <c r="F642" s="36">
        <v>10.722433460076045</v>
      </c>
      <c r="G642">
        <v>14.56</v>
      </c>
      <c r="H642" s="59">
        <f>G642-'Kubiņu masa'!D63</f>
        <v>1.4100000000000001</v>
      </c>
      <c r="I642" s="59">
        <f t="shared" si="19"/>
        <v>9.4000000000000021</v>
      </c>
    </row>
    <row r="643" spans="1:9" x14ac:dyDescent="0.35">
      <c r="A643" s="25" t="s">
        <v>41</v>
      </c>
      <c r="B643" s="25" t="s">
        <v>88</v>
      </c>
      <c r="C643" s="25" t="s">
        <v>44</v>
      </c>
      <c r="D643" s="25">
        <v>90</v>
      </c>
      <c r="E643" s="37" t="s">
        <v>62</v>
      </c>
      <c r="F643" s="36">
        <v>11.017597551644984</v>
      </c>
      <c r="G643">
        <v>14.51</v>
      </c>
      <c r="H643" s="59">
        <f>G643-'Kubiņu masa'!D64</f>
        <v>1.4399999999999995</v>
      </c>
      <c r="I643" s="59">
        <f t="shared" si="19"/>
        <v>9.5999999999999961</v>
      </c>
    </row>
    <row r="644" spans="1:9" x14ac:dyDescent="0.35">
      <c r="A644" s="25" t="s">
        <v>41</v>
      </c>
      <c r="B644" s="25" t="s">
        <v>89</v>
      </c>
      <c r="C644" s="25" t="s">
        <v>45</v>
      </c>
      <c r="D644" s="25">
        <v>90</v>
      </c>
      <c r="E644" s="37" t="s">
        <v>62</v>
      </c>
      <c r="F644" s="36">
        <v>11.46067415730338</v>
      </c>
      <c r="G644">
        <v>14.88</v>
      </c>
      <c r="H644" s="59">
        <f>G644-'Kubiņu masa'!D65</f>
        <v>1.5300000000000011</v>
      </c>
      <c r="I644" s="59">
        <f t="shared" si="19"/>
        <v>10.200000000000008</v>
      </c>
    </row>
    <row r="645" spans="1:9" x14ac:dyDescent="0.35">
      <c r="A645" s="25" t="s">
        <v>41</v>
      </c>
      <c r="B645" s="25" t="s">
        <v>89</v>
      </c>
      <c r="C645" s="25" t="s">
        <v>46</v>
      </c>
      <c r="D645" s="25">
        <v>90</v>
      </c>
      <c r="E645" s="37" t="s">
        <v>62</v>
      </c>
      <c r="F645" s="36">
        <v>11.344853493613822</v>
      </c>
      <c r="G645">
        <v>14.82</v>
      </c>
      <c r="H645" s="59">
        <f>G645-'Kubiņu masa'!D66</f>
        <v>1.5099999999999998</v>
      </c>
      <c r="I645" s="59">
        <f t="shared" si="19"/>
        <v>10.066666666666665</v>
      </c>
    </row>
    <row r="646" spans="1:9" x14ac:dyDescent="0.35">
      <c r="A646" s="25" t="s">
        <v>41</v>
      </c>
      <c r="B646" s="25" t="s">
        <v>89</v>
      </c>
      <c r="C646" s="25" t="s">
        <v>47</v>
      </c>
      <c r="D646" s="25">
        <v>90</v>
      </c>
      <c r="E646" s="37" t="s">
        <v>62</v>
      </c>
      <c r="F646" s="36">
        <v>11.350148367952517</v>
      </c>
      <c r="G646">
        <v>15.01</v>
      </c>
      <c r="H646" s="59">
        <f>G646-'Kubiņu masa'!D67</f>
        <v>1.5299999999999994</v>
      </c>
      <c r="I646" s="59">
        <f t="shared" si="19"/>
        <v>10.199999999999996</v>
      </c>
    </row>
    <row r="647" spans="1:9" x14ac:dyDescent="0.35">
      <c r="A647" s="25" t="s">
        <v>41</v>
      </c>
      <c r="B647" s="25" t="s">
        <v>90</v>
      </c>
      <c r="C647" s="25" t="s">
        <v>48</v>
      </c>
      <c r="D647" s="25">
        <v>90</v>
      </c>
      <c r="E647" s="37" t="s">
        <v>62</v>
      </c>
      <c r="F647" s="36">
        <v>9.7128894318875982</v>
      </c>
      <c r="G647">
        <v>17.96</v>
      </c>
      <c r="H647" s="59">
        <f>G647-'Kubiņu masa'!D68</f>
        <v>1.5899999999999999</v>
      </c>
      <c r="I647" s="59">
        <f t="shared" si="19"/>
        <v>10.6</v>
      </c>
    </row>
    <row r="648" spans="1:9" x14ac:dyDescent="0.35">
      <c r="A648" s="25" t="s">
        <v>41</v>
      </c>
      <c r="B648" s="25" t="s">
        <v>90</v>
      </c>
      <c r="C648" s="25" t="s">
        <v>49</v>
      </c>
      <c r="D648" s="25">
        <v>90</v>
      </c>
      <c r="E648" s="37" t="s">
        <v>62</v>
      </c>
      <c r="F648" s="36">
        <v>9.7979179424372411</v>
      </c>
      <c r="G648">
        <v>17.93</v>
      </c>
      <c r="H648" s="59">
        <f>G648-'Kubiņu masa'!D69</f>
        <v>1.6000000000000014</v>
      </c>
      <c r="I648" s="59">
        <f t="shared" si="19"/>
        <v>10.666666666666675</v>
      </c>
    </row>
    <row r="649" spans="1:9" x14ac:dyDescent="0.35">
      <c r="A649" s="25" t="s">
        <v>41</v>
      </c>
      <c r="B649" s="25" t="s">
        <v>33</v>
      </c>
      <c r="C649" s="25" t="s">
        <v>50</v>
      </c>
      <c r="D649" s="25">
        <v>90</v>
      </c>
      <c r="E649" s="37" t="s">
        <v>62</v>
      </c>
      <c r="F649" s="36">
        <v>11.64983164983164</v>
      </c>
      <c r="G649">
        <v>16.579999999999998</v>
      </c>
      <c r="H649" s="59">
        <f>G649-'Kubiņu masa'!D70</f>
        <v>1.7299999999999986</v>
      </c>
      <c r="I649" s="59">
        <f t="shared" si="19"/>
        <v>11.533333333333324</v>
      </c>
    </row>
    <row r="650" spans="1:9" x14ac:dyDescent="0.35">
      <c r="A650" s="25" t="s">
        <v>41</v>
      </c>
      <c r="B650" s="25" t="s">
        <v>33</v>
      </c>
      <c r="C650" s="25" t="s">
        <v>51</v>
      </c>
      <c r="D650" s="25">
        <v>90</v>
      </c>
      <c r="E650" s="37" t="s">
        <v>62</v>
      </c>
      <c r="F650" s="36">
        <v>11.864406779661017</v>
      </c>
      <c r="G650">
        <v>16.5</v>
      </c>
      <c r="H650" s="59">
        <f>G650-'Kubiņu masa'!D71</f>
        <v>1.75</v>
      </c>
      <c r="I650" s="59">
        <f t="shared" si="19"/>
        <v>11.666666666666666</v>
      </c>
    </row>
    <row r="651" spans="1:9" x14ac:dyDescent="0.35">
      <c r="A651" s="25" t="s">
        <v>41</v>
      </c>
      <c r="B651" s="25" t="s">
        <v>33</v>
      </c>
      <c r="C651" s="25" t="s">
        <v>52</v>
      </c>
      <c r="D651" s="25">
        <v>90</v>
      </c>
      <c r="E651" s="37" t="s">
        <v>62</v>
      </c>
      <c r="F651" s="36">
        <v>11.843876177658155</v>
      </c>
      <c r="G651">
        <v>16.62</v>
      </c>
      <c r="H651" s="59">
        <f>G651-'Kubiņu masa'!D72</f>
        <v>1.7600000000000016</v>
      </c>
      <c r="I651" s="59">
        <f t="shared" si="19"/>
        <v>11.733333333333345</v>
      </c>
    </row>
    <row r="652" spans="1:9" x14ac:dyDescent="0.35">
      <c r="A652" s="25" t="s">
        <v>10</v>
      </c>
      <c r="B652" s="25" t="s">
        <v>68</v>
      </c>
      <c r="C652" s="25">
        <v>9</v>
      </c>
      <c r="D652" s="25">
        <v>90</v>
      </c>
      <c r="E652" s="37" t="s">
        <v>63</v>
      </c>
      <c r="F652" s="36">
        <v>12.336719883889703</v>
      </c>
      <c r="G652">
        <v>7.74</v>
      </c>
      <c r="H652" s="59">
        <f>G652-'Kubiņu masa'!D8</f>
        <v>0.85000000000000053</v>
      </c>
      <c r="I652" s="59">
        <f t="shared" ref="I643:I706" si="20">H652/27*100</f>
        <v>3.1481481481481497</v>
      </c>
    </row>
    <row r="653" spans="1:9" x14ac:dyDescent="0.35">
      <c r="A653" s="25" t="s">
        <v>10</v>
      </c>
      <c r="B653" s="25" t="s">
        <v>68</v>
      </c>
      <c r="C653" s="25">
        <v>27</v>
      </c>
      <c r="D653" s="25">
        <v>90</v>
      </c>
      <c r="E653" s="37" t="s">
        <v>63</v>
      </c>
      <c r="F653" s="36">
        <v>11.511789181692084</v>
      </c>
      <c r="G653">
        <v>8.0399999999999991</v>
      </c>
      <c r="H653" s="59">
        <f>G653-'Kubiņu masa'!D9</f>
        <v>0.82999999999999918</v>
      </c>
      <c r="I653" s="59">
        <f t="shared" si="20"/>
        <v>3.0740740740740713</v>
      </c>
    </row>
    <row r="654" spans="1:9" x14ac:dyDescent="0.35">
      <c r="A654" s="25" t="s">
        <v>10</v>
      </c>
      <c r="B654" s="25" t="s">
        <v>68</v>
      </c>
      <c r="C654" s="25">
        <v>106</v>
      </c>
      <c r="D654" s="25">
        <v>90</v>
      </c>
      <c r="E654" s="37" t="s">
        <v>63</v>
      </c>
      <c r="F654" s="36">
        <v>11.328671328671321</v>
      </c>
      <c r="G654">
        <v>7.96</v>
      </c>
      <c r="H654" s="59">
        <f>G654-'Kubiņu masa'!D10</f>
        <v>0.80999999999999961</v>
      </c>
      <c r="I654" s="59">
        <f t="shared" si="20"/>
        <v>2.9999999999999987</v>
      </c>
    </row>
    <row r="655" spans="1:9" x14ac:dyDescent="0.35">
      <c r="A655" s="25" t="s">
        <v>10</v>
      </c>
      <c r="B655" s="25" t="s">
        <v>69</v>
      </c>
      <c r="C655" s="25">
        <v>39</v>
      </c>
      <c r="D655" s="25">
        <v>90</v>
      </c>
      <c r="E655" s="37" t="s">
        <v>63</v>
      </c>
      <c r="F655" s="36">
        <v>10.677966101694913</v>
      </c>
      <c r="G655">
        <v>6.53</v>
      </c>
      <c r="H655" s="59">
        <f>G655-'Kubiņu masa'!D11</f>
        <v>0.62999999999999989</v>
      </c>
      <c r="I655" s="59">
        <f t="shared" si="20"/>
        <v>2.333333333333333</v>
      </c>
    </row>
    <row r="656" spans="1:9" x14ac:dyDescent="0.35">
      <c r="A656" s="25" t="s">
        <v>10</v>
      </c>
      <c r="B656" s="25" t="s">
        <v>69</v>
      </c>
      <c r="C656" s="25">
        <v>55</v>
      </c>
      <c r="D656" s="25">
        <v>90</v>
      </c>
      <c r="E656" s="37" t="s">
        <v>63</v>
      </c>
      <c r="F656" s="36">
        <v>10.947712418300652</v>
      </c>
      <c r="G656">
        <v>6.79</v>
      </c>
      <c r="H656" s="59">
        <f>G656-'Kubiņu masa'!D12</f>
        <v>0.66999999999999993</v>
      </c>
      <c r="I656" s="59">
        <f t="shared" si="20"/>
        <v>2.4814814814814814</v>
      </c>
    </row>
    <row r="657" spans="1:9" x14ac:dyDescent="0.35">
      <c r="A657" s="25" t="s">
        <v>10</v>
      </c>
      <c r="B657" s="25" t="s">
        <v>69</v>
      </c>
      <c r="C657" s="25">
        <v>122</v>
      </c>
      <c r="D657" s="25">
        <v>90</v>
      </c>
      <c r="E657" s="37" t="s">
        <v>63</v>
      </c>
      <c r="F657" s="36">
        <v>10.517799352750815</v>
      </c>
      <c r="G657">
        <v>6.83</v>
      </c>
      <c r="H657" s="59">
        <f>G657-'Kubiņu masa'!D13</f>
        <v>0.65000000000000036</v>
      </c>
      <c r="I657" s="59">
        <f t="shared" si="20"/>
        <v>2.4074074074074088</v>
      </c>
    </row>
    <row r="658" spans="1:9" x14ac:dyDescent="0.35">
      <c r="A658" s="25" t="s">
        <v>10</v>
      </c>
      <c r="B658" s="25" t="s">
        <v>70</v>
      </c>
      <c r="C658" s="25">
        <v>66</v>
      </c>
      <c r="D658" s="25">
        <v>90</v>
      </c>
      <c r="E658" s="37" t="s">
        <v>63</v>
      </c>
      <c r="F658" s="36">
        <v>11.20331950207467</v>
      </c>
      <c r="G658">
        <v>8.0399999999999991</v>
      </c>
      <c r="H658" s="59">
        <f>G658-'Kubiņu masa'!D14</f>
        <v>0.80999999999999872</v>
      </c>
      <c r="I658" s="59">
        <f t="shared" si="20"/>
        <v>2.9999999999999956</v>
      </c>
    </row>
    <row r="659" spans="1:9" x14ac:dyDescent="0.35">
      <c r="A659" s="25" t="s">
        <v>10</v>
      </c>
      <c r="B659" s="25" t="s">
        <v>70</v>
      </c>
      <c r="C659" s="25">
        <v>142</v>
      </c>
      <c r="D659" s="25">
        <v>90</v>
      </c>
      <c r="E659" s="37" t="s">
        <v>63</v>
      </c>
      <c r="F659" s="36">
        <v>11.710526315789483</v>
      </c>
      <c r="G659">
        <v>8.49</v>
      </c>
      <c r="H659" s="59">
        <f>G659-'Kubiņu masa'!D15</f>
        <v>0.89000000000000057</v>
      </c>
      <c r="I659" s="59">
        <f t="shared" si="20"/>
        <v>3.2962962962962985</v>
      </c>
    </row>
    <row r="660" spans="1:9" x14ac:dyDescent="0.35">
      <c r="A660" s="25" t="s">
        <v>10</v>
      </c>
      <c r="B660" s="25" t="s">
        <v>70</v>
      </c>
      <c r="C660" s="25">
        <v>147</v>
      </c>
      <c r="D660" s="25">
        <v>90</v>
      </c>
      <c r="E660" s="37" t="s">
        <v>63</v>
      </c>
      <c r="F660" s="36">
        <v>11.590296495956865</v>
      </c>
      <c r="G660">
        <v>8.2799999999999994</v>
      </c>
      <c r="H660" s="59">
        <f>G660-'Kubiņu masa'!D16</f>
        <v>0.85999999999999943</v>
      </c>
      <c r="I660" s="59">
        <f t="shared" si="20"/>
        <v>3.1851851851851833</v>
      </c>
    </row>
    <row r="661" spans="1:9" x14ac:dyDescent="0.35">
      <c r="A661" s="25" t="s">
        <v>10</v>
      </c>
      <c r="B661" s="25" t="s">
        <v>71</v>
      </c>
      <c r="C661" s="25">
        <v>75</v>
      </c>
      <c r="D661" s="25">
        <v>90</v>
      </c>
      <c r="E661" s="37" t="s">
        <v>63</v>
      </c>
      <c r="F661" s="36">
        <v>10.158311345646434</v>
      </c>
      <c r="G661">
        <v>8.35</v>
      </c>
      <c r="H661" s="59">
        <f>G661-'Kubiņu masa'!D17</f>
        <v>0.76999999999999957</v>
      </c>
      <c r="I661" s="59">
        <f t="shared" si="20"/>
        <v>2.8518518518518503</v>
      </c>
    </row>
    <row r="662" spans="1:9" x14ac:dyDescent="0.35">
      <c r="A662" s="25" t="s">
        <v>10</v>
      </c>
      <c r="B662" s="25" t="s">
        <v>71</v>
      </c>
      <c r="C662" s="25">
        <v>81</v>
      </c>
      <c r="D662" s="25">
        <v>90</v>
      </c>
      <c r="E662" s="37" t="s">
        <v>63</v>
      </c>
      <c r="F662" s="36">
        <v>10.104986876640426</v>
      </c>
      <c r="G662">
        <v>8.39</v>
      </c>
      <c r="H662" s="59">
        <f>G662-'Kubiņu masa'!D18</f>
        <v>0.77000000000000046</v>
      </c>
      <c r="I662" s="59">
        <f t="shared" si="20"/>
        <v>2.8518518518518539</v>
      </c>
    </row>
    <row r="663" spans="1:9" x14ac:dyDescent="0.35">
      <c r="A663" s="25" t="s">
        <v>10</v>
      </c>
      <c r="B663" s="25" t="s">
        <v>71</v>
      </c>
      <c r="C663" s="25">
        <v>91</v>
      </c>
      <c r="D663" s="25">
        <v>90</v>
      </c>
      <c r="E663" s="37" t="s">
        <v>63</v>
      </c>
      <c r="F663" s="36">
        <v>9.9744245524296584</v>
      </c>
      <c r="G663">
        <v>8.6</v>
      </c>
      <c r="H663" s="59">
        <f>G663-'Kubiņu masa'!D19</f>
        <v>0.77999999999999936</v>
      </c>
      <c r="I663" s="59">
        <f t="shared" si="20"/>
        <v>2.8888888888888866</v>
      </c>
    </row>
    <row r="664" spans="1:9" x14ac:dyDescent="0.35">
      <c r="A664" s="25" t="s">
        <v>10</v>
      </c>
      <c r="B664" s="25" t="s">
        <v>72</v>
      </c>
      <c r="C664" s="25">
        <v>103</v>
      </c>
      <c r="D664" s="25">
        <v>90</v>
      </c>
      <c r="E664" s="37" t="s">
        <v>63</v>
      </c>
      <c r="F664" s="36">
        <v>11.688311688311682</v>
      </c>
      <c r="G664">
        <v>4.3</v>
      </c>
      <c r="H664" s="59">
        <f>G664-'Kubiņu masa'!D20</f>
        <v>0.44999999999999973</v>
      </c>
      <c r="I664" s="59">
        <f t="shared" si="20"/>
        <v>1.6666666666666656</v>
      </c>
    </row>
    <row r="665" spans="1:9" x14ac:dyDescent="0.35">
      <c r="A665" s="25" t="s">
        <v>10</v>
      </c>
      <c r="B665" s="25" t="s">
        <v>72</v>
      </c>
      <c r="C665" s="25">
        <v>283</v>
      </c>
      <c r="D665" s="25">
        <v>90</v>
      </c>
      <c r="E665" s="37" t="s">
        <v>63</v>
      </c>
      <c r="F665" s="36">
        <v>12.280701754385969</v>
      </c>
      <c r="G665">
        <v>4.4800000000000004</v>
      </c>
      <c r="H665" s="59">
        <f>G665-'Kubiņu masa'!D21</f>
        <v>0.49000000000000021</v>
      </c>
      <c r="I665" s="59">
        <f t="shared" si="20"/>
        <v>1.8148148148148155</v>
      </c>
    </row>
    <row r="666" spans="1:9" x14ac:dyDescent="0.35">
      <c r="A666" s="25" t="s">
        <v>10</v>
      </c>
      <c r="B666" s="25" t="s">
        <v>72</v>
      </c>
      <c r="C666" s="25">
        <v>323</v>
      </c>
      <c r="D666" s="25">
        <v>90</v>
      </c>
      <c r="E666" s="37" t="s">
        <v>63</v>
      </c>
      <c r="F666" s="36">
        <v>11.401425178147278</v>
      </c>
      <c r="G666">
        <v>4.6900000000000004</v>
      </c>
      <c r="H666" s="59">
        <f>G666-'Kubiņu masa'!D22</f>
        <v>0.48000000000000043</v>
      </c>
      <c r="I666" s="59">
        <f t="shared" si="20"/>
        <v>1.7777777777777795</v>
      </c>
    </row>
    <row r="667" spans="1:9" x14ac:dyDescent="0.35">
      <c r="A667" s="25" t="s">
        <v>10</v>
      </c>
      <c r="B667" s="25" t="s">
        <v>73</v>
      </c>
      <c r="C667" s="25">
        <v>203</v>
      </c>
      <c r="D667" s="25">
        <v>90</v>
      </c>
      <c r="E667" s="37" t="s">
        <v>63</v>
      </c>
      <c r="F667" s="36">
        <v>10.420841683366724</v>
      </c>
      <c r="G667">
        <v>5.51</v>
      </c>
      <c r="H667" s="59">
        <f>G667-'Kubiņu masa'!D23</f>
        <v>0.51999999999999957</v>
      </c>
      <c r="I667" s="59">
        <f t="shared" si="20"/>
        <v>1.9259259259259243</v>
      </c>
    </row>
    <row r="668" spans="1:9" x14ac:dyDescent="0.35">
      <c r="A668" s="25" t="s">
        <v>10</v>
      </c>
      <c r="B668" s="25" t="s">
        <v>73</v>
      </c>
      <c r="C668" s="25">
        <v>272</v>
      </c>
      <c r="D668" s="25">
        <v>90</v>
      </c>
      <c r="E668" s="37" t="s">
        <v>63</v>
      </c>
      <c r="F668" s="36">
        <v>10.975609756097562</v>
      </c>
      <c r="G668">
        <v>5.46</v>
      </c>
      <c r="H668" s="59">
        <f>G668-'Kubiņu masa'!D24</f>
        <v>0.54</v>
      </c>
      <c r="I668" s="59">
        <f t="shared" si="20"/>
        <v>2</v>
      </c>
    </row>
    <row r="669" spans="1:9" x14ac:dyDescent="0.35">
      <c r="A669" s="25" t="s">
        <v>10</v>
      </c>
      <c r="B669" s="25" t="s">
        <v>73</v>
      </c>
      <c r="C669" s="25">
        <v>266</v>
      </c>
      <c r="D669" s="25">
        <v>90</v>
      </c>
      <c r="E669" s="37" t="s">
        <v>63</v>
      </c>
      <c r="F669" s="36">
        <v>10.578842315369267</v>
      </c>
      <c r="G669">
        <v>5.54</v>
      </c>
      <c r="H669" s="59">
        <f>G669-'Kubiņu masa'!D25</f>
        <v>0.53000000000000025</v>
      </c>
      <c r="I669" s="59">
        <f t="shared" si="20"/>
        <v>1.9629629629629639</v>
      </c>
    </row>
    <row r="670" spans="1:9" x14ac:dyDescent="0.35">
      <c r="A670" s="25" t="s">
        <v>10</v>
      </c>
      <c r="B670" s="25" t="s">
        <v>74</v>
      </c>
      <c r="C670" s="25">
        <v>168</v>
      </c>
      <c r="D670" s="25">
        <v>90</v>
      </c>
      <c r="E670" s="37" t="s">
        <v>63</v>
      </c>
      <c r="F670" s="36">
        <v>11.744386873920549</v>
      </c>
      <c r="G670">
        <v>6.47</v>
      </c>
      <c r="H670" s="59">
        <f>G670-'Kubiņu masa'!D26</f>
        <v>0.67999999999999972</v>
      </c>
      <c r="I670" s="59">
        <f t="shared" si="20"/>
        <v>2.5185185185185177</v>
      </c>
    </row>
    <row r="671" spans="1:9" x14ac:dyDescent="0.35">
      <c r="A671" s="25" t="s">
        <v>10</v>
      </c>
      <c r="B671" s="25" t="s">
        <v>74</v>
      </c>
      <c r="C671" s="25">
        <v>343</v>
      </c>
      <c r="D671" s="25">
        <v>90</v>
      </c>
      <c r="E671" s="37" t="s">
        <v>63</v>
      </c>
      <c r="F671" s="36">
        <v>12.417218543046356</v>
      </c>
      <c r="G671">
        <v>6.79</v>
      </c>
      <c r="H671" s="59">
        <f>G671-'Kubiņu masa'!D27</f>
        <v>0.75</v>
      </c>
      <c r="I671" s="59">
        <f t="shared" si="20"/>
        <v>2.7777777777777777</v>
      </c>
    </row>
    <row r="672" spans="1:9" x14ac:dyDescent="0.35">
      <c r="A672" s="25" t="s">
        <v>10</v>
      </c>
      <c r="B672" s="25" t="s">
        <v>74</v>
      </c>
      <c r="C672" s="25">
        <v>58</v>
      </c>
      <c r="D672" s="25">
        <v>90</v>
      </c>
      <c r="E672" s="37" t="s">
        <v>63</v>
      </c>
      <c r="F672" s="36">
        <v>12.353923205342241</v>
      </c>
      <c r="G672">
        <v>6.73</v>
      </c>
      <c r="H672" s="59">
        <f>G672-'Kubiņu masa'!D28</f>
        <v>0.74000000000000021</v>
      </c>
      <c r="I672" s="59">
        <f t="shared" si="20"/>
        <v>2.7407407407407414</v>
      </c>
    </row>
    <row r="673" spans="1:9" x14ac:dyDescent="0.35">
      <c r="A673" s="25" t="s">
        <v>10</v>
      </c>
      <c r="B673" s="25" t="s">
        <v>75</v>
      </c>
      <c r="C673" s="25">
        <v>187</v>
      </c>
      <c r="D673" s="25">
        <v>90</v>
      </c>
      <c r="E673" s="37" t="s">
        <v>63</v>
      </c>
      <c r="F673" s="36">
        <v>9.8445595854922363</v>
      </c>
      <c r="G673">
        <v>4.24</v>
      </c>
      <c r="H673" s="59">
        <f>G673-'Kubiņu masa'!D29</f>
        <v>0.38000000000000034</v>
      </c>
      <c r="I673" s="59">
        <f t="shared" si="20"/>
        <v>1.4074074074074086</v>
      </c>
    </row>
    <row r="674" spans="1:9" x14ac:dyDescent="0.35">
      <c r="A674" s="25" t="s">
        <v>10</v>
      </c>
      <c r="B674" s="25" t="s">
        <v>75</v>
      </c>
      <c r="C674" s="25">
        <v>248</v>
      </c>
      <c r="D674" s="25">
        <v>90</v>
      </c>
      <c r="E674" s="37" t="s">
        <v>63</v>
      </c>
      <c r="F674" s="36">
        <v>10.071942446043163</v>
      </c>
      <c r="G674">
        <v>4.59</v>
      </c>
      <c r="H674" s="59">
        <f>G674-'Kubiņu masa'!D30</f>
        <v>0.41999999999999993</v>
      </c>
      <c r="I674" s="59">
        <f t="shared" si="20"/>
        <v>1.5555555555555554</v>
      </c>
    </row>
    <row r="675" spans="1:9" x14ac:dyDescent="0.35">
      <c r="A675" s="25" t="s">
        <v>10</v>
      </c>
      <c r="B675" s="25" t="s">
        <v>75</v>
      </c>
      <c r="C675" s="25">
        <v>212</v>
      </c>
      <c r="D675" s="25">
        <v>90</v>
      </c>
      <c r="E675" s="37" t="s">
        <v>63</v>
      </c>
      <c r="F675" s="36">
        <v>9.8734177215189796</v>
      </c>
      <c r="G675">
        <v>4.34</v>
      </c>
      <c r="H675" s="59">
        <f>G675-'Kubiņu masa'!D31</f>
        <v>0.38999999999999968</v>
      </c>
      <c r="I675" s="59">
        <f t="shared" si="20"/>
        <v>1.4444444444444433</v>
      </c>
    </row>
    <row r="676" spans="1:9" x14ac:dyDescent="0.35">
      <c r="A676" s="25" t="s">
        <v>40</v>
      </c>
      <c r="B676" s="25" t="s">
        <v>68</v>
      </c>
      <c r="C676" s="25">
        <v>5</v>
      </c>
      <c r="D676" s="25">
        <v>90</v>
      </c>
      <c r="E676" s="37" t="s">
        <v>63</v>
      </c>
      <c r="F676" s="36">
        <v>11.813186813186817</v>
      </c>
      <c r="G676">
        <v>8.14</v>
      </c>
      <c r="H676" s="59">
        <f>G676-'Kubiņu masa'!D32</f>
        <v>0.86000000000000032</v>
      </c>
      <c r="I676" s="59">
        <f t="shared" si="20"/>
        <v>3.185185185185186</v>
      </c>
    </row>
    <row r="677" spans="1:9" x14ac:dyDescent="0.35">
      <c r="A677" s="25" t="s">
        <v>40</v>
      </c>
      <c r="B677" s="25" t="s">
        <v>68</v>
      </c>
      <c r="C677" s="25">
        <v>17</v>
      </c>
      <c r="D677" s="25">
        <v>90</v>
      </c>
      <c r="E677" s="37" t="s">
        <v>63</v>
      </c>
      <c r="F677" s="36">
        <v>11.432506887052343</v>
      </c>
      <c r="G677">
        <v>8.09</v>
      </c>
      <c r="H677" s="59">
        <f>G677-'Kubiņu masa'!D33</f>
        <v>0.83000000000000007</v>
      </c>
      <c r="I677" s="59">
        <f t="shared" si="20"/>
        <v>3.0740740740740744</v>
      </c>
    </row>
    <row r="678" spans="1:9" x14ac:dyDescent="0.35">
      <c r="A678" s="25" t="s">
        <v>40</v>
      </c>
      <c r="B678" s="25" t="s">
        <v>68</v>
      </c>
      <c r="C678" s="25">
        <v>99</v>
      </c>
      <c r="D678" s="25">
        <v>90</v>
      </c>
      <c r="E678" s="37" t="s">
        <v>63</v>
      </c>
      <c r="F678" s="36">
        <v>11.820652173913045</v>
      </c>
      <c r="G678">
        <v>8.23</v>
      </c>
      <c r="H678" s="59">
        <f>G678-'Kubiņu masa'!D34</f>
        <v>0.87000000000000011</v>
      </c>
      <c r="I678" s="59">
        <f t="shared" si="20"/>
        <v>3.2222222222222228</v>
      </c>
    </row>
    <row r="679" spans="1:9" x14ac:dyDescent="0.35">
      <c r="A679" s="25" t="s">
        <v>40</v>
      </c>
      <c r="B679" s="25" t="s">
        <v>69</v>
      </c>
      <c r="C679" s="25">
        <v>37</v>
      </c>
      <c r="D679" s="25">
        <v>90</v>
      </c>
      <c r="E679" s="37" t="s">
        <v>63</v>
      </c>
      <c r="F679" s="36">
        <v>11.498257839721257</v>
      </c>
      <c r="G679">
        <v>6.4</v>
      </c>
      <c r="H679" s="59">
        <f>G679-'Kubiņu masa'!D35</f>
        <v>0.66000000000000014</v>
      </c>
      <c r="I679" s="59">
        <f t="shared" si="20"/>
        <v>2.4444444444444451</v>
      </c>
    </row>
    <row r="680" spans="1:9" x14ac:dyDescent="0.35">
      <c r="A680" s="25" t="s">
        <v>40</v>
      </c>
      <c r="B680" s="25" t="s">
        <v>69</v>
      </c>
      <c r="C680" s="25">
        <v>53</v>
      </c>
      <c r="D680" s="25">
        <v>90</v>
      </c>
      <c r="E680" s="37" t="s">
        <v>63</v>
      </c>
      <c r="F680" s="36">
        <v>11.538461538461533</v>
      </c>
      <c r="G680">
        <v>6.96</v>
      </c>
      <c r="H680" s="59">
        <f>G680-'Kubiņu masa'!D36</f>
        <v>0.71999999999999975</v>
      </c>
      <c r="I680" s="59">
        <f t="shared" si="20"/>
        <v>2.6666666666666656</v>
      </c>
    </row>
    <row r="681" spans="1:9" x14ac:dyDescent="0.35">
      <c r="A681" s="25" t="s">
        <v>40</v>
      </c>
      <c r="B681" s="25" t="s">
        <v>69</v>
      </c>
      <c r="C681" s="25">
        <v>134</v>
      </c>
      <c r="D681" s="25">
        <v>90</v>
      </c>
      <c r="E681" s="37" t="s">
        <v>63</v>
      </c>
      <c r="F681" s="36">
        <v>11.577181208053698</v>
      </c>
      <c r="G681">
        <v>6.65</v>
      </c>
      <c r="H681" s="59">
        <f>G681-'Kubiņu masa'!D37</f>
        <v>0.69000000000000039</v>
      </c>
      <c r="I681" s="59">
        <f t="shared" si="20"/>
        <v>2.5555555555555571</v>
      </c>
    </row>
    <row r="682" spans="1:9" x14ac:dyDescent="0.35">
      <c r="A682" s="25" t="s">
        <v>40</v>
      </c>
      <c r="B682" s="25" t="s">
        <v>70</v>
      </c>
      <c r="C682" s="25">
        <v>68</v>
      </c>
      <c r="D682" s="25">
        <v>90</v>
      </c>
      <c r="E682" s="37" t="s">
        <v>63</v>
      </c>
      <c r="F682" s="36">
        <v>11.707988980716248</v>
      </c>
      <c r="G682">
        <v>8.11</v>
      </c>
      <c r="H682" s="59">
        <f>G682-'Kubiņu masa'!D38</f>
        <v>0.84999999999999964</v>
      </c>
      <c r="I682" s="59">
        <f t="shared" si="20"/>
        <v>3.148148148148147</v>
      </c>
    </row>
    <row r="683" spans="1:9" x14ac:dyDescent="0.35">
      <c r="A683" s="25" t="s">
        <v>40</v>
      </c>
      <c r="B683" s="25" t="s">
        <v>70</v>
      </c>
      <c r="C683" s="25">
        <v>143</v>
      </c>
      <c r="D683" s="25">
        <v>90</v>
      </c>
      <c r="E683" s="37" t="s">
        <v>63</v>
      </c>
      <c r="F683" s="36">
        <v>12.313937753721259</v>
      </c>
      <c r="G683">
        <v>8.3000000000000007</v>
      </c>
      <c r="H683" s="59">
        <f>G683-'Kubiņu masa'!D39</f>
        <v>0.91000000000000103</v>
      </c>
      <c r="I683" s="59">
        <f t="shared" si="20"/>
        <v>3.3703703703703742</v>
      </c>
    </row>
    <row r="684" spans="1:9" x14ac:dyDescent="0.35">
      <c r="A684" s="25" t="s">
        <v>40</v>
      </c>
      <c r="B684" s="25" t="s">
        <v>70</v>
      </c>
      <c r="C684" s="25">
        <v>190</v>
      </c>
      <c r="D684" s="25">
        <v>90</v>
      </c>
      <c r="E684" s="37" t="s">
        <v>63</v>
      </c>
      <c r="F684" s="36">
        <v>11.111111111111111</v>
      </c>
      <c r="G684">
        <v>7.9</v>
      </c>
      <c r="H684" s="59">
        <f>G684-'Kubiņu masa'!D40</f>
        <v>0.79</v>
      </c>
      <c r="I684" s="59">
        <f t="shared" si="20"/>
        <v>2.925925925925926</v>
      </c>
    </row>
    <row r="685" spans="1:9" x14ac:dyDescent="0.35">
      <c r="A685" s="25" t="s">
        <v>40</v>
      </c>
      <c r="B685" s="25" t="s">
        <v>71</v>
      </c>
      <c r="C685" s="25">
        <v>158</v>
      </c>
      <c r="D685" s="25">
        <v>90</v>
      </c>
      <c r="E685" s="37" t="s">
        <v>63</v>
      </c>
      <c r="F685" s="36">
        <v>10.81409477521262</v>
      </c>
      <c r="G685">
        <v>9.1199999999999992</v>
      </c>
      <c r="H685" s="59">
        <f>G685-'Kubiņu masa'!D41</f>
        <v>0.88999999999999879</v>
      </c>
      <c r="I685" s="59">
        <f t="shared" si="20"/>
        <v>3.2962962962962914</v>
      </c>
    </row>
    <row r="686" spans="1:9" x14ac:dyDescent="0.35">
      <c r="A686" s="25" t="s">
        <v>40</v>
      </c>
      <c r="B686" s="25" t="s">
        <v>71</v>
      </c>
      <c r="C686" s="25">
        <v>169</v>
      </c>
      <c r="D686" s="25">
        <v>90</v>
      </c>
      <c r="E686" s="37" t="s">
        <v>63</v>
      </c>
      <c r="F686" s="36">
        <v>10.759493670886071</v>
      </c>
      <c r="G686">
        <v>8.75</v>
      </c>
      <c r="H686" s="59">
        <f>G686-'Kubiņu masa'!D42</f>
        <v>0.84999999999999964</v>
      </c>
      <c r="I686" s="59">
        <f t="shared" si="20"/>
        <v>3.148148148148147</v>
      </c>
    </row>
    <row r="687" spans="1:9" x14ac:dyDescent="0.35">
      <c r="A687" s="25" t="s">
        <v>40</v>
      </c>
      <c r="B687" s="25" t="s">
        <v>71</v>
      </c>
      <c r="C687" s="25">
        <v>174</v>
      </c>
      <c r="D687" s="25">
        <v>90</v>
      </c>
      <c r="E687" s="37" t="s">
        <v>63</v>
      </c>
      <c r="F687" s="36">
        <v>10.775295663600518</v>
      </c>
      <c r="G687">
        <v>8.43</v>
      </c>
      <c r="H687" s="59">
        <f>G687-'Kubiņu masa'!D43</f>
        <v>0.8199999999999994</v>
      </c>
      <c r="I687" s="59">
        <f t="shared" si="20"/>
        <v>3.037037037037035</v>
      </c>
    </row>
    <row r="688" spans="1:9" x14ac:dyDescent="0.35">
      <c r="A688" s="25" t="s">
        <v>40</v>
      </c>
      <c r="B688" s="25" t="s">
        <v>72</v>
      </c>
      <c r="C688" s="25">
        <v>108</v>
      </c>
      <c r="D688" s="25">
        <v>90</v>
      </c>
      <c r="E688" s="37" t="s">
        <v>63</v>
      </c>
      <c r="F688" s="36">
        <v>11.166253101736977</v>
      </c>
      <c r="G688">
        <v>4.4800000000000004</v>
      </c>
      <c r="H688" s="59">
        <f>G688-'Kubiņu masa'!D44</f>
        <v>0.45000000000000018</v>
      </c>
      <c r="I688" s="59">
        <f t="shared" si="20"/>
        <v>1.6666666666666674</v>
      </c>
    </row>
    <row r="689" spans="1:9" x14ac:dyDescent="0.35">
      <c r="A689" s="25" t="s">
        <v>40</v>
      </c>
      <c r="B689" s="25" t="s">
        <v>72</v>
      </c>
      <c r="C689" s="25">
        <v>287</v>
      </c>
      <c r="D689" s="25">
        <v>90</v>
      </c>
      <c r="E689" s="37" t="s">
        <v>63</v>
      </c>
      <c r="F689" s="36">
        <v>10.256410256410266</v>
      </c>
      <c r="G689">
        <v>5.16</v>
      </c>
      <c r="H689" s="59">
        <f>G689-'Kubiņu masa'!D45</f>
        <v>0.48000000000000043</v>
      </c>
      <c r="I689" s="59">
        <f t="shared" si="20"/>
        <v>1.7777777777777795</v>
      </c>
    </row>
    <row r="690" spans="1:9" x14ac:dyDescent="0.35">
      <c r="A690" s="25" t="s">
        <v>40</v>
      </c>
      <c r="B690" s="25" t="s">
        <v>72</v>
      </c>
      <c r="C690" s="25">
        <v>328</v>
      </c>
      <c r="D690" s="25">
        <v>90</v>
      </c>
      <c r="E690" s="37" t="s">
        <v>63</v>
      </c>
      <c r="F690" s="36">
        <v>11.111111111111104</v>
      </c>
      <c r="G690">
        <v>4.7</v>
      </c>
      <c r="H690" s="59">
        <f>G690-'Kubiņu masa'!D46</f>
        <v>0.46999999999999975</v>
      </c>
      <c r="I690" s="59">
        <f t="shared" si="20"/>
        <v>1.74074074074074</v>
      </c>
    </row>
    <row r="691" spans="1:9" x14ac:dyDescent="0.35">
      <c r="A691" s="25" t="s">
        <v>40</v>
      </c>
      <c r="B691" s="25" t="s">
        <v>73</v>
      </c>
      <c r="C691" s="25">
        <v>207</v>
      </c>
      <c r="D691" s="25">
        <v>90</v>
      </c>
      <c r="E691" s="37" t="s">
        <v>63</v>
      </c>
      <c r="F691" s="36">
        <v>10.285714285714286</v>
      </c>
      <c r="G691">
        <v>5.79</v>
      </c>
      <c r="H691" s="59">
        <f>G691-'Kubiņu masa'!D47</f>
        <v>0.54</v>
      </c>
      <c r="I691" s="59">
        <f t="shared" si="20"/>
        <v>2</v>
      </c>
    </row>
    <row r="692" spans="1:9" x14ac:dyDescent="0.35">
      <c r="A692" s="25" t="s">
        <v>40</v>
      </c>
      <c r="B692" s="25" t="s">
        <v>73</v>
      </c>
      <c r="C692" s="25">
        <v>314</v>
      </c>
      <c r="D692" s="25">
        <v>90</v>
      </c>
      <c r="E692" s="37" t="s">
        <v>63</v>
      </c>
      <c r="F692" s="36">
        <v>10.555555555555543</v>
      </c>
      <c r="G692">
        <v>5.97</v>
      </c>
      <c r="H692" s="59">
        <f>G692-'Kubiņu masa'!D48</f>
        <v>0.5699999999999994</v>
      </c>
      <c r="I692" s="59">
        <f t="shared" si="20"/>
        <v>2.1111111111111089</v>
      </c>
    </row>
    <row r="693" spans="1:9" x14ac:dyDescent="0.35">
      <c r="A693" s="25" t="s">
        <v>40</v>
      </c>
      <c r="B693" s="25" t="s">
        <v>73</v>
      </c>
      <c r="C693" s="25">
        <v>280</v>
      </c>
      <c r="D693" s="25">
        <v>90</v>
      </c>
      <c r="E693" s="37" t="s">
        <v>63</v>
      </c>
      <c r="F693" s="36">
        <v>10.701107011070112</v>
      </c>
      <c r="G693">
        <v>6</v>
      </c>
      <c r="H693" s="59">
        <f>G693-'Kubiņu masa'!D49</f>
        <v>0.58000000000000007</v>
      </c>
      <c r="I693" s="59">
        <f t="shared" si="20"/>
        <v>2.1481481481481484</v>
      </c>
    </row>
    <row r="694" spans="1:9" x14ac:dyDescent="0.35">
      <c r="A694" s="25" t="s">
        <v>40</v>
      </c>
      <c r="B694" s="25" t="s">
        <v>74</v>
      </c>
      <c r="C694" s="25">
        <v>172</v>
      </c>
      <c r="D694" s="25">
        <v>90</v>
      </c>
      <c r="E694" s="37" t="s">
        <v>63</v>
      </c>
      <c r="F694" s="36">
        <v>11.168384879725076</v>
      </c>
      <c r="G694">
        <v>6.47</v>
      </c>
      <c r="H694" s="59">
        <f>G694-'Kubiņu masa'!D50</f>
        <v>0.64999999999999947</v>
      </c>
      <c r="I694" s="59">
        <f t="shared" si="20"/>
        <v>2.4074074074074052</v>
      </c>
    </row>
    <row r="695" spans="1:9" x14ac:dyDescent="0.35">
      <c r="A695" s="25" t="s">
        <v>40</v>
      </c>
      <c r="B695" s="25" t="s">
        <v>74</v>
      </c>
      <c r="C695" s="25">
        <v>229</v>
      </c>
      <c r="D695" s="25">
        <v>90</v>
      </c>
      <c r="E695" s="37" t="s">
        <v>63</v>
      </c>
      <c r="F695" s="36">
        <v>11.703958691910509</v>
      </c>
      <c r="G695">
        <v>6.49</v>
      </c>
      <c r="H695" s="59">
        <f>G695-'Kubiņu masa'!D51</f>
        <v>0.6800000000000006</v>
      </c>
      <c r="I695" s="59">
        <f t="shared" si="20"/>
        <v>2.5185185185185208</v>
      </c>
    </row>
    <row r="696" spans="1:9" x14ac:dyDescent="0.35">
      <c r="A696" s="25" t="s">
        <v>40</v>
      </c>
      <c r="B696" s="25" t="s">
        <v>74</v>
      </c>
      <c r="C696" s="25">
        <v>349</v>
      </c>
      <c r="D696" s="25">
        <v>90</v>
      </c>
      <c r="E696" s="37" t="s">
        <v>63</v>
      </c>
      <c r="F696" s="36">
        <v>11.835334476843903</v>
      </c>
      <c r="G696">
        <v>6.52</v>
      </c>
      <c r="H696" s="59">
        <f>G696-'Kubiņu masa'!D52</f>
        <v>0.6899999999999995</v>
      </c>
      <c r="I696" s="59">
        <f t="shared" si="20"/>
        <v>2.5555555555555536</v>
      </c>
    </row>
    <row r="697" spans="1:9" x14ac:dyDescent="0.35">
      <c r="A697" s="25" t="s">
        <v>40</v>
      </c>
      <c r="B697" s="25" t="s">
        <v>75</v>
      </c>
      <c r="C697" s="25">
        <v>193</v>
      </c>
      <c r="D697" s="25">
        <v>90</v>
      </c>
      <c r="E697" s="37" t="s">
        <v>63</v>
      </c>
      <c r="F697" s="36">
        <v>10.706150341685666</v>
      </c>
      <c r="G697">
        <v>4.8600000000000003</v>
      </c>
      <c r="H697" s="59">
        <f>G697-'Kubiņu masa'!D53</f>
        <v>0.47000000000000064</v>
      </c>
      <c r="I697" s="59">
        <f t="shared" si="20"/>
        <v>1.7407407407407431</v>
      </c>
    </row>
    <row r="698" spans="1:9" x14ac:dyDescent="0.35">
      <c r="A698" s="25" t="s">
        <v>40</v>
      </c>
      <c r="B698" s="25" t="s">
        <v>75</v>
      </c>
      <c r="C698" s="25">
        <v>160</v>
      </c>
      <c r="D698" s="25">
        <v>90</v>
      </c>
      <c r="E698" s="37" t="s">
        <v>63</v>
      </c>
      <c r="F698" s="36">
        <v>9.8850574712643837</v>
      </c>
      <c r="G698">
        <v>4.78</v>
      </c>
      <c r="H698" s="59">
        <f>G698-'Kubiņu masa'!D54</f>
        <v>0.4300000000000006</v>
      </c>
      <c r="I698" s="59">
        <f t="shared" si="20"/>
        <v>1.5925925925925948</v>
      </c>
    </row>
    <row r="699" spans="1:9" x14ac:dyDescent="0.35">
      <c r="A699" s="25" t="s">
        <v>40</v>
      </c>
      <c r="B699" s="25" t="s">
        <v>75</v>
      </c>
      <c r="C699" s="25">
        <v>218</v>
      </c>
      <c r="D699" s="25">
        <v>90</v>
      </c>
      <c r="E699" s="37" t="s">
        <v>63</v>
      </c>
      <c r="F699" s="36">
        <v>9.7852028639617945</v>
      </c>
      <c r="G699">
        <v>4.5999999999999996</v>
      </c>
      <c r="H699" s="59">
        <f>G699-'Kubiņu masa'!D55</f>
        <v>0.40999999999999925</v>
      </c>
      <c r="I699" s="59">
        <f t="shared" si="20"/>
        <v>1.5185185185185157</v>
      </c>
    </row>
    <row r="700" spans="1:9" x14ac:dyDescent="0.35">
      <c r="A700" s="25" t="s">
        <v>41</v>
      </c>
      <c r="B700" s="25" t="s">
        <v>91</v>
      </c>
      <c r="C700" s="25">
        <v>32</v>
      </c>
      <c r="D700" s="25">
        <v>90</v>
      </c>
      <c r="E700" s="37" t="s">
        <v>63</v>
      </c>
      <c r="F700" s="36">
        <v>15.596330275229365</v>
      </c>
      <c r="G700">
        <v>17.64</v>
      </c>
      <c r="H700" s="59">
        <f>G700-'Kubiņu masa'!D56</f>
        <v>2.3800000000000008</v>
      </c>
      <c r="I700" s="59">
        <f>H700/15*100</f>
        <v>15.866666666666671</v>
      </c>
    </row>
    <row r="701" spans="1:9" x14ac:dyDescent="0.35">
      <c r="A701" s="25" t="s">
        <v>41</v>
      </c>
      <c r="B701" s="25" t="s">
        <v>91</v>
      </c>
      <c r="C701" s="25">
        <v>33</v>
      </c>
      <c r="D701" s="25">
        <v>90</v>
      </c>
      <c r="E701" s="37" t="s">
        <v>63</v>
      </c>
      <c r="F701" s="36">
        <v>14.781491002570688</v>
      </c>
      <c r="G701">
        <v>17.86</v>
      </c>
      <c r="H701" s="59">
        <f>G701-'Kubiņu masa'!D57</f>
        <v>2.2999999999999989</v>
      </c>
      <c r="I701" s="59">
        <f t="shared" ref="I701:I716" si="21">H701/15*100</f>
        <v>15.333333333333327</v>
      </c>
    </row>
    <row r="702" spans="1:9" x14ac:dyDescent="0.35">
      <c r="A702" s="25" t="s">
        <v>41</v>
      </c>
      <c r="B702" s="25" t="s">
        <v>91</v>
      </c>
      <c r="C702" s="25">
        <v>34</v>
      </c>
      <c r="D702" s="25">
        <v>90</v>
      </c>
      <c r="E702" s="37" t="s">
        <v>63</v>
      </c>
      <c r="F702" s="36">
        <v>14.606741573033707</v>
      </c>
      <c r="G702">
        <v>18.36</v>
      </c>
      <c r="H702" s="59">
        <f>G702-'Kubiņu masa'!D58</f>
        <v>2.34</v>
      </c>
      <c r="I702" s="59">
        <f t="shared" si="21"/>
        <v>15.6</v>
      </c>
    </row>
    <row r="703" spans="1:9" x14ac:dyDescent="0.35">
      <c r="A703" s="25" t="s">
        <v>41</v>
      </c>
      <c r="B703" s="25" t="s">
        <v>29</v>
      </c>
      <c r="C703" s="25">
        <v>50</v>
      </c>
      <c r="D703" s="25">
        <v>90</v>
      </c>
      <c r="E703" s="37" t="s">
        <v>63</v>
      </c>
      <c r="F703" s="36">
        <v>10.775295663600518</v>
      </c>
      <c r="G703">
        <v>16.86</v>
      </c>
      <c r="H703" s="59">
        <f>G703-'Kubiņu masa'!D59</f>
        <v>1.6399999999999988</v>
      </c>
      <c r="I703" s="59">
        <f t="shared" si="21"/>
        <v>10.933333333333325</v>
      </c>
    </row>
    <row r="704" spans="1:9" x14ac:dyDescent="0.35">
      <c r="A704" s="25" t="s">
        <v>41</v>
      </c>
      <c r="B704" s="25" t="s">
        <v>29</v>
      </c>
      <c r="C704" s="25">
        <v>51</v>
      </c>
      <c r="D704" s="25">
        <v>90</v>
      </c>
      <c r="E704" s="37" t="s">
        <v>63</v>
      </c>
      <c r="F704" s="36">
        <v>10.747663551401864</v>
      </c>
      <c r="G704">
        <v>16.59</v>
      </c>
      <c r="H704" s="59">
        <f>G704-'Kubiņu masa'!D60</f>
        <v>1.6099999999999994</v>
      </c>
      <c r="I704" s="59">
        <f t="shared" si="21"/>
        <v>10.733333333333329</v>
      </c>
    </row>
    <row r="705" spans="1:9" x14ac:dyDescent="0.35">
      <c r="A705" s="25" t="s">
        <v>41</v>
      </c>
      <c r="B705" s="25" t="s">
        <v>29</v>
      </c>
      <c r="C705" s="25">
        <v>52</v>
      </c>
      <c r="D705" s="25">
        <v>90</v>
      </c>
      <c r="E705" s="37" t="s">
        <v>63</v>
      </c>
      <c r="F705" s="36">
        <v>10.882548108825485</v>
      </c>
      <c r="G705">
        <v>16.71</v>
      </c>
      <c r="H705" s="59">
        <f>G705-'Kubiņu masa'!D61</f>
        <v>1.6400000000000006</v>
      </c>
      <c r="I705" s="59">
        <f t="shared" si="21"/>
        <v>10.933333333333337</v>
      </c>
    </row>
    <row r="706" spans="1:9" x14ac:dyDescent="0.35">
      <c r="A706" s="25" t="s">
        <v>41</v>
      </c>
      <c r="B706" s="25" t="s">
        <v>88</v>
      </c>
      <c r="C706" s="25" t="s">
        <v>42</v>
      </c>
      <c r="D706" s="25">
        <v>90</v>
      </c>
      <c r="E706" s="37" t="s">
        <v>63</v>
      </c>
      <c r="F706" s="36">
        <v>11.596385542168683</v>
      </c>
      <c r="G706">
        <v>14.82</v>
      </c>
      <c r="H706" s="59">
        <f>G706-'Kubiņu masa'!D62</f>
        <v>1.5400000000000009</v>
      </c>
      <c r="I706" s="59">
        <f t="shared" si="21"/>
        <v>10.266666666666673</v>
      </c>
    </row>
    <row r="707" spans="1:9" x14ac:dyDescent="0.35">
      <c r="A707" s="25" t="s">
        <v>41</v>
      </c>
      <c r="B707" s="25" t="s">
        <v>88</v>
      </c>
      <c r="C707" s="25" t="s">
        <v>43</v>
      </c>
      <c r="D707" s="25">
        <v>90</v>
      </c>
      <c r="E707" s="37" t="s">
        <v>63</v>
      </c>
      <c r="F707" s="36">
        <v>11.634980988593151</v>
      </c>
      <c r="G707">
        <v>14.68</v>
      </c>
      <c r="H707" s="59">
        <f>G707-'Kubiņu masa'!D63</f>
        <v>1.5299999999999994</v>
      </c>
      <c r="I707" s="59">
        <f t="shared" si="21"/>
        <v>10.199999999999996</v>
      </c>
    </row>
    <row r="708" spans="1:9" x14ac:dyDescent="0.35">
      <c r="A708" s="25" t="s">
        <v>41</v>
      </c>
      <c r="B708" s="25" t="s">
        <v>88</v>
      </c>
      <c r="C708" s="25" t="s">
        <v>44</v>
      </c>
      <c r="D708" s="25">
        <v>90</v>
      </c>
      <c r="E708" s="37" t="s">
        <v>63</v>
      </c>
      <c r="F708" s="36">
        <v>11.782708492731439</v>
      </c>
      <c r="G708">
        <v>14.61</v>
      </c>
      <c r="H708" s="59">
        <f>G708-'Kubiņu masa'!D64</f>
        <v>1.5399999999999991</v>
      </c>
      <c r="I708" s="59">
        <f t="shared" si="21"/>
        <v>10.266666666666662</v>
      </c>
    </row>
    <row r="709" spans="1:9" x14ac:dyDescent="0.35">
      <c r="A709" s="25" t="s">
        <v>41</v>
      </c>
      <c r="B709" s="25" t="s">
        <v>89</v>
      </c>
      <c r="C709" s="25" t="s">
        <v>45</v>
      </c>
      <c r="D709" s="25">
        <v>90</v>
      </c>
      <c r="E709" s="37" t="s">
        <v>63</v>
      </c>
      <c r="F709" s="36">
        <v>12.059925093632968</v>
      </c>
      <c r="G709">
        <v>14.96</v>
      </c>
      <c r="H709" s="59">
        <f>G709-'Kubiņu masa'!D65</f>
        <v>1.6100000000000012</v>
      </c>
      <c r="I709" s="59">
        <f t="shared" si="21"/>
        <v>10.733333333333341</v>
      </c>
    </row>
    <row r="710" spans="1:9" x14ac:dyDescent="0.35">
      <c r="A710" s="25" t="s">
        <v>41</v>
      </c>
      <c r="B710" s="25" t="s">
        <v>89</v>
      </c>
      <c r="C710" s="25" t="s">
        <v>46</v>
      </c>
      <c r="D710" s="25">
        <v>90</v>
      </c>
      <c r="E710" s="37" t="s">
        <v>63</v>
      </c>
      <c r="F710" s="36">
        <v>11.945905334335084</v>
      </c>
      <c r="G710">
        <v>14.9</v>
      </c>
      <c r="H710" s="59">
        <f>G710-'Kubiņu masa'!D66</f>
        <v>1.5899999999999999</v>
      </c>
      <c r="I710" s="59">
        <f t="shared" si="21"/>
        <v>10.6</v>
      </c>
    </row>
    <row r="711" spans="1:9" x14ac:dyDescent="0.35">
      <c r="A711" s="25" t="s">
        <v>41</v>
      </c>
      <c r="B711" s="25" t="s">
        <v>89</v>
      </c>
      <c r="C711" s="25" t="s">
        <v>47</v>
      </c>
      <c r="D711" s="25">
        <v>90</v>
      </c>
      <c r="E711" s="37" t="s">
        <v>63</v>
      </c>
      <c r="F711" s="36">
        <v>11.94362017804154</v>
      </c>
      <c r="G711">
        <v>15.09</v>
      </c>
      <c r="H711" s="59">
        <f>G711-'Kubiņu masa'!D67</f>
        <v>1.6099999999999994</v>
      </c>
      <c r="I711" s="59">
        <f t="shared" si="21"/>
        <v>10.733333333333329</v>
      </c>
    </row>
    <row r="712" spans="1:9" x14ac:dyDescent="0.35">
      <c r="A712" s="25" t="s">
        <v>41</v>
      </c>
      <c r="B712" s="25" t="s">
        <v>90</v>
      </c>
      <c r="C712" s="25" t="s">
        <v>48</v>
      </c>
      <c r="D712" s="25">
        <v>90</v>
      </c>
      <c r="E712" s="37" t="s">
        <v>63</v>
      </c>
      <c r="F712" s="36">
        <v>10.445937690897967</v>
      </c>
      <c r="G712">
        <v>18.079999999999998</v>
      </c>
      <c r="H712" s="59">
        <f>G712-'Kubiņu masa'!D68</f>
        <v>1.7099999999999973</v>
      </c>
      <c r="I712" s="59">
        <f t="shared" si="21"/>
        <v>11.399999999999983</v>
      </c>
    </row>
    <row r="713" spans="1:9" x14ac:dyDescent="0.35">
      <c r="A713" s="25" t="s">
        <v>41</v>
      </c>
      <c r="B713" s="25" t="s">
        <v>90</v>
      </c>
      <c r="C713" s="25" t="s">
        <v>49</v>
      </c>
      <c r="D713" s="25">
        <v>90</v>
      </c>
      <c r="E713" s="37" t="s">
        <v>63</v>
      </c>
      <c r="F713" s="36">
        <v>10.532761788120041</v>
      </c>
      <c r="G713">
        <v>18.05</v>
      </c>
      <c r="H713" s="59">
        <f>G713-'Kubiņu masa'!D69</f>
        <v>1.7200000000000024</v>
      </c>
      <c r="I713" s="59">
        <f t="shared" si="21"/>
        <v>11.466666666666683</v>
      </c>
    </row>
    <row r="714" spans="1:9" x14ac:dyDescent="0.35">
      <c r="A714" s="25" t="s">
        <v>41</v>
      </c>
      <c r="B714" s="25" t="s">
        <v>33</v>
      </c>
      <c r="C714" s="25" t="s">
        <v>50</v>
      </c>
      <c r="D714" s="25">
        <v>90</v>
      </c>
      <c r="E714" s="37" t="s">
        <v>63</v>
      </c>
      <c r="F714" s="36">
        <v>12.323232323232324</v>
      </c>
      <c r="G714">
        <v>16.68</v>
      </c>
      <c r="H714" s="59">
        <f>G714-'Kubiņu masa'!D70</f>
        <v>1.83</v>
      </c>
      <c r="I714" s="59">
        <f t="shared" si="21"/>
        <v>12.200000000000001</v>
      </c>
    </row>
    <row r="715" spans="1:9" x14ac:dyDescent="0.35">
      <c r="A715" s="25" t="s">
        <v>41</v>
      </c>
      <c r="B715" s="25" t="s">
        <v>33</v>
      </c>
      <c r="C715" s="25" t="s">
        <v>51</v>
      </c>
      <c r="D715" s="25">
        <v>90</v>
      </c>
      <c r="E715" s="37" t="s">
        <v>63</v>
      </c>
      <c r="F715" s="36">
        <v>12.406779661016937</v>
      </c>
      <c r="G715">
        <v>16.579999999999998</v>
      </c>
      <c r="H715" s="59">
        <f>G715-'Kubiņu masa'!D71</f>
        <v>1.8299999999999983</v>
      </c>
      <c r="I715" s="59">
        <f t="shared" si="21"/>
        <v>12.199999999999989</v>
      </c>
    </row>
    <row r="716" spans="1:9" x14ac:dyDescent="0.35">
      <c r="A716" s="25" t="s">
        <v>41</v>
      </c>
      <c r="B716" s="25" t="s">
        <v>33</v>
      </c>
      <c r="C716" s="25" t="s">
        <v>52</v>
      </c>
      <c r="D716" s="25">
        <v>90</v>
      </c>
      <c r="E716" s="37" t="s">
        <v>63</v>
      </c>
      <c r="F716" s="36">
        <v>12.382234185733513</v>
      </c>
      <c r="G716">
        <v>16.7</v>
      </c>
      <c r="H716" s="59">
        <f>G716-'Kubiņu masa'!D72</f>
        <v>1.8399999999999999</v>
      </c>
      <c r="I716" s="59">
        <f t="shared" si="21"/>
        <v>12.266666666666666</v>
      </c>
    </row>
    <row r="717" spans="1:9" x14ac:dyDescent="0.35">
      <c r="A717" s="25" t="s">
        <v>10</v>
      </c>
      <c r="B717" s="25" t="s">
        <v>68</v>
      </c>
      <c r="C717" s="25">
        <v>9</v>
      </c>
      <c r="D717" s="25">
        <v>90</v>
      </c>
      <c r="E717" s="25" t="s">
        <v>64</v>
      </c>
      <c r="F717" s="36">
        <v>12.481857764876638</v>
      </c>
      <c r="G717">
        <v>7.75</v>
      </c>
      <c r="H717" s="59">
        <f>G717-'Kubiņu masa'!D8</f>
        <v>0.86000000000000032</v>
      </c>
      <c r="I717" s="59">
        <f t="shared" ref="I707:I770" si="22">H717/27*100</f>
        <v>3.185185185185186</v>
      </c>
    </row>
    <row r="718" spans="1:9" x14ac:dyDescent="0.35">
      <c r="A718" s="25" t="s">
        <v>10</v>
      </c>
      <c r="B718" s="25" t="s">
        <v>68</v>
      </c>
      <c r="C718" s="25">
        <v>27</v>
      </c>
      <c r="D718" s="25">
        <v>90</v>
      </c>
      <c r="E718" s="25" t="s">
        <v>64</v>
      </c>
      <c r="F718" s="36">
        <v>11.650485436893215</v>
      </c>
      <c r="G718">
        <v>8.0500000000000007</v>
      </c>
      <c r="H718" s="59">
        <f>G718-'Kubiņu masa'!D9</f>
        <v>0.84000000000000075</v>
      </c>
      <c r="I718" s="59">
        <f t="shared" si="22"/>
        <v>3.1111111111111138</v>
      </c>
    </row>
    <row r="719" spans="1:9" x14ac:dyDescent="0.35">
      <c r="A719" s="25" t="s">
        <v>10</v>
      </c>
      <c r="B719" s="25" t="s">
        <v>68</v>
      </c>
      <c r="C719" s="25">
        <v>106</v>
      </c>
      <c r="D719" s="25">
        <v>90</v>
      </c>
      <c r="E719" s="25" t="s">
        <v>64</v>
      </c>
      <c r="F719" s="36">
        <v>11.468531468531459</v>
      </c>
      <c r="G719">
        <v>7.97</v>
      </c>
      <c r="H719" s="59">
        <f>G719-'Kubiņu masa'!D10</f>
        <v>0.8199999999999994</v>
      </c>
      <c r="I719" s="59">
        <f t="shared" si="22"/>
        <v>3.037037037037035</v>
      </c>
    </row>
    <row r="720" spans="1:9" x14ac:dyDescent="0.35">
      <c r="A720" s="25" t="s">
        <v>10</v>
      </c>
      <c r="B720" s="25" t="s">
        <v>69</v>
      </c>
      <c r="C720" s="25">
        <v>39</v>
      </c>
      <c r="D720" s="25">
        <v>90</v>
      </c>
      <c r="E720" s="25" t="s">
        <v>64</v>
      </c>
      <c r="F720" s="36">
        <v>10.847457627118638</v>
      </c>
      <c r="G720">
        <v>6.54</v>
      </c>
      <c r="H720" s="59">
        <f>G720-'Kubiņu masa'!D11</f>
        <v>0.63999999999999968</v>
      </c>
      <c r="I720" s="59">
        <f t="shared" si="22"/>
        <v>2.3703703703703694</v>
      </c>
    </row>
    <row r="721" spans="1:9" x14ac:dyDescent="0.35">
      <c r="A721" s="25" t="s">
        <v>10</v>
      </c>
      <c r="B721" s="25" t="s">
        <v>69</v>
      </c>
      <c r="C721" s="25">
        <v>55</v>
      </c>
      <c r="D721" s="25">
        <v>90</v>
      </c>
      <c r="E721" s="25" t="s">
        <v>64</v>
      </c>
      <c r="F721" s="36">
        <v>11.111111111111107</v>
      </c>
      <c r="G721">
        <v>6.8</v>
      </c>
      <c r="H721" s="59">
        <f>G721-'Kubiņu masa'!D12</f>
        <v>0.67999999999999972</v>
      </c>
      <c r="I721" s="59">
        <f t="shared" si="22"/>
        <v>2.5185185185185177</v>
      </c>
    </row>
    <row r="722" spans="1:9" x14ac:dyDescent="0.35">
      <c r="A722" s="25" t="s">
        <v>10</v>
      </c>
      <c r="B722" s="25" t="s">
        <v>69</v>
      </c>
      <c r="C722" s="25">
        <v>122</v>
      </c>
      <c r="D722" s="25">
        <v>90</v>
      </c>
      <c r="E722" s="25" t="s">
        <v>64</v>
      </c>
      <c r="F722" s="36">
        <v>10.679611650485439</v>
      </c>
      <c r="G722">
        <v>6.84</v>
      </c>
      <c r="H722" s="59">
        <f>G722-'Kubiņu masa'!D13</f>
        <v>0.66000000000000014</v>
      </c>
      <c r="I722" s="59">
        <f t="shared" si="22"/>
        <v>2.4444444444444451</v>
      </c>
    </row>
    <row r="723" spans="1:9" x14ac:dyDescent="0.35">
      <c r="A723" s="25" t="s">
        <v>10</v>
      </c>
      <c r="B723" s="25" t="s">
        <v>70</v>
      </c>
      <c r="C723" s="25">
        <v>66</v>
      </c>
      <c r="D723" s="25">
        <v>90</v>
      </c>
      <c r="E723" s="25" t="s">
        <v>64</v>
      </c>
      <c r="F723" s="36">
        <v>11.341632088520058</v>
      </c>
      <c r="G723">
        <v>8.0500000000000007</v>
      </c>
      <c r="H723" s="59">
        <f>G723-'Kubiņu masa'!D14</f>
        <v>0.82000000000000028</v>
      </c>
      <c r="I723" s="59">
        <f t="shared" si="22"/>
        <v>3.0370370370370381</v>
      </c>
    </row>
    <row r="724" spans="1:9" x14ac:dyDescent="0.35">
      <c r="A724" s="25" t="s">
        <v>10</v>
      </c>
      <c r="B724" s="25" t="s">
        <v>70</v>
      </c>
      <c r="C724" s="25">
        <v>142</v>
      </c>
      <c r="D724" s="25">
        <v>90</v>
      </c>
      <c r="E724" s="25" t="s">
        <v>64</v>
      </c>
      <c r="F724" s="36">
        <v>11.710526315789483</v>
      </c>
      <c r="G724">
        <v>8.49</v>
      </c>
      <c r="H724" s="59">
        <f>G724-'Kubiņu masa'!D15</f>
        <v>0.89000000000000057</v>
      </c>
      <c r="I724" s="59">
        <f t="shared" si="22"/>
        <v>3.2962962962962985</v>
      </c>
    </row>
    <row r="725" spans="1:9" x14ac:dyDescent="0.35">
      <c r="A725" s="25" t="s">
        <v>10</v>
      </c>
      <c r="B725" s="25" t="s">
        <v>70</v>
      </c>
      <c r="C725" s="25">
        <v>147</v>
      </c>
      <c r="D725" s="25">
        <v>90</v>
      </c>
      <c r="E725" s="25" t="s">
        <v>64</v>
      </c>
      <c r="F725" s="36">
        <v>11.725067385444733</v>
      </c>
      <c r="G725">
        <v>8.2899999999999991</v>
      </c>
      <c r="H725" s="59">
        <f>G725-'Kubiņu masa'!D16</f>
        <v>0.86999999999999922</v>
      </c>
      <c r="I725" s="59">
        <f t="shared" si="22"/>
        <v>3.2222222222222192</v>
      </c>
    </row>
    <row r="726" spans="1:9" x14ac:dyDescent="0.35">
      <c r="A726" s="25" t="s">
        <v>10</v>
      </c>
      <c r="B726" s="25" t="s">
        <v>71</v>
      </c>
      <c r="C726" s="25">
        <v>75</v>
      </c>
      <c r="D726" s="25">
        <v>90</v>
      </c>
      <c r="E726" s="25" t="s">
        <v>64</v>
      </c>
      <c r="F726" s="36">
        <v>10.42216358839049</v>
      </c>
      <c r="G726">
        <v>8.3699999999999992</v>
      </c>
      <c r="H726" s="59">
        <f>G726-'Kubiņu masa'!D17</f>
        <v>0.78999999999999915</v>
      </c>
      <c r="I726" s="59">
        <f t="shared" si="22"/>
        <v>2.9259259259259229</v>
      </c>
    </row>
    <row r="727" spans="1:9" x14ac:dyDescent="0.35">
      <c r="A727" s="25" t="s">
        <v>10</v>
      </c>
      <c r="B727" s="25" t="s">
        <v>71</v>
      </c>
      <c r="C727" s="25">
        <v>81</v>
      </c>
      <c r="D727" s="25">
        <v>90</v>
      </c>
      <c r="E727" s="25" t="s">
        <v>64</v>
      </c>
      <c r="F727" s="36">
        <v>10.36745406824147</v>
      </c>
      <c r="G727">
        <v>8.41</v>
      </c>
      <c r="H727" s="59">
        <f>G727-'Kubiņu masa'!D18</f>
        <v>0.79</v>
      </c>
      <c r="I727" s="59">
        <f t="shared" si="22"/>
        <v>2.925925925925926</v>
      </c>
    </row>
    <row r="728" spans="1:9" x14ac:dyDescent="0.35">
      <c r="A728" s="25" t="s">
        <v>10</v>
      </c>
      <c r="B728" s="25" t="s">
        <v>71</v>
      </c>
      <c r="C728" s="25">
        <v>91</v>
      </c>
      <c r="D728" s="25">
        <v>90</v>
      </c>
      <c r="E728" s="25" t="s">
        <v>64</v>
      </c>
      <c r="F728" s="36">
        <v>10.102301790281318</v>
      </c>
      <c r="G728">
        <v>8.61</v>
      </c>
      <c r="H728" s="59">
        <f>G728-'Kubiņu masa'!D19</f>
        <v>0.78999999999999915</v>
      </c>
      <c r="I728" s="59">
        <f t="shared" si="22"/>
        <v>2.9259259259259229</v>
      </c>
    </row>
    <row r="729" spans="1:9" x14ac:dyDescent="0.35">
      <c r="A729" s="25" t="s">
        <v>10</v>
      </c>
      <c r="B729" s="25" t="s">
        <v>72</v>
      </c>
      <c r="C729" s="25">
        <v>103</v>
      </c>
      <c r="D729" s="25">
        <v>90</v>
      </c>
      <c r="E729" s="25" t="s">
        <v>64</v>
      </c>
      <c r="F729" s="36">
        <v>11.948051948051935</v>
      </c>
      <c r="G729">
        <v>4.3099999999999996</v>
      </c>
      <c r="H729" s="59">
        <f>G729-'Kubiņu masa'!D20</f>
        <v>0.45999999999999952</v>
      </c>
      <c r="I729" s="59">
        <f t="shared" si="22"/>
        <v>1.7037037037037022</v>
      </c>
    </row>
    <row r="730" spans="1:9" x14ac:dyDescent="0.35">
      <c r="A730" s="25" t="s">
        <v>10</v>
      </c>
      <c r="B730" s="25" t="s">
        <v>72</v>
      </c>
      <c r="C730" s="25">
        <v>283</v>
      </c>
      <c r="D730" s="25">
        <v>90</v>
      </c>
      <c r="E730" s="25" t="s">
        <v>64</v>
      </c>
      <c r="F730" s="36">
        <v>12.531328320802004</v>
      </c>
      <c r="G730">
        <v>4.49</v>
      </c>
      <c r="H730" s="59">
        <f>G730-'Kubiņu masa'!D21</f>
        <v>0.5</v>
      </c>
      <c r="I730" s="59">
        <f t="shared" si="22"/>
        <v>1.8518518518518516</v>
      </c>
    </row>
    <row r="731" spans="1:9" x14ac:dyDescent="0.35">
      <c r="A731" s="25" t="s">
        <v>10</v>
      </c>
      <c r="B731" s="25" t="s">
        <v>72</v>
      </c>
      <c r="C731" s="25">
        <v>323</v>
      </c>
      <c r="D731" s="25">
        <v>90</v>
      </c>
      <c r="E731" s="25" t="s">
        <v>64</v>
      </c>
      <c r="F731" s="36">
        <v>11.638954869358676</v>
      </c>
      <c r="G731">
        <v>4.7</v>
      </c>
      <c r="H731" s="59">
        <f>G731-'Kubiņu masa'!D22</f>
        <v>0.49000000000000021</v>
      </c>
      <c r="I731" s="59">
        <f t="shared" si="22"/>
        <v>1.8148148148148155</v>
      </c>
    </row>
    <row r="732" spans="1:9" x14ac:dyDescent="0.35">
      <c r="A732" s="25" t="s">
        <v>10</v>
      </c>
      <c r="B732" s="25" t="s">
        <v>73</v>
      </c>
      <c r="C732" s="25">
        <v>203</v>
      </c>
      <c r="D732" s="25">
        <v>90</v>
      </c>
      <c r="E732" s="25" t="s">
        <v>64</v>
      </c>
      <c r="F732" s="36">
        <v>10.621242484969926</v>
      </c>
      <c r="G732">
        <v>5.52</v>
      </c>
      <c r="H732" s="59">
        <f>G732-'Kubiņu masa'!D23</f>
        <v>0.52999999999999936</v>
      </c>
      <c r="I732" s="59">
        <f t="shared" si="22"/>
        <v>1.9629629629629604</v>
      </c>
    </row>
    <row r="733" spans="1:9" x14ac:dyDescent="0.35">
      <c r="A733" s="25" t="s">
        <v>10</v>
      </c>
      <c r="B733" s="25" t="s">
        <v>73</v>
      </c>
      <c r="C733" s="25">
        <v>272</v>
      </c>
      <c r="D733" s="25">
        <v>90</v>
      </c>
      <c r="E733" s="25" t="s">
        <v>64</v>
      </c>
      <c r="F733" s="36">
        <v>10.975609756097562</v>
      </c>
      <c r="G733">
        <v>5.46</v>
      </c>
      <c r="H733" s="59">
        <f>G733-'Kubiņu masa'!D24</f>
        <v>0.54</v>
      </c>
      <c r="I733" s="59">
        <f t="shared" si="22"/>
        <v>2</v>
      </c>
    </row>
    <row r="734" spans="1:9" x14ac:dyDescent="0.35">
      <c r="A734" s="25" t="s">
        <v>10</v>
      </c>
      <c r="B734" s="25" t="s">
        <v>73</v>
      </c>
      <c r="C734" s="25">
        <v>266</v>
      </c>
      <c r="D734" s="25">
        <v>90</v>
      </c>
      <c r="E734" s="25" t="s">
        <v>64</v>
      </c>
      <c r="F734" s="36">
        <v>10.578842315369267</v>
      </c>
      <c r="G734">
        <v>5.54</v>
      </c>
      <c r="H734" s="59">
        <f>G734-'Kubiņu masa'!D25</f>
        <v>0.53000000000000025</v>
      </c>
      <c r="I734" s="59">
        <f t="shared" si="22"/>
        <v>1.9629629629629639</v>
      </c>
    </row>
    <row r="735" spans="1:9" x14ac:dyDescent="0.35">
      <c r="A735" s="25" t="s">
        <v>10</v>
      </c>
      <c r="B735" s="25" t="s">
        <v>74</v>
      </c>
      <c r="C735" s="25">
        <v>168</v>
      </c>
      <c r="D735" s="25">
        <v>90</v>
      </c>
      <c r="E735" s="25" t="s">
        <v>64</v>
      </c>
      <c r="F735" s="36">
        <v>11.744386873920549</v>
      </c>
      <c r="G735">
        <v>6.47</v>
      </c>
      <c r="H735" s="59">
        <f>G735-'Kubiņu masa'!D26</f>
        <v>0.67999999999999972</v>
      </c>
      <c r="I735" s="59">
        <f t="shared" si="22"/>
        <v>2.5185185185185177</v>
      </c>
    </row>
    <row r="736" spans="1:9" x14ac:dyDescent="0.35">
      <c r="A736" s="25" t="s">
        <v>10</v>
      </c>
      <c r="B736" s="25" t="s">
        <v>74</v>
      </c>
      <c r="C736" s="25">
        <v>343</v>
      </c>
      <c r="D736" s="25">
        <v>90</v>
      </c>
      <c r="E736" s="25" t="s">
        <v>64</v>
      </c>
      <c r="F736" s="36">
        <v>12.417218543046356</v>
      </c>
      <c r="G736">
        <v>6.79</v>
      </c>
      <c r="H736" s="59">
        <f>G736-'Kubiņu masa'!D27</f>
        <v>0.75</v>
      </c>
      <c r="I736" s="59">
        <f t="shared" si="22"/>
        <v>2.7777777777777777</v>
      </c>
    </row>
    <row r="737" spans="1:9" x14ac:dyDescent="0.35">
      <c r="A737" s="25" t="s">
        <v>10</v>
      </c>
      <c r="B737" s="25" t="s">
        <v>74</v>
      </c>
      <c r="C737" s="25">
        <v>58</v>
      </c>
      <c r="D737" s="25">
        <v>90</v>
      </c>
      <c r="E737" s="25" t="s">
        <v>64</v>
      </c>
      <c r="F737" s="36">
        <v>12.520868113522537</v>
      </c>
      <c r="G737">
        <v>6.74</v>
      </c>
      <c r="H737" s="59">
        <f>G737-'Kubiņu masa'!D28</f>
        <v>0.75</v>
      </c>
      <c r="I737" s="59">
        <f t="shared" si="22"/>
        <v>2.7777777777777777</v>
      </c>
    </row>
    <row r="738" spans="1:9" x14ac:dyDescent="0.35">
      <c r="A738" s="25" t="s">
        <v>10</v>
      </c>
      <c r="B738" s="25" t="s">
        <v>75</v>
      </c>
      <c r="C738" s="25">
        <v>187</v>
      </c>
      <c r="D738" s="25">
        <v>90</v>
      </c>
      <c r="E738" s="25" t="s">
        <v>64</v>
      </c>
      <c r="F738" s="36">
        <v>10.103626943005185</v>
      </c>
      <c r="G738">
        <v>4.25</v>
      </c>
      <c r="H738" s="59">
        <f>G738-'Kubiņu masa'!D29</f>
        <v>0.39000000000000012</v>
      </c>
      <c r="I738" s="59">
        <f t="shared" si="22"/>
        <v>1.4444444444444449</v>
      </c>
    </row>
    <row r="739" spans="1:9" x14ac:dyDescent="0.35">
      <c r="A739" s="25" t="s">
        <v>10</v>
      </c>
      <c r="B739" s="25" t="s">
        <v>75</v>
      </c>
      <c r="C739" s="25">
        <v>248</v>
      </c>
      <c r="D739" s="25">
        <v>90</v>
      </c>
      <c r="E739" s="25" t="s">
        <v>64</v>
      </c>
      <c r="F739" s="36">
        <v>10.311750599520376</v>
      </c>
      <c r="G739">
        <v>4.5999999999999996</v>
      </c>
      <c r="H739" s="59">
        <f>G739-'Kubiņu masa'!D30</f>
        <v>0.42999999999999972</v>
      </c>
      <c r="I739" s="59">
        <f t="shared" si="22"/>
        <v>1.5925925925925917</v>
      </c>
    </row>
    <row r="740" spans="1:9" x14ac:dyDescent="0.35">
      <c r="A740" s="25" t="s">
        <v>10</v>
      </c>
      <c r="B740" s="25" t="s">
        <v>75</v>
      </c>
      <c r="C740" s="25">
        <v>212</v>
      </c>
      <c r="D740" s="25">
        <v>90</v>
      </c>
      <c r="E740" s="25" t="s">
        <v>64</v>
      </c>
      <c r="F740" s="36">
        <v>9.8734177215189796</v>
      </c>
      <c r="G740">
        <v>4.34</v>
      </c>
      <c r="H740" s="59">
        <f>G740-'Kubiņu masa'!D31</f>
        <v>0.38999999999999968</v>
      </c>
      <c r="I740" s="59">
        <f t="shared" si="22"/>
        <v>1.4444444444444433</v>
      </c>
    </row>
    <row r="741" spans="1:9" x14ac:dyDescent="0.35">
      <c r="A741" s="25" t="s">
        <v>40</v>
      </c>
      <c r="B741" s="25" t="s">
        <v>68</v>
      </c>
      <c r="C741" s="25">
        <v>5</v>
      </c>
      <c r="D741" s="25">
        <v>90</v>
      </c>
      <c r="E741" s="25" t="s">
        <v>64</v>
      </c>
      <c r="F741" s="36">
        <v>11.813186813186817</v>
      </c>
      <c r="G741">
        <v>8.14</v>
      </c>
      <c r="H741" s="59">
        <f>G741-'Kubiņu masa'!D32</f>
        <v>0.86000000000000032</v>
      </c>
      <c r="I741" s="59">
        <f t="shared" si="22"/>
        <v>3.185185185185186</v>
      </c>
    </row>
    <row r="742" spans="1:9" x14ac:dyDescent="0.35">
      <c r="A742" s="25" t="s">
        <v>40</v>
      </c>
      <c r="B742" s="25" t="s">
        <v>68</v>
      </c>
      <c r="C742" s="25">
        <v>17</v>
      </c>
      <c r="D742" s="25">
        <v>90</v>
      </c>
      <c r="E742" s="25" t="s">
        <v>64</v>
      </c>
      <c r="F742" s="36">
        <v>11.432506887052343</v>
      </c>
      <c r="G742">
        <v>8.09</v>
      </c>
      <c r="H742" s="59">
        <f>G742-'Kubiņu masa'!D33</f>
        <v>0.83000000000000007</v>
      </c>
      <c r="I742" s="59">
        <f t="shared" si="22"/>
        <v>3.0740740740740744</v>
      </c>
    </row>
    <row r="743" spans="1:9" x14ac:dyDescent="0.35">
      <c r="A743" s="25" t="s">
        <v>40</v>
      </c>
      <c r="B743" s="25" t="s">
        <v>68</v>
      </c>
      <c r="C743" s="25">
        <v>99</v>
      </c>
      <c r="D743" s="25">
        <v>90</v>
      </c>
      <c r="E743" s="25" t="s">
        <v>64</v>
      </c>
      <c r="F743" s="36">
        <v>11.820652173913045</v>
      </c>
      <c r="G743">
        <v>8.23</v>
      </c>
      <c r="H743" s="59">
        <f>G743-'Kubiņu masa'!D34</f>
        <v>0.87000000000000011</v>
      </c>
      <c r="I743" s="59">
        <f t="shared" si="22"/>
        <v>3.2222222222222228</v>
      </c>
    </row>
    <row r="744" spans="1:9" x14ac:dyDescent="0.35">
      <c r="A744" s="25" t="s">
        <v>40</v>
      </c>
      <c r="B744" s="25" t="s">
        <v>69</v>
      </c>
      <c r="C744" s="25">
        <v>37</v>
      </c>
      <c r="D744" s="25">
        <v>90</v>
      </c>
      <c r="E744" s="25" t="s">
        <v>64</v>
      </c>
      <c r="F744" s="36">
        <v>11.498257839721257</v>
      </c>
      <c r="G744">
        <v>6.4</v>
      </c>
      <c r="H744" s="59">
        <f>G744-'Kubiņu masa'!D35</f>
        <v>0.66000000000000014</v>
      </c>
      <c r="I744" s="59">
        <f t="shared" si="22"/>
        <v>2.4444444444444451</v>
      </c>
    </row>
    <row r="745" spans="1:9" x14ac:dyDescent="0.35">
      <c r="A745" s="25" t="s">
        <v>40</v>
      </c>
      <c r="B745" s="25" t="s">
        <v>69</v>
      </c>
      <c r="C745" s="25">
        <v>53</v>
      </c>
      <c r="D745" s="25">
        <v>90</v>
      </c>
      <c r="E745" s="25" t="s">
        <v>64</v>
      </c>
      <c r="F745" s="36">
        <v>11.538461538461533</v>
      </c>
      <c r="G745">
        <v>6.96</v>
      </c>
      <c r="H745" s="59">
        <f>G745-'Kubiņu masa'!D36</f>
        <v>0.71999999999999975</v>
      </c>
      <c r="I745" s="59">
        <f t="shared" si="22"/>
        <v>2.6666666666666656</v>
      </c>
    </row>
    <row r="746" spans="1:9" x14ac:dyDescent="0.35">
      <c r="A746" s="25" t="s">
        <v>40</v>
      </c>
      <c r="B746" s="25" t="s">
        <v>69</v>
      </c>
      <c r="C746" s="25">
        <v>134</v>
      </c>
      <c r="D746" s="25">
        <v>90</v>
      </c>
      <c r="E746" s="25" t="s">
        <v>64</v>
      </c>
      <c r="F746" s="36">
        <v>11.409395973154357</v>
      </c>
      <c r="G746">
        <v>6.64</v>
      </c>
      <c r="H746" s="59">
        <f>G746-'Kubiņu masa'!D37</f>
        <v>0.67999999999999972</v>
      </c>
      <c r="I746" s="59">
        <f t="shared" si="22"/>
        <v>2.5185185185185177</v>
      </c>
    </row>
    <row r="747" spans="1:9" x14ac:dyDescent="0.35">
      <c r="A747" s="25" t="s">
        <v>40</v>
      </c>
      <c r="B747" s="25" t="s">
        <v>70</v>
      </c>
      <c r="C747" s="25">
        <v>68</v>
      </c>
      <c r="D747" s="25">
        <v>90</v>
      </c>
      <c r="E747" s="25" t="s">
        <v>64</v>
      </c>
      <c r="F747" s="36">
        <v>11.570247933884296</v>
      </c>
      <c r="G747">
        <v>8.1</v>
      </c>
      <c r="H747" s="59">
        <f>G747-'Kubiņu masa'!D38</f>
        <v>0.83999999999999986</v>
      </c>
      <c r="I747" s="59">
        <f t="shared" si="22"/>
        <v>3.1111111111111107</v>
      </c>
    </row>
    <row r="748" spans="1:9" x14ac:dyDescent="0.35">
      <c r="A748" s="25" t="s">
        <v>40</v>
      </c>
      <c r="B748" s="25" t="s">
        <v>70</v>
      </c>
      <c r="C748" s="25">
        <v>143</v>
      </c>
      <c r="D748" s="25">
        <v>90</v>
      </c>
      <c r="E748" s="25" t="s">
        <v>64</v>
      </c>
      <c r="F748" s="36">
        <v>12.313937753721259</v>
      </c>
      <c r="G748">
        <v>8.3000000000000007</v>
      </c>
      <c r="H748" s="59">
        <f>G748-'Kubiņu masa'!D39</f>
        <v>0.91000000000000103</v>
      </c>
      <c r="I748" s="59">
        <f t="shared" si="22"/>
        <v>3.3703703703703742</v>
      </c>
    </row>
    <row r="749" spans="1:9" x14ac:dyDescent="0.35">
      <c r="A749" s="25" t="s">
        <v>40</v>
      </c>
      <c r="B749" s="25" t="s">
        <v>70</v>
      </c>
      <c r="C749" s="25">
        <v>190</v>
      </c>
      <c r="D749" s="25">
        <v>90</v>
      </c>
      <c r="E749" s="25" t="s">
        <v>64</v>
      </c>
      <c r="F749" s="36">
        <v>11.111111111111111</v>
      </c>
      <c r="G749">
        <v>7.9</v>
      </c>
      <c r="H749" s="59">
        <f>G749-'Kubiņu masa'!D40</f>
        <v>0.79</v>
      </c>
      <c r="I749" s="59">
        <f t="shared" si="22"/>
        <v>2.925925925925926</v>
      </c>
    </row>
    <row r="750" spans="1:9" x14ac:dyDescent="0.35">
      <c r="A750" s="25" t="s">
        <v>40</v>
      </c>
      <c r="B750" s="25" t="s">
        <v>71</v>
      </c>
      <c r="C750" s="25">
        <v>158</v>
      </c>
      <c r="D750" s="25">
        <v>90</v>
      </c>
      <c r="E750" s="25" t="s">
        <v>64</v>
      </c>
      <c r="F750" s="36">
        <v>10.692588092345066</v>
      </c>
      <c r="G750">
        <v>9.11</v>
      </c>
      <c r="H750" s="59">
        <f>G750-'Kubiņu masa'!D41</f>
        <v>0.87999999999999901</v>
      </c>
      <c r="I750" s="59">
        <f t="shared" si="22"/>
        <v>3.2592592592592555</v>
      </c>
    </row>
    <row r="751" spans="1:9" x14ac:dyDescent="0.35">
      <c r="A751" s="25" t="s">
        <v>40</v>
      </c>
      <c r="B751" s="25" t="s">
        <v>71</v>
      </c>
      <c r="C751" s="25">
        <v>169</v>
      </c>
      <c r="D751" s="25">
        <v>90</v>
      </c>
      <c r="E751" s="25" t="s">
        <v>64</v>
      </c>
      <c r="F751" s="36">
        <v>10.632911392405061</v>
      </c>
      <c r="G751">
        <v>8.74</v>
      </c>
      <c r="H751" s="59">
        <f>G751-'Kubiņu masa'!D42</f>
        <v>0.83999999999999986</v>
      </c>
      <c r="I751" s="59">
        <f t="shared" si="22"/>
        <v>3.1111111111111107</v>
      </c>
    </row>
    <row r="752" spans="1:9" x14ac:dyDescent="0.35">
      <c r="A752" s="25" t="s">
        <v>40</v>
      </c>
      <c r="B752" s="25" t="s">
        <v>71</v>
      </c>
      <c r="C752" s="25">
        <v>174</v>
      </c>
      <c r="D752" s="25">
        <v>90</v>
      </c>
      <c r="E752" s="25" t="s">
        <v>64</v>
      </c>
      <c r="F752" s="36">
        <v>10.775295663600518</v>
      </c>
      <c r="G752">
        <v>8.43</v>
      </c>
      <c r="H752" s="59">
        <f>G752-'Kubiņu masa'!D43</f>
        <v>0.8199999999999994</v>
      </c>
      <c r="I752" s="59">
        <f t="shared" si="22"/>
        <v>3.037037037037035</v>
      </c>
    </row>
    <row r="753" spans="1:9" x14ac:dyDescent="0.35">
      <c r="A753" s="25" t="s">
        <v>40</v>
      </c>
      <c r="B753" s="25" t="s">
        <v>72</v>
      </c>
      <c r="C753" s="25">
        <v>108</v>
      </c>
      <c r="D753" s="25">
        <v>90</v>
      </c>
      <c r="E753" s="25" t="s">
        <v>64</v>
      </c>
      <c r="F753" s="36">
        <v>11.166253101736977</v>
      </c>
      <c r="G753">
        <v>4.4800000000000004</v>
      </c>
      <c r="H753" s="59">
        <f>G753-'Kubiņu masa'!D44</f>
        <v>0.45000000000000018</v>
      </c>
      <c r="I753" s="59">
        <f t="shared" si="22"/>
        <v>1.6666666666666674</v>
      </c>
    </row>
    <row r="754" spans="1:9" x14ac:dyDescent="0.35">
      <c r="A754" s="25" t="s">
        <v>40</v>
      </c>
      <c r="B754" s="25" t="s">
        <v>72</v>
      </c>
      <c r="C754" s="25">
        <v>287</v>
      </c>
      <c r="D754" s="25">
        <v>90</v>
      </c>
      <c r="E754" s="25" t="s">
        <v>64</v>
      </c>
      <c r="F754" s="36">
        <v>10.042735042735057</v>
      </c>
      <c r="G754">
        <v>5.15</v>
      </c>
      <c r="H754" s="59">
        <f>G754-'Kubiņu masa'!D45</f>
        <v>0.47000000000000064</v>
      </c>
      <c r="I754" s="59">
        <f t="shared" si="22"/>
        <v>1.7407407407407431</v>
      </c>
    </row>
    <row r="755" spans="1:9" x14ac:dyDescent="0.35">
      <c r="A755" s="25" t="s">
        <v>40</v>
      </c>
      <c r="B755" s="25" t="s">
        <v>72</v>
      </c>
      <c r="C755" s="25">
        <v>328</v>
      </c>
      <c r="D755" s="25">
        <v>90</v>
      </c>
      <c r="E755" s="25" t="s">
        <v>64</v>
      </c>
      <c r="F755" s="36">
        <v>11.111111111111104</v>
      </c>
      <c r="G755">
        <v>4.7</v>
      </c>
      <c r="H755" s="59">
        <f>G755-'Kubiņu masa'!D46</f>
        <v>0.46999999999999975</v>
      </c>
      <c r="I755" s="59">
        <f t="shared" si="22"/>
        <v>1.74074074074074</v>
      </c>
    </row>
    <row r="756" spans="1:9" x14ac:dyDescent="0.35">
      <c r="A756" s="25" t="s">
        <v>40</v>
      </c>
      <c r="B756" s="25" t="s">
        <v>73</v>
      </c>
      <c r="C756" s="25">
        <v>207</v>
      </c>
      <c r="D756" s="25">
        <v>90</v>
      </c>
      <c r="E756" s="25" t="s">
        <v>64</v>
      </c>
      <c r="F756" s="36">
        <v>10.285714285714286</v>
      </c>
      <c r="G756">
        <v>5.79</v>
      </c>
      <c r="H756" s="59">
        <f>G756-'Kubiņu masa'!D47</f>
        <v>0.54</v>
      </c>
      <c r="I756" s="59">
        <f t="shared" si="22"/>
        <v>2</v>
      </c>
    </row>
    <row r="757" spans="1:9" x14ac:dyDescent="0.35">
      <c r="A757" s="25" t="s">
        <v>40</v>
      </c>
      <c r="B757" s="25" t="s">
        <v>73</v>
      </c>
      <c r="C757" s="25">
        <v>314</v>
      </c>
      <c r="D757" s="25">
        <v>90</v>
      </c>
      <c r="E757" s="25" t="s">
        <v>64</v>
      </c>
      <c r="F757" s="36">
        <v>10.370370370370363</v>
      </c>
      <c r="G757">
        <v>5.96</v>
      </c>
      <c r="H757" s="59">
        <f>G757-'Kubiņu masa'!D48</f>
        <v>0.55999999999999961</v>
      </c>
      <c r="I757" s="59">
        <f t="shared" si="22"/>
        <v>2.0740740740740726</v>
      </c>
    </row>
    <row r="758" spans="1:9" x14ac:dyDescent="0.35">
      <c r="A758" s="25" t="s">
        <v>40</v>
      </c>
      <c r="B758" s="25" t="s">
        <v>73</v>
      </c>
      <c r="C758" s="25">
        <v>280</v>
      </c>
      <c r="D758" s="25">
        <v>90</v>
      </c>
      <c r="E758" s="25" t="s">
        <v>64</v>
      </c>
      <c r="F758" s="36">
        <v>10.516605166051667</v>
      </c>
      <c r="G758">
        <v>5.99</v>
      </c>
      <c r="H758" s="59">
        <f>G758-'Kubiņu masa'!D49</f>
        <v>0.57000000000000028</v>
      </c>
      <c r="I758" s="59">
        <f t="shared" si="22"/>
        <v>2.111111111111112</v>
      </c>
    </row>
    <row r="759" spans="1:9" x14ac:dyDescent="0.35">
      <c r="A759" s="25" t="s">
        <v>40</v>
      </c>
      <c r="B759" s="25" t="s">
        <v>74</v>
      </c>
      <c r="C759" s="25">
        <v>172</v>
      </c>
      <c r="D759" s="25">
        <v>90</v>
      </c>
      <c r="E759" s="25" t="s">
        <v>64</v>
      </c>
      <c r="F759" s="36">
        <v>11.168384879725076</v>
      </c>
      <c r="G759">
        <v>6.47</v>
      </c>
      <c r="H759" s="59">
        <f>G759-'Kubiņu masa'!D50</f>
        <v>0.64999999999999947</v>
      </c>
      <c r="I759" s="59">
        <f t="shared" si="22"/>
        <v>2.4074074074074052</v>
      </c>
    </row>
    <row r="760" spans="1:9" x14ac:dyDescent="0.35">
      <c r="A760" s="25" t="s">
        <v>40</v>
      </c>
      <c r="B760" s="25" t="s">
        <v>74</v>
      </c>
      <c r="C760" s="25">
        <v>229</v>
      </c>
      <c r="D760" s="25">
        <v>90</v>
      </c>
      <c r="E760" s="25" t="s">
        <v>64</v>
      </c>
      <c r="F760" s="36">
        <v>11.531841652323594</v>
      </c>
      <c r="G760">
        <v>6.48</v>
      </c>
      <c r="H760" s="59">
        <f>G760-'Kubiņu masa'!D51</f>
        <v>0.67000000000000082</v>
      </c>
      <c r="I760" s="59">
        <f t="shared" si="22"/>
        <v>2.4814814814814845</v>
      </c>
    </row>
    <row r="761" spans="1:9" x14ac:dyDescent="0.35">
      <c r="A761" s="25" t="s">
        <v>40</v>
      </c>
      <c r="B761" s="25" t="s">
        <v>74</v>
      </c>
      <c r="C761" s="25">
        <v>349</v>
      </c>
      <c r="D761" s="25">
        <v>90</v>
      </c>
      <c r="E761" s="25" t="s">
        <v>64</v>
      </c>
      <c r="F761" s="36">
        <v>11.835334476843903</v>
      </c>
      <c r="G761">
        <v>6.52</v>
      </c>
      <c r="H761" s="59">
        <f>G761-'Kubiņu masa'!D52</f>
        <v>0.6899999999999995</v>
      </c>
      <c r="I761" s="59">
        <f t="shared" si="22"/>
        <v>2.5555555555555536</v>
      </c>
    </row>
    <row r="762" spans="1:9" x14ac:dyDescent="0.35">
      <c r="A762" s="25" t="s">
        <v>40</v>
      </c>
      <c r="B762" s="25" t="s">
        <v>75</v>
      </c>
      <c r="C762" s="25">
        <v>193</v>
      </c>
      <c r="D762" s="25">
        <v>90</v>
      </c>
      <c r="E762" s="25" t="s">
        <v>64</v>
      </c>
      <c r="F762" s="36">
        <v>10.706150341685666</v>
      </c>
      <c r="G762">
        <v>4.8600000000000003</v>
      </c>
      <c r="H762" s="59">
        <f>G762-'Kubiņu masa'!D53</f>
        <v>0.47000000000000064</v>
      </c>
      <c r="I762" s="59">
        <f t="shared" si="22"/>
        <v>1.7407407407407431</v>
      </c>
    </row>
    <row r="763" spans="1:9" x14ac:dyDescent="0.35">
      <c r="A763" s="25" t="s">
        <v>40</v>
      </c>
      <c r="B763" s="25" t="s">
        <v>75</v>
      </c>
      <c r="C763" s="25">
        <v>160</v>
      </c>
      <c r="D763" s="25">
        <v>90</v>
      </c>
      <c r="E763" s="25" t="s">
        <v>64</v>
      </c>
      <c r="F763" s="36">
        <v>9.8850574712643837</v>
      </c>
      <c r="G763">
        <v>4.78</v>
      </c>
      <c r="H763" s="59">
        <f>G763-'Kubiņu masa'!D54</f>
        <v>0.4300000000000006</v>
      </c>
      <c r="I763" s="59">
        <f t="shared" si="22"/>
        <v>1.5925925925925948</v>
      </c>
    </row>
    <row r="764" spans="1:9" x14ac:dyDescent="0.35">
      <c r="A764" s="25" t="s">
        <v>40</v>
      </c>
      <c r="B764" s="25" t="s">
        <v>75</v>
      </c>
      <c r="C764" s="25">
        <v>218</v>
      </c>
      <c r="D764" s="25">
        <v>90</v>
      </c>
      <c r="E764" s="25" t="s">
        <v>64</v>
      </c>
      <c r="F764" s="36">
        <v>9.7852028639617945</v>
      </c>
      <c r="G764">
        <v>4.5999999999999996</v>
      </c>
      <c r="H764" s="59">
        <f>G764-'Kubiņu masa'!D55</f>
        <v>0.40999999999999925</v>
      </c>
      <c r="I764" s="59">
        <f t="shared" si="22"/>
        <v>1.5185185185185157</v>
      </c>
    </row>
    <row r="765" spans="1:9" x14ac:dyDescent="0.35">
      <c r="A765" s="25" t="s">
        <v>41</v>
      </c>
      <c r="B765" s="25" t="s">
        <v>91</v>
      </c>
      <c r="C765" s="25">
        <v>32</v>
      </c>
      <c r="D765" s="25">
        <v>90</v>
      </c>
      <c r="E765" s="25" t="s">
        <v>64</v>
      </c>
      <c r="F765" s="36">
        <v>15.792922673656632</v>
      </c>
      <c r="G765">
        <v>17.670000000000002</v>
      </c>
      <c r="H765" s="59">
        <f>G765-'Kubiņu masa'!D56</f>
        <v>2.4100000000000019</v>
      </c>
      <c r="I765" s="59">
        <f>H765/15*100</f>
        <v>16.066666666666681</v>
      </c>
    </row>
    <row r="766" spans="1:9" x14ac:dyDescent="0.35">
      <c r="A766" s="25" t="s">
        <v>41</v>
      </c>
      <c r="B766" s="25" t="s">
        <v>91</v>
      </c>
      <c r="C766" s="25">
        <v>33</v>
      </c>
      <c r="D766" s="25">
        <v>90</v>
      </c>
      <c r="E766" s="25" t="s">
        <v>64</v>
      </c>
      <c r="F766" s="36">
        <v>14.910025706940862</v>
      </c>
      <c r="G766">
        <v>17.88</v>
      </c>
      <c r="H766" s="59">
        <f>G766-'Kubiņu masa'!D57</f>
        <v>2.3199999999999985</v>
      </c>
      <c r="I766" s="59">
        <f t="shared" ref="I766:I781" si="23">H766/15*100</f>
        <v>15.466666666666656</v>
      </c>
    </row>
    <row r="767" spans="1:9" x14ac:dyDescent="0.35">
      <c r="A767" s="25" t="s">
        <v>41</v>
      </c>
      <c r="B767" s="25" t="s">
        <v>91</v>
      </c>
      <c r="C767" s="25">
        <v>34</v>
      </c>
      <c r="D767" s="25">
        <v>90</v>
      </c>
      <c r="E767" s="25" t="s">
        <v>64</v>
      </c>
      <c r="F767" s="36">
        <v>14.669163545568049</v>
      </c>
      <c r="G767">
        <v>18.37</v>
      </c>
      <c r="H767" s="59">
        <f>G767-'Kubiņu masa'!D58</f>
        <v>2.3500000000000014</v>
      </c>
      <c r="I767" s="59">
        <f t="shared" si="23"/>
        <v>15.666666666666677</v>
      </c>
    </row>
    <row r="768" spans="1:9" x14ac:dyDescent="0.35">
      <c r="A768" s="25" t="s">
        <v>41</v>
      </c>
      <c r="B768" s="25" t="s">
        <v>29</v>
      </c>
      <c r="C768" s="25">
        <v>50</v>
      </c>
      <c r="D768" s="25">
        <v>90</v>
      </c>
      <c r="E768" s="25" t="s">
        <v>64</v>
      </c>
      <c r="F768" s="36">
        <v>10.840998685939555</v>
      </c>
      <c r="G768">
        <v>16.87</v>
      </c>
      <c r="H768" s="59">
        <f>G768-'Kubiņu masa'!D59</f>
        <v>1.6500000000000004</v>
      </c>
      <c r="I768" s="59">
        <f t="shared" si="23"/>
        <v>11.000000000000004</v>
      </c>
    </row>
    <row r="769" spans="1:9" x14ac:dyDescent="0.35">
      <c r="A769" s="25" t="s">
        <v>41</v>
      </c>
      <c r="B769" s="25" t="s">
        <v>29</v>
      </c>
      <c r="C769" s="25">
        <v>51</v>
      </c>
      <c r="D769" s="25">
        <v>90</v>
      </c>
      <c r="E769" s="25" t="s">
        <v>64</v>
      </c>
      <c r="F769" s="36">
        <v>10.881174899866481</v>
      </c>
      <c r="G769">
        <v>16.61</v>
      </c>
      <c r="H769" s="59">
        <f>G769-'Kubiņu masa'!D60</f>
        <v>1.629999999999999</v>
      </c>
      <c r="I769" s="59">
        <f t="shared" si="23"/>
        <v>10.86666666666666</v>
      </c>
    </row>
    <row r="770" spans="1:9" x14ac:dyDescent="0.35">
      <c r="A770" s="25" t="s">
        <v>41</v>
      </c>
      <c r="B770" s="25" t="s">
        <v>29</v>
      </c>
      <c r="C770" s="25">
        <v>52</v>
      </c>
      <c r="D770" s="25">
        <v>90</v>
      </c>
      <c r="E770" s="25" t="s">
        <v>64</v>
      </c>
      <c r="F770" s="36">
        <v>10.882548108825485</v>
      </c>
      <c r="G770">
        <v>16.71</v>
      </c>
      <c r="H770" s="59">
        <f>G770-'Kubiņu masa'!D61</f>
        <v>1.6400000000000006</v>
      </c>
      <c r="I770" s="59">
        <f t="shared" si="23"/>
        <v>10.933333333333337</v>
      </c>
    </row>
    <row r="771" spans="1:9" x14ac:dyDescent="0.35">
      <c r="A771" s="25" t="s">
        <v>41</v>
      </c>
      <c r="B771" s="25" t="s">
        <v>88</v>
      </c>
      <c r="C771" s="25" t="s">
        <v>42</v>
      </c>
      <c r="D771" s="25">
        <v>90</v>
      </c>
      <c r="E771" s="25" t="s">
        <v>64</v>
      </c>
      <c r="F771" s="36">
        <v>11.671686746987959</v>
      </c>
      <c r="G771">
        <v>14.83</v>
      </c>
      <c r="H771" s="59">
        <f>G771-'Kubiņu masa'!D62</f>
        <v>1.5500000000000007</v>
      </c>
      <c r="I771" s="59">
        <f t="shared" si="23"/>
        <v>10.333333333333337</v>
      </c>
    </row>
    <row r="772" spans="1:9" x14ac:dyDescent="0.35">
      <c r="A772" s="25" t="s">
        <v>41</v>
      </c>
      <c r="B772" s="25" t="s">
        <v>88</v>
      </c>
      <c r="C772" s="25" t="s">
        <v>43</v>
      </c>
      <c r="D772" s="25">
        <v>90</v>
      </c>
      <c r="E772" s="25" t="s">
        <v>64</v>
      </c>
      <c r="F772" s="36">
        <v>11.711026615969574</v>
      </c>
      <c r="G772">
        <v>14.69</v>
      </c>
      <c r="H772" s="59">
        <f>G772-'Kubiņu masa'!D63</f>
        <v>1.5399999999999991</v>
      </c>
      <c r="I772" s="59">
        <f t="shared" si="23"/>
        <v>10.266666666666662</v>
      </c>
    </row>
    <row r="773" spans="1:9" x14ac:dyDescent="0.35">
      <c r="A773" s="25" t="s">
        <v>41</v>
      </c>
      <c r="B773" s="25" t="s">
        <v>88</v>
      </c>
      <c r="C773" s="25" t="s">
        <v>44</v>
      </c>
      <c r="D773" s="25">
        <v>90</v>
      </c>
      <c r="E773" s="25" t="s">
        <v>64</v>
      </c>
      <c r="F773" s="36">
        <v>11.859219586840084</v>
      </c>
      <c r="G773">
        <v>14.62</v>
      </c>
      <c r="H773" s="59">
        <f>G773-'Kubiņu masa'!D64</f>
        <v>1.5499999999999989</v>
      </c>
      <c r="I773" s="59">
        <f t="shared" si="23"/>
        <v>10.333333333333327</v>
      </c>
    </row>
    <row r="774" spans="1:9" x14ac:dyDescent="0.35">
      <c r="A774" s="25" t="s">
        <v>41</v>
      </c>
      <c r="B774" s="25" t="s">
        <v>89</v>
      </c>
      <c r="C774" s="25" t="s">
        <v>45</v>
      </c>
      <c r="D774" s="25">
        <v>90</v>
      </c>
      <c r="E774" s="25" t="s">
        <v>64</v>
      </c>
      <c r="F774" s="36">
        <v>12.134831460674166</v>
      </c>
      <c r="G774">
        <v>14.97</v>
      </c>
      <c r="H774" s="59">
        <f>G774-'Kubiņu masa'!D65</f>
        <v>1.620000000000001</v>
      </c>
      <c r="I774" s="59">
        <f t="shared" si="23"/>
        <v>10.800000000000006</v>
      </c>
    </row>
    <row r="775" spans="1:9" x14ac:dyDescent="0.35">
      <c r="A775" s="25" t="s">
        <v>41</v>
      </c>
      <c r="B775" s="25" t="s">
        <v>89</v>
      </c>
      <c r="C775" s="25" t="s">
        <v>46</v>
      </c>
      <c r="D775" s="25">
        <v>90</v>
      </c>
      <c r="E775" s="25" t="s">
        <v>64</v>
      </c>
      <c r="F775" s="36">
        <v>12.096168294515397</v>
      </c>
      <c r="G775">
        <v>14.92</v>
      </c>
      <c r="H775" s="59">
        <f>G775-'Kubiņu masa'!D66</f>
        <v>1.6099999999999994</v>
      </c>
      <c r="I775" s="59">
        <f t="shared" si="23"/>
        <v>10.733333333333329</v>
      </c>
    </row>
    <row r="776" spans="1:9" x14ac:dyDescent="0.35">
      <c r="A776" s="25" t="s">
        <v>41</v>
      </c>
      <c r="B776" s="25" t="s">
        <v>89</v>
      </c>
      <c r="C776" s="25" t="s">
        <v>47</v>
      </c>
      <c r="D776" s="25">
        <v>90</v>
      </c>
      <c r="E776" s="25" t="s">
        <v>64</v>
      </c>
      <c r="F776" s="36">
        <v>12.017804154302665</v>
      </c>
      <c r="G776">
        <v>15.1</v>
      </c>
      <c r="H776" s="59">
        <f>G776-'Kubiņu masa'!D67</f>
        <v>1.6199999999999992</v>
      </c>
      <c r="I776" s="59">
        <f t="shared" si="23"/>
        <v>10.799999999999994</v>
      </c>
    </row>
    <row r="777" spans="1:9" x14ac:dyDescent="0.35">
      <c r="A777" s="25" t="s">
        <v>41</v>
      </c>
      <c r="B777" s="25" t="s">
        <v>90</v>
      </c>
      <c r="C777" s="25" t="s">
        <v>48</v>
      </c>
      <c r="D777" s="25">
        <v>90</v>
      </c>
      <c r="E777" s="25" t="s">
        <v>64</v>
      </c>
      <c r="F777" s="36">
        <v>10.445937690897967</v>
      </c>
      <c r="G777">
        <v>18.079999999999998</v>
      </c>
      <c r="H777" s="59">
        <f>G777-'Kubiņu masa'!D68</f>
        <v>1.7099999999999973</v>
      </c>
      <c r="I777" s="59">
        <f t="shared" si="23"/>
        <v>11.399999999999983</v>
      </c>
    </row>
    <row r="778" spans="1:9" x14ac:dyDescent="0.35">
      <c r="A778" s="25" t="s">
        <v>41</v>
      </c>
      <c r="B778" s="25" t="s">
        <v>90</v>
      </c>
      <c r="C778" s="25" t="s">
        <v>49</v>
      </c>
      <c r="D778" s="25">
        <v>90</v>
      </c>
      <c r="E778" s="25" t="s">
        <v>64</v>
      </c>
      <c r="F778" s="36">
        <v>10.59399877526026</v>
      </c>
      <c r="G778">
        <v>18.059999999999999</v>
      </c>
      <c r="H778" s="59">
        <f>G778-'Kubiņu masa'!D69</f>
        <v>1.7300000000000004</v>
      </c>
      <c r="I778" s="59">
        <f t="shared" si="23"/>
        <v>11.533333333333335</v>
      </c>
    </row>
    <row r="779" spans="1:9" x14ac:dyDescent="0.35">
      <c r="A779" s="25" t="s">
        <v>41</v>
      </c>
      <c r="B779" s="25" t="s">
        <v>33</v>
      </c>
      <c r="C779" s="25" t="s">
        <v>50</v>
      </c>
      <c r="D779" s="25">
        <v>90</v>
      </c>
      <c r="E779" s="25" t="s">
        <v>64</v>
      </c>
      <c r="F779" s="36">
        <v>12.323232323232324</v>
      </c>
      <c r="G779">
        <v>16.68</v>
      </c>
      <c r="H779" s="59">
        <f>G779-'Kubiņu masa'!D70</f>
        <v>1.83</v>
      </c>
      <c r="I779" s="59">
        <f t="shared" si="23"/>
        <v>12.200000000000001</v>
      </c>
    </row>
    <row r="780" spans="1:9" x14ac:dyDescent="0.35">
      <c r="A780" s="25" t="s">
        <v>41</v>
      </c>
      <c r="B780" s="25" t="s">
        <v>33</v>
      </c>
      <c r="C780" s="25" t="s">
        <v>51</v>
      </c>
      <c r="D780" s="25">
        <v>90</v>
      </c>
      <c r="E780" s="25" t="s">
        <v>64</v>
      </c>
      <c r="F780" s="36">
        <v>12.474576271186439</v>
      </c>
      <c r="G780">
        <v>16.59</v>
      </c>
      <c r="H780" s="59">
        <f>G780-'Kubiņu masa'!D71</f>
        <v>1.8399999999999999</v>
      </c>
      <c r="I780" s="59">
        <f t="shared" si="23"/>
        <v>12.266666666666666</v>
      </c>
    </row>
    <row r="781" spans="1:9" x14ac:dyDescent="0.35">
      <c r="A781" s="25" t="s">
        <v>41</v>
      </c>
      <c r="B781" s="25" t="s">
        <v>33</v>
      </c>
      <c r="C781" s="25" t="s">
        <v>52</v>
      </c>
      <c r="D781" s="25">
        <v>90</v>
      </c>
      <c r="E781" s="25" t="s">
        <v>64</v>
      </c>
      <c r="F781" s="36">
        <v>12.449528936742944</v>
      </c>
      <c r="G781">
        <v>16.71</v>
      </c>
      <c r="H781" s="59">
        <f>G781-'Kubiņu masa'!D72</f>
        <v>1.8500000000000014</v>
      </c>
      <c r="I781" s="59">
        <f t="shared" si="23"/>
        <v>12.333333333333343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B62A-B143-4983-BD70-2B936AB5A3AF}">
  <dimension ref="A1:E201"/>
  <sheetViews>
    <sheetView topLeftCell="A40" workbookViewId="0">
      <selection activeCell="H12" sqref="H12"/>
    </sheetView>
  </sheetViews>
  <sheetFormatPr defaultRowHeight="14.5" x14ac:dyDescent="0.35"/>
  <sheetData>
    <row r="1" spans="1:5" x14ac:dyDescent="0.35">
      <c r="A1" s="39" t="s">
        <v>34</v>
      </c>
      <c r="B1" s="39" t="s">
        <v>35</v>
      </c>
      <c r="C1" s="39" t="s">
        <v>37</v>
      </c>
      <c r="D1" s="39" t="s">
        <v>77</v>
      </c>
      <c r="E1" s="39" t="s">
        <v>78</v>
      </c>
    </row>
    <row r="2" spans="1:5" x14ac:dyDescent="0.35">
      <c r="A2" t="s">
        <v>79</v>
      </c>
      <c r="B2" t="s">
        <v>68</v>
      </c>
      <c r="C2" t="s">
        <v>80</v>
      </c>
      <c r="D2">
        <v>5.5788382018094929</v>
      </c>
      <c r="E2">
        <v>9.1935619160278967E-2</v>
      </c>
    </row>
    <row r="3" spans="1:5" x14ac:dyDescent="0.35">
      <c r="A3" t="s">
        <v>79</v>
      </c>
      <c r="B3" t="s">
        <v>68</v>
      </c>
      <c r="C3" t="s">
        <v>81</v>
      </c>
      <c r="D3">
        <v>6.7241988174090359</v>
      </c>
      <c r="E3">
        <v>0.18093039761405971</v>
      </c>
    </row>
    <row r="4" spans="1:5" x14ac:dyDescent="0.35">
      <c r="A4" t="s">
        <v>79</v>
      </c>
      <c r="B4" t="s">
        <v>68</v>
      </c>
      <c r="C4" t="s">
        <v>82</v>
      </c>
      <c r="D4">
        <v>7.969189363305845</v>
      </c>
      <c r="E4">
        <v>9.5987932077744295E-2</v>
      </c>
    </row>
    <row r="5" spans="1:5" x14ac:dyDescent="0.35">
      <c r="A5" t="s">
        <v>79</v>
      </c>
      <c r="B5" t="s">
        <v>68</v>
      </c>
      <c r="C5" t="s">
        <v>83</v>
      </c>
      <c r="D5">
        <v>11.146012915250919</v>
      </c>
      <c r="E5">
        <v>7.823031878775448E-2</v>
      </c>
    </row>
    <row r="6" spans="1:5" x14ac:dyDescent="0.35">
      <c r="A6" t="s">
        <v>79</v>
      </c>
      <c r="B6" t="s">
        <v>68</v>
      </c>
      <c r="C6" t="s">
        <v>84</v>
      </c>
      <c r="D6">
        <v>16.459069825693099</v>
      </c>
      <c r="E6">
        <v>0.23186471075608081</v>
      </c>
    </row>
    <row r="7" spans="1:5" x14ac:dyDescent="0.35">
      <c r="A7" t="s">
        <v>79</v>
      </c>
      <c r="B7" t="s">
        <v>68</v>
      </c>
      <c r="C7" t="s">
        <v>85</v>
      </c>
      <c r="D7">
        <v>20.09263302606935</v>
      </c>
      <c r="E7">
        <v>0.13314303382272191</v>
      </c>
    </row>
    <row r="8" spans="1:5" x14ac:dyDescent="0.35">
      <c r="A8" t="s">
        <v>79</v>
      </c>
      <c r="B8" t="s">
        <v>69</v>
      </c>
      <c r="C8" t="s">
        <v>80</v>
      </c>
      <c r="D8">
        <v>5.5273318333071968</v>
      </c>
      <c r="E8">
        <v>0.16395105664120219</v>
      </c>
    </row>
    <row r="9" spans="1:5" x14ac:dyDescent="0.35">
      <c r="A9" t="s">
        <v>79</v>
      </c>
      <c r="B9" t="s">
        <v>69</v>
      </c>
      <c r="C9" t="s">
        <v>81</v>
      </c>
      <c r="D9">
        <v>6.6810459030651366</v>
      </c>
      <c r="E9">
        <v>0.40208381405828458</v>
      </c>
    </row>
    <row r="10" spans="1:5" x14ac:dyDescent="0.35">
      <c r="A10" t="s">
        <v>79</v>
      </c>
      <c r="B10" t="s">
        <v>69</v>
      </c>
      <c r="C10" t="s">
        <v>82</v>
      </c>
      <c r="D10">
        <v>7.8451588889813202</v>
      </c>
      <c r="E10">
        <v>0.346723815534485</v>
      </c>
    </row>
    <row r="11" spans="1:5" x14ac:dyDescent="0.35">
      <c r="A11" t="s">
        <v>79</v>
      </c>
      <c r="B11" t="s">
        <v>69</v>
      </c>
      <c r="C11" t="s">
        <v>83</v>
      </c>
      <c r="D11">
        <v>11.06262432503895</v>
      </c>
      <c r="E11">
        <v>0.1051753111374638</v>
      </c>
    </row>
    <row r="12" spans="1:5" x14ac:dyDescent="0.35">
      <c r="A12" t="s">
        <v>79</v>
      </c>
      <c r="B12" t="s">
        <v>69</v>
      </c>
      <c r="C12" t="s">
        <v>84</v>
      </c>
      <c r="D12">
        <v>16.86846982107151</v>
      </c>
      <c r="E12">
        <v>0.32944708090836222</v>
      </c>
    </row>
    <row r="13" spans="1:5" x14ac:dyDescent="0.35">
      <c r="A13" t="s">
        <v>79</v>
      </c>
      <c r="B13" t="s">
        <v>69</v>
      </c>
      <c r="C13" t="s">
        <v>85</v>
      </c>
      <c r="D13">
        <v>20.79806879415851</v>
      </c>
      <c r="E13">
        <v>0.31339337141201801</v>
      </c>
    </row>
    <row r="14" spans="1:5" x14ac:dyDescent="0.35">
      <c r="A14" t="s">
        <v>79</v>
      </c>
      <c r="B14" t="s">
        <v>70</v>
      </c>
      <c r="C14" t="s">
        <v>80</v>
      </c>
      <c r="D14">
        <v>5.4717180381481523</v>
      </c>
      <c r="E14">
        <v>0.2030752321670978</v>
      </c>
    </row>
    <row r="15" spans="1:5" x14ac:dyDescent="0.35">
      <c r="A15" t="s">
        <v>79</v>
      </c>
      <c r="B15" t="s">
        <v>70</v>
      </c>
      <c r="C15" t="s">
        <v>81</v>
      </c>
      <c r="D15">
        <v>6.3728442046368814</v>
      </c>
      <c r="E15">
        <v>0.19206676520855989</v>
      </c>
    </row>
    <row r="16" spans="1:5" x14ac:dyDescent="0.35">
      <c r="A16" t="s">
        <v>79</v>
      </c>
      <c r="B16" t="s">
        <v>70</v>
      </c>
      <c r="C16" t="s">
        <v>82</v>
      </c>
      <c r="D16">
        <v>7.788159645200043</v>
      </c>
      <c r="E16">
        <v>0.27046585237269383</v>
      </c>
    </row>
    <row r="17" spans="1:5" x14ac:dyDescent="0.35">
      <c r="A17" t="s">
        <v>79</v>
      </c>
      <c r="B17" t="s">
        <v>70</v>
      </c>
      <c r="C17" t="s">
        <v>83</v>
      </c>
      <c r="D17">
        <v>10.938993379450251</v>
      </c>
      <c r="E17">
        <v>0.1205479228048336</v>
      </c>
    </row>
    <row r="18" spans="1:5" x14ac:dyDescent="0.35">
      <c r="A18" t="s">
        <v>79</v>
      </c>
      <c r="B18" t="s">
        <v>70</v>
      </c>
      <c r="C18" t="s">
        <v>84</v>
      </c>
      <c r="D18">
        <v>16.468833865204399</v>
      </c>
      <c r="E18">
        <v>0.28819059980670197</v>
      </c>
    </row>
    <row r="19" spans="1:5" x14ac:dyDescent="0.35">
      <c r="A19" t="s">
        <v>79</v>
      </c>
      <c r="B19" t="s">
        <v>70</v>
      </c>
      <c r="C19" t="s">
        <v>85</v>
      </c>
      <c r="D19">
        <v>20.135928772502591</v>
      </c>
      <c r="E19">
        <v>0.18120554940897279</v>
      </c>
    </row>
    <row r="20" spans="1:5" x14ac:dyDescent="0.35">
      <c r="A20" t="s">
        <v>79</v>
      </c>
      <c r="B20" t="s">
        <v>71</v>
      </c>
      <c r="C20" t="s">
        <v>80</v>
      </c>
      <c r="D20">
        <v>5.4749984496858</v>
      </c>
      <c r="E20">
        <v>0.23075609136104891</v>
      </c>
    </row>
    <row r="21" spans="1:5" x14ac:dyDescent="0.35">
      <c r="A21" t="s">
        <v>79</v>
      </c>
      <c r="B21" t="s">
        <v>71</v>
      </c>
      <c r="C21" t="s">
        <v>81</v>
      </c>
      <c r="D21">
        <v>6.8148279026515528</v>
      </c>
      <c r="E21">
        <v>5.9419320546338653E-2</v>
      </c>
    </row>
    <row r="22" spans="1:5" x14ac:dyDescent="0.35">
      <c r="A22" t="s">
        <v>79</v>
      </c>
      <c r="B22" t="s">
        <v>71</v>
      </c>
      <c r="C22" t="s">
        <v>82</v>
      </c>
      <c r="D22">
        <v>8.1492305648958148</v>
      </c>
      <c r="E22">
        <v>0.1349055591305009</v>
      </c>
    </row>
    <row r="23" spans="1:5" x14ac:dyDescent="0.35">
      <c r="A23" t="s">
        <v>79</v>
      </c>
      <c r="B23" t="s">
        <v>71</v>
      </c>
      <c r="C23" t="s">
        <v>83</v>
      </c>
      <c r="D23">
        <v>10.99078035637047</v>
      </c>
      <c r="E23">
        <v>0.1138375784967834</v>
      </c>
    </row>
    <row r="24" spans="1:5" x14ac:dyDescent="0.35">
      <c r="A24" t="s">
        <v>79</v>
      </c>
      <c r="B24" t="s">
        <v>71</v>
      </c>
      <c r="C24" t="s">
        <v>84</v>
      </c>
      <c r="D24">
        <v>14.83779886760837</v>
      </c>
      <c r="E24">
        <v>0.1229199526121544</v>
      </c>
    </row>
    <row r="25" spans="1:5" x14ac:dyDescent="0.35">
      <c r="A25" t="s">
        <v>79</v>
      </c>
      <c r="B25" t="s">
        <v>71</v>
      </c>
      <c r="C25" t="s">
        <v>85</v>
      </c>
      <c r="D25">
        <v>17.840964925299389</v>
      </c>
      <c r="E25">
        <v>0.35042051379402772</v>
      </c>
    </row>
    <row r="26" spans="1:5" x14ac:dyDescent="0.35">
      <c r="A26" t="s">
        <v>79</v>
      </c>
      <c r="B26" t="s">
        <v>72</v>
      </c>
      <c r="C26" t="s">
        <v>80</v>
      </c>
      <c r="D26">
        <v>4.8623784509979053</v>
      </c>
      <c r="E26">
        <v>0.21288337193209189</v>
      </c>
    </row>
    <row r="27" spans="1:5" x14ac:dyDescent="0.35">
      <c r="A27" t="s">
        <v>79</v>
      </c>
      <c r="B27" t="s">
        <v>72</v>
      </c>
      <c r="C27" t="s">
        <v>81</v>
      </c>
      <c r="D27">
        <v>5.9711271220151874</v>
      </c>
      <c r="E27">
        <v>4.6594884715076709E-2</v>
      </c>
    </row>
    <row r="28" spans="1:5" x14ac:dyDescent="0.35">
      <c r="A28" t="s">
        <v>79</v>
      </c>
      <c r="B28" t="s">
        <v>72</v>
      </c>
      <c r="C28" t="s">
        <v>82</v>
      </c>
      <c r="D28">
        <v>6.8481529335723739</v>
      </c>
      <c r="E28">
        <v>0.1214741799554928</v>
      </c>
    </row>
    <row r="29" spans="1:5" x14ac:dyDescent="0.35">
      <c r="A29" t="s">
        <v>79</v>
      </c>
      <c r="B29" t="s">
        <v>72</v>
      </c>
      <c r="C29" t="s">
        <v>83</v>
      </c>
      <c r="D29">
        <v>10.273638500926531</v>
      </c>
      <c r="E29">
        <v>0.22973077774064291</v>
      </c>
    </row>
    <row r="30" spans="1:5" x14ac:dyDescent="0.35">
      <c r="A30" t="s">
        <v>79</v>
      </c>
      <c r="B30" t="s">
        <v>72</v>
      </c>
      <c r="C30" t="s">
        <v>84</v>
      </c>
      <c r="D30">
        <v>16.53489291847993</v>
      </c>
      <c r="E30">
        <v>0.38311003958158057</v>
      </c>
    </row>
    <row r="31" spans="1:5" x14ac:dyDescent="0.35">
      <c r="A31" t="s">
        <v>79</v>
      </c>
      <c r="B31" t="s">
        <v>72</v>
      </c>
      <c r="C31" t="s">
        <v>85</v>
      </c>
      <c r="D31">
        <v>22.293737257598679</v>
      </c>
      <c r="E31">
        <v>0.66168360801273063</v>
      </c>
    </row>
    <row r="32" spans="1:5" x14ac:dyDescent="0.35">
      <c r="A32" t="s">
        <v>79</v>
      </c>
      <c r="B32" t="s">
        <v>73</v>
      </c>
      <c r="C32" t="s">
        <v>80</v>
      </c>
      <c r="D32">
        <v>5.2438754024254406</v>
      </c>
      <c r="E32">
        <v>0.40307546963091151</v>
      </c>
    </row>
    <row r="33" spans="1:5" x14ac:dyDescent="0.35">
      <c r="A33" t="s">
        <v>79</v>
      </c>
      <c r="B33" t="s">
        <v>73</v>
      </c>
      <c r="C33" t="s">
        <v>81</v>
      </c>
      <c r="D33">
        <v>6.1959160005839564</v>
      </c>
      <c r="E33">
        <v>0.22669460181649151</v>
      </c>
    </row>
    <row r="34" spans="1:5" x14ac:dyDescent="0.35">
      <c r="A34" t="s">
        <v>79</v>
      </c>
      <c r="B34" t="s">
        <v>73</v>
      </c>
      <c r="C34" t="s">
        <v>82</v>
      </c>
      <c r="D34">
        <v>7.1437689356190832</v>
      </c>
      <c r="E34">
        <v>0.29510107558887499</v>
      </c>
    </row>
    <row r="35" spans="1:5" x14ac:dyDescent="0.35">
      <c r="A35" t="s">
        <v>79</v>
      </c>
      <c r="B35" t="s">
        <v>73</v>
      </c>
      <c r="C35" t="s">
        <v>83</v>
      </c>
      <c r="D35">
        <v>10.627331979500511</v>
      </c>
      <c r="E35">
        <v>0.44394024266324711</v>
      </c>
    </row>
    <row r="36" spans="1:5" x14ac:dyDescent="0.35">
      <c r="A36" t="s">
        <v>79</v>
      </c>
      <c r="B36" t="s">
        <v>73</v>
      </c>
      <c r="C36" t="s">
        <v>84</v>
      </c>
      <c r="D36">
        <v>16.861026513343958</v>
      </c>
      <c r="E36">
        <v>0.36252083878195912</v>
      </c>
    </row>
    <row r="37" spans="1:5" x14ac:dyDescent="0.35">
      <c r="A37" t="s">
        <v>79</v>
      </c>
      <c r="B37" t="s">
        <v>73</v>
      </c>
      <c r="C37" t="s">
        <v>85</v>
      </c>
      <c r="D37">
        <v>21.608666514766369</v>
      </c>
      <c r="E37">
        <v>0.67380419912535316</v>
      </c>
    </row>
    <row r="38" spans="1:5" x14ac:dyDescent="0.35">
      <c r="A38" t="s">
        <v>79</v>
      </c>
      <c r="B38" t="s">
        <v>74</v>
      </c>
      <c r="C38" t="s">
        <v>80</v>
      </c>
      <c r="D38">
        <v>5.2465531610648268</v>
      </c>
      <c r="E38">
        <v>5.4280278870934943E-2</v>
      </c>
    </row>
    <row r="39" spans="1:5" x14ac:dyDescent="0.35">
      <c r="A39" t="s">
        <v>79</v>
      </c>
      <c r="B39" t="s">
        <v>74</v>
      </c>
      <c r="C39" t="s">
        <v>81</v>
      </c>
      <c r="D39">
        <v>6.2512209429406909</v>
      </c>
      <c r="E39">
        <v>8.4455015779183573E-2</v>
      </c>
    </row>
    <row r="40" spans="1:5" x14ac:dyDescent="0.35">
      <c r="A40" t="s">
        <v>79</v>
      </c>
      <c r="B40" t="s">
        <v>74</v>
      </c>
      <c r="C40" t="s">
        <v>82</v>
      </c>
      <c r="D40">
        <v>6.9993878190295238</v>
      </c>
      <c r="E40">
        <v>0.1442786361569231</v>
      </c>
    </row>
    <row r="41" spans="1:5" x14ac:dyDescent="0.35">
      <c r="A41" t="s">
        <v>79</v>
      </c>
      <c r="B41" t="s">
        <v>74</v>
      </c>
      <c r="C41" t="s">
        <v>83</v>
      </c>
      <c r="D41">
        <v>9.5110572737191941</v>
      </c>
      <c r="E41">
        <v>6.8516381379989222E-2</v>
      </c>
    </row>
    <row r="42" spans="1:5" x14ac:dyDescent="0.35">
      <c r="A42" t="s">
        <v>79</v>
      </c>
      <c r="B42" t="s">
        <v>74</v>
      </c>
      <c r="C42" t="s">
        <v>84</v>
      </c>
      <c r="D42">
        <v>15.693904154235639</v>
      </c>
      <c r="E42">
        <v>0.43282230377585718</v>
      </c>
    </row>
    <row r="43" spans="1:5" x14ac:dyDescent="0.35">
      <c r="A43" t="s">
        <v>79</v>
      </c>
      <c r="B43" t="s">
        <v>74</v>
      </c>
      <c r="C43" t="s">
        <v>85</v>
      </c>
      <c r="D43">
        <v>19.71378987158667</v>
      </c>
      <c r="E43">
        <v>0.4058969737427765</v>
      </c>
    </row>
    <row r="44" spans="1:5" x14ac:dyDescent="0.35">
      <c r="A44" t="s">
        <v>79</v>
      </c>
      <c r="B44" t="s">
        <v>75</v>
      </c>
      <c r="C44" t="s">
        <v>80</v>
      </c>
      <c r="D44">
        <v>4.4032509714484807</v>
      </c>
      <c r="E44">
        <v>0.110820326373345</v>
      </c>
    </row>
    <row r="45" spans="1:5" x14ac:dyDescent="0.35">
      <c r="A45" t="s">
        <v>79</v>
      </c>
      <c r="B45" t="s">
        <v>75</v>
      </c>
      <c r="C45" t="s">
        <v>81</v>
      </c>
      <c r="D45">
        <v>5.7911754950451524</v>
      </c>
      <c r="E45">
        <v>0.34898622966282389</v>
      </c>
    </row>
    <row r="46" spans="1:5" x14ac:dyDescent="0.35">
      <c r="A46" t="s">
        <v>79</v>
      </c>
      <c r="B46" t="s">
        <v>75</v>
      </c>
      <c r="C46" t="s">
        <v>82</v>
      </c>
      <c r="D46">
        <v>5.9083508172772916</v>
      </c>
      <c r="E46">
        <v>0.4231570136137518</v>
      </c>
    </row>
    <row r="47" spans="1:5" x14ac:dyDescent="0.35">
      <c r="A47" t="s">
        <v>79</v>
      </c>
      <c r="B47" t="s">
        <v>75</v>
      </c>
      <c r="C47" t="s">
        <v>83</v>
      </c>
      <c r="D47">
        <v>8.2233819305546625</v>
      </c>
      <c r="E47">
        <v>0.51657075319384682</v>
      </c>
    </row>
    <row r="48" spans="1:5" x14ac:dyDescent="0.35">
      <c r="A48" t="s">
        <v>79</v>
      </c>
      <c r="B48" t="s">
        <v>75</v>
      </c>
      <c r="C48" t="s">
        <v>84</v>
      </c>
      <c r="D48">
        <v>13.32367449038038</v>
      </c>
      <c r="E48">
        <v>0.38166751341569222</v>
      </c>
    </row>
    <row r="49" spans="1:5" x14ac:dyDescent="0.35">
      <c r="A49" t="s">
        <v>79</v>
      </c>
      <c r="B49" t="s">
        <v>75</v>
      </c>
      <c r="C49" t="s">
        <v>85</v>
      </c>
      <c r="D49">
        <v>16.10492254214234</v>
      </c>
      <c r="E49">
        <v>0.36118510932968939</v>
      </c>
    </row>
    <row r="50" spans="1:5" x14ac:dyDescent="0.35">
      <c r="A50" t="s">
        <v>79</v>
      </c>
      <c r="B50" t="s">
        <v>65</v>
      </c>
      <c r="C50" t="s">
        <v>80</v>
      </c>
      <c r="D50">
        <v>3.3674199504999969</v>
      </c>
      <c r="E50">
        <v>6.7471379149011537E-2</v>
      </c>
    </row>
    <row r="51" spans="1:5" x14ac:dyDescent="0.35">
      <c r="A51" t="s">
        <v>79</v>
      </c>
      <c r="B51" t="s">
        <v>65</v>
      </c>
      <c r="C51" t="s">
        <v>81</v>
      </c>
      <c r="D51">
        <v>4.1269463715144896</v>
      </c>
      <c r="E51">
        <v>7.3107172081937857E-2</v>
      </c>
    </row>
    <row r="52" spans="1:5" x14ac:dyDescent="0.35">
      <c r="A52" t="s">
        <v>79</v>
      </c>
      <c r="B52" t="s">
        <v>65</v>
      </c>
      <c r="C52" t="s">
        <v>82</v>
      </c>
      <c r="D52">
        <v>5.7219518556449334</v>
      </c>
      <c r="E52">
        <v>8.5152153182640786E-2</v>
      </c>
    </row>
    <row r="53" spans="1:5" x14ac:dyDescent="0.35">
      <c r="A53" t="s">
        <v>79</v>
      </c>
      <c r="B53" t="s">
        <v>65</v>
      </c>
      <c r="C53" t="s">
        <v>83</v>
      </c>
      <c r="D53">
        <v>8.2282338894153622</v>
      </c>
      <c r="E53">
        <v>8.3877881687507289E-2</v>
      </c>
    </row>
    <row r="54" spans="1:5" x14ac:dyDescent="0.35">
      <c r="A54" t="s">
        <v>79</v>
      </c>
      <c r="B54" t="s">
        <v>65</v>
      </c>
      <c r="C54" t="s">
        <v>84</v>
      </c>
      <c r="D54">
        <v>11.747310983265869</v>
      </c>
      <c r="E54">
        <v>9.8891647717692294E-2</v>
      </c>
    </row>
    <row r="55" spans="1:5" x14ac:dyDescent="0.35">
      <c r="A55" t="s">
        <v>79</v>
      </c>
      <c r="B55" t="s">
        <v>67</v>
      </c>
      <c r="C55" t="s">
        <v>80</v>
      </c>
      <c r="D55">
        <v>2.7522976962997139</v>
      </c>
      <c r="E55">
        <v>4.761268171019269E-3</v>
      </c>
    </row>
    <row r="56" spans="1:5" x14ac:dyDescent="0.35">
      <c r="A56" t="s">
        <v>79</v>
      </c>
      <c r="B56" t="s">
        <v>67</v>
      </c>
      <c r="C56" t="s">
        <v>81</v>
      </c>
      <c r="D56">
        <v>3.1804328935018931</v>
      </c>
      <c r="E56">
        <v>5.5019098865083356E-3</v>
      </c>
    </row>
    <row r="57" spans="1:5" x14ac:dyDescent="0.35">
      <c r="A57" t="s">
        <v>79</v>
      </c>
      <c r="B57" t="s">
        <v>67</v>
      </c>
      <c r="C57" t="s">
        <v>82</v>
      </c>
      <c r="D57">
        <v>4.5565443335960687</v>
      </c>
      <c r="E57">
        <v>3.5365641914610252E-2</v>
      </c>
    </row>
    <row r="58" spans="1:5" x14ac:dyDescent="0.35">
      <c r="A58" t="s">
        <v>79</v>
      </c>
      <c r="B58" t="s">
        <v>67</v>
      </c>
      <c r="C58" t="s">
        <v>83</v>
      </c>
      <c r="D58">
        <v>7.0642681618915866</v>
      </c>
      <c r="E58">
        <v>5.5468774192197201E-2</v>
      </c>
    </row>
    <row r="59" spans="1:5" x14ac:dyDescent="0.35">
      <c r="A59" t="s">
        <v>79</v>
      </c>
      <c r="B59" t="s">
        <v>67</v>
      </c>
      <c r="C59" t="s">
        <v>84</v>
      </c>
      <c r="D59">
        <v>10.51996823307911</v>
      </c>
      <c r="E59">
        <v>0.10469499678241111</v>
      </c>
    </row>
    <row r="60" spans="1:5" x14ac:dyDescent="0.35">
      <c r="A60" t="s">
        <v>79</v>
      </c>
      <c r="B60" t="s">
        <v>33</v>
      </c>
      <c r="C60" t="s">
        <v>80</v>
      </c>
      <c r="D60">
        <v>3.576288570501986</v>
      </c>
      <c r="E60">
        <v>1.4712433766394089E-2</v>
      </c>
    </row>
    <row r="61" spans="1:5" x14ac:dyDescent="0.35">
      <c r="A61" t="s">
        <v>79</v>
      </c>
      <c r="B61" t="s">
        <v>33</v>
      </c>
      <c r="C61" t="s">
        <v>81</v>
      </c>
      <c r="D61">
        <v>4.1385524023326221</v>
      </c>
      <c r="E61">
        <v>3.5145739632576077E-2</v>
      </c>
    </row>
    <row r="62" spans="1:5" x14ac:dyDescent="0.35">
      <c r="A62" t="s">
        <v>79</v>
      </c>
      <c r="B62" t="s">
        <v>33</v>
      </c>
      <c r="C62" t="s">
        <v>82</v>
      </c>
      <c r="D62">
        <v>5.9153896998335886</v>
      </c>
      <c r="E62">
        <v>1.492945965875129E-2</v>
      </c>
    </row>
    <row r="63" spans="1:5" x14ac:dyDescent="0.35">
      <c r="A63" t="s">
        <v>79</v>
      </c>
      <c r="B63" t="s">
        <v>33</v>
      </c>
      <c r="C63" t="s">
        <v>83</v>
      </c>
      <c r="D63">
        <v>8.4795211277406715</v>
      </c>
      <c r="E63">
        <v>5.1467779614816581E-3</v>
      </c>
    </row>
    <row r="64" spans="1:5" x14ac:dyDescent="0.35">
      <c r="A64" t="s">
        <v>79</v>
      </c>
      <c r="B64" t="s">
        <v>33</v>
      </c>
      <c r="C64" t="s">
        <v>84</v>
      </c>
      <c r="D64">
        <v>12.415779177053899</v>
      </c>
      <c r="E64">
        <v>8.1120480489735552E-2</v>
      </c>
    </row>
    <row r="65" spans="1:5" x14ac:dyDescent="0.35">
      <c r="A65" t="s">
        <v>79</v>
      </c>
      <c r="B65" t="s">
        <v>66</v>
      </c>
      <c r="C65" t="s">
        <v>80</v>
      </c>
      <c r="D65">
        <v>3.7867271709755048</v>
      </c>
      <c r="E65">
        <v>3.1956877719250112E-2</v>
      </c>
    </row>
    <row r="66" spans="1:5" x14ac:dyDescent="0.35">
      <c r="A66" t="s">
        <v>79</v>
      </c>
      <c r="B66" t="s">
        <v>66</v>
      </c>
      <c r="C66" t="s">
        <v>81</v>
      </c>
      <c r="D66">
        <v>4.5094052568634124</v>
      </c>
      <c r="E66">
        <v>5.9139490506605497E-2</v>
      </c>
    </row>
    <row r="67" spans="1:5" x14ac:dyDescent="0.35">
      <c r="A67" t="s">
        <v>79</v>
      </c>
      <c r="B67" t="s">
        <v>66</v>
      </c>
      <c r="C67" t="s">
        <v>82</v>
      </c>
      <c r="D67">
        <v>6.1286548017115701</v>
      </c>
      <c r="E67">
        <v>7.6717752868385364E-2</v>
      </c>
    </row>
    <row r="68" spans="1:5" x14ac:dyDescent="0.35">
      <c r="A68" t="s">
        <v>79</v>
      </c>
      <c r="B68" t="s">
        <v>66</v>
      </c>
      <c r="C68" t="s">
        <v>83</v>
      </c>
      <c r="D68">
        <v>8.619822851115936</v>
      </c>
      <c r="E68">
        <v>6.3329169861069234E-2</v>
      </c>
    </row>
    <row r="69" spans="1:5" x14ac:dyDescent="0.35">
      <c r="A69" t="s">
        <v>79</v>
      </c>
      <c r="B69" t="s">
        <v>66</v>
      </c>
      <c r="C69" t="s">
        <v>84</v>
      </c>
      <c r="D69">
        <v>12.082934636497409</v>
      </c>
      <c r="E69">
        <v>5.9625455030088252E-2</v>
      </c>
    </row>
    <row r="70" spans="1:5" x14ac:dyDescent="0.35">
      <c r="A70" t="s">
        <v>79</v>
      </c>
      <c r="B70" t="s">
        <v>29</v>
      </c>
      <c r="C70" t="s">
        <v>80</v>
      </c>
      <c r="D70">
        <v>2.871810660588193</v>
      </c>
      <c r="E70">
        <v>4.725279435798993E-2</v>
      </c>
    </row>
    <row r="71" spans="1:5" x14ac:dyDescent="0.35">
      <c r="A71" t="s">
        <v>79</v>
      </c>
      <c r="B71" t="s">
        <v>29</v>
      </c>
      <c r="C71" t="s">
        <v>81</v>
      </c>
      <c r="D71">
        <v>3.3578329543575021</v>
      </c>
      <c r="E71">
        <v>8.4509392521476878E-2</v>
      </c>
    </row>
    <row r="72" spans="1:5" x14ac:dyDescent="0.35">
      <c r="A72" t="s">
        <v>79</v>
      </c>
      <c r="B72" t="s">
        <v>29</v>
      </c>
      <c r="C72" t="s">
        <v>82</v>
      </c>
      <c r="D72">
        <v>4.6167810440703967</v>
      </c>
      <c r="E72">
        <v>2.467421613620149E-2</v>
      </c>
    </row>
    <row r="73" spans="1:5" x14ac:dyDescent="0.35">
      <c r="A73" t="s">
        <v>79</v>
      </c>
      <c r="B73" t="s">
        <v>29</v>
      </c>
      <c r="C73" t="s">
        <v>83</v>
      </c>
      <c r="D73">
        <v>7.3999828125842546</v>
      </c>
      <c r="E73">
        <v>3.0630838415041439E-2</v>
      </c>
    </row>
    <row r="74" spans="1:5" x14ac:dyDescent="0.35">
      <c r="A74" t="s">
        <v>79</v>
      </c>
      <c r="B74" t="s">
        <v>29</v>
      </c>
      <c r="C74" t="s">
        <v>84</v>
      </c>
      <c r="D74">
        <v>10.868240564877169</v>
      </c>
      <c r="E74">
        <v>2.3602148244390629E-2</v>
      </c>
    </row>
    <row r="75" spans="1:5" x14ac:dyDescent="0.35">
      <c r="A75" t="s">
        <v>79</v>
      </c>
      <c r="B75" t="s">
        <v>76</v>
      </c>
      <c r="C75" t="s">
        <v>80</v>
      </c>
      <c r="D75">
        <v>3.8458599086475389</v>
      </c>
      <c r="E75">
        <v>0.1956948845260166</v>
      </c>
    </row>
    <row r="76" spans="1:5" x14ac:dyDescent="0.35">
      <c r="A76" t="s">
        <v>79</v>
      </c>
      <c r="B76" t="s">
        <v>76</v>
      </c>
      <c r="C76" t="s">
        <v>81</v>
      </c>
      <c r="D76">
        <v>4.8502265801770337</v>
      </c>
      <c r="E76">
        <v>0.24747182789154551</v>
      </c>
    </row>
    <row r="77" spans="1:5" x14ac:dyDescent="0.35">
      <c r="A77" t="s">
        <v>79</v>
      </c>
      <c r="B77" t="s">
        <v>76</v>
      </c>
      <c r="C77" t="s">
        <v>82</v>
      </c>
      <c r="D77">
        <v>6.9209607466734688</v>
      </c>
      <c r="E77">
        <v>0.23249352005193191</v>
      </c>
    </row>
    <row r="78" spans="1:5" x14ac:dyDescent="0.35">
      <c r="A78" t="s">
        <v>79</v>
      </c>
      <c r="B78" t="s">
        <v>76</v>
      </c>
      <c r="C78" t="s">
        <v>83</v>
      </c>
      <c r="D78">
        <v>9.995867607246014</v>
      </c>
      <c r="E78">
        <v>0.27686400353773588</v>
      </c>
    </row>
    <row r="79" spans="1:5" x14ac:dyDescent="0.35">
      <c r="A79" t="s">
        <v>79</v>
      </c>
      <c r="B79" t="s">
        <v>76</v>
      </c>
      <c r="C79" t="s">
        <v>84</v>
      </c>
      <c r="D79">
        <v>15.124037308721849</v>
      </c>
      <c r="E79">
        <v>0.59165815194523463</v>
      </c>
    </row>
    <row r="80" spans="1:5" x14ac:dyDescent="0.35">
      <c r="A80" t="s">
        <v>86</v>
      </c>
      <c r="B80" t="s">
        <v>68</v>
      </c>
      <c r="C80" t="s">
        <v>80</v>
      </c>
      <c r="D80">
        <v>5.3756921761046046</v>
      </c>
      <c r="E80">
        <v>3.975062244735863</v>
      </c>
    </row>
    <row r="81" spans="1:5" x14ac:dyDescent="0.35">
      <c r="A81" t="s">
        <v>86</v>
      </c>
      <c r="B81" t="s">
        <v>68</v>
      </c>
      <c r="C81" t="s">
        <v>81</v>
      </c>
      <c r="D81">
        <v>4.7957171042105937</v>
      </c>
      <c r="E81">
        <v>2.3544010232338199</v>
      </c>
    </row>
    <row r="82" spans="1:5" x14ac:dyDescent="0.35">
      <c r="A82" t="s">
        <v>86</v>
      </c>
      <c r="B82" t="s">
        <v>68</v>
      </c>
      <c r="C82" t="s">
        <v>82</v>
      </c>
      <c r="D82">
        <v>6.7082555195796214</v>
      </c>
      <c r="E82">
        <v>2.473048905775082</v>
      </c>
    </row>
    <row r="83" spans="1:5" x14ac:dyDescent="0.35">
      <c r="A83" t="s">
        <v>86</v>
      </c>
      <c r="B83" t="s">
        <v>68</v>
      </c>
      <c r="C83" t="s">
        <v>83</v>
      </c>
      <c r="D83">
        <v>9.4460259772482509</v>
      </c>
      <c r="E83">
        <v>2.6125916478873572</v>
      </c>
    </row>
    <row r="84" spans="1:5" x14ac:dyDescent="0.35">
      <c r="A84" t="s">
        <v>86</v>
      </c>
      <c r="B84" t="s">
        <v>68</v>
      </c>
      <c r="C84" t="s">
        <v>84</v>
      </c>
      <c r="D84">
        <v>15.24715370139122</v>
      </c>
      <c r="E84">
        <v>2.6692979232827732</v>
      </c>
    </row>
    <row r="85" spans="1:5" x14ac:dyDescent="0.35">
      <c r="A85" t="s">
        <v>86</v>
      </c>
      <c r="B85" t="s">
        <v>68</v>
      </c>
      <c r="C85" t="s">
        <v>85</v>
      </c>
      <c r="D85">
        <v>20.54208760548919</v>
      </c>
      <c r="E85">
        <v>2.628162281166702</v>
      </c>
    </row>
    <row r="86" spans="1:5" x14ac:dyDescent="0.35">
      <c r="A86" t="s">
        <v>86</v>
      </c>
      <c r="B86" t="s">
        <v>69</v>
      </c>
      <c r="C86" t="s">
        <v>80</v>
      </c>
      <c r="D86">
        <v>6.0336513576138913</v>
      </c>
      <c r="E86">
        <v>0.3242610803170301</v>
      </c>
    </row>
    <row r="87" spans="1:5" x14ac:dyDescent="0.35">
      <c r="A87" t="s">
        <v>86</v>
      </c>
      <c r="B87" t="s">
        <v>69</v>
      </c>
      <c r="C87" t="s">
        <v>81</v>
      </c>
      <c r="D87">
        <v>7.0168940579423351</v>
      </c>
      <c r="E87">
        <v>0.34361117787770862</v>
      </c>
    </row>
    <row r="88" spans="1:5" x14ac:dyDescent="0.35">
      <c r="A88" t="s">
        <v>86</v>
      </c>
      <c r="B88" t="s">
        <v>69</v>
      </c>
      <c r="C88" t="s">
        <v>82</v>
      </c>
      <c r="D88">
        <v>9.2355808361884648</v>
      </c>
      <c r="E88">
        <v>0.30193409119565862</v>
      </c>
    </row>
    <row r="89" spans="1:5" x14ac:dyDescent="0.35">
      <c r="A89" t="s">
        <v>86</v>
      </c>
      <c r="B89" t="s">
        <v>69</v>
      </c>
      <c r="C89" t="s">
        <v>83</v>
      </c>
      <c r="D89">
        <v>12.699507944209049</v>
      </c>
      <c r="E89">
        <v>0.55950186904483445</v>
      </c>
    </row>
    <row r="90" spans="1:5" x14ac:dyDescent="0.35">
      <c r="A90" t="s">
        <v>86</v>
      </c>
      <c r="B90" t="s">
        <v>69</v>
      </c>
      <c r="C90" t="s">
        <v>84</v>
      </c>
      <c r="D90">
        <v>19.540437255662791</v>
      </c>
      <c r="E90">
        <v>0.42632265535653951</v>
      </c>
    </row>
    <row r="91" spans="1:5" x14ac:dyDescent="0.35">
      <c r="A91" t="s">
        <v>86</v>
      </c>
      <c r="B91" t="s">
        <v>69</v>
      </c>
      <c r="C91" t="s">
        <v>85</v>
      </c>
      <c r="D91">
        <v>25.044712999785339</v>
      </c>
      <c r="E91">
        <v>1.0373648667537541</v>
      </c>
    </row>
    <row r="92" spans="1:5" x14ac:dyDescent="0.35">
      <c r="A92" t="s">
        <v>86</v>
      </c>
      <c r="B92" t="s">
        <v>70</v>
      </c>
      <c r="C92" t="s">
        <v>80</v>
      </c>
      <c r="D92">
        <v>5.9033366901621784</v>
      </c>
      <c r="E92">
        <v>0.15868737083925499</v>
      </c>
    </row>
    <row r="93" spans="1:5" x14ac:dyDescent="0.35">
      <c r="A93" t="s">
        <v>86</v>
      </c>
      <c r="B93" t="s">
        <v>70</v>
      </c>
      <c r="C93" t="s">
        <v>81</v>
      </c>
      <c r="D93">
        <v>6.9227910307211182</v>
      </c>
      <c r="E93">
        <v>0.2219218143759763</v>
      </c>
    </row>
    <row r="94" spans="1:5" x14ac:dyDescent="0.35">
      <c r="A94" t="s">
        <v>86</v>
      </c>
      <c r="B94" t="s">
        <v>70</v>
      </c>
      <c r="C94" t="s">
        <v>82</v>
      </c>
      <c r="D94">
        <v>8.6474389725582537</v>
      </c>
      <c r="E94">
        <v>0.24341359751530359</v>
      </c>
    </row>
    <row r="95" spans="1:5" x14ac:dyDescent="0.35">
      <c r="A95" t="s">
        <v>86</v>
      </c>
      <c r="B95" t="s">
        <v>70</v>
      </c>
      <c r="C95" t="s">
        <v>83</v>
      </c>
      <c r="D95">
        <v>11.66256850439272</v>
      </c>
      <c r="E95">
        <v>0.16935371923041151</v>
      </c>
    </row>
    <row r="96" spans="1:5" x14ac:dyDescent="0.35">
      <c r="A96" t="s">
        <v>86</v>
      </c>
      <c r="B96" t="s">
        <v>70</v>
      </c>
      <c r="C96" t="s">
        <v>84</v>
      </c>
      <c r="D96">
        <v>16.71995247595752</v>
      </c>
      <c r="E96">
        <v>0.618327462257797</v>
      </c>
    </row>
    <row r="97" spans="1:5" x14ac:dyDescent="0.35">
      <c r="A97" t="s">
        <v>86</v>
      </c>
      <c r="B97" t="s">
        <v>70</v>
      </c>
      <c r="C97" t="s">
        <v>85</v>
      </c>
      <c r="D97">
        <v>20.695697215504719</v>
      </c>
      <c r="E97">
        <v>0.73103814906717191</v>
      </c>
    </row>
    <row r="98" spans="1:5" x14ac:dyDescent="0.35">
      <c r="A98" t="s">
        <v>86</v>
      </c>
      <c r="B98" t="s">
        <v>71</v>
      </c>
      <c r="C98" t="s">
        <v>80</v>
      </c>
      <c r="D98">
        <v>5.9201957381769219</v>
      </c>
      <c r="E98">
        <v>3.4959136294034188E-2</v>
      </c>
    </row>
    <row r="99" spans="1:5" x14ac:dyDescent="0.35">
      <c r="A99" t="s">
        <v>86</v>
      </c>
      <c r="B99" t="s">
        <v>71</v>
      </c>
      <c r="C99" t="s">
        <v>81</v>
      </c>
      <c r="D99">
        <v>6.9439613697616087</v>
      </c>
      <c r="E99">
        <v>9.3588767798290312E-2</v>
      </c>
    </row>
    <row r="100" spans="1:5" x14ac:dyDescent="0.35">
      <c r="A100" t="s">
        <v>86</v>
      </c>
      <c r="B100" t="s">
        <v>71</v>
      </c>
      <c r="C100" t="s">
        <v>82</v>
      </c>
      <c r="D100">
        <v>8.6092058572602141</v>
      </c>
      <c r="E100">
        <v>0.13244198580139249</v>
      </c>
    </row>
    <row r="101" spans="1:5" x14ac:dyDescent="0.35">
      <c r="A101" t="s">
        <v>86</v>
      </c>
      <c r="B101" t="s">
        <v>71</v>
      </c>
      <c r="C101" t="s">
        <v>83</v>
      </c>
      <c r="D101">
        <v>11.74671914719374</v>
      </c>
      <c r="E101">
        <v>0.27542250963173259</v>
      </c>
    </row>
    <row r="102" spans="1:5" x14ac:dyDescent="0.35">
      <c r="A102" t="s">
        <v>86</v>
      </c>
      <c r="B102" t="s">
        <v>71</v>
      </c>
      <c r="C102" t="s">
        <v>84</v>
      </c>
      <c r="D102">
        <v>16.230924234765741</v>
      </c>
      <c r="E102">
        <v>0.45645621242840562</v>
      </c>
    </row>
    <row r="103" spans="1:5" x14ac:dyDescent="0.35">
      <c r="A103" t="s">
        <v>86</v>
      </c>
      <c r="B103" t="s">
        <v>71</v>
      </c>
      <c r="C103" t="s">
        <v>85</v>
      </c>
      <c r="D103">
        <v>20.00365173759462</v>
      </c>
      <c r="E103">
        <v>0.67229074318499427</v>
      </c>
    </row>
    <row r="104" spans="1:5" x14ac:dyDescent="0.35">
      <c r="A104" t="s">
        <v>86</v>
      </c>
      <c r="B104" t="s">
        <v>72</v>
      </c>
      <c r="C104" t="s">
        <v>80</v>
      </c>
      <c r="D104">
        <v>5.5933473741444839</v>
      </c>
      <c r="E104">
        <v>0.13636127245273341</v>
      </c>
    </row>
    <row r="105" spans="1:5" x14ac:dyDescent="0.35">
      <c r="A105" t="s">
        <v>86</v>
      </c>
      <c r="B105" t="s">
        <v>72</v>
      </c>
      <c r="C105" t="s">
        <v>81</v>
      </c>
      <c r="D105">
        <v>6.1499449854467239</v>
      </c>
      <c r="E105">
        <v>0.28674635747657978</v>
      </c>
    </row>
    <row r="106" spans="1:5" x14ac:dyDescent="0.35">
      <c r="A106" t="s">
        <v>86</v>
      </c>
      <c r="B106" t="s">
        <v>72</v>
      </c>
      <c r="C106" t="s">
        <v>82</v>
      </c>
      <c r="D106">
        <v>7.810893539787827</v>
      </c>
      <c r="E106">
        <v>0.1022532762652395</v>
      </c>
    </row>
    <row r="107" spans="1:5" x14ac:dyDescent="0.35">
      <c r="A107" t="s">
        <v>86</v>
      </c>
      <c r="B107" t="s">
        <v>72</v>
      </c>
      <c r="C107" t="s">
        <v>83</v>
      </c>
      <c r="D107">
        <v>12.259518106572401</v>
      </c>
      <c r="E107">
        <v>0.82297850026910646</v>
      </c>
    </row>
    <row r="108" spans="1:5" x14ac:dyDescent="0.35">
      <c r="A108" t="s">
        <v>86</v>
      </c>
      <c r="B108" t="s">
        <v>72</v>
      </c>
      <c r="C108" t="s">
        <v>84</v>
      </c>
      <c r="D108">
        <v>17.373043433390229</v>
      </c>
      <c r="E108">
        <v>1.3731915367208121</v>
      </c>
    </row>
    <row r="109" spans="1:5" x14ac:dyDescent="0.35">
      <c r="A109" t="s">
        <v>86</v>
      </c>
      <c r="B109" t="s">
        <v>72</v>
      </c>
      <c r="C109" t="s">
        <v>85</v>
      </c>
      <c r="D109">
        <v>22.523540775367469</v>
      </c>
      <c r="E109">
        <v>1.027238835408862</v>
      </c>
    </row>
    <row r="110" spans="1:5" x14ac:dyDescent="0.35">
      <c r="A110" t="s">
        <v>86</v>
      </c>
      <c r="B110" t="s">
        <v>73</v>
      </c>
      <c r="C110" t="s">
        <v>80</v>
      </c>
      <c r="D110">
        <v>6.2590350214464632</v>
      </c>
      <c r="E110">
        <v>4.516530838758942E-2</v>
      </c>
    </row>
    <row r="111" spans="1:5" x14ac:dyDescent="0.35">
      <c r="A111" t="s">
        <v>86</v>
      </c>
      <c r="B111" t="s">
        <v>73</v>
      </c>
      <c r="C111" t="s">
        <v>81</v>
      </c>
      <c r="D111">
        <v>7.6745313755955404</v>
      </c>
      <c r="E111">
        <v>0.41964968486165771</v>
      </c>
    </row>
    <row r="112" spans="1:5" x14ac:dyDescent="0.35">
      <c r="A112" t="s">
        <v>86</v>
      </c>
      <c r="B112" t="s">
        <v>73</v>
      </c>
      <c r="C112" t="s">
        <v>82</v>
      </c>
      <c r="D112">
        <v>8.9807471123874905</v>
      </c>
      <c r="E112">
        <v>0.31911681721688773</v>
      </c>
    </row>
    <row r="113" spans="1:5" x14ac:dyDescent="0.35">
      <c r="A113" t="s">
        <v>86</v>
      </c>
      <c r="B113" t="s">
        <v>73</v>
      </c>
      <c r="C113" t="s">
        <v>83</v>
      </c>
      <c r="D113">
        <v>15.3945408263237</v>
      </c>
      <c r="E113">
        <v>0.73779583710164565</v>
      </c>
    </row>
    <row r="114" spans="1:5" x14ac:dyDescent="0.35">
      <c r="A114" t="s">
        <v>86</v>
      </c>
      <c r="B114" t="s">
        <v>73</v>
      </c>
      <c r="C114" t="s">
        <v>84</v>
      </c>
      <c r="D114">
        <v>22.568268955345449</v>
      </c>
      <c r="E114">
        <v>1.0726539066694309</v>
      </c>
    </row>
    <row r="115" spans="1:5" x14ac:dyDescent="0.35">
      <c r="A115" t="s">
        <v>86</v>
      </c>
      <c r="B115" t="s">
        <v>73</v>
      </c>
      <c r="C115" t="s">
        <v>85</v>
      </c>
      <c r="D115">
        <v>33.466461413265591</v>
      </c>
      <c r="E115">
        <v>2.5687435246002011</v>
      </c>
    </row>
    <row r="116" spans="1:5" x14ac:dyDescent="0.35">
      <c r="A116" t="s">
        <v>86</v>
      </c>
      <c r="B116" t="s">
        <v>75</v>
      </c>
      <c r="C116" t="s">
        <v>80</v>
      </c>
      <c r="D116">
        <v>5.6801174022293086</v>
      </c>
      <c r="E116">
        <v>0.1267887575667862</v>
      </c>
    </row>
    <row r="117" spans="1:5" x14ac:dyDescent="0.35">
      <c r="A117" t="s">
        <v>86</v>
      </c>
      <c r="B117" t="s">
        <v>75</v>
      </c>
      <c r="C117" t="s">
        <v>81</v>
      </c>
      <c r="D117">
        <v>6.3366830111476622</v>
      </c>
      <c r="E117">
        <v>0.46544078617692042</v>
      </c>
    </row>
    <row r="118" spans="1:5" x14ac:dyDescent="0.35">
      <c r="A118" t="s">
        <v>86</v>
      </c>
      <c r="B118" t="s">
        <v>75</v>
      </c>
      <c r="C118" t="s">
        <v>82</v>
      </c>
      <c r="D118">
        <v>8.0190968844213284</v>
      </c>
      <c r="E118">
        <v>0.29872426429616789</v>
      </c>
    </row>
    <row r="119" spans="1:5" x14ac:dyDescent="0.35">
      <c r="A119" t="s">
        <v>86</v>
      </c>
      <c r="B119" t="s">
        <v>75</v>
      </c>
      <c r="C119" t="s">
        <v>83</v>
      </c>
      <c r="D119">
        <v>12.706542427811829</v>
      </c>
      <c r="E119">
        <v>0.5153105934133887</v>
      </c>
    </row>
    <row r="120" spans="1:5" x14ac:dyDescent="0.35">
      <c r="A120" t="s">
        <v>86</v>
      </c>
      <c r="B120" t="s">
        <v>75</v>
      </c>
      <c r="C120" t="s">
        <v>84</v>
      </c>
      <c r="D120">
        <v>17.6597736092709</v>
      </c>
      <c r="E120">
        <v>1.506324314120455</v>
      </c>
    </row>
    <row r="121" spans="1:5" x14ac:dyDescent="0.35">
      <c r="A121" t="s">
        <v>86</v>
      </c>
      <c r="B121" t="s">
        <v>75</v>
      </c>
      <c r="C121" t="s">
        <v>85</v>
      </c>
      <c r="D121">
        <v>22.97343190651041</v>
      </c>
      <c r="E121">
        <v>2.219853411593296</v>
      </c>
    </row>
    <row r="122" spans="1:5" x14ac:dyDescent="0.35">
      <c r="A122" t="s">
        <v>87</v>
      </c>
      <c r="B122" t="s">
        <v>68</v>
      </c>
      <c r="C122" t="s">
        <v>80</v>
      </c>
      <c r="D122">
        <v>3.2876598588061028</v>
      </c>
      <c r="E122">
        <v>0.13501924664348419</v>
      </c>
    </row>
    <row r="123" spans="1:5" x14ac:dyDescent="0.35">
      <c r="A123" t="s">
        <v>87</v>
      </c>
      <c r="B123" t="s">
        <v>68</v>
      </c>
      <c r="C123" t="s">
        <v>81</v>
      </c>
      <c r="D123">
        <v>3.9268277287052</v>
      </c>
      <c r="E123">
        <v>6.4435559178622259E-2</v>
      </c>
    </row>
    <row r="124" spans="1:5" x14ac:dyDescent="0.35">
      <c r="A124" t="s">
        <v>87</v>
      </c>
      <c r="B124" t="s">
        <v>68</v>
      </c>
      <c r="C124" t="s">
        <v>82</v>
      </c>
      <c r="D124">
        <v>5.2055350227286974</v>
      </c>
      <c r="E124">
        <v>0.1354563242131244</v>
      </c>
    </row>
    <row r="125" spans="1:5" x14ac:dyDescent="0.35">
      <c r="A125" t="s">
        <v>87</v>
      </c>
      <c r="B125" t="s">
        <v>68</v>
      </c>
      <c r="C125" t="s">
        <v>83</v>
      </c>
      <c r="D125">
        <v>7.6708768284855191</v>
      </c>
      <c r="E125">
        <v>8.6420289351564011E-2</v>
      </c>
    </row>
    <row r="126" spans="1:5" x14ac:dyDescent="0.35">
      <c r="A126" t="s">
        <v>87</v>
      </c>
      <c r="B126" t="s">
        <v>68</v>
      </c>
      <c r="C126" t="s">
        <v>84</v>
      </c>
      <c r="D126">
        <v>11.688781958050731</v>
      </c>
      <c r="E126">
        <v>0.22197210841481049</v>
      </c>
    </row>
    <row r="127" spans="1:5" x14ac:dyDescent="0.35">
      <c r="A127" t="s">
        <v>87</v>
      </c>
      <c r="B127" t="s">
        <v>69</v>
      </c>
      <c r="C127" t="s">
        <v>80</v>
      </c>
      <c r="D127">
        <v>3.234384065944059</v>
      </c>
      <c r="E127">
        <v>6.6137936653327858E-2</v>
      </c>
    </row>
    <row r="128" spans="1:5" x14ac:dyDescent="0.35">
      <c r="A128" t="s">
        <v>87</v>
      </c>
      <c r="B128" t="s">
        <v>69</v>
      </c>
      <c r="C128" t="s">
        <v>81</v>
      </c>
      <c r="D128">
        <v>3.8481325516846852</v>
      </c>
      <c r="E128">
        <v>0.15785603799802131</v>
      </c>
    </row>
    <row r="129" spans="1:5" x14ac:dyDescent="0.35">
      <c r="A129" t="s">
        <v>87</v>
      </c>
      <c r="B129" t="s">
        <v>69</v>
      </c>
      <c r="C129" t="s">
        <v>82</v>
      </c>
      <c r="D129">
        <v>5.1294143371406369</v>
      </c>
      <c r="E129">
        <v>9.6467578776569862E-2</v>
      </c>
    </row>
    <row r="130" spans="1:5" x14ac:dyDescent="0.35">
      <c r="A130" t="s">
        <v>87</v>
      </c>
      <c r="B130" t="s">
        <v>69</v>
      </c>
      <c r="C130" t="s">
        <v>83</v>
      </c>
      <c r="D130">
        <v>7.4686302720760072</v>
      </c>
      <c r="E130">
        <v>7.7283267679955872E-2</v>
      </c>
    </row>
    <row r="131" spans="1:5" x14ac:dyDescent="0.35">
      <c r="A131" t="s">
        <v>87</v>
      </c>
      <c r="B131" t="s">
        <v>69</v>
      </c>
      <c r="C131" t="s">
        <v>84</v>
      </c>
      <c r="D131">
        <v>11.53796686207883</v>
      </c>
      <c r="E131">
        <v>3.9464009499508047E-2</v>
      </c>
    </row>
    <row r="132" spans="1:5" x14ac:dyDescent="0.35">
      <c r="A132" t="s">
        <v>87</v>
      </c>
      <c r="B132" t="s">
        <v>70</v>
      </c>
      <c r="C132" t="s">
        <v>80</v>
      </c>
      <c r="D132">
        <v>3.3988915168346221</v>
      </c>
      <c r="E132">
        <v>0.14687173024220621</v>
      </c>
    </row>
    <row r="133" spans="1:5" x14ac:dyDescent="0.35">
      <c r="A133" t="s">
        <v>87</v>
      </c>
      <c r="B133" t="s">
        <v>70</v>
      </c>
      <c r="C133" t="s">
        <v>81</v>
      </c>
      <c r="D133">
        <v>4.1335075496251816</v>
      </c>
      <c r="E133">
        <v>0.19603340677087261</v>
      </c>
    </row>
    <row r="134" spans="1:5" x14ac:dyDescent="0.35">
      <c r="A134" t="s">
        <v>87</v>
      </c>
      <c r="B134" t="s">
        <v>70</v>
      </c>
      <c r="C134" t="s">
        <v>82</v>
      </c>
      <c r="D134">
        <v>5.3728492840065556</v>
      </c>
      <c r="E134">
        <v>0.31003346162227902</v>
      </c>
    </row>
    <row r="135" spans="1:5" x14ac:dyDescent="0.35">
      <c r="A135" t="s">
        <v>87</v>
      </c>
      <c r="B135" t="s">
        <v>70</v>
      </c>
      <c r="C135" t="s">
        <v>83</v>
      </c>
      <c r="D135">
        <v>7.7154070722962249</v>
      </c>
      <c r="E135">
        <v>0.40272193194879252</v>
      </c>
    </row>
    <row r="136" spans="1:5" x14ac:dyDescent="0.35">
      <c r="A136" t="s">
        <v>87</v>
      </c>
      <c r="B136" t="s">
        <v>70</v>
      </c>
      <c r="C136" t="s">
        <v>84</v>
      </c>
      <c r="D136">
        <v>11.71101261518287</v>
      </c>
      <c r="E136">
        <v>0.60141902182857598</v>
      </c>
    </row>
    <row r="137" spans="1:5" x14ac:dyDescent="0.35">
      <c r="A137" t="s">
        <v>87</v>
      </c>
      <c r="B137" t="s">
        <v>71</v>
      </c>
      <c r="C137" t="s">
        <v>80</v>
      </c>
      <c r="D137">
        <v>3.2418549167345652</v>
      </c>
      <c r="E137">
        <v>7.6484345840947487E-2</v>
      </c>
    </row>
    <row r="138" spans="1:5" x14ac:dyDescent="0.35">
      <c r="A138" t="s">
        <v>87</v>
      </c>
      <c r="B138" t="s">
        <v>71</v>
      </c>
      <c r="C138" t="s">
        <v>81</v>
      </c>
      <c r="D138">
        <v>3.8726547282411241</v>
      </c>
      <c r="E138">
        <v>0.1188887931299606</v>
      </c>
    </row>
    <row r="139" spans="1:5" x14ac:dyDescent="0.35">
      <c r="A139" t="s">
        <v>87</v>
      </c>
      <c r="B139" t="s">
        <v>71</v>
      </c>
      <c r="C139" t="s">
        <v>82</v>
      </c>
      <c r="D139">
        <v>5.0111397463209988</v>
      </c>
      <c r="E139">
        <v>8.468634566781226E-2</v>
      </c>
    </row>
    <row r="140" spans="1:5" x14ac:dyDescent="0.35">
      <c r="A140" t="s">
        <v>87</v>
      </c>
      <c r="B140" t="s">
        <v>71</v>
      </c>
      <c r="C140" t="s">
        <v>83</v>
      </c>
      <c r="D140">
        <v>7.2443077675880723</v>
      </c>
      <c r="E140">
        <v>4.0376951460061219E-2</v>
      </c>
    </row>
    <row r="141" spans="1:5" x14ac:dyDescent="0.35">
      <c r="A141" t="s">
        <v>87</v>
      </c>
      <c r="B141" t="s">
        <v>71</v>
      </c>
      <c r="C141" t="s">
        <v>84</v>
      </c>
      <c r="D141">
        <v>10.78296136989974</v>
      </c>
      <c r="E141">
        <v>2.8096128527238039E-2</v>
      </c>
    </row>
    <row r="142" spans="1:5" x14ac:dyDescent="0.35">
      <c r="A142" t="s">
        <v>87</v>
      </c>
      <c r="B142" t="s">
        <v>72</v>
      </c>
      <c r="C142" t="s">
        <v>80</v>
      </c>
      <c r="D142">
        <v>2.702593042332222</v>
      </c>
      <c r="E142">
        <v>9.1670078139424419E-2</v>
      </c>
    </row>
    <row r="143" spans="1:5" x14ac:dyDescent="0.35">
      <c r="A143" t="s">
        <v>87</v>
      </c>
      <c r="B143" t="s">
        <v>72</v>
      </c>
      <c r="C143" t="s">
        <v>81</v>
      </c>
      <c r="D143">
        <v>3.400813833209162</v>
      </c>
      <c r="E143">
        <v>8.3591024520254908E-2</v>
      </c>
    </row>
    <row r="144" spans="1:5" x14ac:dyDescent="0.35">
      <c r="A144" t="s">
        <v>87</v>
      </c>
      <c r="B144" t="s">
        <v>72</v>
      </c>
      <c r="C144" t="s">
        <v>82</v>
      </c>
      <c r="D144">
        <v>4.7145424290242346</v>
      </c>
      <c r="E144">
        <v>1.363910624473127E-2</v>
      </c>
    </row>
    <row r="145" spans="1:5" x14ac:dyDescent="0.35">
      <c r="A145" t="s">
        <v>87</v>
      </c>
      <c r="B145" t="s">
        <v>72</v>
      </c>
      <c r="C145" t="s">
        <v>83</v>
      </c>
      <c r="D145">
        <v>6.7264918157162432</v>
      </c>
      <c r="E145">
        <v>0.1182204423716605</v>
      </c>
    </row>
    <row r="146" spans="1:5" x14ac:dyDescent="0.35">
      <c r="A146" t="s">
        <v>87</v>
      </c>
      <c r="B146" t="s">
        <v>72</v>
      </c>
      <c r="C146" t="s">
        <v>84</v>
      </c>
      <c r="D146">
        <v>10.84459148975278</v>
      </c>
      <c r="E146">
        <v>0.51012550634602516</v>
      </c>
    </row>
    <row r="147" spans="1:5" x14ac:dyDescent="0.35">
      <c r="A147" t="s">
        <v>87</v>
      </c>
      <c r="B147" t="s">
        <v>73</v>
      </c>
      <c r="C147" t="s">
        <v>80</v>
      </c>
      <c r="D147">
        <v>2.8008161033991299</v>
      </c>
      <c r="E147">
        <v>4.9048889292222557E-2</v>
      </c>
    </row>
    <row r="148" spans="1:5" x14ac:dyDescent="0.35">
      <c r="A148" t="s">
        <v>87</v>
      </c>
      <c r="B148" t="s">
        <v>73</v>
      </c>
      <c r="C148" t="s">
        <v>81</v>
      </c>
      <c r="D148">
        <v>3.6092010126450469</v>
      </c>
      <c r="E148">
        <v>8.6182107025697688E-2</v>
      </c>
    </row>
    <row r="149" spans="1:5" x14ac:dyDescent="0.35">
      <c r="A149" t="s">
        <v>87</v>
      </c>
      <c r="B149" t="s">
        <v>73</v>
      </c>
      <c r="C149" t="s">
        <v>82</v>
      </c>
      <c r="D149">
        <v>4.9779769226263682</v>
      </c>
      <c r="E149">
        <v>2.4009739620437131E-2</v>
      </c>
    </row>
    <row r="150" spans="1:5" x14ac:dyDescent="0.35">
      <c r="A150" t="s">
        <v>87</v>
      </c>
      <c r="B150" t="s">
        <v>73</v>
      </c>
      <c r="C150" t="s">
        <v>83</v>
      </c>
      <c r="D150">
        <v>6.9066882732319348</v>
      </c>
      <c r="E150">
        <v>9.0436025340168605E-2</v>
      </c>
    </row>
    <row r="151" spans="1:5" x14ac:dyDescent="0.35">
      <c r="A151" t="s">
        <v>87</v>
      </c>
      <c r="B151" t="s">
        <v>73</v>
      </c>
      <c r="C151" t="s">
        <v>84</v>
      </c>
      <c r="D151">
        <v>10.51412561744665</v>
      </c>
      <c r="E151">
        <v>0.2107726474152074</v>
      </c>
    </row>
    <row r="152" spans="1:5" x14ac:dyDescent="0.35">
      <c r="A152" t="s">
        <v>87</v>
      </c>
      <c r="B152" t="s">
        <v>74</v>
      </c>
      <c r="C152" t="s">
        <v>80</v>
      </c>
      <c r="D152">
        <v>3.207337467701231</v>
      </c>
      <c r="E152">
        <v>9.9365094643321633E-2</v>
      </c>
    </row>
    <row r="153" spans="1:5" x14ac:dyDescent="0.35">
      <c r="A153" t="s">
        <v>87</v>
      </c>
      <c r="B153" t="s">
        <v>74</v>
      </c>
      <c r="C153" t="s">
        <v>81</v>
      </c>
      <c r="D153">
        <v>4.0664456877841832</v>
      </c>
      <c r="E153">
        <v>9.9460804819674772E-2</v>
      </c>
    </row>
    <row r="154" spans="1:5" x14ac:dyDescent="0.35">
      <c r="A154" t="s">
        <v>87</v>
      </c>
      <c r="B154" t="s">
        <v>74</v>
      </c>
      <c r="C154" t="s">
        <v>82</v>
      </c>
      <c r="D154">
        <v>5.5555667153195163</v>
      </c>
      <c r="E154">
        <v>0.19865086387241371</v>
      </c>
    </row>
    <row r="155" spans="1:5" x14ac:dyDescent="0.35">
      <c r="A155" t="s">
        <v>87</v>
      </c>
      <c r="B155" t="s">
        <v>74</v>
      </c>
      <c r="C155" t="s">
        <v>83</v>
      </c>
      <c r="D155">
        <v>7.6174264435185961</v>
      </c>
      <c r="E155">
        <v>0.1988596008575477</v>
      </c>
    </row>
    <row r="156" spans="1:5" x14ac:dyDescent="0.35">
      <c r="A156" t="s">
        <v>87</v>
      </c>
      <c r="B156" t="s">
        <v>74</v>
      </c>
      <c r="C156" t="s">
        <v>84</v>
      </c>
      <c r="D156">
        <v>11.569226016159829</v>
      </c>
      <c r="E156">
        <v>0.35329889854122748</v>
      </c>
    </row>
    <row r="157" spans="1:5" x14ac:dyDescent="0.35">
      <c r="A157" t="s">
        <v>87</v>
      </c>
      <c r="B157" t="s">
        <v>75</v>
      </c>
      <c r="C157" t="s">
        <v>80</v>
      </c>
      <c r="D157">
        <v>2.4729902044010839</v>
      </c>
      <c r="E157">
        <v>0.229825475260167</v>
      </c>
    </row>
    <row r="158" spans="1:5" x14ac:dyDescent="0.35">
      <c r="A158" t="s">
        <v>87</v>
      </c>
      <c r="B158" t="s">
        <v>75</v>
      </c>
      <c r="C158" t="s">
        <v>81</v>
      </c>
      <c r="D158">
        <v>3.325512026480427</v>
      </c>
      <c r="E158">
        <v>0.1001690411359125</v>
      </c>
    </row>
    <row r="159" spans="1:5" x14ac:dyDescent="0.35">
      <c r="A159" t="s">
        <v>87</v>
      </c>
      <c r="B159" t="s">
        <v>75</v>
      </c>
      <c r="C159" t="s">
        <v>82</v>
      </c>
      <c r="D159">
        <v>4.5620071286809614</v>
      </c>
      <c r="E159">
        <v>0.20924144684583201</v>
      </c>
    </row>
    <row r="160" spans="1:5" x14ac:dyDescent="0.35">
      <c r="A160" t="s">
        <v>87</v>
      </c>
      <c r="B160" t="s">
        <v>75</v>
      </c>
      <c r="C160" t="s">
        <v>83</v>
      </c>
      <c r="D160">
        <v>6.4152867108125138</v>
      </c>
      <c r="E160">
        <v>0.36236871677411647</v>
      </c>
    </row>
    <row r="161" spans="1:5" x14ac:dyDescent="0.35">
      <c r="A161" t="s">
        <v>87</v>
      </c>
      <c r="B161" t="s">
        <v>75</v>
      </c>
      <c r="C161" t="s">
        <v>84</v>
      </c>
      <c r="D161">
        <v>10.125470225637279</v>
      </c>
      <c r="E161">
        <v>0.50535609576848117</v>
      </c>
    </row>
    <row r="162" spans="1:5" x14ac:dyDescent="0.35">
      <c r="A162" t="s">
        <v>10</v>
      </c>
      <c r="B162" t="s">
        <v>68</v>
      </c>
      <c r="C162" t="s">
        <v>80</v>
      </c>
      <c r="D162">
        <v>3.627544221059519</v>
      </c>
      <c r="E162">
        <v>0.25258736773664808</v>
      </c>
    </row>
    <row r="163" spans="1:5" x14ac:dyDescent="0.35">
      <c r="A163" t="s">
        <v>10</v>
      </c>
      <c r="B163" t="s">
        <v>68</v>
      </c>
      <c r="C163" t="s">
        <v>81</v>
      </c>
      <c r="D163">
        <v>4.2870813011864497</v>
      </c>
      <c r="E163">
        <v>0.31387467837193161</v>
      </c>
    </row>
    <row r="164" spans="1:5" x14ac:dyDescent="0.35">
      <c r="A164" t="s">
        <v>10</v>
      </c>
      <c r="B164" t="s">
        <v>68</v>
      </c>
      <c r="C164" t="s">
        <v>82</v>
      </c>
      <c r="D164">
        <v>5.6510162610180936</v>
      </c>
      <c r="E164">
        <v>0.26365342764797911</v>
      </c>
    </row>
    <row r="165" spans="1:5" x14ac:dyDescent="0.35">
      <c r="A165" t="s">
        <v>10</v>
      </c>
      <c r="B165" t="s">
        <v>68</v>
      </c>
      <c r="C165" t="s">
        <v>83</v>
      </c>
      <c r="D165">
        <v>8.0053304453377727</v>
      </c>
      <c r="E165">
        <v>0.37296508958051799</v>
      </c>
    </row>
    <row r="166" spans="1:5" x14ac:dyDescent="0.35">
      <c r="A166" t="s">
        <v>10</v>
      </c>
      <c r="B166" t="s">
        <v>68</v>
      </c>
      <c r="C166" t="s">
        <v>84</v>
      </c>
      <c r="D166">
        <v>11.86695822343377</v>
      </c>
      <c r="E166">
        <v>0.54023411240001695</v>
      </c>
    </row>
    <row r="167" spans="1:5" x14ac:dyDescent="0.35">
      <c r="A167" t="s">
        <v>10</v>
      </c>
      <c r="B167" t="s">
        <v>69</v>
      </c>
      <c r="C167" t="s">
        <v>80</v>
      </c>
      <c r="D167">
        <v>3.2415195979841842</v>
      </c>
      <c r="E167">
        <v>2.425136636104545E-2</v>
      </c>
    </row>
    <row r="168" spans="1:5" x14ac:dyDescent="0.35">
      <c r="A168" t="s">
        <v>10</v>
      </c>
      <c r="B168" t="s">
        <v>69</v>
      </c>
      <c r="C168" t="s">
        <v>81</v>
      </c>
      <c r="D168">
        <v>3.8471855200310618</v>
      </c>
      <c r="E168">
        <v>0.1093091425247492</v>
      </c>
    </row>
    <row r="169" spans="1:5" x14ac:dyDescent="0.35">
      <c r="A169" t="s">
        <v>10</v>
      </c>
      <c r="B169" t="s">
        <v>69</v>
      </c>
      <c r="C169" t="s">
        <v>82</v>
      </c>
      <c r="D169">
        <v>5.1098950541399928</v>
      </c>
      <c r="E169">
        <v>0.1084970230770165</v>
      </c>
    </row>
    <row r="170" spans="1:5" x14ac:dyDescent="0.35">
      <c r="A170" t="s">
        <v>10</v>
      </c>
      <c r="B170" t="s">
        <v>69</v>
      </c>
      <c r="C170" t="s">
        <v>83</v>
      </c>
      <c r="D170">
        <v>7.1431713489520687</v>
      </c>
      <c r="E170">
        <v>0.1986451220658349</v>
      </c>
    </row>
    <row r="171" spans="1:5" x14ac:dyDescent="0.35">
      <c r="A171" t="s">
        <v>10</v>
      </c>
      <c r="B171" t="s">
        <v>69</v>
      </c>
      <c r="C171" t="s">
        <v>84</v>
      </c>
      <c r="D171">
        <v>10.87939346290506</v>
      </c>
      <c r="E171">
        <v>0.2175152163311653</v>
      </c>
    </row>
    <row r="172" spans="1:5" x14ac:dyDescent="0.35">
      <c r="A172" t="s">
        <v>10</v>
      </c>
      <c r="B172" t="s">
        <v>70</v>
      </c>
      <c r="C172" t="s">
        <v>80</v>
      </c>
      <c r="D172">
        <v>3.593613067874156</v>
      </c>
      <c r="E172">
        <v>0.1197752739013262</v>
      </c>
    </row>
    <row r="173" spans="1:5" x14ac:dyDescent="0.35">
      <c r="A173" t="s">
        <v>10</v>
      </c>
      <c r="B173" t="s">
        <v>70</v>
      </c>
      <c r="C173" t="s">
        <v>81</v>
      </c>
      <c r="D173">
        <v>4.2680504400435844</v>
      </c>
      <c r="E173">
        <v>0.1038222745690475</v>
      </c>
    </row>
    <row r="174" spans="1:5" x14ac:dyDescent="0.35">
      <c r="A174" t="s">
        <v>10</v>
      </c>
      <c r="B174" t="s">
        <v>70</v>
      </c>
      <c r="C174" t="s">
        <v>82</v>
      </c>
      <c r="D174">
        <v>5.5269613397778459</v>
      </c>
      <c r="E174">
        <v>0.1330944177375134</v>
      </c>
    </row>
    <row r="175" spans="1:5" x14ac:dyDescent="0.35">
      <c r="A175" t="s">
        <v>10</v>
      </c>
      <c r="B175" t="s">
        <v>70</v>
      </c>
      <c r="C175" t="s">
        <v>83</v>
      </c>
      <c r="D175">
        <v>7.8178038587949263</v>
      </c>
      <c r="E175">
        <v>0.18458860405830679</v>
      </c>
    </row>
    <row r="176" spans="1:5" x14ac:dyDescent="0.35">
      <c r="A176" t="s">
        <v>10</v>
      </c>
      <c r="B176" t="s">
        <v>70</v>
      </c>
      <c r="C176" t="s">
        <v>84</v>
      </c>
      <c r="D176">
        <v>11.592408596584759</v>
      </c>
      <c r="E176">
        <v>0.21730049108210331</v>
      </c>
    </row>
    <row r="177" spans="1:5" x14ac:dyDescent="0.35">
      <c r="A177" t="s">
        <v>10</v>
      </c>
      <c r="B177" t="s">
        <v>71</v>
      </c>
      <c r="C177" t="s">
        <v>80</v>
      </c>
      <c r="D177">
        <v>3.3023858238019992</v>
      </c>
      <c r="E177">
        <v>0.1076337121727227</v>
      </c>
    </row>
    <row r="178" spans="1:5" x14ac:dyDescent="0.35">
      <c r="A178" t="s">
        <v>10</v>
      </c>
      <c r="B178" t="s">
        <v>71</v>
      </c>
      <c r="C178" t="s">
        <v>81</v>
      </c>
      <c r="D178">
        <v>3.910369550242184</v>
      </c>
      <c r="E178">
        <v>6.4967131816334928E-2</v>
      </c>
    </row>
    <row r="179" spans="1:5" x14ac:dyDescent="0.35">
      <c r="A179" t="s">
        <v>10</v>
      </c>
      <c r="B179" t="s">
        <v>71</v>
      </c>
      <c r="C179" t="s">
        <v>82</v>
      </c>
      <c r="D179">
        <v>5.0834804153148463</v>
      </c>
      <c r="E179">
        <v>8.4457271361220193E-2</v>
      </c>
    </row>
    <row r="180" spans="1:5" x14ac:dyDescent="0.35">
      <c r="A180" t="s">
        <v>10</v>
      </c>
      <c r="B180" t="s">
        <v>71</v>
      </c>
      <c r="C180" t="s">
        <v>83</v>
      </c>
      <c r="D180">
        <v>7.1252663101771718</v>
      </c>
      <c r="E180">
        <v>0.116267120030486</v>
      </c>
    </row>
    <row r="181" spans="1:5" x14ac:dyDescent="0.35">
      <c r="A181" t="s">
        <v>10</v>
      </c>
      <c r="B181" t="s">
        <v>71</v>
      </c>
      <c r="C181" t="s">
        <v>84</v>
      </c>
      <c r="D181">
        <v>10.29730648230443</v>
      </c>
      <c r="E181">
        <v>0.17108011378300009</v>
      </c>
    </row>
    <row r="182" spans="1:5" x14ac:dyDescent="0.35">
      <c r="A182" t="s">
        <v>10</v>
      </c>
      <c r="B182" t="s">
        <v>72</v>
      </c>
      <c r="C182" t="s">
        <v>80</v>
      </c>
      <c r="D182">
        <v>3.0677247354331958</v>
      </c>
      <c r="E182">
        <v>0.20126005445327361</v>
      </c>
    </row>
    <row r="183" spans="1:5" x14ac:dyDescent="0.35">
      <c r="A183" t="s">
        <v>10</v>
      </c>
      <c r="B183" t="s">
        <v>72</v>
      </c>
      <c r="C183" t="s">
        <v>81</v>
      </c>
      <c r="D183">
        <v>3.5737259365212801</v>
      </c>
      <c r="E183">
        <v>0.22366913720699641</v>
      </c>
    </row>
    <row r="184" spans="1:5" x14ac:dyDescent="0.35">
      <c r="A184" t="s">
        <v>10</v>
      </c>
      <c r="B184" t="s">
        <v>72</v>
      </c>
      <c r="C184" t="s">
        <v>82</v>
      </c>
      <c r="D184">
        <v>4.9829388846766021</v>
      </c>
      <c r="E184">
        <v>0.25961397859650198</v>
      </c>
    </row>
    <row r="185" spans="1:5" x14ac:dyDescent="0.35">
      <c r="A185" t="s">
        <v>10</v>
      </c>
      <c r="B185" t="s">
        <v>72</v>
      </c>
      <c r="C185" t="s">
        <v>83</v>
      </c>
      <c r="D185">
        <v>7.2266284367797029</v>
      </c>
      <c r="E185">
        <v>0.31773605073195388</v>
      </c>
    </row>
    <row r="186" spans="1:5" x14ac:dyDescent="0.35">
      <c r="A186" t="s">
        <v>10</v>
      </c>
      <c r="B186" t="s">
        <v>72</v>
      </c>
      <c r="C186" t="s">
        <v>84</v>
      </c>
      <c r="D186">
        <v>12.03944504607087</v>
      </c>
      <c r="E186">
        <v>0.45315242246328508</v>
      </c>
    </row>
    <row r="187" spans="1:5" x14ac:dyDescent="0.35">
      <c r="A187" t="s">
        <v>10</v>
      </c>
      <c r="B187" t="s">
        <v>73</v>
      </c>
      <c r="C187" t="s">
        <v>80</v>
      </c>
      <c r="D187">
        <v>3.285103384315978</v>
      </c>
      <c r="E187">
        <v>0.1475201102197396</v>
      </c>
    </row>
    <row r="188" spans="1:5" x14ac:dyDescent="0.35">
      <c r="A188" t="s">
        <v>10</v>
      </c>
      <c r="B188" t="s">
        <v>73</v>
      </c>
      <c r="C188" t="s">
        <v>81</v>
      </c>
      <c r="D188">
        <v>3.7538060721348612</v>
      </c>
      <c r="E188">
        <v>0.1316054757169921</v>
      </c>
    </row>
    <row r="189" spans="1:5" x14ac:dyDescent="0.35">
      <c r="A189" t="s">
        <v>10</v>
      </c>
      <c r="B189" t="s">
        <v>73</v>
      </c>
      <c r="C189" t="s">
        <v>82</v>
      </c>
      <c r="D189">
        <v>4.9603133371883086</v>
      </c>
      <c r="E189">
        <v>0.1382554956146371</v>
      </c>
    </row>
    <row r="190" spans="1:5" x14ac:dyDescent="0.35">
      <c r="A190" t="s">
        <v>10</v>
      </c>
      <c r="B190" t="s">
        <v>73</v>
      </c>
      <c r="C190" t="s">
        <v>83</v>
      </c>
      <c r="D190">
        <v>6.9711587789440594</v>
      </c>
      <c r="E190">
        <v>0.15064830237233159</v>
      </c>
    </row>
    <row r="191" spans="1:5" x14ac:dyDescent="0.35">
      <c r="A191" t="s">
        <v>10</v>
      </c>
      <c r="B191" t="s">
        <v>73</v>
      </c>
      <c r="C191" t="s">
        <v>84</v>
      </c>
      <c r="D191">
        <v>10.725231518812249</v>
      </c>
      <c r="E191">
        <v>0.21786782661768939</v>
      </c>
    </row>
    <row r="192" spans="1:5" x14ac:dyDescent="0.35">
      <c r="A192" t="s">
        <v>10</v>
      </c>
      <c r="B192" t="s">
        <v>74</v>
      </c>
      <c r="C192" t="s">
        <v>80</v>
      </c>
      <c r="D192">
        <v>3.5917233943093061</v>
      </c>
      <c r="E192">
        <v>7.4774188366083114E-2</v>
      </c>
    </row>
    <row r="193" spans="1:5" x14ac:dyDescent="0.35">
      <c r="A193" t="s">
        <v>10</v>
      </c>
      <c r="B193" t="s">
        <v>74</v>
      </c>
      <c r="C193" t="s">
        <v>81</v>
      </c>
      <c r="D193">
        <v>4.2653492526598233</v>
      </c>
      <c r="E193">
        <v>7.9709306650772069E-2</v>
      </c>
    </row>
    <row r="194" spans="1:5" x14ac:dyDescent="0.35">
      <c r="A194" t="s">
        <v>10</v>
      </c>
      <c r="B194" t="s">
        <v>74</v>
      </c>
      <c r="C194" t="s">
        <v>82</v>
      </c>
      <c r="D194">
        <v>5.665866386164951</v>
      </c>
      <c r="E194">
        <v>0.1342602186779529</v>
      </c>
    </row>
    <row r="195" spans="1:5" x14ac:dyDescent="0.35">
      <c r="A195" t="s">
        <v>10</v>
      </c>
      <c r="B195" t="s">
        <v>74</v>
      </c>
      <c r="C195" t="s">
        <v>83</v>
      </c>
      <c r="D195">
        <v>7.9659863664999921</v>
      </c>
      <c r="E195">
        <v>0.17515282241011071</v>
      </c>
    </row>
    <row r="196" spans="1:5" x14ac:dyDescent="0.35">
      <c r="A196" t="s">
        <v>10</v>
      </c>
      <c r="B196" t="s">
        <v>74</v>
      </c>
      <c r="C196" t="s">
        <v>84</v>
      </c>
      <c r="D196">
        <v>12.22749117682981</v>
      </c>
      <c r="E196">
        <v>0.42157814694556878</v>
      </c>
    </row>
    <row r="197" spans="1:5" x14ac:dyDescent="0.35">
      <c r="A197" t="s">
        <v>10</v>
      </c>
      <c r="B197" t="s">
        <v>75</v>
      </c>
      <c r="C197" t="s">
        <v>80</v>
      </c>
      <c r="D197">
        <v>2.8374163003171269</v>
      </c>
      <c r="E197">
        <v>4.7654531029603597E-2</v>
      </c>
    </row>
    <row r="198" spans="1:5" x14ac:dyDescent="0.35">
      <c r="A198" t="s">
        <v>10</v>
      </c>
      <c r="B198" t="s">
        <v>75</v>
      </c>
      <c r="C198" t="s">
        <v>81</v>
      </c>
      <c r="D198">
        <v>3.41871239677767</v>
      </c>
      <c r="E198">
        <v>0.1592001564053096</v>
      </c>
    </row>
    <row r="199" spans="1:5" x14ac:dyDescent="0.35">
      <c r="A199" t="s">
        <v>10</v>
      </c>
      <c r="B199" t="s">
        <v>75</v>
      </c>
      <c r="C199" t="s">
        <v>82</v>
      </c>
      <c r="D199">
        <v>4.5877243243773203</v>
      </c>
      <c r="E199">
        <v>0.25471515948058709</v>
      </c>
    </row>
    <row r="200" spans="1:5" x14ac:dyDescent="0.35">
      <c r="A200" t="s">
        <v>10</v>
      </c>
      <c r="B200" t="s">
        <v>75</v>
      </c>
      <c r="C200" t="s">
        <v>83</v>
      </c>
      <c r="D200">
        <v>6.5068087197455311</v>
      </c>
      <c r="E200">
        <v>0.19451467777987419</v>
      </c>
    </row>
    <row r="201" spans="1:5" x14ac:dyDescent="0.35">
      <c r="A201" t="s">
        <v>10</v>
      </c>
      <c r="B201" t="s">
        <v>75</v>
      </c>
      <c r="C201" t="s">
        <v>84</v>
      </c>
      <c r="D201">
        <v>10.096265088014849</v>
      </c>
      <c r="E201">
        <v>0.2192591518407406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4</vt:i4>
      </vt:variant>
    </vt:vector>
  </HeadingPairs>
  <TitlesOfParts>
    <vt:vector size="4" baseType="lpstr">
      <vt:lpstr>Kubiņu masa</vt:lpstr>
      <vt:lpstr>Masas izmaiņa %</vt:lpstr>
      <vt:lpstr>Statistikai</vt:lpstr>
      <vt:lpstr>Mean_SD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Māra</dc:creator>
  <cp:lastModifiedBy>Mikus Kampuss</cp:lastModifiedBy>
  <dcterms:created xsi:type="dcterms:W3CDTF">2022-08-04T11:55:54Z</dcterms:created>
  <dcterms:modified xsi:type="dcterms:W3CDTF">2026-05-12T21:03:12Z</dcterms:modified>
</cp:coreProperties>
</file>