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ietotajs\Documents\Mikus\4SemDarbini\MD\"/>
    </mc:Choice>
  </mc:AlternateContent>
  <xr:revisionPtr revIDLastSave="0" documentId="13_ncr:1_{25BAE7EB-85D2-44CA-AB3F-FCD79B73E35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Kubiņu masa" sheetId="1" r:id="rId1"/>
    <sheet name="Masas izmaiņa %" sheetId="2" r:id="rId2"/>
    <sheet name="Statistikai" sheetId="4" r:id="rId3"/>
    <sheet name="Mean_SD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Y0CTxzW8NcKPqkehbx+rLCWqbl/oa0NJHTrmxU8SDII="/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2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175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06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037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968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899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30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761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692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23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554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485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16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347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278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09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140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71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2" i="4"/>
  <c r="U5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5" i="2"/>
</calcChain>
</file>

<file path=xl/sharedStrings.xml><?xml version="1.0" encoding="utf-8"?>
<sst xmlns="http://schemas.openxmlformats.org/spreadsheetml/2006/main" count="1801" uniqueCount="81">
  <si>
    <t>mo-abs sausa, žavskapī 50C/3h</t>
  </si>
  <si>
    <t xml:space="preserve"> </t>
  </si>
  <si>
    <t>Temperatūra:</t>
  </si>
  <si>
    <t>23oC</t>
  </si>
  <si>
    <t>Paraugi</t>
  </si>
  <si>
    <t>15.11.24</t>
  </si>
  <si>
    <t>19.11.24</t>
  </si>
  <si>
    <t>20.11.24</t>
  </si>
  <si>
    <t>22.11.24</t>
  </si>
  <si>
    <t>25.11.24</t>
  </si>
  <si>
    <t>26.11.24</t>
  </si>
  <si>
    <t>27.11.24</t>
  </si>
  <si>
    <t>29.11.24</t>
  </si>
  <si>
    <t>02.12.24</t>
  </si>
  <si>
    <t>03.12.24</t>
  </si>
  <si>
    <t>04.12.24</t>
  </si>
  <si>
    <t>06.12.24</t>
  </si>
  <si>
    <t>09.12.24</t>
  </si>
  <si>
    <t>10.12.24</t>
  </si>
  <si>
    <t>11.12.24</t>
  </si>
  <si>
    <t>16.12.24</t>
  </si>
  <si>
    <t>apstrāde</t>
  </si>
  <si>
    <t>mo*</t>
  </si>
  <si>
    <t>bez apstrādes</t>
  </si>
  <si>
    <t>Sl1</t>
  </si>
  <si>
    <t>Sl2</t>
  </si>
  <si>
    <t>Sl3</t>
  </si>
  <si>
    <t>Sl4</t>
  </si>
  <si>
    <t>Sa1</t>
  </si>
  <si>
    <t>Sa2</t>
  </si>
  <si>
    <t>Sa3</t>
  </si>
  <si>
    <t>Sa4</t>
  </si>
  <si>
    <t>hito apstrāde</t>
  </si>
  <si>
    <t>Sl11</t>
  </si>
  <si>
    <t>Sl - 22</t>
  </si>
  <si>
    <t>Sl - 23</t>
  </si>
  <si>
    <t>Sl - 31</t>
  </si>
  <si>
    <t>Sl - 32</t>
  </si>
  <si>
    <t>Sl - 41</t>
  </si>
  <si>
    <t>Sl - 42</t>
  </si>
  <si>
    <t>Sa11</t>
  </si>
  <si>
    <t>Sa12</t>
  </si>
  <si>
    <t>Sa21</t>
  </si>
  <si>
    <t>Sa22</t>
  </si>
  <si>
    <t>Saz32</t>
  </si>
  <si>
    <t>Saz33</t>
  </si>
  <si>
    <t>Sa42</t>
  </si>
  <si>
    <t>Sa43</t>
  </si>
  <si>
    <t>Gaisa mitrums:</t>
  </si>
  <si>
    <t>Slāņu_skaits</t>
  </si>
  <si>
    <t>slanu_skaits</t>
  </si>
  <si>
    <t>substrats</t>
  </si>
  <si>
    <t>gaisa_mitrums</t>
  </si>
  <si>
    <t>mean_udens_sat</t>
  </si>
  <si>
    <t>sd_udens_sat</t>
  </si>
  <si>
    <t>0</t>
  </si>
  <si>
    <t>2</t>
  </si>
  <si>
    <t>4</t>
  </si>
  <si>
    <t>WS1</t>
  </si>
  <si>
    <t>WS2</t>
  </si>
  <si>
    <t>WS3</t>
  </si>
  <si>
    <t>WS4</t>
  </si>
  <si>
    <t>WSz3</t>
  </si>
  <si>
    <t>BSD1</t>
  </si>
  <si>
    <t>BSD2</t>
  </si>
  <si>
    <t>BSD3</t>
  </si>
  <si>
    <t>BSD4</t>
  </si>
  <si>
    <t>50</t>
  </si>
  <si>
    <t>60</t>
  </si>
  <si>
    <t>70</t>
  </si>
  <si>
    <t>80</t>
  </si>
  <si>
    <t>90</t>
  </si>
  <si>
    <t>95</t>
  </si>
  <si>
    <t>humidity%</t>
  </si>
  <si>
    <t>Date</t>
  </si>
  <si>
    <t>rh</t>
  </si>
  <si>
    <t>id</t>
  </si>
  <si>
    <t>Substrate</t>
  </si>
  <si>
    <t>masa</t>
  </si>
  <si>
    <t>udens</t>
  </si>
  <si>
    <t>tilpumprocenti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</si>
</sst>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.m\.yy"/>
    <numFmt numFmtId="165" formatCode="[$-426]dddd\,\ yyyy&quot;. gada &quot;d\.\ mmmm"/>
    <numFmt numFmtId="166" formatCode="0.000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0" borderId="0" xfId="0" applyFont="1"/>
    <xf numFmtId="9" fontId="1" fillId="0" borderId="0" xfId="0" applyNumberFormat="1" applyFont="1"/>
    <xf numFmtId="14" fontId="1" fillId="0" borderId="0" xfId="0" applyNumberFormat="1" applyFont="1"/>
    <xf numFmtId="9" fontId="4" fillId="0" borderId="0" xfId="0" applyNumberFormat="1" applyFont="1" applyAlignment="1">
      <alignment vertical="center"/>
    </xf>
    <xf numFmtId="0" fontId="1" fillId="0" borderId="5" xfId="0" applyFont="1" applyBorder="1"/>
    <xf numFmtId="164" fontId="1" fillId="0" borderId="0" xfId="0" applyNumberFormat="1" applyFont="1"/>
    <xf numFmtId="0" fontId="1" fillId="0" borderId="7" xfId="0" applyFont="1" applyBorder="1"/>
    <xf numFmtId="0" fontId="1" fillId="0" borderId="9" xfId="0" applyFont="1" applyBorder="1"/>
    <xf numFmtId="0" fontId="1" fillId="0" borderId="6" xfId="0" applyFont="1" applyBorder="1"/>
    <xf numFmtId="0" fontId="1" fillId="0" borderId="0" xfId="0" applyFont="1"/>
    <xf numFmtId="0" fontId="1" fillId="0" borderId="11" xfId="0" applyFont="1" applyBorder="1"/>
    <xf numFmtId="0" fontId="1" fillId="0" borderId="6" xfId="0" applyFont="1" applyBorder="1" applyAlignment="1">
      <alignment vertical="center"/>
    </xf>
    <xf numFmtId="0" fontId="1" fillId="0" borderId="12" xfId="0" applyFont="1" applyBorder="1" applyAlignment="1">
      <alignment horizontal="center"/>
    </xf>
    <xf numFmtId="164" fontId="1" fillId="0" borderId="15" xfId="0" applyNumberFormat="1" applyFont="1" applyBorder="1"/>
    <xf numFmtId="164" fontId="1" fillId="0" borderId="16" xfId="0" applyNumberFormat="1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8" xfId="0" applyFont="1" applyBorder="1"/>
    <xf numFmtId="0" fontId="1" fillId="0" borderId="19" xfId="0" applyFont="1" applyBorder="1"/>
    <xf numFmtId="1" fontId="1" fillId="0" borderId="19" xfId="0" applyNumberFormat="1" applyFont="1" applyBorder="1"/>
    <xf numFmtId="164" fontId="1" fillId="0" borderId="20" xfId="0" applyNumberFormat="1" applyFont="1" applyBorder="1"/>
    <xf numFmtId="165" fontId="1" fillId="0" borderId="9" xfId="0" applyNumberFormat="1" applyFont="1" applyBorder="1"/>
    <xf numFmtId="0" fontId="1" fillId="0" borderId="21" xfId="0" applyFont="1" applyBorder="1"/>
    <xf numFmtId="2" fontId="1" fillId="0" borderId="18" xfId="0" applyNumberFormat="1" applyFont="1" applyBorder="1" applyAlignment="1">
      <alignment horizontal="center"/>
    </xf>
    <xf numFmtId="2" fontId="2" fillId="0" borderId="18" xfId="0" applyNumberFormat="1" applyFont="1" applyBorder="1" applyAlignment="1">
      <alignment horizontal="center"/>
    </xf>
    <xf numFmtId="166" fontId="1" fillId="0" borderId="0" xfId="0" applyNumberFormat="1" applyFont="1"/>
    <xf numFmtId="14" fontId="0" fillId="0" borderId="0" xfId="0" applyNumberForma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3" fillId="0" borderId="2" xfId="0" applyFont="1" applyBorder="1"/>
    <xf numFmtId="0" fontId="1" fillId="0" borderId="3" xfId="0" applyFont="1" applyBorder="1" applyAlignment="1">
      <alignment horizontal="center"/>
    </xf>
    <xf numFmtId="0" fontId="3" fillId="0" borderId="4" xfId="0" applyFont="1" applyBorder="1"/>
    <xf numFmtId="0" fontId="1" fillId="0" borderId="3" xfId="0" applyFont="1" applyBorder="1" applyAlignment="1">
      <alignment horizontal="center" vertical="center"/>
    </xf>
    <xf numFmtId="0" fontId="3" fillId="0" borderId="13" xfId="0" applyFont="1" applyBorder="1"/>
    <xf numFmtId="0" fontId="3" fillId="0" borderId="8" xfId="0" applyFont="1" applyBorder="1"/>
    <xf numFmtId="0" fontId="3" fillId="0" borderId="14" xfId="0" applyFont="1" applyBorder="1"/>
    <xf numFmtId="0" fontId="1" fillId="0" borderId="10" xfId="0" applyFont="1" applyBorder="1" applyAlignment="1">
      <alignment horizontal="center" vertical="top"/>
    </xf>
    <xf numFmtId="0" fontId="3" fillId="0" borderId="10" xfId="0" applyFont="1" applyBorder="1"/>
    <xf numFmtId="0" fontId="3" fillId="0" borderId="11" xfId="0" applyFont="1" applyBorder="1"/>
    <xf numFmtId="0" fontId="1" fillId="0" borderId="9" xfId="0" applyFont="1" applyBorder="1" applyAlignment="1">
      <alignment horizontal="center" vertical="top"/>
    </xf>
  </cellXfs>
  <cellStyles count="1"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97"/>
  <sheetViews>
    <sheetView topLeftCell="A55" zoomScale="70" zoomScaleNormal="70" workbookViewId="0">
      <pane xSplit="3" topLeftCell="D1" activePane="topRight" state="frozen"/>
      <selection pane="topRight" activeCell="D11" sqref="D11:U79"/>
    </sheetView>
  </sheetViews>
  <sheetFormatPr defaultColWidth="14.453125" defaultRowHeight="15" customHeight="1" x14ac:dyDescent="0.35"/>
  <cols>
    <col min="1" max="1" width="15.54296875" customWidth="1"/>
    <col min="2" max="2" width="10.81640625" customWidth="1"/>
    <col min="3" max="3" width="12" customWidth="1"/>
    <col min="4" max="4" width="10" customWidth="1"/>
    <col min="5" max="5" width="8.26953125" customWidth="1"/>
    <col min="6" max="6" width="10.1796875" customWidth="1"/>
    <col min="7" max="7" width="8.7265625" customWidth="1"/>
    <col min="8" max="8" width="10.1796875" customWidth="1"/>
    <col min="9" max="28" width="8.7265625" customWidth="1"/>
  </cols>
  <sheetData>
    <row r="1" spans="1:39" ht="15" customHeight="1" thickBot="1" x14ac:dyDescent="0.4"/>
    <row r="2" spans="1:39" thickBot="1" x14ac:dyDescent="0.4">
      <c r="B2" s="1"/>
      <c r="C2" s="1"/>
      <c r="D2" s="1"/>
      <c r="E2" s="15"/>
      <c r="V2" s="1"/>
      <c r="W2" s="1"/>
      <c r="X2" s="1"/>
      <c r="Y2" s="1"/>
      <c r="Z2" s="1"/>
      <c r="AA2" s="1"/>
      <c r="AB2" s="1"/>
    </row>
    <row r="3" spans="1:39" ht="14.5" x14ac:dyDescent="0.35">
      <c r="B3" s="1"/>
      <c r="C3" s="1"/>
      <c r="D3" s="1"/>
      <c r="E3" s="1"/>
      <c r="V3" s="1"/>
      <c r="W3" s="1"/>
      <c r="X3" s="1"/>
      <c r="Y3" s="1"/>
      <c r="Z3" s="1"/>
      <c r="AA3" s="1"/>
      <c r="AB3" s="1"/>
    </row>
    <row r="4" spans="1:39" ht="14.5" x14ac:dyDescent="0.35">
      <c r="B4" s="2">
        <v>45393</v>
      </c>
      <c r="C4" s="1"/>
      <c r="D4" s="1"/>
      <c r="E4" s="1"/>
      <c r="V4" s="1"/>
      <c r="W4" s="1"/>
      <c r="X4" s="1"/>
      <c r="Y4" s="1"/>
      <c r="Z4" s="1"/>
      <c r="AA4" s="1"/>
      <c r="AB4" s="1"/>
    </row>
    <row r="5" spans="1:39" ht="14.5" x14ac:dyDescent="0.35">
      <c r="B5" s="1"/>
      <c r="C5" s="1"/>
      <c r="E5" s="3" t="s">
        <v>0</v>
      </c>
      <c r="V5" s="1"/>
      <c r="W5" s="1"/>
      <c r="X5" s="1"/>
      <c r="Y5" s="1"/>
      <c r="Z5" s="1"/>
      <c r="AA5" s="1"/>
      <c r="AB5" s="1"/>
    </row>
    <row r="6" spans="1:39" ht="15" customHeight="1" thickBot="1" x14ac:dyDescent="0.4"/>
    <row r="7" spans="1:39" ht="15.5" x14ac:dyDescent="0.35">
      <c r="B7" s="33" t="s">
        <v>48</v>
      </c>
      <c r="C7" s="34"/>
      <c r="E7" s="4">
        <v>0.5</v>
      </c>
      <c r="F7" s="5" t="s">
        <v>1</v>
      </c>
      <c r="H7" s="6">
        <v>0.6</v>
      </c>
      <c r="K7" s="4">
        <v>0.7</v>
      </c>
      <c r="M7" s="4">
        <v>0.8</v>
      </c>
      <c r="P7" s="4">
        <v>0.9</v>
      </c>
      <c r="S7" s="4">
        <v>0.95</v>
      </c>
    </row>
    <row r="8" spans="1:39" thickBot="1" x14ac:dyDescent="0.4">
      <c r="B8" s="35" t="s">
        <v>2</v>
      </c>
      <c r="C8" s="36"/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  <c r="T8" s="3" t="s">
        <v>3</v>
      </c>
      <c r="U8" s="3" t="s">
        <v>3</v>
      </c>
    </row>
    <row r="9" spans="1:39" ht="14.5" x14ac:dyDescent="0.35">
      <c r="A9" s="7"/>
      <c r="B9" s="37" t="s">
        <v>4</v>
      </c>
      <c r="C9" s="38"/>
      <c r="D9" s="16">
        <v>45608</v>
      </c>
      <c r="E9" s="17">
        <v>45609</v>
      </c>
      <c r="F9" s="18" t="s">
        <v>5</v>
      </c>
      <c r="G9" s="18" t="s">
        <v>6</v>
      </c>
      <c r="H9" s="18" t="s">
        <v>7</v>
      </c>
      <c r="I9" s="18" t="s">
        <v>8</v>
      </c>
      <c r="J9" s="18" t="s">
        <v>9</v>
      </c>
      <c r="K9" s="18" t="s">
        <v>10</v>
      </c>
      <c r="L9" s="18" t="s">
        <v>11</v>
      </c>
      <c r="M9" s="18" t="s">
        <v>12</v>
      </c>
      <c r="N9" s="18" t="s">
        <v>13</v>
      </c>
      <c r="O9" s="18" t="s">
        <v>14</v>
      </c>
      <c r="P9" s="18" t="s">
        <v>15</v>
      </c>
      <c r="Q9" s="18" t="s">
        <v>16</v>
      </c>
      <c r="R9" s="18" t="s">
        <v>17</v>
      </c>
      <c r="S9" s="18" t="s">
        <v>18</v>
      </c>
      <c r="T9" s="18" t="s">
        <v>19</v>
      </c>
      <c r="U9" s="19" t="s">
        <v>20</v>
      </c>
      <c r="V9" s="8"/>
      <c r="W9" s="8"/>
      <c r="X9" s="8"/>
      <c r="Y9" s="8"/>
      <c r="Z9" s="8"/>
      <c r="AA9" s="8"/>
      <c r="AB9" s="8"/>
    </row>
    <row r="10" spans="1:39" thickBot="1" x14ac:dyDescent="0.4">
      <c r="A10" s="9" t="s">
        <v>21</v>
      </c>
      <c r="B10" s="39"/>
      <c r="C10" s="40"/>
      <c r="D10" s="23" t="s">
        <v>22</v>
      </c>
      <c r="E10" s="24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25"/>
      <c r="V10" s="12"/>
      <c r="W10" s="12"/>
      <c r="X10" s="12"/>
      <c r="Y10" s="12"/>
      <c r="Z10" s="12"/>
      <c r="AA10" s="12"/>
      <c r="AB10" s="12"/>
    </row>
    <row r="11" spans="1:39" ht="14.5" x14ac:dyDescent="0.35">
      <c r="A11" s="41" t="s">
        <v>23</v>
      </c>
      <c r="B11" s="13" t="s">
        <v>24</v>
      </c>
      <c r="C11" s="20">
        <v>316</v>
      </c>
      <c r="D11" s="26">
        <v>6.617</v>
      </c>
      <c r="E11" s="26">
        <v>6.98</v>
      </c>
      <c r="F11" s="26">
        <v>6.98</v>
      </c>
      <c r="G11" s="26">
        <v>6.96</v>
      </c>
      <c r="H11" s="26">
        <v>7.04</v>
      </c>
      <c r="I11" s="26">
        <v>7.05</v>
      </c>
      <c r="J11" s="26">
        <v>7.05</v>
      </c>
      <c r="K11" s="26">
        <v>7.15</v>
      </c>
      <c r="L11" s="26">
        <v>7.15</v>
      </c>
      <c r="M11" s="26">
        <v>7.35</v>
      </c>
      <c r="N11" s="26">
        <v>7.35</v>
      </c>
      <c r="O11" s="26">
        <v>7.35</v>
      </c>
      <c r="P11" s="26">
        <v>7.63</v>
      </c>
      <c r="Q11" s="26">
        <v>7.69</v>
      </c>
      <c r="R11" s="26">
        <v>7.69</v>
      </c>
      <c r="S11" s="26">
        <v>7.94</v>
      </c>
      <c r="T11" s="27">
        <v>7.95</v>
      </c>
      <c r="U11" s="26">
        <v>7.87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4.5" x14ac:dyDescent="0.35">
      <c r="A12" s="42"/>
      <c r="B12" s="11"/>
      <c r="C12" s="21">
        <v>320</v>
      </c>
      <c r="D12" s="26">
        <v>6.4729999999999999</v>
      </c>
      <c r="E12" s="26">
        <v>6.84</v>
      </c>
      <c r="F12" s="26">
        <v>6.84</v>
      </c>
      <c r="G12" s="26">
        <v>6.83</v>
      </c>
      <c r="H12" s="26">
        <v>6.89</v>
      </c>
      <c r="I12" s="26">
        <v>6.92</v>
      </c>
      <c r="J12" s="26">
        <v>6.92</v>
      </c>
      <c r="K12" s="26">
        <v>6.99</v>
      </c>
      <c r="L12" s="26">
        <v>6.98</v>
      </c>
      <c r="M12" s="26">
        <v>7.19</v>
      </c>
      <c r="N12" s="26">
        <v>7.19</v>
      </c>
      <c r="O12" s="26">
        <v>7.2</v>
      </c>
      <c r="P12" s="26">
        <v>7.46</v>
      </c>
      <c r="Q12" s="26">
        <v>7.54</v>
      </c>
      <c r="R12" s="26">
        <v>7.54</v>
      </c>
      <c r="S12" s="26">
        <v>7.76</v>
      </c>
      <c r="T12" s="27">
        <v>7.78</v>
      </c>
      <c r="U12" s="26">
        <v>7.68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4.5" x14ac:dyDescent="0.35">
      <c r="A13" s="42"/>
      <c r="B13" s="11"/>
      <c r="C13" s="21">
        <v>325</v>
      </c>
      <c r="D13" s="26">
        <v>6.1280000000000001</v>
      </c>
      <c r="E13" s="26">
        <v>6.46</v>
      </c>
      <c r="F13" s="26">
        <v>6.46</v>
      </c>
      <c r="G13" s="26">
        <v>6.47</v>
      </c>
      <c r="H13" s="26">
        <v>6.45</v>
      </c>
      <c r="I13" s="26">
        <v>6.54</v>
      </c>
      <c r="J13" s="26">
        <v>6.54</v>
      </c>
      <c r="K13" s="26">
        <v>6.61</v>
      </c>
      <c r="L13" s="26">
        <v>6.51</v>
      </c>
      <c r="M13" s="26">
        <v>6.81</v>
      </c>
      <c r="N13" s="26">
        <v>6.81</v>
      </c>
      <c r="O13" s="26">
        <v>6.81</v>
      </c>
      <c r="P13" s="26">
        <v>7.05</v>
      </c>
      <c r="Q13" s="26">
        <v>7.15</v>
      </c>
      <c r="R13" s="26">
        <v>7.13</v>
      </c>
      <c r="S13" s="26">
        <v>7.35</v>
      </c>
      <c r="T13" s="27">
        <v>7.35</v>
      </c>
      <c r="U13" s="26">
        <v>7.27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4.5" x14ac:dyDescent="0.35">
      <c r="A14" s="42"/>
      <c r="B14" s="11" t="s">
        <v>25</v>
      </c>
      <c r="C14" s="21">
        <v>332</v>
      </c>
      <c r="D14" s="26">
        <v>3.74</v>
      </c>
      <c r="E14" s="26">
        <v>3.94</v>
      </c>
      <c r="F14" s="26">
        <v>3.94</v>
      </c>
      <c r="G14" s="26">
        <v>3.91</v>
      </c>
      <c r="H14" s="26">
        <v>3.94</v>
      </c>
      <c r="I14" s="26">
        <v>4</v>
      </c>
      <c r="J14" s="26">
        <v>3.97</v>
      </c>
      <c r="K14" s="26">
        <v>4.0199999999999996</v>
      </c>
      <c r="L14" s="26">
        <v>4.01</v>
      </c>
      <c r="M14" s="26">
        <v>4.1500000000000004</v>
      </c>
      <c r="N14" s="26">
        <v>4.1500000000000004</v>
      </c>
      <c r="O14" s="26">
        <v>4.1399999999999997</v>
      </c>
      <c r="P14" s="26">
        <v>4.3099999999999996</v>
      </c>
      <c r="Q14" s="26">
        <v>4.3600000000000003</v>
      </c>
      <c r="R14" s="26">
        <v>4.3499999999999996</v>
      </c>
      <c r="S14" s="26">
        <v>4.5199999999999996</v>
      </c>
      <c r="T14" s="27">
        <v>4.51</v>
      </c>
      <c r="U14" s="26">
        <v>4.4000000000000004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4.5" x14ac:dyDescent="0.35">
      <c r="A15" s="42"/>
      <c r="B15" s="14"/>
      <c r="C15" s="21">
        <v>336</v>
      </c>
      <c r="D15" s="26">
        <v>3.827</v>
      </c>
      <c r="E15" s="26">
        <v>4.04</v>
      </c>
      <c r="F15" s="26">
        <v>4.04</v>
      </c>
      <c r="G15" s="26">
        <v>4.0199999999999996</v>
      </c>
      <c r="H15" s="26">
        <v>4.07</v>
      </c>
      <c r="I15" s="26">
        <v>4.09</v>
      </c>
      <c r="J15" s="26">
        <v>4.07</v>
      </c>
      <c r="K15" s="26">
        <v>4.1399999999999997</v>
      </c>
      <c r="L15" s="26">
        <v>4.12</v>
      </c>
      <c r="M15" s="26">
        <v>4.25</v>
      </c>
      <c r="N15" s="26">
        <v>4.25</v>
      </c>
      <c r="O15" s="26">
        <v>4.24</v>
      </c>
      <c r="P15" s="26">
        <v>4.41</v>
      </c>
      <c r="Q15" s="26">
        <v>4.47</v>
      </c>
      <c r="R15" s="26">
        <v>4.45</v>
      </c>
      <c r="S15" s="26">
        <v>4.6100000000000003</v>
      </c>
      <c r="T15" s="27">
        <v>4.5999999999999996</v>
      </c>
      <c r="U15" s="26">
        <v>4.49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4.5" x14ac:dyDescent="0.35">
      <c r="A16" s="42"/>
      <c r="B16" s="14"/>
      <c r="C16" s="21">
        <v>341</v>
      </c>
      <c r="D16" s="26">
        <v>3.6339999999999999</v>
      </c>
      <c r="E16" s="26">
        <v>3.84</v>
      </c>
      <c r="F16" s="26">
        <v>3.83</v>
      </c>
      <c r="G16" s="26">
        <v>3.83</v>
      </c>
      <c r="H16" s="26">
        <v>3.86</v>
      </c>
      <c r="I16" s="26">
        <v>3.86</v>
      </c>
      <c r="J16" s="26">
        <v>3.85</v>
      </c>
      <c r="K16" s="26">
        <v>3.92</v>
      </c>
      <c r="L16" s="26">
        <v>3.9</v>
      </c>
      <c r="M16" s="26">
        <v>4.04</v>
      </c>
      <c r="N16" s="26">
        <v>4.04</v>
      </c>
      <c r="O16" s="26">
        <v>4.03</v>
      </c>
      <c r="P16" s="26">
        <v>4.17</v>
      </c>
      <c r="Q16" s="26">
        <v>4.26</v>
      </c>
      <c r="R16" s="26">
        <v>4.22</v>
      </c>
      <c r="S16" s="26">
        <v>4.4000000000000004</v>
      </c>
      <c r="T16" s="27">
        <v>4.3600000000000003</v>
      </c>
      <c r="U16" s="26">
        <v>4.3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4.5" x14ac:dyDescent="0.35">
      <c r="A17" s="42"/>
      <c r="B17" s="11" t="s">
        <v>26</v>
      </c>
      <c r="C17" s="21">
        <v>348</v>
      </c>
      <c r="D17" s="26">
        <v>5.1529999999999996</v>
      </c>
      <c r="E17" s="26">
        <v>5.41</v>
      </c>
      <c r="F17" s="26">
        <v>5.43</v>
      </c>
      <c r="G17" s="26">
        <v>5.42</v>
      </c>
      <c r="H17" s="26">
        <v>5.44</v>
      </c>
      <c r="I17" s="26">
        <v>5.47</v>
      </c>
      <c r="J17" s="26">
        <v>5.46</v>
      </c>
      <c r="K17" s="26">
        <v>5.54</v>
      </c>
      <c r="L17" s="26">
        <v>5.53</v>
      </c>
      <c r="M17" s="26">
        <v>5.7</v>
      </c>
      <c r="N17" s="26">
        <v>5.7</v>
      </c>
      <c r="O17" s="26">
        <v>5.71</v>
      </c>
      <c r="P17" s="26">
        <v>5.95</v>
      </c>
      <c r="Q17" s="26">
        <v>6</v>
      </c>
      <c r="R17" s="26">
        <v>5.99</v>
      </c>
      <c r="S17" s="26">
        <v>6.18</v>
      </c>
      <c r="T17" s="27">
        <v>6.16</v>
      </c>
      <c r="U17" s="26">
        <v>6.09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4.5" x14ac:dyDescent="0.35">
      <c r="A18" s="42"/>
      <c r="B18" s="11"/>
      <c r="C18" s="21">
        <v>352</v>
      </c>
      <c r="D18" s="26">
        <v>5.2409999999999997</v>
      </c>
      <c r="E18" s="26">
        <v>5.54</v>
      </c>
      <c r="F18" s="26">
        <v>5.52</v>
      </c>
      <c r="G18" s="26">
        <v>5.52</v>
      </c>
      <c r="H18" s="26">
        <v>5.56</v>
      </c>
      <c r="I18" s="26">
        <v>5.58</v>
      </c>
      <c r="J18" s="26">
        <v>5.57</v>
      </c>
      <c r="K18" s="26">
        <v>5.65</v>
      </c>
      <c r="L18" s="26">
        <v>5.64</v>
      </c>
      <c r="M18" s="26">
        <v>5.81</v>
      </c>
      <c r="N18" s="26">
        <v>5.81</v>
      </c>
      <c r="O18" s="26">
        <v>5.82</v>
      </c>
      <c r="P18" s="26">
        <v>6.05</v>
      </c>
      <c r="Q18" s="26">
        <v>6.12</v>
      </c>
      <c r="R18" s="26">
        <v>6.1</v>
      </c>
      <c r="S18" s="26">
        <v>6.29</v>
      </c>
      <c r="T18" s="27">
        <v>6.3</v>
      </c>
      <c r="U18" s="26">
        <v>6.23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4.5" x14ac:dyDescent="0.35">
      <c r="A19" s="42"/>
      <c r="B19" s="11"/>
      <c r="C19" s="21">
        <v>357</v>
      </c>
      <c r="D19" s="26">
        <v>5.1550000000000002</v>
      </c>
      <c r="E19" s="26">
        <v>5.43</v>
      </c>
      <c r="F19" s="26">
        <v>5.4</v>
      </c>
      <c r="G19" s="26">
        <v>5.43</v>
      </c>
      <c r="H19" s="26">
        <v>5.48</v>
      </c>
      <c r="I19" s="26">
        <v>5.48</v>
      </c>
      <c r="J19" s="26">
        <v>5.49</v>
      </c>
      <c r="K19" s="26">
        <v>5.55</v>
      </c>
      <c r="L19" s="26">
        <v>5.57</v>
      </c>
      <c r="M19" s="26">
        <v>5.72</v>
      </c>
      <c r="N19" s="26">
        <v>5.72</v>
      </c>
      <c r="O19" s="26">
        <v>5.72</v>
      </c>
      <c r="P19" s="26">
        <v>5.93</v>
      </c>
      <c r="Q19" s="26">
        <v>5.99</v>
      </c>
      <c r="R19" s="26">
        <v>5.98</v>
      </c>
      <c r="S19" s="26">
        <v>6.19</v>
      </c>
      <c r="T19" s="27">
        <v>6.2</v>
      </c>
      <c r="U19" s="26">
        <v>6.06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  <row r="20" spans="1:39" ht="14.5" x14ac:dyDescent="0.35">
      <c r="A20" s="42"/>
      <c r="B20" s="11" t="s">
        <v>27</v>
      </c>
      <c r="C20" s="21">
        <v>368</v>
      </c>
      <c r="D20" s="26">
        <v>5.7370000000000001</v>
      </c>
      <c r="E20" s="26">
        <v>6.05</v>
      </c>
      <c r="F20" s="26">
        <v>6.02</v>
      </c>
      <c r="G20" s="26">
        <v>6.04</v>
      </c>
      <c r="H20" s="26">
        <v>6.1</v>
      </c>
      <c r="I20" s="26">
        <v>6.13</v>
      </c>
      <c r="J20" s="26">
        <v>6.12</v>
      </c>
      <c r="K20" s="26">
        <v>6.2</v>
      </c>
      <c r="L20" s="26">
        <v>6.19</v>
      </c>
      <c r="M20" s="26">
        <v>6.36</v>
      </c>
      <c r="N20" s="26">
        <v>6.36</v>
      </c>
      <c r="O20" s="26">
        <v>6.35</v>
      </c>
      <c r="P20" s="26">
        <v>6.51</v>
      </c>
      <c r="Q20" s="26">
        <v>6.59</v>
      </c>
      <c r="R20" s="26">
        <v>6.58</v>
      </c>
      <c r="S20" s="26">
        <v>6.74</v>
      </c>
      <c r="T20" s="27">
        <v>6.72</v>
      </c>
      <c r="U20" s="26">
        <v>6.74</v>
      </c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</row>
    <row r="21" spans="1:39" ht="15.75" customHeight="1" x14ac:dyDescent="0.35">
      <c r="A21" s="42"/>
      <c r="B21" s="11"/>
      <c r="C21" s="21">
        <v>372</v>
      </c>
      <c r="D21" s="26">
        <v>6.1769999999999996</v>
      </c>
      <c r="E21" s="26">
        <v>6.53</v>
      </c>
      <c r="F21" s="26">
        <v>6.49</v>
      </c>
      <c r="G21" s="26">
        <v>6.51</v>
      </c>
      <c r="H21" s="26">
        <v>6.58</v>
      </c>
      <c r="I21" s="26">
        <v>6.6</v>
      </c>
      <c r="J21" s="26">
        <v>6.58</v>
      </c>
      <c r="K21" s="26">
        <v>6.69</v>
      </c>
      <c r="L21" s="26">
        <v>6.68</v>
      </c>
      <c r="M21" s="26">
        <v>6.86</v>
      </c>
      <c r="N21" s="26">
        <v>6.86</v>
      </c>
      <c r="O21" s="26">
        <v>6.85</v>
      </c>
      <c r="P21" s="26">
        <v>7.03</v>
      </c>
      <c r="Q21" s="26">
        <v>7.1</v>
      </c>
      <c r="R21" s="26">
        <v>7.09</v>
      </c>
      <c r="S21" s="26">
        <v>7.28</v>
      </c>
      <c r="T21" s="27">
        <v>7.28</v>
      </c>
      <c r="U21" s="26">
        <v>7.28</v>
      </c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</row>
    <row r="22" spans="1:39" ht="15.75" customHeight="1" x14ac:dyDescent="0.35">
      <c r="A22" s="42"/>
      <c r="B22" s="11"/>
      <c r="C22" s="21">
        <v>377</v>
      </c>
      <c r="D22" s="26">
        <v>6.0330000000000004</v>
      </c>
      <c r="E22" s="26">
        <v>6.33</v>
      </c>
      <c r="F22" s="26">
        <v>6.33</v>
      </c>
      <c r="G22" s="26">
        <v>6.35</v>
      </c>
      <c r="H22" s="26">
        <v>6.42</v>
      </c>
      <c r="I22" s="26">
        <v>6.44</v>
      </c>
      <c r="J22" s="26">
        <v>6.44</v>
      </c>
      <c r="K22" s="26">
        <v>6.52</v>
      </c>
      <c r="L22" s="26">
        <v>6.5</v>
      </c>
      <c r="M22" s="26">
        <v>6.7</v>
      </c>
      <c r="N22" s="26">
        <v>6.7</v>
      </c>
      <c r="O22" s="26">
        <v>6.68</v>
      </c>
      <c r="P22" s="26">
        <v>6.84</v>
      </c>
      <c r="Q22" s="26">
        <v>6.92</v>
      </c>
      <c r="R22" s="26">
        <v>6.91</v>
      </c>
      <c r="S22" s="26">
        <v>7.13</v>
      </c>
      <c r="T22" s="27">
        <v>7.1</v>
      </c>
      <c r="U22" s="26">
        <v>7.09</v>
      </c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</row>
    <row r="23" spans="1:39" ht="15.75" customHeight="1" x14ac:dyDescent="0.35">
      <c r="A23" s="42"/>
      <c r="B23" s="11" t="s">
        <v>28</v>
      </c>
      <c r="C23" s="21">
        <v>384</v>
      </c>
      <c r="D23" s="26">
        <v>2.8769999999999998</v>
      </c>
      <c r="E23" s="26">
        <v>3.01</v>
      </c>
      <c r="F23" s="26">
        <v>2.97</v>
      </c>
      <c r="G23" s="26">
        <v>3</v>
      </c>
      <c r="H23" s="26">
        <v>3.04</v>
      </c>
      <c r="I23" s="26">
        <v>3.05</v>
      </c>
      <c r="J23" s="26">
        <v>3.02</v>
      </c>
      <c r="K23" s="26">
        <v>3.07</v>
      </c>
      <c r="L23" s="26">
        <v>3.06</v>
      </c>
      <c r="M23" s="26">
        <v>3.18</v>
      </c>
      <c r="N23" s="26">
        <v>3.18</v>
      </c>
      <c r="O23" s="26">
        <v>3.16</v>
      </c>
      <c r="P23" s="26">
        <v>3.31</v>
      </c>
      <c r="Q23" s="26">
        <v>3.34</v>
      </c>
      <c r="R23" s="26">
        <v>3.34</v>
      </c>
      <c r="S23" s="26">
        <v>3.54</v>
      </c>
      <c r="T23" s="26">
        <v>3.46</v>
      </c>
      <c r="U23" s="26">
        <v>3.4</v>
      </c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</row>
    <row r="24" spans="1:39" ht="15.75" customHeight="1" x14ac:dyDescent="0.35">
      <c r="A24" s="42"/>
      <c r="B24" s="11"/>
      <c r="C24" s="21">
        <v>387</v>
      </c>
      <c r="D24" s="26">
        <v>3.04</v>
      </c>
      <c r="E24" s="26">
        <v>3.19</v>
      </c>
      <c r="F24" s="26">
        <v>3.17</v>
      </c>
      <c r="G24" s="26">
        <v>3.17</v>
      </c>
      <c r="H24" s="26">
        <v>3.21</v>
      </c>
      <c r="I24" s="26">
        <v>3.22</v>
      </c>
      <c r="J24" s="26">
        <v>3.2</v>
      </c>
      <c r="K24" s="26">
        <v>3.25</v>
      </c>
      <c r="L24" s="26">
        <v>3.25</v>
      </c>
      <c r="M24" s="26">
        <v>3.34</v>
      </c>
      <c r="N24" s="26">
        <v>3.34</v>
      </c>
      <c r="O24" s="26">
        <v>3.35</v>
      </c>
      <c r="P24" s="26">
        <v>3.5</v>
      </c>
      <c r="Q24" s="26">
        <v>3.55</v>
      </c>
      <c r="R24" s="26">
        <v>3.54</v>
      </c>
      <c r="S24" s="26">
        <v>3.71</v>
      </c>
      <c r="T24" s="26">
        <v>3.7</v>
      </c>
      <c r="U24" s="26">
        <v>3.59</v>
      </c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</row>
    <row r="25" spans="1:39" ht="15.75" customHeight="1" x14ac:dyDescent="0.35">
      <c r="A25" s="42"/>
      <c r="B25" s="11"/>
      <c r="C25" s="21">
        <v>392</v>
      </c>
      <c r="D25" s="26">
        <v>3.161</v>
      </c>
      <c r="E25" s="26">
        <v>3.31</v>
      </c>
      <c r="F25" s="26">
        <v>3.29</v>
      </c>
      <c r="G25" s="26">
        <v>3.32</v>
      </c>
      <c r="H25" s="26">
        <v>3.34</v>
      </c>
      <c r="I25" s="26">
        <v>3.35</v>
      </c>
      <c r="J25" s="26">
        <v>3.33</v>
      </c>
      <c r="K25" s="26">
        <v>3.38</v>
      </c>
      <c r="L25" s="26">
        <v>3.37</v>
      </c>
      <c r="M25" s="26">
        <v>3.48</v>
      </c>
      <c r="N25" s="26">
        <v>3.48</v>
      </c>
      <c r="O25" s="26">
        <v>3.47</v>
      </c>
      <c r="P25" s="26">
        <v>3.61</v>
      </c>
      <c r="Q25" s="26">
        <v>3.69</v>
      </c>
      <c r="R25" s="26">
        <v>3.67</v>
      </c>
      <c r="S25" s="26">
        <v>3.85</v>
      </c>
      <c r="T25" s="26">
        <v>3.82</v>
      </c>
      <c r="U25" s="26">
        <v>3.73</v>
      </c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</row>
    <row r="26" spans="1:39" ht="15.75" customHeight="1" x14ac:dyDescent="0.35">
      <c r="A26" s="42"/>
      <c r="B26" s="11" t="s">
        <v>29</v>
      </c>
      <c r="C26" s="21">
        <v>399</v>
      </c>
      <c r="D26" s="26">
        <v>3.1389999999999998</v>
      </c>
      <c r="E26" s="26">
        <v>3.28</v>
      </c>
      <c r="F26" s="26">
        <v>3.29</v>
      </c>
      <c r="G26" s="26">
        <v>3.29</v>
      </c>
      <c r="H26" s="26">
        <v>3.33</v>
      </c>
      <c r="I26" s="26">
        <v>3.34</v>
      </c>
      <c r="J26" s="26">
        <v>3.32</v>
      </c>
      <c r="K26" s="26">
        <v>3.36</v>
      </c>
      <c r="L26" s="26">
        <v>3.36</v>
      </c>
      <c r="M26" s="26">
        <v>3.48</v>
      </c>
      <c r="N26" s="26">
        <v>3.48</v>
      </c>
      <c r="O26" s="26">
        <v>3.48</v>
      </c>
      <c r="P26" s="26">
        <v>3.6</v>
      </c>
      <c r="Q26" s="26">
        <v>3.68</v>
      </c>
      <c r="R26" s="26">
        <v>3.65</v>
      </c>
      <c r="S26" s="26">
        <v>3.84</v>
      </c>
      <c r="T26" s="26">
        <v>3.77</v>
      </c>
      <c r="U26" s="26">
        <v>3.61</v>
      </c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</row>
    <row r="27" spans="1:39" ht="15.75" customHeight="1" x14ac:dyDescent="0.35">
      <c r="A27" s="42"/>
      <c r="B27" s="11"/>
      <c r="C27" s="21">
        <v>403</v>
      </c>
      <c r="D27" s="26">
        <v>3.21</v>
      </c>
      <c r="E27" s="26">
        <v>3.39</v>
      </c>
      <c r="F27" s="26">
        <v>3.36</v>
      </c>
      <c r="G27" s="26">
        <v>3.37</v>
      </c>
      <c r="H27" s="26">
        <v>3.41</v>
      </c>
      <c r="I27" s="26">
        <v>3.41</v>
      </c>
      <c r="J27" s="26">
        <v>3.39</v>
      </c>
      <c r="K27" s="26">
        <v>3.45</v>
      </c>
      <c r="L27" s="26">
        <v>3.44</v>
      </c>
      <c r="M27" s="26">
        <v>3.56</v>
      </c>
      <c r="N27" s="26">
        <v>3.56</v>
      </c>
      <c r="O27" s="26">
        <v>3.55</v>
      </c>
      <c r="P27" s="26">
        <v>3.66</v>
      </c>
      <c r="Q27" s="26">
        <v>3.74</v>
      </c>
      <c r="R27" s="26">
        <v>3.71</v>
      </c>
      <c r="S27" s="26">
        <v>3.9</v>
      </c>
      <c r="T27" s="26">
        <v>3.89</v>
      </c>
      <c r="U27" s="26">
        <v>3.78</v>
      </c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</row>
    <row r="28" spans="1:39" ht="15.75" customHeight="1" x14ac:dyDescent="0.35">
      <c r="A28" s="42"/>
      <c r="B28" s="11"/>
      <c r="C28" s="21">
        <v>408</v>
      </c>
      <c r="D28" s="26">
        <v>3.1240000000000001</v>
      </c>
      <c r="E28" s="26">
        <v>3.29</v>
      </c>
      <c r="F28" s="26">
        <v>3.27</v>
      </c>
      <c r="G28" s="26">
        <v>3.25</v>
      </c>
      <c r="H28" s="26">
        <v>3.3</v>
      </c>
      <c r="I28" s="26">
        <v>3.31</v>
      </c>
      <c r="J28" s="26">
        <v>3.3</v>
      </c>
      <c r="K28" s="26">
        <v>3.34</v>
      </c>
      <c r="L28" s="26">
        <v>3.33</v>
      </c>
      <c r="M28" s="26">
        <v>3.42</v>
      </c>
      <c r="N28" s="26">
        <v>3.42</v>
      </c>
      <c r="O28" s="26">
        <v>3.44</v>
      </c>
      <c r="P28" s="26">
        <v>3.54</v>
      </c>
      <c r="Q28" s="26">
        <v>3.65</v>
      </c>
      <c r="R28" s="26">
        <v>3.5</v>
      </c>
      <c r="S28" s="26">
        <v>3.78</v>
      </c>
      <c r="T28" s="26">
        <v>3.74</v>
      </c>
      <c r="U28" s="26">
        <v>3.65</v>
      </c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</row>
    <row r="29" spans="1:39" ht="15.75" customHeight="1" x14ac:dyDescent="0.35">
      <c r="A29" s="42"/>
      <c r="B29" s="11" t="s">
        <v>30</v>
      </c>
      <c r="C29" s="21">
        <v>419</v>
      </c>
      <c r="D29" s="26">
        <v>4.0279999999999996</v>
      </c>
      <c r="E29" s="26">
        <v>4.1900000000000004</v>
      </c>
      <c r="F29" s="26">
        <v>4.22</v>
      </c>
      <c r="G29" s="26">
        <v>4.24</v>
      </c>
      <c r="H29" s="26">
        <v>4.26</v>
      </c>
      <c r="I29" s="26">
        <v>4.28</v>
      </c>
      <c r="J29" s="26">
        <v>4.26</v>
      </c>
      <c r="K29" s="26">
        <v>4.3099999999999996</v>
      </c>
      <c r="L29" s="26">
        <v>4.29</v>
      </c>
      <c r="M29" s="26">
        <v>4.4000000000000004</v>
      </c>
      <c r="N29" s="26">
        <v>4.4000000000000004</v>
      </c>
      <c r="O29" s="26">
        <v>4.41</v>
      </c>
      <c r="P29" s="26">
        <v>4.59</v>
      </c>
      <c r="Q29" s="26">
        <v>4.67</v>
      </c>
      <c r="R29" s="26">
        <v>4.66</v>
      </c>
      <c r="S29" s="26">
        <v>4.84</v>
      </c>
      <c r="T29" s="26">
        <v>4.82</v>
      </c>
      <c r="U29" s="26">
        <v>4.71</v>
      </c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</row>
    <row r="30" spans="1:39" ht="15.75" customHeight="1" x14ac:dyDescent="0.35">
      <c r="A30" s="42"/>
      <c r="B30" s="11"/>
      <c r="C30" s="21">
        <v>423</v>
      </c>
      <c r="D30" s="26">
        <v>4.0880000000000001</v>
      </c>
      <c r="E30" s="26">
        <v>4.3</v>
      </c>
      <c r="F30" s="26">
        <v>4.28</v>
      </c>
      <c r="G30" s="26">
        <v>4.29</v>
      </c>
      <c r="H30" s="26">
        <v>4.3099999999999996</v>
      </c>
      <c r="I30" s="26">
        <v>4.34</v>
      </c>
      <c r="J30" s="26">
        <v>4.33</v>
      </c>
      <c r="K30" s="26">
        <v>4.38</v>
      </c>
      <c r="L30" s="26">
        <v>4.37</v>
      </c>
      <c r="M30" s="26">
        <v>4.47</v>
      </c>
      <c r="N30" s="26">
        <v>4.47</v>
      </c>
      <c r="O30" s="26">
        <v>4.4800000000000004</v>
      </c>
      <c r="P30" s="26">
        <v>4.63</v>
      </c>
      <c r="Q30" s="26">
        <v>4.74</v>
      </c>
      <c r="R30" s="26">
        <v>4.71</v>
      </c>
      <c r="S30" s="26">
        <v>4.8899999999999997</v>
      </c>
      <c r="T30" s="26">
        <v>4.8899999999999997</v>
      </c>
      <c r="U30" s="26">
        <v>4.74</v>
      </c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</row>
    <row r="31" spans="1:39" ht="15.75" customHeight="1" x14ac:dyDescent="0.35">
      <c r="A31" s="42"/>
      <c r="B31" s="11"/>
      <c r="C31" s="22">
        <v>428</v>
      </c>
      <c r="D31" s="26">
        <v>3.8370000000000002</v>
      </c>
      <c r="E31" s="26">
        <v>4.04</v>
      </c>
      <c r="F31" s="26">
        <v>4.01</v>
      </c>
      <c r="G31" s="26">
        <v>4.0199999999999996</v>
      </c>
      <c r="H31" s="26">
        <v>4.07</v>
      </c>
      <c r="I31" s="26">
        <v>4.08</v>
      </c>
      <c r="J31" s="26">
        <v>4.0599999999999996</v>
      </c>
      <c r="K31" s="26">
        <v>4.0999999999999996</v>
      </c>
      <c r="L31" s="26">
        <v>4.09</v>
      </c>
      <c r="M31" s="26">
        <v>4.1900000000000004</v>
      </c>
      <c r="N31" s="26">
        <v>4.1900000000000004</v>
      </c>
      <c r="O31" s="26">
        <v>4.2</v>
      </c>
      <c r="P31" s="26">
        <v>4.34</v>
      </c>
      <c r="Q31" s="26">
        <v>4.42</v>
      </c>
      <c r="R31" s="26">
        <v>4.4000000000000004</v>
      </c>
      <c r="S31" s="26">
        <v>4.57</v>
      </c>
      <c r="T31" s="26">
        <v>4.58</v>
      </c>
      <c r="U31" s="26">
        <v>4.37</v>
      </c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</row>
    <row r="32" spans="1:39" ht="15.75" customHeight="1" x14ac:dyDescent="0.35">
      <c r="A32" s="42"/>
      <c r="B32" s="11" t="s">
        <v>31</v>
      </c>
      <c r="C32" s="21">
        <v>439</v>
      </c>
      <c r="D32" s="26">
        <v>2.8769999999999998</v>
      </c>
      <c r="E32" s="26">
        <v>3</v>
      </c>
      <c r="F32" s="26">
        <v>2.99</v>
      </c>
      <c r="G32" s="26">
        <v>3</v>
      </c>
      <c r="H32" s="26">
        <v>3.03</v>
      </c>
      <c r="I32" s="26">
        <v>3.04</v>
      </c>
      <c r="J32" s="26">
        <v>3.02</v>
      </c>
      <c r="K32" s="26">
        <v>3.06</v>
      </c>
      <c r="L32" s="26">
        <v>3.04</v>
      </c>
      <c r="M32" s="26">
        <v>3.12</v>
      </c>
      <c r="N32" s="26">
        <v>3.12</v>
      </c>
      <c r="O32" s="26">
        <v>3.12</v>
      </c>
      <c r="P32" s="26">
        <v>3.25</v>
      </c>
      <c r="Q32" s="26">
        <v>3.27</v>
      </c>
      <c r="R32" s="26">
        <v>3.25</v>
      </c>
      <c r="S32" s="26">
        <v>3.35</v>
      </c>
      <c r="T32" s="26">
        <v>3.34</v>
      </c>
      <c r="U32" s="26">
        <v>3.3</v>
      </c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</row>
    <row r="33" spans="1:39" ht="15.75" customHeight="1" x14ac:dyDescent="0.35">
      <c r="A33" s="42"/>
      <c r="B33" s="11"/>
      <c r="C33" s="21">
        <v>443</v>
      </c>
      <c r="D33" s="26">
        <v>2.91</v>
      </c>
      <c r="E33" s="26">
        <v>3.02</v>
      </c>
      <c r="F33" s="26">
        <v>3.03</v>
      </c>
      <c r="G33" s="26">
        <v>3.04</v>
      </c>
      <c r="H33" s="26">
        <v>3.05</v>
      </c>
      <c r="I33" s="26">
        <v>3.09</v>
      </c>
      <c r="J33" s="26">
        <v>3.05</v>
      </c>
      <c r="K33" s="26">
        <v>3.08</v>
      </c>
      <c r="L33" s="26">
        <v>3.07</v>
      </c>
      <c r="M33" s="26">
        <v>3.16</v>
      </c>
      <c r="N33" s="26">
        <v>3.16</v>
      </c>
      <c r="O33" s="26">
        <v>3.15</v>
      </c>
      <c r="P33" s="26">
        <v>3.28</v>
      </c>
      <c r="Q33" s="26">
        <v>3.3</v>
      </c>
      <c r="R33" s="26">
        <v>3.28</v>
      </c>
      <c r="S33" s="26">
        <v>3.38</v>
      </c>
      <c r="T33" s="26">
        <v>3.36</v>
      </c>
      <c r="U33" s="26">
        <v>3.32</v>
      </c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</row>
    <row r="34" spans="1:39" ht="15.75" customHeight="1" x14ac:dyDescent="0.35">
      <c r="A34" s="43"/>
      <c r="B34" s="11"/>
      <c r="C34" s="21">
        <v>448</v>
      </c>
      <c r="D34" s="26">
        <v>2.843</v>
      </c>
      <c r="E34" s="26">
        <v>2.97</v>
      </c>
      <c r="F34" s="26">
        <v>2.93</v>
      </c>
      <c r="G34" s="26">
        <v>2.95</v>
      </c>
      <c r="H34" s="26">
        <v>2.98</v>
      </c>
      <c r="I34" s="26">
        <v>3</v>
      </c>
      <c r="J34" s="26">
        <v>2.96</v>
      </c>
      <c r="K34" s="26">
        <v>3</v>
      </c>
      <c r="L34" s="26">
        <v>3</v>
      </c>
      <c r="M34" s="26">
        <v>3.06</v>
      </c>
      <c r="N34" s="26">
        <v>3.06</v>
      </c>
      <c r="O34" s="26">
        <v>3.06</v>
      </c>
      <c r="P34" s="26">
        <v>3.15</v>
      </c>
      <c r="Q34" s="26">
        <v>3.21</v>
      </c>
      <c r="R34" s="26">
        <v>3.17</v>
      </c>
      <c r="S34" s="26">
        <v>3.28</v>
      </c>
      <c r="T34" s="26">
        <v>3.29</v>
      </c>
      <c r="U34" s="26">
        <v>3.23</v>
      </c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</row>
    <row r="35" spans="1:39" ht="15.75" customHeight="1" x14ac:dyDescent="0.35">
      <c r="A35" s="44" t="s">
        <v>32</v>
      </c>
      <c r="B35" s="11" t="s">
        <v>33</v>
      </c>
      <c r="C35" s="21">
        <v>295</v>
      </c>
      <c r="D35" s="26">
        <v>5.0549999999999997</v>
      </c>
      <c r="E35" s="26">
        <v>5.13</v>
      </c>
      <c r="F35" s="26">
        <v>5.0999999999999996</v>
      </c>
      <c r="G35" s="26">
        <v>5.0999999999999996</v>
      </c>
      <c r="H35" s="26">
        <v>5.15</v>
      </c>
      <c r="I35" s="26">
        <v>5.16</v>
      </c>
      <c r="J35" s="26">
        <v>5.14</v>
      </c>
      <c r="K35" s="26">
        <v>5.24</v>
      </c>
      <c r="L35" s="26">
        <v>5.25</v>
      </c>
      <c r="M35" s="26">
        <v>5.37</v>
      </c>
      <c r="N35" s="26">
        <v>5.37</v>
      </c>
      <c r="O35" s="26">
        <v>5.38</v>
      </c>
      <c r="P35" s="26">
        <v>5.64</v>
      </c>
      <c r="Q35" s="26">
        <v>5.66</v>
      </c>
      <c r="R35" s="26">
        <v>5.67</v>
      </c>
      <c r="S35" s="26">
        <v>5.9</v>
      </c>
      <c r="T35" s="26">
        <v>5.94</v>
      </c>
      <c r="U35" s="26">
        <v>5.71</v>
      </c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</row>
    <row r="36" spans="1:39" ht="15.75" customHeight="1" x14ac:dyDescent="0.35">
      <c r="A36" s="42"/>
      <c r="B36" s="11"/>
      <c r="C36" s="21">
        <v>298</v>
      </c>
      <c r="D36" s="26">
        <v>5.4080000000000004</v>
      </c>
      <c r="E36" s="26">
        <v>5.5</v>
      </c>
      <c r="F36" s="26">
        <v>5.69</v>
      </c>
      <c r="G36" s="26">
        <v>5.68</v>
      </c>
      <c r="H36" s="26">
        <v>5.73</v>
      </c>
      <c r="I36" s="26">
        <v>5.74</v>
      </c>
      <c r="J36" s="26">
        <v>5.73</v>
      </c>
      <c r="K36" s="26">
        <v>5.84</v>
      </c>
      <c r="L36" s="26">
        <v>5.83</v>
      </c>
      <c r="M36" s="26">
        <v>6</v>
      </c>
      <c r="N36" s="26">
        <v>6</v>
      </c>
      <c r="O36" s="26">
        <v>5.99</v>
      </c>
      <c r="P36" s="26">
        <v>6.29</v>
      </c>
      <c r="Q36" s="26">
        <v>6.32</v>
      </c>
      <c r="R36" s="26">
        <v>6.31</v>
      </c>
      <c r="S36" s="26">
        <v>6.58</v>
      </c>
      <c r="T36" s="26">
        <v>6.6</v>
      </c>
      <c r="U36" s="26">
        <v>6.41</v>
      </c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</row>
    <row r="37" spans="1:39" ht="15.75" customHeight="1" x14ac:dyDescent="0.35">
      <c r="A37" s="42"/>
      <c r="B37" s="11"/>
      <c r="C37" s="21">
        <v>301</v>
      </c>
      <c r="D37" s="26">
        <v>5.218</v>
      </c>
      <c r="E37" s="26">
        <v>5.71</v>
      </c>
      <c r="F37" s="26">
        <v>5.49</v>
      </c>
      <c r="G37" s="26">
        <v>5.48</v>
      </c>
      <c r="H37" s="26">
        <v>5.53</v>
      </c>
      <c r="I37" s="26">
        <v>5.54</v>
      </c>
      <c r="J37" s="26">
        <v>5.54</v>
      </c>
      <c r="K37" s="26">
        <v>5.64</v>
      </c>
      <c r="L37" s="26">
        <v>5.65</v>
      </c>
      <c r="M37" s="26">
        <v>5.79</v>
      </c>
      <c r="N37" s="26">
        <v>5.79</v>
      </c>
      <c r="O37" s="26">
        <v>5.79</v>
      </c>
      <c r="P37" s="26">
        <v>6.07</v>
      </c>
      <c r="Q37" s="26">
        <v>6.09</v>
      </c>
      <c r="R37" s="26">
        <v>6.09</v>
      </c>
      <c r="S37" s="26">
        <v>6.34</v>
      </c>
      <c r="T37" s="26">
        <v>6.37</v>
      </c>
      <c r="U37" s="26">
        <v>6.2</v>
      </c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</row>
    <row r="38" spans="1:39" ht="15.75" customHeight="1" x14ac:dyDescent="0.35">
      <c r="A38" s="42"/>
      <c r="B38" s="11" t="s">
        <v>34</v>
      </c>
      <c r="C38" s="21">
        <v>6</v>
      </c>
      <c r="D38" s="26">
        <v>3.7240000000000002</v>
      </c>
      <c r="E38" s="26">
        <v>3.92</v>
      </c>
      <c r="F38" s="26">
        <v>3.95</v>
      </c>
      <c r="G38" s="26">
        <v>3.95</v>
      </c>
      <c r="H38" s="26">
        <v>3.99</v>
      </c>
      <c r="I38" s="26">
        <v>4</v>
      </c>
      <c r="J38" s="26">
        <v>3.98</v>
      </c>
      <c r="K38" s="26">
        <v>4.08</v>
      </c>
      <c r="L38" s="26">
        <v>4.08</v>
      </c>
      <c r="M38" s="26">
        <v>4.22</v>
      </c>
      <c r="N38" s="26">
        <v>4.21</v>
      </c>
      <c r="O38" s="26">
        <v>4.21</v>
      </c>
      <c r="P38" s="26">
        <v>4.4400000000000004</v>
      </c>
      <c r="Q38" s="26">
        <v>4.47</v>
      </c>
      <c r="R38" s="26">
        <v>4.45</v>
      </c>
      <c r="S38" s="26">
        <v>4.7</v>
      </c>
      <c r="T38" s="26">
        <v>4.6900000000000004</v>
      </c>
      <c r="U38" s="26">
        <v>4.3600000000000003</v>
      </c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</row>
    <row r="39" spans="1:39" ht="15.75" customHeight="1" x14ac:dyDescent="0.35">
      <c r="A39" s="42"/>
      <c r="B39" s="11"/>
      <c r="C39" s="21">
        <v>10</v>
      </c>
      <c r="D39" s="26">
        <v>3.6709999999999998</v>
      </c>
      <c r="E39" s="26">
        <v>3.88</v>
      </c>
      <c r="F39" s="26">
        <v>3.88</v>
      </c>
      <c r="G39" s="26">
        <v>3.87</v>
      </c>
      <c r="H39" s="26">
        <v>3.92</v>
      </c>
      <c r="I39" s="26">
        <v>3.92</v>
      </c>
      <c r="J39" s="26">
        <v>3.9</v>
      </c>
      <c r="K39" s="26">
        <v>4</v>
      </c>
      <c r="L39" s="26">
        <v>3.99</v>
      </c>
      <c r="M39" s="26">
        <v>4.1100000000000003</v>
      </c>
      <c r="N39" s="26">
        <v>4.12</v>
      </c>
      <c r="O39" s="26">
        <v>4.1100000000000003</v>
      </c>
      <c r="P39" s="26">
        <v>4.29</v>
      </c>
      <c r="Q39" s="26">
        <v>4.38</v>
      </c>
      <c r="R39" s="26">
        <v>4.3499999999999996</v>
      </c>
      <c r="S39" s="26">
        <v>4.5599999999999996</v>
      </c>
      <c r="T39" s="26">
        <v>4.5599999999999996</v>
      </c>
      <c r="U39" s="26">
        <v>4.32</v>
      </c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</row>
    <row r="40" spans="1:39" ht="15.75" customHeight="1" x14ac:dyDescent="0.35">
      <c r="A40" s="42"/>
      <c r="B40" s="11"/>
      <c r="C40" s="21">
        <v>14</v>
      </c>
      <c r="D40" s="26">
        <v>3.8650000000000002</v>
      </c>
      <c r="E40" s="26">
        <v>4.1100000000000003</v>
      </c>
      <c r="F40" s="26">
        <v>4.08</v>
      </c>
      <c r="G40" s="26">
        <v>4.07</v>
      </c>
      <c r="H40" s="26">
        <v>4.12</v>
      </c>
      <c r="I40" s="26">
        <v>4.13</v>
      </c>
      <c r="J40" s="26">
        <v>4.1100000000000003</v>
      </c>
      <c r="K40" s="26">
        <v>4.22</v>
      </c>
      <c r="L40" s="26">
        <v>4.21</v>
      </c>
      <c r="M40" s="26">
        <v>4.3499999999999996</v>
      </c>
      <c r="N40" s="26">
        <v>4.34</v>
      </c>
      <c r="O40" s="26">
        <v>4.33</v>
      </c>
      <c r="P40" s="26">
        <v>4.55</v>
      </c>
      <c r="Q40" s="26">
        <v>4.6100000000000003</v>
      </c>
      <c r="R40" s="26">
        <v>4.58</v>
      </c>
      <c r="S40" s="26">
        <v>4.82</v>
      </c>
      <c r="T40" s="26">
        <v>4.8099999999999996</v>
      </c>
      <c r="U40" s="26">
        <v>4.6100000000000003</v>
      </c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</row>
    <row r="41" spans="1:39" ht="15.75" customHeight="1" x14ac:dyDescent="0.35">
      <c r="A41" s="42"/>
      <c r="B41" s="11" t="s">
        <v>35</v>
      </c>
      <c r="C41" s="21">
        <v>26</v>
      </c>
      <c r="D41" s="26">
        <v>4.22</v>
      </c>
      <c r="E41" s="26">
        <v>4.49</v>
      </c>
      <c r="F41" s="26">
        <v>4.46</v>
      </c>
      <c r="G41" s="26">
        <v>4.46</v>
      </c>
      <c r="H41" s="26">
        <v>4.51</v>
      </c>
      <c r="I41" s="26">
        <v>4.5199999999999996</v>
      </c>
      <c r="J41" s="26">
        <v>4.49</v>
      </c>
      <c r="K41" s="26">
        <v>4.5999999999999996</v>
      </c>
      <c r="L41" s="26">
        <v>4.5999999999999996</v>
      </c>
      <c r="M41" s="26">
        <v>4.7699999999999996</v>
      </c>
      <c r="N41" s="26">
        <v>4.75</v>
      </c>
      <c r="O41" s="26">
        <v>4.72</v>
      </c>
      <c r="P41" s="26">
        <v>5.04</v>
      </c>
      <c r="Q41" s="26">
        <v>5.09</v>
      </c>
      <c r="R41" s="26">
        <v>5.07</v>
      </c>
      <c r="S41" s="26">
        <v>5.4</v>
      </c>
      <c r="T41" s="26">
        <v>5.78</v>
      </c>
      <c r="U41" s="26">
        <v>5.0999999999999996</v>
      </c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</row>
    <row r="42" spans="1:39" ht="15.75" customHeight="1" x14ac:dyDescent="0.35">
      <c r="A42" s="42"/>
      <c r="B42" s="11"/>
      <c r="C42" s="21">
        <v>30</v>
      </c>
      <c r="D42" s="26">
        <v>4.1959999999999997</v>
      </c>
      <c r="E42" s="26">
        <v>4.4400000000000004</v>
      </c>
      <c r="F42" s="26">
        <v>4.4400000000000004</v>
      </c>
      <c r="G42" s="26">
        <v>4.45</v>
      </c>
      <c r="H42" s="26">
        <v>4.49</v>
      </c>
      <c r="I42" s="26">
        <v>4.51</v>
      </c>
      <c r="J42" s="26">
        <v>4.47</v>
      </c>
      <c r="K42" s="26">
        <v>4.58</v>
      </c>
      <c r="L42" s="26">
        <v>4.59</v>
      </c>
      <c r="M42" s="26">
        <v>4.7300000000000004</v>
      </c>
      <c r="N42" s="26">
        <v>4.72</v>
      </c>
      <c r="O42" s="26">
        <v>4.71</v>
      </c>
      <c r="P42" s="26">
        <v>5.0199999999999996</v>
      </c>
      <c r="Q42" s="26">
        <v>5.07</v>
      </c>
      <c r="R42" s="26">
        <v>5.05</v>
      </c>
      <c r="S42" s="26">
        <v>5.38</v>
      </c>
      <c r="T42" s="26">
        <v>5.37</v>
      </c>
      <c r="U42" s="26">
        <v>5.0199999999999996</v>
      </c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</row>
    <row r="43" spans="1:39" ht="15.75" customHeight="1" x14ac:dyDescent="0.35">
      <c r="A43" s="42"/>
      <c r="B43" s="11"/>
      <c r="C43" s="21">
        <v>34</v>
      </c>
      <c r="D43" s="26">
        <v>4.2309999999999999</v>
      </c>
      <c r="E43" s="26">
        <v>4.47</v>
      </c>
      <c r="F43" s="26">
        <v>4.47</v>
      </c>
      <c r="G43" s="26">
        <v>4.4800000000000004</v>
      </c>
      <c r="H43" s="26">
        <v>4.51</v>
      </c>
      <c r="I43" s="26">
        <v>4.54</v>
      </c>
      <c r="J43" s="26">
        <v>4.5</v>
      </c>
      <c r="K43" s="26">
        <v>4.63</v>
      </c>
      <c r="L43" s="26">
        <v>4.62</v>
      </c>
      <c r="M43" s="26">
        <v>4.76</v>
      </c>
      <c r="N43" s="26">
        <v>4.76</v>
      </c>
      <c r="O43" s="26">
        <v>4.74</v>
      </c>
      <c r="P43" s="26">
        <v>5.03</v>
      </c>
      <c r="Q43" s="26">
        <v>5.07</v>
      </c>
      <c r="R43" s="26">
        <v>5.05</v>
      </c>
      <c r="S43" s="26">
        <v>5.3</v>
      </c>
      <c r="T43" s="26">
        <v>5.32</v>
      </c>
      <c r="U43" s="26">
        <v>4.92</v>
      </c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</row>
    <row r="44" spans="1:39" ht="15.75" customHeight="1" x14ac:dyDescent="0.35">
      <c r="A44" s="42"/>
      <c r="B44" s="11" t="s">
        <v>36</v>
      </c>
      <c r="C44" s="21">
        <v>46</v>
      </c>
      <c r="D44" s="26">
        <v>5.0439999999999996</v>
      </c>
      <c r="E44" s="26">
        <v>5.34</v>
      </c>
      <c r="F44" s="26">
        <v>5.35</v>
      </c>
      <c r="G44" s="26">
        <v>5.32</v>
      </c>
      <c r="H44" s="26">
        <v>5.35</v>
      </c>
      <c r="I44" s="26">
        <v>5.4</v>
      </c>
      <c r="J44" s="26">
        <v>5.37</v>
      </c>
      <c r="K44" s="26">
        <v>5.48</v>
      </c>
      <c r="L44" s="26">
        <v>5.47</v>
      </c>
      <c r="M44" s="26">
        <v>5.63</v>
      </c>
      <c r="N44" s="26">
        <v>5.64</v>
      </c>
      <c r="O44" s="26">
        <v>5.62</v>
      </c>
      <c r="P44" s="26">
        <v>5.86</v>
      </c>
      <c r="Q44" s="26">
        <v>5.92</v>
      </c>
      <c r="R44" s="26">
        <v>5.9</v>
      </c>
      <c r="S44" s="26">
        <v>6.1</v>
      </c>
      <c r="T44" s="26">
        <v>6.13</v>
      </c>
      <c r="U44" s="26">
        <v>5.98</v>
      </c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</row>
    <row r="45" spans="1:39" ht="15.75" customHeight="1" x14ac:dyDescent="0.35">
      <c r="A45" s="42"/>
      <c r="B45" s="11"/>
      <c r="C45" s="21">
        <v>50</v>
      </c>
      <c r="D45" s="26">
        <v>5.4089999999999998</v>
      </c>
      <c r="E45" s="26">
        <v>5.71</v>
      </c>
      <c r="F45" s="26">
        <v>5.72</v>
      </c>
      <c r="G45" s="27">
        <v>5.72</v>
      </c>
      <c r="H45" s="26">
        <v>5.77</v>
      </c>
      <c r="I45" s="26">
        <v>5.79</v>
      </c>
      <c r="J45" s="26">
        <v>5.76</v>
      </c>
      <c r="K45" s="26">
        <v>5.89</v>
      </c>
      <c r="L45" s="26">
        <v>5.88</v>
      </c>
      <c r="M45" s="26">
        <v>6.03</v>
      </c>
      <c r="N45" s="26">
        <v>6.02</v>
      </c>
      <c r="O45" s="26">
        <v>6.01</v>
      </c>
      <c r="P45" s="26">
        <v>6.22</v>
      </c>
      <c r="Q45" s="26">
        <v>6.31</v>
      </c>
      <c r="R45" s="26">
        <v>6.31</v>
      </c>
      <c r="S45" s="26">
        <v>6.48</v>
      </c>
      <c r="T45" s="26">
        <v>6.5</v>
      </c>
      <c r="U45" s="26">
        <v>6.37</v>
      </c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</row>
    <row r="46" spans="1:39" ht="15.75" customHeight="1" x14ac:dyDescent="0.35">
      <c r="A46" s="42"/>
      <c r="B46" s="11"/>
      <c r="C46" s="21">
        <v>54</v>
      </c>
      <c r="D46" s="26">
        <v>5.1749999999999998</v>
      </c>
      <c r="E46" s="26">
        <v>5.47</v>
      </c>
      <c r="F46" s="26">
        <v>5.48</v>
      </c>
      <c r="G46" s="27">
        <v>5.44</v>
      </c>
      <c r="H46" s="26">
        <v>5.51</v>
      </c>
      <c r="I46" s="26">
        <v>5.52</v>
      </c>
      <c r="J46" s="26">
        <v>5.5</v>
      </c>
      <c r="K46" s="26">
        <v>5.61</v>
      </c>
      <c r="L46" s="26">
        <v>5.59</v>
      </c>
      <c r="M46" s="26">
        <v>5.78</v>
      </c>
      <c r="N46" s="26">
        <v>5.77</v>
      </c>
      <c r="O46" s="26">
        <v>5.75</v>
      </c>
      <c r="P46" s="26">
        <v>5.96</v>
      </c>
      <c r="Q46" s="26">
        <v>6.01</v>
      </c>
      <c r="R46" s="26">
        <v>6.01</v>
      </c>
      <c r="S46" s="26">
        <v>6.22</v>
      </c>
      <c r="T46" s="26">
        <v>6.23</v>
      </c>
      <c r="U46" s="26">
        <v>6.06</v>
      </c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</row>
    <row r="47" spans="1:39" ht="15.75" customHeight="1" x14ac:dyDescent="0.35">
      <c r="A47" s="42"/>
      <c r="B47" s="11" t="s">
        <v>37</v>
      </c>
      <c r="C47" s="21">
        <v>67</v>
      </c>
      <c r="D47" s="26">
        <v>4.4749999999999996</v>
      </c>
      <c r="E47" s="26">
        <v>4.74</v>
      </c>
      <c r="F47" s="26">
        <v>4.7300000000000004</v>
      </c>
      <c r="G47" s="26">
        <v>4.72</v>
      </c>
      <c r="H47" s="26">
        <v>4.7699999999999996</v>
      </c>
      <c r="I47" s="26">
        <v>4.7699999999999996</v>
      </c>
      <c r="J47" s="26">
        <v>4.75</v>
      </c>
      <c r="K47" s="26">
        <v>4.83</v>
      </c>
      <c r="L47" s="26">
        <v>4.84</v>
      </c>
      <c r="M47" s="26">
        <v>5.0199999999999996</v>
      </c>
      <c r="N47" s="26">
        <v>5.0199999999999996</v>
      </c>
      <c r="O47" s="27">
        <v>5</v>
      </c>
      <c r="P47" s="26">
        <v>5.27</v>
      </c>
      <c r="Q47" s="26">
        <v>5.32</v>
      </c>
      <c r="R47" s="26">
        <v>5.3</v>
      </c>
      <c r="S47" s="26">
        <v>5.56</v>
      </c>
      <c r="T47" s="26">
        <v>5.54</v>
      </c>
      <c r="U47" s="26">
        <v>5.4</v>
      </c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</row>
    <row r="48" spans="1:39" ht="15.75" customHeight="1" x14ac:dyDescent="0.35">
      <c r="A48" s="42"/>
      <c r="B48" s="11"/>
      <c r="C48" s="21">
        <v>71</v>
      </c>
      <c r="D48" s="26">
        <v>4.8330000000000002</v>
      </c>
      <c r="E48" s="26">
        <v>5.1100000000000003</v>
      </c>
      <c r="F48" s="26">
        <v>5.12</v>
      </c>
      <c r="G48" s="26">
        <v>5.0999999999999996</v>
      </c>
      <c r="H48" s="26">
        <v>5.14</v>
      </c>
      <c r="I48" s="26">
        <v>5.16</v>
      </c>
      <c r="J48" s="26">
        <v>5.14</v>
      </c>
      <c r="K48" s="26">
        <v>5.24</v>
      </c>
      <c r="L48" s="26">
        <v>5.25</v>
      </c>
      <c r="M48" s="26">
        <v>5.43</v>
      </c>
      <c r="N48" s="26">
        <v>5.41</v>
      </c>
      <c r="O48" s="27">
        <v>5.39</v>
      </c>
      <c r="P48" s="26">
        <v>5.66</v>
      </c>
      <c r="Q48" s="26">
        <v>5.73</v>
      </c>
      <c r="R48" s="26">
        <v>5.67</v>
      </c>
      <c r="S48" s="26">
        <v>5.98</v>
      </c>
      <c r="T48" s="26">
        <v>5.9630000000000001</v>
      </c>
      <c r="U48" s="26">
        <v>5.81</v>
      </c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</row>
    <row r="49" spans="1:39" ht="15.75" customHeight="1" x14ac:dyDescent="0.35">
      <c r="A49" s="42"/>
      <c r="B49" s="11"/>
      <c r="C49" s="21">
        <v>75</v>
      </c>
      <c r="D49" s="26">
        <v>5.0369999999999999</v>
      </c>
      <c r="E49" s="26">
        <v>5.35</v>
      </c>
      <c r="F49" s="26">
        <v>5.34</v>
      </c>
      <c r="G49" s="26">
        <v>5.28</v>
      </c>
      <c r="H49" s="26">
        <v>5.37</v>
      </c>
      <c r="I49" s="26">
        <v>5.39</v>
      </c>
      <c r="J49" s="26">
        <v>5.36</v>
      </c>
      <c r="K49" s="26">
        <v>5.47</v>
      </c>
      <c r="L49" s="26">
        <v>5.46</v>
      </c>
      <c r="M49" s="26">
        <v>5.67</v>
      </c>
      <c r="N49" s="26">
        <v>5.67</v>
      </c>
      <c r="O49" s="27">
        <v>5.64</v>
      </c>
      <c r="P49" s="26">
        <v>5.9</v>
      </c>
      <c r="Q49" s="26">
        <v>5.95</v>
      </c>
      <c r="R49" s="26">
        <v>5.91</v>
      </c>
      <c r="S49" s="26">
        <v>6.2</v>
      </c>
      <c r="T49" s="26">
        <v>6.24</v>
      </c>
      <c r="U49" s="26">
        <v>6.04</v>
      </c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</row>
    <row r="50" spans="1:39" ht="15.75" customHeight="1" x14ac:dyDescent="0.35">
      <c r="A50" s="42"/>
      <c r="B50" s="11" t="s">
        <v>38</v>
      </c>
      <c r="C50" s="21">
        <v>87</v>
      </c>
      <c r="D50" s="26">
        <v>5.1820000000000004</v>
      </c>
      <c r="E50" s="26">
        <v>5.49</v>
      </c>
      <c r="F50" s="26">
        <v>5.45</v>
      </c>
      <c r="G50" s="26">
        <v>5.45</v>
      </c>
      <c r="H50" s="26">
        <v>5.49</v>
      </c>
      <c r="I50" s="26">
        <v>5.54</v>
      </c>
      <c r="J50" s="26">
        <v>5.51</v>
      </c>
      <c r="K50" s="26">
        <v>5.63</v>
      </c>
      <c r="L50" s="26">
        <v>5.6</v>
      </c>
      <c r="M50" s="26">
        <v>5.76</v>
      </c>
      <c r="N50" s="26">
        <v>5.78</v>
      </c>
      <c r="O50" s="27">
        <v>5.75</v>
      </c>
      <c r="P50" s="26">
        <v>5.91</v>
      </c>
      <c r="Q50" s="26">
        <v>6</v>
      </c>
      <c r="R50" s="26">
        <v>5.97</v>
      </c>
      <c r="S50" s="26">
        <v>6.17</v>
      </c>
      <c r="T50" s="26">
        <v>6.2</v>
      </c>
      <c r="U50" s="26">
        <v>6.18</v>
      </c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</row>
    <row r="51" spans="1:39" ht="15.75" customHeight="1" x14ac:dyDescent="0.35">
      <c r="A51" s="42"/>
      <c r="B51" s="11"/>
      <c r="C51" s="21">
        <v>91</v>
      </c>
      <c r="D51" s="26">
        <v>5.0339999999999998</v>
      </c>
      <c r="E51" s="26">
        <v>5.31</v>
      </c>
      <c r="F51" s="26">
        <v>5.33</v>
      </c>
      <c r="G51" s="26">
        <v>5.31</v>
      </c>
      <c r="H51" s="26">
        <v>5.37</v>
      </c>
      <c r="I51" s="26">
        <v>5.38</v>
      </c>
      <c r="J51" s="26">
        <v>5.36</v>
      </c>
      <c r="K51" s="26">
        <v>5.44</v>
      </c>
      <c r="L51" s="26">
        <v>5.46</v>
      </c>
      <c r="M51" s="26">
        <v>5.62</v>
      </c>
      <c r="N51" s="26">
        <v>5.6</v>
      </c>
      <c r="O51" s="26">
        <v>5.6</v>
      </c>
      <c r="P51" s="26">
        <v>5.75</v>
      </c>
      <c r="Q51" s="26">
        <v>5.85</v>
      </c>
      <c r="R51" s="26">
        <v>5.82</v>
      </c>
      <c r="S51" s="26">
        <v>6</v>
      </c>
      <c r="T51" s="26">
        <v>6.02</v>
      </c>
      <c r="U51" s="26">
        <v>5.98</v>
      </c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</row>
    <row r="52" spans="1:39" ht="15.75" customHeight="1" x14ac:dyDescent="0.35">
      <c r="A52" s="42"/>
      <c r="B52" s="11"/>
      <c r="C52" s="21">
        <v>95</v>
      </c>
      <c r="D52" s="26">
        <v>5.39</v>
      </c>
      <c r="E52" s="26">
        <v>5.71</v>
      </c>
      <c r="F52" s="26">
        <v>5.71</v>
      </c>
      <c r="G52" s="26">
        <v>5.68</v>
      </c>
      <c r="H52" s="26">
        <v>5.75</v>
      </c>
      <c r="I52" s="26">
        <v>5.77</v>
      </c>
      <c r="J52" s="26">
        <v>5.75</v>
      </c>
      <c r="K52" s="26">
        <v>5.86</v>
      </c>
      <c r="L52" s="26">
        <v>5.84</v>
      </c>
      <c r="M52" s="26">
        <v>6.04</v>
      </c>
      <c r="N52" s="26">
        <v>6</v>
      </c>
      <c r="O52" s="26">
        <v>6</v>
      </c>
      <c r="P52" s="26">
        <v>6.22</v>
      </c>
      <c r="Q52" s="26">
        <v>6.29</v>
      </c>
      <c r="R52" s="26">
        <v>6.25</v>
      </c>
      <c r="S52" s="26">
        <v>6.51</v>
      </c>
      <c r="T52" s="26">
        <v>6.49</v>
      </c>
      <c r="U52" s="26">
        <v>6.39</v>
      </c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</row>
    <row r="53" spans="1:39" ht="15.75" customHeight="1" x14ac:dyDescent="0.35">
      <c r="A53" s="42"/>
      <c r="B53" s="11" t="s">
        <v>39</v>
      </c>
      <c r="C53" s="21">
        <v>107</v>
      </c>
      <c r="D53" s="26">
        <v>5.7370000000000001</v>
      </c>
      <c r="E53" s="26">
        <v>6.08</v>
      </c>
      <c r="F53" s="26">
        <v>6.07</v>
      </c>
      <c r="G53" s="26">
        <v>6.05</v>
      </c>
      <c r="H53" s="26">
        <v>6.12</v>
      </c>
      <c r="I53" s="26">
        <v>6.12</v>
      </c>
      <c r="J53" s="26">
        <v>6.11</v>
      </c>
      <c r="K53" s="26">
        <v>6.2</v>
      </c>
      <c r="L53" s="26">
        <v>6.21</v>
      </c>
      <c r="M53" s="26">
        <v>6.41</v>
      </c>
      <c r="N53" s="26">
        <v>6.38</v>
      </c>
      <c r="O53" s="26">
        <v>6.36</v>
      </c>
      <c r="P53" s="26">
        <v>6.67</v>
      </c>
      <c r="Q53" s="26">
        <v>6.72</v>
      </c>
      <c r="R53" s="26">
        <v>6.7</v>
      </c>
      <c r="S53" s="26">
        <v>7.03</v>
      </c>
      <c r="T53" s="26">
        <v>7.06</v>
      </c>
      <c r="U53" s="26">
        <v>6.91</v>
      </c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</row>
    <row r="54" spans="1:39" ht="15.75" customHeight="1" x14ac:dyDescent="0.35">
      <c r="A54" s="42"/>
      <c r="B54" s="11"/>
      <c r="C54" s="21">
        <v>111</v>
      </c>
      <c r="D54" s="26">
        <v>5.9829999999999997</v>
      </c>
      <c r="E54" s="26">
        <v>6.34</v>
      </c>
      <c r="F54" s="26">
        <v>6.33</v>
      </c>
      <c r="G54" s="26">
        <v>6.3</v>
      </c>
      <c r="H54" s="26">
        <v>6.38</v>
      </c>
      <c r="I54" s="26">
        <v>6.36</v>
      </c>
      <c r="J54" s="26">
        <v>6.38</v>
      </c>
      <c r="K54" s="26">
        <v>6.48</v>
      </c>
      <c r="L54" s="26">
        <v>6.48</v>
      </c>
      <c r="M54" s="26">
        <v>6.68</v>
      </c>
      <c r="N54" s="26">
        <v>6.65</v>
      </c>
      <c r="O54" s="26">
        <v>6.63</v>
      </c>
      <c r="P54" s="26">
        <v>6.96</v>
      </c>
      <c r="Q54" s="26">
        <v>7</v>
      </c>
      <c r="R54" s="26">
        <v>6.98</v>
      </c>
      <c r="S54" s="26">
        <v>7.26</v>
      </c>
      <c r="T54" s="26">
        <v>7.31</v>
      </c>
      <c r="U54" s="26">
        <v>7.21</v>
      </c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</row>
    <row r="55" spans="1:39" ht="15.75" customHeight="1" x14ac:dyDescent="0.35">
      <c r="A55" s="42"/>
      <c r="B55" s="11"/>
      <c r="C55" s="21">
        <v>115</v>
      </c>
      <c r="D55" s="26">
        <v>5.6390000000000002</v>
      </c>
      <c r="E55" s="26">
        <v>5.96</v>
      </c>
      <c r="F55" s="26">
        <v>5.96</v>
      </c>
      <c r="G55" s="26">
        <v>5.94</v>
      </c>
      <c r="H55" s="26">
        <v>6.01</v>
      </c>
      <c r="I55" s="26">
        <v>6.01</v>
      </c>
      <c r="J55" s="26">
        <v>6.01</v>
      </c>
      <c r="K55" s="26">
        <v>6.1</v>
      </c>
      <c r="L55" s="26">
        <v>6.11</v>
      </c>
      <c r="M55" s="26">
        <v>6.28</v>
      </c>
      <c r="N55" s="26">
        <v>6.26</v>
      </c>
      <c r="O55" s="26">
        <v>6.24</v>
      </c>
      <c r="P55" s="26">
        <v>6.58</v>
      </c>
      <c r="Q55" s="26">
        <v>6.63</v>
      </c>
      <c r="R55" s="26">
        <v>6.61</v>
      </c>
      <c r="S55" s="26">
        <v>6.93</v>
      </c>
      <c r="T55" s="26">
        <v>6.94</v>
      </c>
      <c r="U55" s="26">
        <v>6.83</v>
      </c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</row>
    <row r="56" spans="1:39" ht="15.75" customHeight="1" x14ac:dyDescent="0.35">
      <c r="A56" s="42"/>
      <c r="B56" s="11" t="s">
        <v>40</v>
      </c>
      <c r="C56" s="21">
        <v>128</v>
      </c>
      <c r="D56" s="26">
        <v>2.456</v>
      </c>
      <c r="E56" s="26">
        <v>2.59</v>
      </c>
      <c r="F56" s="26">
        <v>2.58</v>
      </c>
      <c r="G56" s="26">
        <v>2.56</v>
      </c>
      <c r="H56" s="26">
        <v>2.6</v>
      </c>
      <c r="I56" s="26">
        <v>2.6</v>
      </c>
      <c r="J56" s="26">
        <v>2.59</v>
      </c>
      <c r="K56" s="26">
        <v>2.65</v>
      </c>
      <c r="L56" s="26">
        <v>2.65</v>
      </c>
      <c r="M56" s="26">
        <v>2.74</v>
      </c>
      <c r="N56" s="26">
        <v>2.71</v>
      </c>
      <c r="O56" s="26">
        <v>2.7</v>
      </c>
      <c r="P56" s="26">
        <v>2.91</v>
      </c>
      <c r="Q56" s="26">
        <v>2.85</v>
      </c>
      <c r="R56" s="26">
        <v>2.85</v>
      </c>
      <c r="S56" s="26">
        <v>2.97</v>
      </c>
      <c r="T56" s="26">
        <v>3</v>
      </c>
      <c r="U56" s="26">
        <v>2.91</v>
      </c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</row>
    <row r="57" spans="1:39" ht="15.75" customHeight="1" x14ac:dyDescent="0.35">
      <c r="A57" s="42"/>
      <c r="B57" s="11"/>
      <c r="C57" s="21">
        <v>133</v>
      </c>
      <c r="D57" s="26">
        <v>2.3740000000000001</v>
      </c>
      <c r="E57" s="26">
        <v>2.5</v>
      </c>
      <c r="F57" s="26">
        <v>2.5099999999999998</v>
      </c>
      <c r="G57" s="27">
        <v>2.46</v>
      </c>
      <c r="H57" s="26">
        <v>2.52</v>
      </c>
      <c r="I57" s="26">
        <v>2.52</v>
      </c>
      <c r="J57" s="26">
        <v>2.5099999999999998</v>
      </c>
      <c r="K57" s="26">
        <v>2.56</v>
      </c>
      <c r="L57" s="26">
        <v>2.56</v>
      </c>
      <c r="M57" s="26">
        <v>2.66</v>
      </c>
      <c r="N57" s="26">
        <v>2.64</v>
      </c>
      <c r="O57" s="26">
        <v>2.62</v>
      </c>
      <c r="P57" s="26">
        <v>2.73</v>
      </c>
      <c r="Q57" s="26">
        <v>2.75</v>
      </c>
      <c r="R57" s="26">
        <v>2.74</v>
      </c>
      <c r="S57" s="26">
        <v>2.86</v>
      </c>
      <c r="T57" s="26">
        <v>2.89</v>
      </c>
      <c r="U57" s="26">
        <v>2.73</v>
      </c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</row>
    <row r="58" spans="1:39" ht="15.75" customHeight="1" x14ac:dyDescent="0.35">
      <c r="A58" s="42"/>
      <c r="B58" s="11"/>
      <c r="C58" s="21">
        <v>139</v>
      </c>
      <c r="D58" s="26">
        <v>2.3769999999999998</v>
      </c>
      <c r="E58" s="26">
        <v>2.5099999999999998</v>
      </c>
      <c r="F58" s="26">
        <v>2.5099999999999998</v>
      </c>
      <c r="G58" s="26">
        <v>2.48</v>
      </c>
      <c r="H58" s="26">
        <v>2.52</v>
      </c>
      <c r="I58" s="26">
        <v>2.5299999999999998</v>
      </c>
      <c r="J58" s="26">
        <v>2.5299999999999998</v>
      </c>
      <c r="K58" s="26">
        <v>2.56</v>
      </c>
      <c r="L58" s="26">
        <v>2.56</v>
      </c>
      <c r="M58" s="26">
        <v>2.69</v>
      </c>
      <c r="N58" s="26">
        <v>2.64</v>
      </c>
      <c r="O58" s="26">
        <v>2.64</v>
      </c>
      <c r="P58" s="26">
        <v>2.79</v>
      </c>
      <c r="Q58" s="26">
        <v>2.8</v>
      </c>
      <c r="R58" s="26">
        <v>2.78</v>
      </c>
      <c r="S58" s="26">
        <v>2.93</v>
      </c>
      <c r="T58" s="26">
        <v>2.94</v>
      </c>
      <c r="U58" s="26">
        <v>2.79</v>
      </c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</row>
    <row r="59" spans="1:39" ht="15.75" customHeight="1" x14ac:dyDescent="0.35">
      <c r="A59" s="42"/>
      <c r="B59" s="11" t="s">
        <v>41</v>
      </c>
      <c r="C59" s="21">
        <v>150</v>
      </c>
      <c r="D59" s="26">
        <v>3</v>
      </c>
      <c r="E59" s="26">
        <v>3.19</v>
      </c>
      <c r="F59" s="26">
        <v>3.19</v>
      </c>
      <c r="G59" s="26">
        <v>3.19</v>
      </c>
      <c r="H59" s="26">
        <v>3.24</v>
      </c>
      <c r="I59" s="26">
        <v>3.24</v>
      </c>
      <c r="J59" s="26">
        <v>3.24</v>
      </c>
      <c r="K59" s="26">
        <v>3.3</v>
      </c>
      <c r="L59" s="26">
        <v>3.3</v>
      </c>
      <c r="M59" s="26">
        <v>3.49</v>
      </c>
      <c r="N59" s="26">
        <v>3.45</v>
      </c>
      <c r="O59" s="26">
        <v>3.43</v>
      </c>
      <c r="P59" s="26">
        <v>3.74</v>
      </c>
      <c r="Q59" s="26">
        <v>3.72</v>
      </c>
      <c r="R59" s="26">
        <v>3.7</v>
      </c>
      <c r="S59" s="26">
        <v>4.0199999999999996</v>
      </c>
      <c r="T59" s="26">
        <v>4.0599999999999996</v>
      </c>
      <c r="U59" s="26">
        <v>3.74</v>
      </c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</row>
    <row r="60" spans="1:39" ht="15.75" customHeight="1" x14ac:dyDescent="0.35">
      <c r="A60" s="42"/>
      <c r="B60" s="11"/>
      <c r="C60" s="21">
        <v>156</v>
      </c>
      <c r="D60" s="26">
        <v>3.43</v>
      </c>
      <c r="E60" s="26">
        <v>3.66</v>
      </c>
      <c r="F60" s="26">
        <v>3.65</v>
      </c>
      <c r="G60" s="26">
        <v>3.6</v>
      </c>
      <c r="H60" s="26">
        <v>3.69</v>
      </c>
      <c r="I60" s="26">
        <v>3.71</v>
      </c>
      <c r="J60" s="26">
        <v>3.68</v>
      </c>
      <c r="K60" s="26">
        <v>3.78</v>
      </c>
      <c r="L60" s="26">
        <v>3.7890000000000001</v>
      </c>
      <c r="M60" s="26">
        <v>4</v>
      </c>
      <c r="N60" s="26">
        <v>3.93</v>
      </c>
      <c r="O60" s="26">
        <v>3.91</v>
      </c>
      <c r="P60" s="26">
        <v>4.18</v>
      </c>
      <c r="Q60" s="26">
        <v>4.29</v>
      </c>
      <c r="R60" s="26">
        <v>4.28</v>
      </c>
      <c r="S60" s="26">
        <v>4.57</v>
      </c>
      <c r="T60" s="26">
        <v>4.6900000000000004</v>
      </c>
      <c r="U60" s="26">
        <v>4.18</v>
      </c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</row>
    <row r="61" spans="1:39" ht="15.75" customHeight="1" x14ac:dyDescent="0.35">
      <c r="A61" s="42"/>
      <c r="B61" s="11"/>
      <c r="C61" s="21">
        <v>158</v>
      </c>
      <c r="D61" s="26">
        <v>2.8330000000000002</v>
      </c>
      <c r="E61" s="26">
        <v>3.01</v>
      </c>
      <c r="F61" s="26">
        <v>3.01</v>
      </c>
      <c r="G61" s="26">
        <v>2.93</v>
      </c>
      <c r="H61" s="26">
        <v>3.03</v>
      </c>
      <c r="I61" s="26">
        <v>3.03</v>
      </c>
      <c r="J61" s="26">
        <v>3.03</v>
      </c>
      <c r="K61" s="26">
        <v>3.08</v>
      </c>
      <c r="L61" s="26">
        <v>3.08</v>
      </c>
      <c r="M61" s="26">
        <v>3.25</v>
      </c>
      <c r="N61" s="26">
        <v>3.18</v>
      </c>
      <c r="O61" s="26">
        <v>3.18</v>
      </c>
      <c r="P61" s="26">
        <v>3.39</v>
      </c>
      <c r="Q61" s="26">
        <v>3.45</v>
      </c>
      <c r="R61" s="26">
        <v>3.44</v>
      </c>
      <c r="S61" s="26">
        <v>3.67</v>
      </c>
      <c r="T61" s="26">
        <v>3.75</v>
      </c>
      <c r="U61" s="26">
        <v>3.39</v>
      </c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</row>
    <row r="62" spans="1:39" ht="15.75" customHeight="1" x14ac:dyDescent="0.35">
      <c r="A62" s="42"/>
      <c r="B62" s="11" t="s">
        <v>42</v>
      </c>
      <c r="C62" s="21">
        <v>191</v>
      </c>
      <c r="D62" s="26">
        <v>3.097</v>
      </c>
      <c r="E62" s="26">
        <v>3.26</v>
      </c>
      <c r="F62" s="26">
        <v>3.29</v>
      </c>
      <c r="G62" s="26">
        <v>3.28</v>
      </c>
      <c r="H62" s="26">
        <v>3.32</v>
      </c>
      <c r="I62" s="26">
        <v>3.32</v>
      </c>
      <c r="J62" s="26">
        <v>3.31</v>
      </c>
      <c r="K62" s="26">
        <v>3.37</v>
      </c>
      <c r="L62" s="26">
        <v>3.37</v>
      </c>
      <c r="M62" s="26">
        <v>3.55</v>
      </c>
      <c r="N62" s="26">
        <v>3.5</v>
      </c>
      <c r="O62" s="26">
        <v>3.48</v>
      </c>
      <c r="P62" s="26">
        <v>3.71</v>
      </c>
      <c r="Q62" s="26">
        <v>3.76</v>
      </c>
      <c r="R62" s="26">
        <v>3.74</v>
      </c>
      <c r="S62" s="26">
        <v>3.99</v>
      </c>
      <c r="T62" s="26">
        <v>4.07</v>
      </c>
      <c r="U62" s="26">
        <v>3.71</v>
      </c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</row>
    <row r="63" spans="1:39" ht="15.75" customHeight="1" x14ac:dyDescent="0.35">
      <c r="A63" s="42"/>
      <c r="B63" s="11"/>
      <c r="C63" s="21">
        <v>197</v>
      </c>
      <c r="D63" s="26">
        <v>3.1440000000000001</v>
      </c>
      <c r="E63" s="26">
        <v>3.31</v>
      </c>
      <c r="F63" s="26">
        <v>3.34</v>
      </c>
      <c r="G63" s="26">
        <v>3.32</v>
      </c>
      <c r="H63" s="26">
        <v>3.37</v>
      </c>
      <c r="I63" s="26">
        <v>3.39</v>
      </c>
      <c r="J63" s="26">
        <v>3.38</v>
      </c>
      <c r="K63" s="26">
        <v>3.42</v>
      </c>
      <c r="L63" s="26">
        <v>3.42</v>
      </c>
      <c r="M63" s="26">
        <v>3.63</v>
      </c>
      <c r="N63" s="26">
        <v>3.53</v>
      </c>
      <c r="O63" s="26">
        <v>3.54</v>
      </c>
      <c r="P63" s="26">
        <v>3.74</v>
      </c>
      <c r="Q63" s="26">
        <v>3.86</v>
      </c>
      <c r="R63" s="26">
        <v>3.83</v>
      </c>
      <c r="S63" s="26">
        <v>4.17</v>
      </c>
      <c r="T63" s="26">
        <v>4.17</v>
      </c>
      <c r="U63" s="26">
        <v>3.74</v>
      </c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</row>
    <row r="64" spans="1:39" ht="15.75" customHeight="1" x14ac:dyDescent="0.35">
      <c r="A64" s="42"/>
      <c r="B64" s="11"/>
      <c r="C64" s="21">
        <v>204</v>
      </c>
      <c r="D64" s="26">
        <v>2.9630000000000001</v>
      </c>
      <c r="E64" s="26">
        <v>3.11</v>
      </c>
      <c r="F64" s="26">
        <v>3.15</v>
      </c>
      <c r="G64" s="26">
        <v>3.15</v>
      </c>
      <c r="H64" s="26">
        <v>3.2</v>
      </c>
      <c r="I64" s="26">
        <v>3.19</v>
      </c>
      <c r="J64" s="26">
        <v>3.17</v>
      </c>
      <c r="K64" s="26">
        <v>3.24</v>
      </c>
      <c r="L64" s="26">
        <v>3.24</v>
      </c>
      <c r="M64" s="26">
        <v>3.44</v>
      </c>
      <c r="N64" s="26">
        <v>3.35</v>
      </c>
      <c r="O64" s="26">
        <v>3.36</v>
      </c>
      <c r="P64" s="26">
        <v>3.51</v>
      </c>
      <c r="Q64" s="26">
        <v>3.66</v>
      </c>
      <c r="R64" s="26">
        <v>3.63</v>
      </c>
      <c r="S64" s="26">
        <v>4.04</v>
      </c>
      <c r="T64" s="26">
        <v>3.99</v>
      </c>
      <c r="U64" s="26">
        <v>3.51</v>
      </c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</row>
    <row r="65" spans="1:39" ht="15.75" customHeight="1" x14ac:dyDescent="0.35">
      <c r="A65" s="42"/>
      <c r="B65" s="11" t="s">
        <v>43</v>
      </c>
      <c r="C65" s="21">
        <v>233</v>
      </c>
      <c r="D65" s="26">
        <v>3.226</v>
      </c>
      <c r="E65" s="26">
        <v>3.44</v>
      </c>
      <c r="F65" s="26">
        <v>3.45</v>
      </c>
      <c r="G65" s="26">
        <v>3.41</v>
      </c>
      <c r="H65" s="26">
        <v>3.5</v>
      </c>
      <c r="I65" s="26">
        <v>3.49</v>
      </c>
      <c r="J65" s="26">
        <v>3.48</v>
      </c>
      <c r="K65" s="26">
        <v>3.55</v>
      </c>
      <c r="L65" s="26">
        <v>3.55</v>
      </c>
      <c r="M65" s="26">
        <v>3.79</v>
      </c>
      <c r="N65" s="26">
        <v>3.69</v>
      </c>
      <c r="O65" s="26">
        <v>3.69</v>
      </c>
      <c r="P65" s="26">
        <v>3.76</v>
      </c>
      <c r="Q65" s="26">
        <v>4.16</v>
      </c>
      <c r="R65" s="26">
        <v>4.13</v>
      </c>
      <c r="S65" s="26">
        <v>4.6900000000000004</v>
      </c>
      <c r="T65" s="26">
        <v>4.5999999999999996</v>
      </c>
      <c r="U65" s="26">
        <v>3.76</v>
      </c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</row>
    <row r="66" spans="1:39" ht="15.75" customHeight="1" x14ac:dyDescent="0.35">
      <c r="A66" s="42"/>
      <c r="B66" s="11"/>
      <c r="C66" s="21">
        <v>239</v>
      </c>
      <c r="D66" s="26">
        <v>3.327</v>
      </c>
      <c r="E66" s="26">
        <v>3.53</v>
      </c>
      <c r="F66" s="26">
        <v>3.55</v>
      </c>
      <c r="G66" s="26">
        <v>3.54</v>
      </c>
      <c r="H66" s="26">
        <v>3.59</v>
      </c>
      <c r="I66" s="26">
        <v>3.6</v>
      </c>
      <c r="J66" s="26">
        <v>3.58</v>
      </c>
      <c r="K66" s="26">
        <v>3.67</v>
      </c>
      <c r="L66" s="26">
        <v>3.67</v>
      </c>
      <c r="M66" s="26">
        <v>3.91</v>
      </c>
      <c r="N66" s="26">
        <v>3.82</v>
      </c>
      <c r="O66" s="26">
        <v>3.82</v>
      </c>
      <c r="P66" s="26">
        <v>4.09</v>
      </c>
      <c r="Q66" s="26">
        <v>4.3099999999999996</v>
      </c>
      <c r="R66" s="26">
        <v>4.28</v>
      </c>
      <c r="S66" s="26">
        <v>4.83</v>
      </c>
      <c r="T66" s="26">
        <v>4.8899999999999997</v>
      </c>
      <c r="U66" s="26">
        <v>4.09</v>
      </c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</row>
    <row r="67" spans="1:39" ht="15.75" customHeight="1" x14ac:dyDescent="0.35">
      <c r="A67" s="42"/>
      <c r="B67" s="11"/>
      <c r="C67" s="21">
        <v>242</v>
      </c>
      <c r="D67" s="26">
        <v>3.258</v>
      </c>
      <c r="E67" s="26">
        <v>3.46</v>
      </c>
      <c r="F67" s="26">
        <v>3.49</v>
      </c>
      <c r="G67" s="26">
        <v>3.46</v>
      </c>
      <c r="H67" s="26">
        <v>3.5</v>
      </c>
      <c r="I67" s="26">
        <v>3.53</v>
      </c>
      <c r="J67" s="26">
        <v>3.52</v>
      </c>
      <c r="K67" s="26">
        <v>3.6</v>
      </c>
      <c r="L67" s="26">
        <v>3.6</v>
      </c>
      <c r="M67" s="26">
        <v>3.82</v>
      </c>
      <c r="N67" s="26">
        <v>3.75</v>
      </c>
      <c r="O67" s="26">
        <v>3.75</v>
      </c>
      <c r="P67" s="26">
        <v>3.77</v>
      </c>
      <c r="Q67" s="26">
        <v>4.22</v>
      </c>
      <c r="R67" s="26">
        <v>4.1500000000000004</v>
      </c>
      <c r="S67" s="26">
        <v>4.74</v>
      </c>
      <c r="T67" s="26">
        <v>4.8</v>
      </c>
      <c r="U67" s="26">
        <v>3.77</v>
      </c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</row>
    <row r="68" spans="1:39" ht="15.75" customHeight="1" x14ac:dyDescent="0.35">
      <c r="A68" s="42"/>
      <c r="B68" s="11" t="s">
        <v>44</v>
      </c>
      <c r="C68" s="21">
        <v>255</v>
      </c>
      <c r="D68" s="26">
        <v>3.5379999999999998</v>
      </c>
      <c r="E68" s="26">
        <v>3.69</v>
      </c>
      <c r="F68" s="26">
        <v>3.7</v>
      </c>
      <c r="G68" s="26">
        <v>3.72</v>
      </c>
      <c r="H68" s="26">
        <v>3.72</v>
      </c>
      <c r="I68" s="26">
        <v>3.75</v>
      </c>
      <c r="J68" s="26">
        <v>3.72</v>
      </c>
      <c r="K68" s="26">
        <v>3.77</v>
      </c>
      <c r="L68" s="26">
        <v>3.78</v>
      </c>
      <c r="M68" s="26">
        <v>3.91</v>
      </c>
      <c r="N68" s="26">
        <v>3.87</v>
      </c>
      <c r="O68" s="26">
        <v>3.87</v>
      </c>
      <c r="P68" s="26">
        <v>4.0199999999999996</v>
      </c>
      <c r="Q68" s="26">
        <v>4.09</v>
      </c>
      <c r="R68" s="26">
        <v>4.07</v>
      </c>
      <c r="S68" s="26">
        <v>4.22</v>
      </c>
      <c r="T68" s="26">
        <v>4.25</v>
      </c>
      <c r="U68" s="26">
        <v>4.05</v>
      </c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</row>
    <row r="69" spans="1:39" ht="15.75" customHeight="1" x14ac:dyDescent="0.35">
      <c r="A69" s="42"/>
      <c r="B69" s="11"/>
      <c r="C69" s="21">
        <v>264</v>
      </c>
      <c r="D69" s="26">
        <v>3.0169999999999999</v>
      </c>
      <c r="E69" s="26">
        <v>3.18</v>
      </c>
      <c r="F69" s="26">
        <v>3.16</v>
      </c>
      <c r="G69" s="26">
        <v>3.15</v>
      </c>
      <c r="H69" s="26">
        <v>3.18</v>
      </c>
      <c r="I69" s="26">
        <v>3.2</v>
      </c>
      <c r="J69" s="26">
        <v>3.19</v>
      </c>
      <c r="K69" s="26">
        <v>3.23</v>
      </c>
      <c r="L69" s="26">
        <v>3.23</v>
      </c>
      <c r="M69" s="26">
        <v>3.35</v>
      </c>
      <c r="N69" s="26">
        <v>3.3</v>
      </c>
      <c r="O69" s="26">
        <v>3.31</v>
      </c>
      <c r="P69" s="26">
        <v>3.46</v>
      </c>
      <c r="Q69" s="26">
        <v>3.51</v>
      </c>
      <c r="R69" s="26">
        <v>3.51</v>
      </c>
      <c r="S69" s="26">
        <v>3.61</v>
      </c>
      <c r="T69" s="26">
        <v>3.66</v>
      </c>
      <c r="U69" s="26">
        <v>3.52</v>
      </c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</row>
    <row r="70" spans="1:39" ht="15.75" customHeight="1" x14ac:dyDescent="0.35">
      <c r="A70" s="42"/>
      <c r="B70" s="11"/>
      <c r="C70" s="21">
        <v>270</v>
      </c>
      <c r="D70" s="26">
        <v>3.6280000000000001</v>
      </c>
      <c r="E70" s="26">
        <v>3.81</v>
      </c>
      <c r="F70" s="26">
        <v>3.81</v>
      </c>
      <c r="G70" s="26">
        <v>3.84</v>
      </c>
      <c r="H70" s="26">
        <v>3.82</v>
      </c>
      <c r="I70" s="26">
        <v>3.86</v>
      </c>
      <c r="J70" s="26">
        <v>3.85</v>
      </c>
      <c r="K70" s="26">
        <v>3.92</v>
      </c>
      <c r="L70" s="26">
        <v>3.9</v>
      </c>
      <c r="M70" s="26">
        <v>4.08</v>
      </c>
      <c r="N70" s="26">
        <v>4</v>
      </c>
      <c r="O70" s="26">
        <v>4</v>
      </c>
      <c r="P70" s="26">
        <v>4.2</v>
      </c>
      <c r="Q70" s="26">
        <v>4.25</v>
      </c>
      <c r="R70" s="26">
        <v>4.22</v>
      </c>
      <c r="S70" s="26">
        <v>4.38</v>
      </c>
      <c r="T70" s="26">
        <v>4.43</v>
      </c>
      <c r="U70" s="26">
        <v>4.33</v>
      </c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</row>
    <row r="71" spans="1:39" ht="15.75" customHeight="1" x14ac:dyDescent="0.35">
      <c r="A71" s="42"/>
      <c r="B71" s="11" t="s">
        <v>45</v>
      </c>
      <c r="C71" s="21">
        <v>274</v>
      </c>
      <c r="D71" s="26">
        <v>3.931</v>
      </c>
      <c r="E71" s="26">
        <v>4.1500000000000004</v>
      </c>
      <c r="F71" s="26">
        <v>4.1500000000000004</v>
      </c>
      <c r="G71" s="26">
        <v>4.16</v>
      </c>
      <c r="H71" s="26">
        <v>4.1900000000000004</v>
      </c>
      <c r="I71" s="26">
        <v>4.2</v>
      </c>
      <c r="J71" s="26">
        <v>4.1900000000000004</v>
      </c>
      <c r="K71" s="26">
        <v>4.25</v>
      </c>
      <c r="L71" s="26">
        <v>4.25</v>
      </c>
      <c r="M71" s="26">
        <v>4.4400000000000004</v>
      </c>
      <c r="N71" s="26">
        <v>4.3600000000000003</v>
      </c>
      <c r="O71" s="26">
        <v>4.37</v>
      </c>
      <c r="P71" s="26">
        <v>4.6100000000000003</v>
      </c>
      <c r="Q71" s="26">
        <v>4.68</v>
      </c>
      <c r="R71" s="26">
        <v>4.67</v>
      </c>
      <c r="S71" s="26">
        <v>4.88</v>
      </c>
      <c r="T71" s="26">
        <v>4.9000000000000004</v>
      </c>
      <c r="U71" s="26">
        <v>4.67</v>
      </c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</row>
    <row r="72" spans="1:39" ht="15.75" customHeight="1" x14ac:dyDescent="0.35">
      <c r="A72" s="42"/>
      <c r="B72" s="11"/>
      <c r="C72" s="21">
        <v>277</v>
      </c>
      <c r="D72" s="26">
        <v>3.8929999999999998</v>
      </c>
      <c r="E72" s="26">
        <v>4.09</v>
      </c>
      <c r="F72" s="26">
        <v>4.12</v>
      </c>
      <c r="G72" s="26">
        <v>4.12</v>
      </c>
      <c r="H72" s="26">
        <v>4.13</v>
      </c>
      <c r="I72" s="26">
        <v>4.16</v>
      </c>
      <c r="J72" s="26">
        <v>4.1500000000000004</v>
      </c>
      <c r="K72" s="26">
        <v>4.21</v>
      </c>
      <c r="L72" s="26">
        <v>4.22</v>
      </c>
      <c r="M72" s="26">
        <v>4.41</v>
      </c>
      <c r="N72" s="26">
        <v>4.32</v>
      </c>
      <c r="O72" s="26">
        <v>4.32</v>
      </c>
      <c r="P72" s="26">
        <v>4.53</v>
      </c>
      <c r="Q72" s="26">
        <v>4.5999999999999996</v>
      </c>
      <c r="R72" s="26">
        <v>4.5999999999999996</v>
      </c>
      <c r="S72" s="26">
        <v>4.84</v>
      </c>
      <c r="T72" s="26">
        <v>4.83</v>
      </c>
      <c r="U72" s="26">
        <v>4.5999999999999996</v>
      </c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</row>
    <row r="73" spans="1:39" ht="15.75" customHeight="1" x14ac:dyDescent="0.35">
      <c r="A73" s="42"/>
      <c r="B73" s="11"/>
      <c r="C73" s="21">
        <v>282</v>
      </c>
      <c r="D73" s="26">
        <v>3.6789999999999998</v>
      </c>
      <c r="E73" s="26">
        <v>3.86</v>
      </c>
      <c r="F73" s="26">
        <v>3.89</v>
      </c>
      <c r="G73" s="26">
        <v>3.9</v>
      </c>
      <c r="H73" s="26">
        <v>3.91</v>
      </c>
      <c r="I73" s="26">
        <v>3.94</v>
      </c>
      <c r="J73" s="26">
        <v>3.91</v>
      </c>
      <c r="K73" s="26">
        <v>3.99</v>
      </c>
      <c r="L73" s="26">
        <v>3.99</v>
      </c>
      <c r="M73" s="26">
        <v>4.17</v>
      </c>
      <c r="N73" s="26">
        <v>4.09</v>
      </c>
      <c r="O73" s="26">
        <v>4.0999999999999996</v>
      </c>
      <c r="P73" s="26">
        <v>4.26</v>
      </c>
      <c r="Q73" s="26">
        <v>4.3600000000000003</v>
      </c>
      <c r="R73" s="26">
        <v>4.3499999999999996</v>
      </c>
      <c r="S73" s="26">
        <v>4.62</v>
      </c>
      <c r="T73" s="26">
        <v>4.5999999999999996</v>
      </c>
      <c r="U73" s="26">
        <v>4.53</v>
      </c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</row>
    <row r="74" spans="1:39" ht="15.75" customHeight="1" x14ac:dyDescent="0.35">
      <c r="A74" s="42"/>
      <c r="B74" s="11" t="s">
        <v>46</v>
      </c>
      <c r="C74" s="21">
        <v>166</v>
      </c>
      <c r="D74" s="26">
        <v>2.6269999999999998</v>
      </c>
      <c r="E74" s="26">
        <v>2.74</v>
      </c>
      <c r="F74" s="26">
        <v>2.76</v>
      </c>
      <c r="G74" s="26">
        <v>2.78</v>
      </c>
      <c r="H74" s="26">
        <v>2.77</v>
      </c>
      <c r="I74" s="26">
        <v>2.78</v>
      </c>
      <c r="J74" s="26">
        <v>2.76</v>
      </c>
      <c r="K74" s="26">
        <v>2.83</v>
      </c>
      <c r="L74" s="26">
        <v>2.84</v>
      </c>
      <c r="M74" s="26">
        <v>2.96</v>
      </c>
      <c r="N74" s="26">
        <v>2.87</v>
      </c>
      <c r="O74" s="26">
        <v>2.89</v>
      </c>
      <c r="P74" s="26">
        <v>3</v>
      </c>
      <c r="Q74" s="26">
        <v>3.06</v>
      </c>
      <c r="R74" s="26">
        <v>3.05</v>
      </c>
      <c r="S74" s="26">
        <v>3.21</v>
      </c>
      <c r="T74" s="26">
        <v>3.19</v>
      </c>
      <c r="U74" s="26">
        <v>3.03</v>
      </c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</row>
    <row r="75" spans="1:39" ht="15.75" customHeight="1" x14ac:dyDescent="0.35">
      <c r="A75" s="42"/>
      <c r="B75" s="11"/>
      <c r="C75" s="21">
        <v>172</v>
      </c>
      <c r="D75" s="26">
        <v>2.4329999999999998</v>
      </c>
      <c r="E75" s="26">
        <v>2.5499999999999998</v>
      </c>
      <c r="F75" s="26">
        <v>2.56</v>
      </c>
      <c r="G75" s="26">
        <v>2.57</v>
      </c>
      <c r="H75" s="26">
        <v>2.54</v>
      </c>
      <c r="I75" s="26">
        <v>2.59</v>
      </c>
      <c r="J75" s="26">
        <v>2.56</v>
      </c>
      <c r="K75" s="26">
        <v>2.62</v>
      </c>
      <c r="L75" s="26">
        <v>2.62</v>
      </c>
      <c r="M75" s="26">
        <v>2.73</v>
      </c>
      <c r="N75" s="26">
        <v>2.65</v>
      </c>
      <c r="O75" s="26">
        <v>2.67</v>
      </c>
      <c r="P75" s="26">
        <v>2.79</v>
      </c>
      <c r="Q75" s="26">
        <v>2.85</v>
      </c>
      <c r="R75" s="26">
        <v>2.83</v>
      </c>
      <c r="S75" s="26">
        <v>2.95</v>
      </c>
      <c r="T75" s="26">
        <v>2.94</v>
      </c>
      <c r="U75" s="26">
        <v>2.85</v>
      </c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</row>
    <row r="76" spans="1:39" ht="15.75" customHeight="1" x14ac:dyDescent="0.35">
      <c r="A76" s="42"/>
      <c r="B76" s="11"/>
      <c r="C76" s="21">
        <v>175</v>
      </c>
      <c r="D76" s="26">
        <v>2.6139999999999999</v>
      </c>
      <c r="E76" s="26">
        <v>2.76</v>
      </c>
      <c r="F76" s="26">
        <v>2.76</v>
      </c>
      <c r="G76" s="26">
        <v>2.72</v>
      </c>
      <c r="H76" s="26">
        <v>2.75</v>
      </c>
      <c r="I76" s="26">
        <v>2.79</v>
      </c>
      <c r="J76" s="26">
        <v>2.78</v>
      </c>
      <c r="K76" s="26">
        <v>2.82</v>
      </c>
      <c r="L76" s="26">
        <v>2.83</v>
      </c>
      <c r="M76" s="26">
        <v>2.96</v>
      </c>
      <c r="N76" s="26">
        <v>2.89</v>
      </c>
      <c r="O76" s="26">
        <v>2.9</v>
      </c>
      <c r="P76" s="26">
        <v>3.05</v>
      </c>
      <c r="Q76" s="26">
        <v>3.12</v>
      </c>
      <c r="R76" s="26">
        <v>3.1</v>
      </c>
      <c r="S76" s="26">
        <v>3.28</v>
      </c>
      <c r="T76" s="26">
        <v>3.27</v>
      </c>
      <c r="U76" s="26">
        <v>3.08</v>
      </c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</row>
    <row r="77" spans="1:39" ht="15.75" customHeight="1" x14ac:dyDescent="0.35">
      <c r="A77" s="42"/>
      <c r="B77" s="11" t="s">
        <v>47</v>
      </c>
      <c r="C77" s="21">
        <v>211</v>
      </c>
      <c r="D77" s="26">
        <v>3.085</v>
      </c>
      <c r="E77" s="26">
        <v>3.25</v>
      </c>
      <c r="F77" s="26">
        <v>3.28</v>
      </c>
      <c r="G77" s="26">
        <v>3.27</v>
      </c>
      <c r="H77" s="26">
        <v>3.3</v>
      </c>
      <c r="I77" s="26">
        <v>3.33</v>
      </c>
      <c r="J77" s="26">
        <v>3.29</v>
      </c>
      <c r="K77" s="26">
        <v>3.35</v>
      </c>
      <c r="L77" s="26">
        <v>3.35</v>
      </c>
      <c r="M77" s="26">
        <v>3.51</v>
      </c>
      <c r="N77" s="26">
        <v>3.45</v>
      </c>
      <c r="O77" s="26">
        <v>3.45</v>
      </c>
      <c r="P77" s="26">
        <v>3.69</v>
      </c>
      <c r="Q77" s="26">
        <v>3.78</v>
      </c>
      <c r="R77" s="26">
        <v>3.75</v>
      </c>
      <c r="S77" s="26">
        <v>4.07</v>
      </c>
      <c r="T77" s="26">
        <v>4.0599999999999996</v>
      </c>
      <c r="U77" s="26">
        <v>3.79</v>
      </c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</row>
    <row r="78" spans="1:39" ht="15.75" customHeight="1" x14ac:dyDescent="0.35">
      <c r="A78" s="42"/>
      <c r="B78" s="11"/>
      <c r="C78" s="21">
        <v>217</v>
      </c>
      <c r="D78" s="26">
        <v>3.097</v>
      </c>
      <c r="E78" s="26">
        <v>3.27</v>
      </c>
      <c r="F78" s="26">
        <v>3.29</v>
      </c>
      <c r="G78" s="26">
        <v>3.29</v>
      </c>
      <c r="H78" s="26">
        <v>3.31</v>
      </c>
      <c r="I78" s="26">
        <v>3.33</v>
      </c>
      <c r="J78" s="26">
        <v>3.32</v>
      </c>
      <c r="K78" s="26">
        <v>3.39</v>
      </c>
      <c r="L78" s="26">
        <v>3.39</v>
      </c>
      <c r="M78" s="26">
        <v>3.56</v>
      </c>
      <c r="N78" s="26">
        <v>3.48</v>
      </c>
      <c r="O78" s="26">
        <v>3.48</v>
      </c>
      <c r="P78" s="26">
        <v>3.7</v>
      </c>
      <c r="Q78" s="26">
        <v>3.8</v>
      </c>
      <c r="R78" s="26">
        <v>3.75</v>
      </c>
      <c r="S78" s="26">
        <v>4.1100000000000003</v>
      </c>
      <c r="T78" s="26">
        <v>4.09</v>
      </c>
      <c r="U78" s="26">
        <v>3.77</v>
      </c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</row>
    <row r="79" spans="1:39" ht="15.75" customHeight="1" x14ac:dyDescent="0.35">
      <c r="A79" s="43"/>
      <c r="B79" s="11"/>
      <c r="C79" s="21">
        <v>223</v>
      </c>
      <c r="D79" s="26">
        <v>2.8079999999999998</v>
      </c>
      <c r="E79" s="26">
        <v>2.96</v>
      </c>
      <c r="F79" s="26">
        <v>2.99</v>
      </c>
      <c r="G79" s="26">
        <v>2.98</v>
      </c>
      <c r="H79" s="26">
        <v>2.98</v>
      </c>
      <c r="I79" s="26">
        <v>3.02</v>
      </c>
      <c r="J79" s="26">
        <v>2.98</v>
      </c>
      <c r="K79" s="26">
        <v>3.03</v>
      </c>
      <c r="L79" s="26">
        <v>3.03</v>
      </c>
      <c r="M79" s="26">
        <v>3.21</v>
      </c>
      <c r="N79" s="26">
        <v>3.13</v>
      </c>
      <c r="O79" s="26">
        <v>3.13</v>
      </c>
      <c r="P79" s="26">
        <v>3.38</v>
      </c>
      <c r="Q79" s="26">
        <v>3.49</v>
      </c>
      <c r="R79" s="26">
        <v>3.44</v>
      </c>
      <c r="S79" s="26">
        <v>3.8</v>
      </c>
      <c r="T79" s="26">
        <v>3.88</v>
      </c>
      <c r="U79" s="26">
        <v>3.39</v>
      </c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</row>
    <row r="80" spans="1:39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</sheetData>
  <mergeCells count="5">
    <mergeCell ref="B7:C7"/>
    <mergeCell ref="B8:C8"/>
    <mergeCell ref="B9:C10"/>
    <mergeCell ref="A11:A34"/>
    <mergeCell ref="A35:A79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3"/>
  <sheetViews>
    <sheetView topLeftCell="B1" workbookViewId="0">
      <selection activeCell="V58" sqref="V58"/>
    </sheetView>
  </sheetViews>
  <sheetFormatPr defaultRowHeight="14.5" x14ac:dyDescent="0.35"/>
  <sheetData>
    <row r="1" spans="1:21" ht="15.5" x14ac:dyDescent="0.35">
      <c r="B1" s="33" t="s">
        <v>48</v>
      </c>
      <c r="C1" s="34"/>
      <c r="E1" s="4">
        <v>0.5</v>
      </c>
      <c r="F1" s="5" t="s">
        <v>1</v>
      </c>
      <c r="H1" s="6">
        <v>0.6</v>
      </c>
      <c r="K1" s="4">
        <v>0.7</v>
      </c>
      <c r="M1" s="4">
        <v>0.8</v>
      </c>
      <c r="P1" s="4">
        <v>0.9</v>
      </c>
      <c r="S1" s="4">
        <v>0.95</v>
      </c>
    </row>
    <row r="2" spans="1:21" ht="15" thickBot="1" x14ac:dyDescent="0.4">
      <c r="B2" s="35" t="s">
        <v>2</v>
      </c>
      <c r="C2" s="36"/>
      <c r="D2" s="3" t="s">
        <v>3</v>
      </c>
      <c r="E2" s="3" t="s">
        <v>3</v>
      </c>
      <c r="F2" s="3" t="s">
        <v>3</v>
      </c>
      <c r="G2" s="3" t="s">
        <v>3</v>
      </c>
      <c r="H2" s="3" t="s">
        <v>3</v>
      </c>
      <c r="I2" s="3" t="s">
        <v>3</v>
      </c>
      <c r="J2" s="3" t="s">
        <v>3</v>
      </c>
      <c r="K2" s="3" t="s">
        <v>3</v>
      </c>
      <c r="L2" s="3" t="s">
        <v>3</v>
      </c>
      <c r="M2" s="3" t="s">
        <v>3</v>
      </c>
      <c r="N2" s="3" t="s">
        <v>3</v>
      </c>
      <c r="O2" s="3" t="s">
        <v>3</v>
      </c>
      <c r="P2" s="3" t="s">
        <v>3</v>
      </c>
      <c r="Q2" s="3" t="s">
        <v>3</v>
      </c>
      <c r="R2" s="3" t="s">
        <v>3</v>
      </c>
      <c r="S2" s="3" t="s">
        <v>3</v>
      </c>
      <c r="T2" s="3" t="s">
        <v>3</v>
      </c>
      <c r="U2" s="3" t="s">
        <v>3</v>
      </c>
    </row>
    <row r="3" spans="1:21" x14ac:dyDescent="0.35">
      <c r="A3" s="7"/>
      <c r="B3" s="37" t="s">
        <v>4</v>
      </c>
      <c r="C3" s="38"/>
      <c r="D3" s="16">
        <v>45608</v>
      </c>
      <c r="E3" s="17">
        <v>45609</v>
      </c>
      <c r="F3" s="18" t="s">
        <v>5</v>
      </c>
      <c r="G3" s="18" t="s">
        <v>6</v>
      </c>
      <c r="H3" s="18" t="s">
        <v>7</v>
      </c>
      <c r="I3" s="18" t="s">
        <v>8</v>
      </c>
      <c r="J3" s="18" t="s">
        <v>9</v>
      </c>
      <c r="K3" s="18" t="s">
        <v>10</v>
      </c>
      <c r="L3" s="18" t="s">
        <v>11</v>
      </c>
      <c r="M3" s="18" t="s">
        <v>12</v>
      </c>
      <c r="N3" s="18" t="s">
        <v>13</v>
      </c>
      <c r="O3" s="18" t="s">
        <v>14</v>
      </c>
      <c r="P3" s="18" t="s">
        <v>15</v>
      </c>
      <c r="Q3" s="18" t="s">
        <v>16</v>
      </c>
      <c r="R3" s="18" t="s">
        <v>17</v>
      </c>
      <c r="S3" s="18" t="s">
        <v>18</v>
      </c>
      <c r="T3" s="18" t="s">
        <v>19</v>
      </c>
      <c r="U3" s="19" t="s">
        <v>20</v>
      </c>
    </row>
    <row r="4" spans="1:21" ht="15" thickBot="1" x14ac:dyDescent="0.4">
      <c r="A4" s="9" t="s">
        <v>21</v>
      </c>
      <c r="B4" s="39"/>
      <c r="C4" s="40"/>
      <c r="D4" s="23" t="s">
        <v>22</v>
      </c>
      <c r="E4" s="24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25"/>
    </row>
    <row r="5" spans="1:21" x14ac:dyDescent="0.35">
      <c r="A5" s="41" t="s">
        <v>23</v>
      </c>
      <c r="B5" s="13" t="s">
        <v>24</v>
      </c>
      <c r="C5" s="20">
        <v>316</v>
      </c>
      <c r="D5" s="26">
        <f>('Kubiņu masa'!D11-'Kubiņu masa'!$D11)/'Kubiņu masa'!$D11*100</f>
        <v>0</v>
      </c>
      <c r="E5" s="26">
        <f>('Kubiņu masa'!E11-'Kubiņu masa'!$D11)/'Kubiņu masa'!$D11*100</f>
        <v>5.4858697294846674</v>
      </c>
      <c r="F5" s="26">
        <f>('Kubiņu masa'!F11-'Kubiņu masa'!$D11)/'Kubiņu masa'!$D11*100</f>
        <v>5.4858697294846674</v>
      </c>
      <c r="G5" s="26">
        <f>('Kubiņu masa'!G11-'Kubiņu masa'!$D11)/'Kubiņu masa'!$D11*100</f>
        <v>5.1836179537554781</v>
      </c>
      <c r="H5" s="26">
        <f>('Kubiņu masa'!H11-'Kubiņu masa'!$D11)/'Kubiņu masa'!$D11*100</f>
        <v>6.3926250566722089</v>
      </c>
      <c r="I5" s="26">
        <f>('Kubiņu masa'!I11-'Kubiņu masa'!$D11)/'Kubiņu masa'!$D11*100</f>
        <v>6.5437509445367965</v>
      </c>
      <c r="J5" s="26">
        <f>('Kubiņu masa'!J11-'Kubiņu masa'!$D11)/'Kubiņu masa'!$D11*100</f>
        <v>6.5437509445367965</v>
      </c>
      <c r="K5" s="26">
        <f>('Kubiņu masa'!K11-'Kubiņu masa'!$D11)/'Kubiņu masa'!$D11*100</f>
        <v>8.0550098231827167</v>
      </c>
      <c r="L5" s="26">
        <f>('Kubiņu masa'!L11-'Kubiņu masa'!$D11)/'Kubiņu masa'!$D11*100</f>
        <v>8.0550098231827167</v>
      </c>
      <c r="M5" s="26">
        <f>('Kubiņu masa'!M11-'Kubiņu masa'!$D11)/'Kubiņu masa'!$D11*100</f>
        <v>11.077527580474531</v>
      </c>
      <c r="N5" s="26">
        <f>('Kubiņu masa'!N11-'Kubiņu masa'!$D11)/'Kubiņu masa'!$D11*100</f>
        <v>11.077527580474531</v>
      </c>
      <c r="O5" s="26">
        <f>('Kubiņu masa'!O11-'Kubiņu masa'!$D11)/'Kubiņu masa'!$D11*100</f>
        <v>11.077527580474531</v>
      </c>
      <c r="P5" s="26">
        <f>('Kubiņu masa'!P11-'Kubiņu masa'!$D11)/'Kubiņu masa'!$D11*100</f>
        <v>15.309052440683088</v>
      </c>
      <c r="Q5" s="26">
        <f>('Kubiņu masa'!Q11-'Kubiņu masa'!$D11)/'Kubiņu masa'!$D11*100</f>
        <v>16.215807767870643</v>
      </c>
      <c r="R5" s="26">
        <f>('Kubiņu masa'!R11-'Kubiņu masa'!$D11)/'Kubiņu masa'!$D11*100</f>
        <v>16.215807767870643</v>
      </c>
      <c r="S5" s="26">
        <f>('Kubiņu masa'!S11-'Kubiņu masa'!$D11)/'Kubiņu masa'!$D11*100</f>
        <v>19.993954964485422</v>
      </c>
      <c r="T5" s="26">
        <f>('Kubiņu masa'!T11-'Kubiņu masa'!$D11)/'Kubiņu masa'!$D11*100</f>
        <v>20.145080852350013</v>
      </c>
      <c r="U5" s="26">
        <f>('Kubiņu masa'!U11-'Kubiņu masa'!$D11)/'Kubiņu masa'!$D11*100</f>
        <v>18.93607374943328</v>
      </c>
    </row>
    <row r="6" spans="1:21" x14ac:dyDescent="0.35">
      <c r="A6" s="42"/>
      <c r="B6" s="11"/>
      <c r="C6" s="21">
        <v>320</v>
      </c>
      <c r="D6" s="26">
        <f>('Kubiņu masa'!D12-'Kubiņu masa'!$D12)/'Kubiņu masa'!$D12*100</f>
        <v>0</v>
      </c>
      <c r="E6" s="26">
        <f>('Kubiņu masa'!E12-'Kubiņu masa'!$D12)/'Kubiņu masa'!$D12*100</f>
        <v>5.6697049281631395</v>
      </c>
      <c r="F6" s="26">
        <f>('Kubiņu masa'!F12-'Kubiņu masa'!$D12)/'Kubiņu masa'!$D12*100</f>
        <v>5.6697049281631395</v>
      </c>
      <c r="G6" s="26">
        <f>('Kubiņu masa'!G12-'Kubiņu masa'!$D12)/'Kubiņu masa'!$D12*100</f>
        <v>5.5152170554611493</v>
      </c>
      <c r="H6" s="26">
        <f>('Kubiņu masa'!H12-'Kubiņu masa'!$D12)/'Kubiņu masa'!$D12*100</f>
        <v>6.4421442916731007</v>
      </c>
      <c r="I6" s="26">
        <f>('Kubiņu masa'!I12-'Kubiņu masa'!$D12)/'Kubiņu masa'!$D12*100</f>
        <v>6.9056079097790839</v>
      </c>
      <c r="J6" s="26">
        <f>('Kubiņu masa'!J12-'Kubiņu masa'!$D12)/'Kubiņu masa'!$D12*100</f>
        <v>6.9056079097790839</v>
      </c>
      <c r="K6" s="26">
        <f>('Kubiņu masa'!K12-'Kubiņu masa'!$D12)/'Kubiņu masa'!$D12*100</f>
        <v>7.9870230186930389</v>
      </c>
      <c r="L6" s="26">
        <f>('Kubiņu masa'!L12-'Kubiņu masa'!$D12)/'Kubiņu masa'!$D12*100</f>
        <v>7.8325351459910486</v>
      </c>
      <c r="M6" s="26">
        <f>('Kubiņu masa'!M12-'Kubiņu masa'!$D12)/'Kubiņu masa'!$D12*100</f>
        <v>11.076780472732899</v>
      </c>
      <c r="N6" s="26">
        <f>('Kubiņu masa'!N12-'Kubiņu masa'!$D12)/'Kubiņu masa'!$D12*100</f>
        <v>11.076780472732899</v>
      </c>
      <c r="O6" s="26">
        <f>('Kubiņu masa'!O12-'Kubiņu masa'!$D12)/'Kubiņu masa'!$D12*100</f>
        <v>11.23126834543489</v>
      </c>
      <c r="P6" s="26">
        <f>('Kubiņu masa'!P12-'Kubiņu masa'!$D12)/'Kubiņu masa'!$D12*100</f>
        <v>15.247953035686701</v>
      </c>
      <c r="Q6" s="26">
        <f>('Kubiņu masa'!Q12-'Kubiņu masa'!$D12)/'Kubiņu masa'!$D12*100</f>
        <v>16.483856017302646</v>
      </c>
      <c r="R6" s="26">
        <f>('Kubiņu masa'!R12-'Kubiņu masa'!$D12)/'Kubiņu masa'!$D12*100</f>
        <v>16.483856017302646</v>
      </c>
      <c r="S6" s="26">
        <f>('Kubiņu masa'!S12-'Kubiņu masa'!$D12)/'Kubiņu masa'!$D12*100</f>
        <v>19.882589216746485</v>
      </c>
      <c r="T6" s="26">
        <f>('Kubiņu masa'!T12-'Kubiņu masa'!$D12)/'Kubiņu masa'!$D12*100</f>
        <v>20.191564962150476</v>
      </c>
      <c r="U6" s="26">
        <f>('Kubiņu masa'!U12-'Kubiņu masa'!$D12)/'Kubiņu masa'!$D12*100</f>
        <v>18.646686235130542</v>
      </c>
    </row>
    <row r="7" spans="1:21" x14ac:dyDescent="0.35">
      <c r="A7" s="42"/>
      <c r="B7" s="11"/>
      <c r="C7" s="21">
        <v>325</v>
      </c>
      <c r="D7" s="26">
        <f>('Kubiņu masa'!D13-'Kubiņu masa'!$D13)/'Kubiņu masa'!$D13*100</f>
        <v>0</v>
      </c>
      <c r="E7" s="26">
        <f>('Kubiņu masa'!E13-'Kubiņu masa'!$D13)/'Kubiņu masa'!$D13*100</f>
        <v>5.4177545691905982</v>
      </c>
      <c r="F7" s="26">
        <f>('Kubiņu masa'!F13-'Kubiņu masa'!$D13)/'Kubiņu masa'!$D13*100</f>
        <v>5.4177545691905982</v>
      </c>
      <c r="G7" s="26">
        <f>('Kubiņu masa'!G13-'Kubiņu masa'!$D13)/'Kubiņu masa'!$D13*100</f>
        <v>5.5809399477806725</v>
      </c>
      <c r="H7" s="26">
        <f>('Kubiņu masa'!H13-'Kubiņu masa'!$D13)/'Kubiņu masa'!$D13*100</f>
        <v>5.2545691906005239</v>
      </c>
      <c r="I7" s="26">
        <f>('Kubiņu masa'!I13-'Kubiņu masa'!$D13)/'Kubiņu masa'!$D13*100</f>
        <v>6.7232375979112264</v>
      </c>
      <c r="J7" s="26">
        <f>('Kubiņu masa'!J13-'Kubiņu masa'!$D13)/'Kubiņu masa'!$D13*100</f>
        <v>6.7232375979112264</v>
      </c>
      <c r="K7" s="26">
        <f>('Kubiņu masa'!K13-'Kubiņu masa'!$D13)/'Kubiņu masa'!$D13*100</f>
        <v>7.8655352480417786</v>
      </c>
      <c r="L7" s="26">
        <f>('Kubiņu masa'!L13-'Kubiņu masa'!$D13)/'Kubiņu masa'!$D13*100</f>
        <v>6.2336814621409866</v>
      </c>
      <c r="M7" s="26">
        <f>('Kubiņu masa'!M13-'Kubiņu masa'!$D13)/'Kubiņu masa'!$D13*100</f>
        <v>11.129242819843334</v>
      </c>
      <c r="N7" s="26">
        <f>('Kubiņu masa'!N13-'Kubiņu masa'!$D13)/'Kubiņu masa'!$D13*100</f>
        <v>11.129242819843334</v>
      </c>
      <c r="O7" s="26">
        <f>('Kubiņu masa'!O13-'Kubiņu masa'!$D13)/'Kubiņu masa'!$D13*100</f>
        <v>11.129242819843334</v>
      </c>
      <c r="P7" s="26">
        <f>('Kubiņu masa'!P13-'Kubiņu masa'!$D13)/'Kubiņu masa'!$D13*100</f>
        <v>15.045691906005217</v>
      </c>
      <c r="Q7" s="26">
        <f>('Kubiņu masa'!Q13-'Kubiņu masa'!$D13)/'Kubiņu masa'!$D13*100</f>
        <v>16.677545691906008</v>
      </c>
      <c r="R7" s="26">
        <f>('Kubiņu masa'!R13-'Kubiņu masa'!$D13)/'Kubiņu masa'!$D13*100</f>
        <v>16.351174934725847</v>
      </c>
      <c r="S7" s="26">
        <f>('Kubiņu masa'!S13-'Kubiņu masa'!$D13)/'Kubiņu masa'!$D13*100</f>
        <v>19.941253263707566</v>
      </c>
      <c r="T7" s="26">
        <f>('Kubiņu masa'!T13-'Kubiņu masa'!$D13)/'Kubiņu masa'!$D13*100</f>
        <v>19.941253263707566</v>
      </c>
      <c r="U7" s="26">
        <f>('Kubiņu masa'!U13-'Kubiņu masa'!$D13)/'Kubiņu masa'!$D13*100</f>
        <v>18.635770234986936</v>
      </c>
    </row>
    <row r="8" spans="1:21" x14ac:dyDescent="0.35">
      <c r="A8" s="42"/>
      <c r="B8" s="11" t="s">
        <v>25</v>
      </c>
      <c r="C8" s="21">
        <v>332</v>
      </c>
      <c r="D8" s="26">
        <f>('Kubiņu masa'!D14-'Kubiņu masa'!$D14)/'Kubiņu masa'!$D14*100</f>
        <v>0</v>
      </c>
      <c r="E8" s="26">
        <f>('Kubiņu masa'!E14-'Kubiņu masa'!$D14)/'Kubiņu masa'!$D14*100</f>
        <v>5.3475935828876926</v>
      </c>
      <c r="F8" s="26">
        <f>('Kubiņu masa'!F14-'Kubiņu masa'!$D14)/'Kubiņu masa'!$D14*100</f>
        <v>5.3475935828876926</v>
      </c>
      <c r="G8" s="26">
        <f>('Kubiņu masa'!G14-'Kubiņu masa'!$D14)/'Kubiņu masa'!$D14*100</f>
        <v>4.5454545454545432</v>
      </c>
      <c r="H8" s="26">
        <f>('Kubiņu masa'!H14-'Kubiņu masa'!$D14)/'Kubiņu masa'!$D14*100</f>
        <v>5.3475935828876926</v>
      </c>
      <c r="I8" s="26">
        <f>('Kubiņu masa'!I14-'Kubiņu masa'!$D14)/'Kubiņu masa'!$D14*100</f>
        <v>6.9518716577540047</v>
      </c>
      <c r="J8" s="26">
        <f>('Kubiņu masa'!J14-'Kubiņu masa'!$D14)/'Kubiņu masa'!$D14*100</f>
        <v>6.1497326203208544</v>
      </c>
      <c r="K8" s="26">
        <f>('Kubiņu masa'!K14-'Kubiņu masa'!$D14)/'Kubiņu masa'!$D14*100</f>
        <v>7.4866310160427636</v>
      </c>
      <c r="L8" s="26">
        <f>('Kubiņu masa'!L14-'Kubiņu masa'!$D14)/'Kubiņu masa'!$D14*100</f>
        <v>7.2192513368983846</v>
      </c>
      <c r="M8" s="26">
        <f>('Kubiņu masa'!M14-'Kubiņu masa'!$D14)/'Kubiņu masa'!$D14*100</f>
        <v>10.96256684491979</v>
      </c>
      <c r="N8" s="26">
        <f>('Kubiņu masa'!N14-'Kubiņu masa'!$D14)/'Kubiņu masa'!$D14*100</f>
        <v>10.96256684491979</v>
      </c>
      <c r="O8" s="26">
        <f>('Kubiņu masa'!O14-'Kubiņu masa'!$D14)/'Kubiņu masa'!$D14*100</f>
        <v>10.695187165775385</v>
      </c>
      <c r="P8" s="26">
        <f>('Kubiņu masa'!P14-'Kubiņu masa'!$D14)/'Kubiņu masa'!$D14*100</f>
        <v>15.24064171122993</v>
      </c>
      <c r="Q8" s="26">
        <f>('Kubiņu masa'!Q14-'Kubiņu masa'!$D14)/'Kubiņu masa'!$D14*100</f>
        <v>16.577540106951876</v>
      </c>
      <c r="R8" s="26">
        <f>('Kubiņu masa'!R14-'Kubiņu masa'!$D14)/'Kubiņu masa'!$D14*100</f>
        <v>16.310160427807471</v>
      </c>
      <c r="S8" s="26">
        <f>('Kubiņu masa'!S14-'Kubiņu masa'!$D14)/'Kubiņu masa'!$D14*100</f>
        <v>20.855614973262014</v>
      </c>
      <c r="T8" s="26">
        <f>('Kubiņu masa'!T14-'Kubiņu masa'!$D14)/'Kubiņu masa'!$D14*100</f>
        <v>20.588235294117634</v>
      </c>
      <c r="U8" s="26">
        <f>('Kubiņu masa'!U14-'Kubiņu masa'!$D14)/'Kubiņu masa'!$D14*100</f>
        <v>17.647058823529417</v>
      </c>
    </row>
    <row r="9" spans="1:21" x14ac:dyDescent="0.35">
      <c r="A9" s="42"/>
      <c r="B9" s="14"/>
      <c r="C9" s="21">
        <v>336</v>
      </c>
      <c r="D9" s="26">
        <f>('Kubiņu masa'!D15-'Kubiņu masa'!$D15)/'Kubiņu masa'!$D15*100</f>
        <v>0</v>
      </c>
      <c r="E9" s="26">
        <f>('Kubiņu masa'!E15-'Kubiņu masa'!$D15)/'Kubiņu masa'!$D15*100</f>
        <v>5.5657172720146351</v>
      </c>
      <c r="F9" s="26">
        <f>('Kubiņu masa'!F15-'Kubiņu masa'!$D15)/'Kubiņu masa'!$D15*100</f>
        <v>5.5657172720146351</v>
      </c>
      <c r="G9" s="26">
        <f>('Kubiņu masa'!G15-'Kubiņu masa'!$D15)/'Kubiņu masa'!$D15*100</f>
        <v>5.043114711262076</v>
      </c>
      <c r="H9" s="26">
        <f>('Kubiņu masa'!H15-'Kubiņu masa'!$D15)/'Kubiņu masa'!$D15*100</f>
        <v>6.3496211131434626</v>
      </c>
      <c r="I9" s="26">
        <f>('Kubiņu masa'!I15-'Kubiņu masa'!$D15)/'Kubiņu masa'!$D15*100</f>
        <v>6.8722236738959994</v>
      </c>
      <c r="J9" s="26">
        <f>('Kubiņu masa'!J15-'Kubiņu masa'!$D15)/'Kubiņu masa'!$D15*100</f>
        <v>6.3496211131434626</v>
      </c>
      <c r="K9" s="26">
        <f>('Kubiņu masa'!K15-'Kubiņu masa'!$D15)/'Kubiņu masa'!$D15*100</f>
        <v>8.1787300757773647</v>
      </c>
      <c r="L9" s="26">
        <f>('Kubiņu masa'!L15-'Kubiņu masa'!$D15)/'Kubiņu masa'!$D15*100</f>
        <v>7.6561275150248269</v>
      </c>
      <c r="M9" s="26">
        <f>('Kubiņu masa'!M15-'Kubiņu masa'!$D15)/'Kubiņu masa'!$D15*100</f>
        <v>11.053044159916386</v>
      </c>
      <c r="N9" s="26">
        <f>('Kubiņu masa'!N15-'Kubiņu masa'!$D15)/'Kubiņu masa'!$D15*100</f>
        <v>11.053044159916386</v>
      </c>
      <c r="O9" s="26">
        <f>('Kubiņu masa'!O15-'Kubiņu masa'!$D15)/'Kubiņu masa'!$D15*100</f>
        <v>10.791742879540116</v>
      </c>
      <c r="P9" s="26">
        <f>('Kubiņu masa'!P15-'Kubiņu masa'!$D15)/'Kubiņu masa'!$D15*100</f>
        <v>15.233864645936771</v>
      </c>
      <c r="Q9" s="26">
        <f>('Kubiņu masa'!Q15-'Kubiņu masa'!$D15)/'Kubiņu masa'!$D15*100</f>
        <v>16.801672328194403</v>
      </c>
      <c r="R9" s="26">
        <f>('Kubiņu masa'!R15-'Kubiņu masa'!$D15)/'Kubiņu masa'!$D15*100</f>
        <v>16.279069767441868</v>
      </c>
      <c r="S9" s="26">
        <f>('Kubiņu masa'!S15-'Kubiņu masa'!$D15)/'Kubiņu masa'!$D15*100</f>
        <v>20.459890253462252</v>
      </c>
      <c r="T9" s="26">
        <f>('Kubiņu masa'!T15-'Kubiņu masa'!$D15)/'Kubiņu masa'!$D15*100</f>
        <v>20.198588973085961</v>
      </c>
      <c r="U9" s="26">
        <f>('Kubiņu masa'!U15-'Kubiņu masa'!$D15)/'Kubiņu masa'!$D15*100</f>
        <v>17.324274888946963</v>
      </c>
    </row>
    <row r="10" spans="1:21" x14ac:dyDescent="0.35">
      <c r="A10" s="42"/>
      <c r="B10" s="14"/>
      <c r="C10" s="21">
        <v>341</v>
      </c>
      <c r="D10" s="26">
        <f>('Kubiņu masa'!D16-'Kubiņu masa'!$D16)/'Kubiņu masa'!$D16*100</f>
        <v>0</v>
      </c>
      <c r="E10" s="26">
        <f>('Kubiņu masa'!E16-'Kubiņu masa'!$D16)/'Kubiņu masa'!$D16*100</f>
        <v>5.6686846450192618</v>
      </c>
      <c r="F10" s="26">
        <f>('Kubiņu masa'!F16-'Kubiņu masa'!$D16)/'Kubiņu masa'!$D16*100</f>
        <v>5.3935057787561957</v>
      </c>
      <c r="G10" s="26">
        <f>('Kubiņu masa'!G16-'Kubiņu masa'!$D16)/'Kubiņu masa'!$D16*100</f>
        <v>5.3935057787561957</v>
      </c>
      <c r="H10" s="26">
        <f>('Kubiņu masa'!H16-'Kubiņu masa'!$D16)/'Kubiņu masa'!$D16*100</f>
        <v>6.2190423775454047</v>
      </c>
      <c r="I10" s="26">
        <f>('Kubiņu masa'!I16-'Kubiņu masa'!$D16)/'Kubiņu masa'!$D16*100</f>
        <v>6.2190423775454047</v>
      </c>
      <c r="J10" s="26">
        <f>('Kubiņu masa'!J16-'Kubiņu masa'!$D16)/'Kubiņu masa'!$D16*100</f>
        <v>5.9438635112823395</v>
      </c>
      <c r="K10" s="26">
        <f>('Kubiņu masa'!K16-'Kubiņu masa'!$D16)/'Kubiņu masa'!$D16*100</f>
        <v>7.8701155751238314</v>
      </c>
      <c r="L10" s="26">
        <f>('Kubiņu masa'!L16-'Kubiņu masa'!$D16)/'Kubiņu masa'!$D16*100</f>
        <v>7.3197578425976895</v>
      </c>
      <c r="M10" s="26">
        <f>('Kubiņu masa'!M16-'Kubiņu masa'!$D16)/'Kubiņu masa'!$D16*100</f>
        <v>11.172261970280687</v>
      </c>
      <c r="N10" s="26">
        <f>('Kubiņu masa'!N16-'Kubiņu masa'!$D16)/'Kubiņu masa'!$D16*100</f>
        <v>11.172261970280687</v>
      </c>
      <c r="O10" s="26">
        <f>('Kubiņu masa'!O16-'Kubiņu masa'!$D16)/'Kubiņu masa'!$D16*100</f>
        <v>10.897083104017621</v>
      </c>
      <c r="P10" s="26">
        <f>('Kubiņu masa'!P16-'Kubiņu masa'!$D16)/'Kubiņu masa'!$D16*100</f>
        <v>14.749587231700605</v>
      </c>
      <c r="Q10" s="26">
        <f>('Kubiņu masa'!Q16-'Kubiņu masa'!$D16)/'Kubiņu masa'!$D16*100</f>
        <v>17.226197028068242</v>
      </c>
      <c r="R10" s="26">
        <f>('Kubiņu masa'!R16-'Kubiņu masa'!$D16)/'Kubiņu masa'!$D16*100</f>
        <v>16.125481563015956</v>
      </c>
      <c r="S10" s="26">
        <f>('Kubiņu masa'!S16-'Kubiņu masa'!$D16)/'Kubiņu masa'!$D16*100</f>
        <v>21.078701155751251</v>
      </c>
      <c r="T10" s="26">
        <f>('Kubiņu masa'!T16-'Kubiņu masa'!$D16)/'Kubiņu masa'!$D16*100</f>
        <v>19.977985690698965</v>
      </c>
      <c r="U10" s="26">
        <f>('Kubiņu masa'!U16-'Kubiņu masa'!$D16)/'Kubiņu masa'!$D16*100</f>
        <v>18.326912493120524</v>
      </c>
    </row>
    <row r="11" spans="1:21" x14ac:dyDescent="0.35">
      <c r="A11" s="42"/>
      <c r="B11" s="11" t="s">
        <v>26</v>
      </c>
      <c r="C11" s="21">
        <v>348</v>
      </c>
      <c r="D11" s="26">
        <f>('Kubiņu masa'!D17-'Kubiņu masa'!$D17)/'Kubiņu masa'!$D17*100</f>
        <v>0</v>
      </c>
      <c r="E11" s="26">
        <f>('Kubiņu masa'!E17-'Kubiņu masa'!$D17)/'Kubiņu masa'!$D17*100</f>
        <v>4.9873859887444318</v>
      </c>
      <c r="F11" s="26">
        <f>('Kubiņu masa'!F17-'Kubiņu masa'!$D17)/'Kubiņu masa'!$D17*100</f>
        <v>5.3755094119930167</v>
      </c>
      <c r="G11" s="26">
        <f>('Kubiņu masa'!G17-'Kubiņu masa'!$D17)/'Kubiņu masa'!$D17*100</f>
        <v>5.1814477003687243</v>
      </c>
      <c r="H11" s="26">
        <f>('Kubiņu masa'!H17-'Kubiņu masa'!$D17)/'Kubiņu masa'!$D17*100</f>
        <v>5.569571123617326</v>
      </c>
      <c r="I11" s="26">
        <f>('Kubiņu masa'!I17-'Kubiņu masa'!$D17)/'Kubiņu masa'!$D17*100</f>
        <v>6.1517562584902032</v>
      </c>
      <c r="J11" s="26">
        <f>('Kubiņu masa'!J17-'Kubiņu masa'!$D17)/'Kubiņu masa'!$D17*100</f>
        <v>5.9576945468659108</v>
      </c>
      <c r="K11" s="26">
        <f>('Kubiņu masa'!K17-'Kubiņu masa'!$D17)/'Kubiņu masa'!$D17*100</f>
        <v>7.5101882398602857</v>
      </c>
      <c r="L11" s="26">
        <f>('Kubiņu masa'!L17-'Kubiņu masa'!$D17)/'Kubiņu masa'!$D17*100</f>
        <v>7.3161265282359933</v>
      </c>
      <c r="M11" s="26">
        <f>('Kubiņu masa'!M17-'Kubiņu masa'!$D17)/'Kubiņu masa'!$D17*100</f>
        <v>10.615175625849032</v>
      </c>
      <c r="N11" s="26">
        <f>('Kubiņu masa'!N17-'Kubiņu masa'!$D17)/'Kubiņu masa'!$D17*100</f>
        <v>10.615175625849032</v>
      </c>
      <c r="O11" s="26">
        <f>('Kubiņu masa'!O17-'Kubiņu masa'!$D17)/'Kubiņu masa'!$D17*100</f>
        <v>10.809237337473325</v>
      </c>
      <c r="P11" s="26">
        <f>('Kubiņu masa'!P17-'Kubiņu masa'!$D17)/'Kubiņu masa'!$D17*100</f>
        <v>15.466718416456446</v>
      </c>
      <c r="Q11" s="26">
        <f>('Kubiņu masa'!Q17-'Kubiņu masa'!$D17)/'Kubiņu masa'!$D17*100</f>
        <v>16.437026974577925</v>
      </c>
      <c r="R11" s="26">
        <f>('Kubiņu masa'!R17-'Kubiņu masa'!$D17)/'Kubiņu masa'!$D17*100</f>
        <v>16.242965262953632</v>
      </c>
      <c r="S11" s="26">
        <f>('Kubiņu masa'!S17-'Kubiņu masa'!$D17)/'Kubiņu masa'!$D17*100</f>
        <v>19.930137783815258</v>
      </c>
      <c r="T11" s="26">
        <f>('Kubiņu masa'!T17-'Kubiņu masa'!$D17)/'Kubiņu masa'!$D17*100</f>
        <v>19.542014360566672</v>
      </c>
      <c r="U11" s="26">
        <f>('Kubiņu masa'!U17-'Kubiņu masa'!$D17)/'Kubiņu masa'!$D17*100</f>
        <v>18.18358237919659</v>
      </c>
    </row>
    <row r="12" spans="1:21" x14ac:dyDescent="0.35">
      <c r="A12" s="42"/>
      <c r="B12" s="11"/>
      <c r="C12" s="21">
        <v>352</v>
      </c>
      <c r="D12" s="26">
        <f>('Kubiņu masa'!D18-'Kubiņu masa'!$D18)/'Kubiņu masa'!$D18*100</f>
        <v>0</v>
      </c>
      <c r="E12" s="26">
        <f>('Kubiņu masa'!E18-'Kubiņu masa'!$D18)/'Kubiņu masa'!$D18*100</f>
        <v>5.7050181263117805</v>
      </c>
      <c r="F12" s="26">
        <f>('Kubiņu masa'!F18-'Kubiņu masa'!$D18)/'Kubiņu masa'!$D18*100</f>
        <v>5.3234115626788769</v>
      </c>
      <c r="G12" s="26">
        <f>('Kubiņu masa'!G18-'Kubiņu masa'!$D18)/'Kubiņu masa'!$D18*100</f>
        <v>5.3234115626788769</v>
      </c>
      <c r="H12" s="26">
        <f>('Kubiņu masa'!H18-'Kubiņu masa'!$D18)/'Kubiņu masa'!$D18*100</f>
        <v>6.0866246899446663</v>
      </c>
      <c r="I12" s="26">
        <f>('Kubiņu masa'!I18-'Kubiņu masa'!$D18)/'Kubiņu masa'!$D18*100</f>
        <v>6.468231253577569</v>
      </c>
      <c r="J12" s="26">
        <f>('Kubiņu masa'!J18-'Kubiņu masa'!$D18)/'Kubiņu masa'!$D18*100</f>
        <v>6.2774279717611261</v>
      </c>
      <c r="K12" s="26">
        <f>('Kubiņu masa'!K18-'Kubiņu masa'!$D18)/'Kubiņu masa'!$D18*100</f>
        <v>7.8038542262927058</v>
      </c>
      <c r="L12" s="26">
        <f>('Kubiņu masa'!L18-'Kubiņu masa'!$D18)/'Kubiņu masa'!$D18*100</f>
        <v>7.613050944476246</v>
      </c>
      <c r="M12" s="26">
        <f>('Kubiņu masa'!M18-'Kubiņu masa'!$D18)/'Kubiņu masa'!$D18*100</f>
        <v>10.856706735355848</v>
      </c>
      <c r="N12" s="26">
        <f>('Kubiņu masa'!N18-'Kubiņu masa'!$D18)/'Kubiņu masa'!$D18*100</f>
        <v>10.856706735355848</v>
      </c>
      <c r="O12" s="26">
        <f>('Kubiņu masa'!O18-'Kubiņu masa'!$D18)/'Kubiņu masa'!$D18*100</f>
        <v>11.047510017172309</v>
      </c>
      <c r="P12" s="26">
        <f>('Kubiņu masa'!P18-'Kubiņu masa'!$D18)/'Kubiņu masa'!$D18*100</f>
        <v>15.435985498950586</v>
      </c>
      <c r="Q12" s="26">
        <f>('Kubiņu masa'!Q18-'Kubiņu masa'!$D18)/'Kubiņu masa'!$D18*100</f>
        <v>16.771608471665722</v>
      </c>
      <c r="R12" s="26">
        <f>('Kubiņu masa'!R18-'Kubiņu masa'!$D18)/'Kubiņu masa'!$D18*100</f>
        <v>16.390001908032819</v>
      </c>
      <c r="S12" s="26">
        <f>('Kubiņu masa'!S18-'Kubiņu masa'!$D18)/'Kubiņu masa'!$D18*100</f>
        <v>20.015264262545323</v>
      </c>
      <c r="T12" s="26">
        <f>('Kubiņu masa'!T18-'Kubiņu masa'!$D18)/'Kubiņu masa'!$D18*100</f>
        <v>20.206067544361765</v>
      </c>
      <c r="U12" s="26">
        <f>('Kubiņu masa'!U18-'Kubiņu masa'!$D18)/'Kubiņu masa'!$D18*100</f>
        <v>18.870444571646651</v>
      </c>
    </row>
    <row r="13" spans="1:21" x14ac:dyDescent="0.35">
      <c r="A13" s="42"/>
      <c r="B13" s="11"/>
      <c r="C13" s="21">
        <v>357</v>
      </c>
      <c r="D13" s="26">
        <f>('Kubiņu masa'!D19-'Kubiņu masa'!$D19)/'Kubiņu masa'!$D19*100</f>
        <v>0</v>
      </c>
      <c r="E13" s="26">
        <f>('Kubiņu masa'!E19-'Kubiņu masa'!$D19)/'Kubiņu masa'!$D19*100</f>
        <v>5.3346265761396596</v>
      </c>
      <c r="F13" s="26">
        <f>('Kubiņu masa'!F19-'Kubiņu masa'!$D19)/'Kubiņu masa'!$D19*100</f>
        <v>4.7526673132880717</v>
      </c>
      <c r="G13" s="26">
        <f>('Kubiņu masa'!G19-'Kubiņu masa'!$D19)/'Kubiņu masa'!$D19*100</f>
        <v>5.3346265761396596</v>
      </c>
      <c r="H13" s="26">
        <f>('Kubiņu masa'!H19-'Kubiņu masa'!$D19)/'Kubiņu masa'!$D19*100</f>
        <v>6.30455868089234</v>
      </c>
      <c r="I13" s="26">
        <f>('Kubiņu masa'!I19-'Kubiņu masa'!$D19)/'Kubiņu masa'!$D19*100</f>
        <v>6.30455868089234</v>
      </c>
      <c r="J13" s="26">
        <f>('Kubiņu masa'!J19-'Kubiņu masa'!$D19)/'Kubiņu masa'!$D19*100</f>
        <v>6.4985451018428702</v>
      </c>
      <c r="K13" s="26">
        <f>('Kubiņu masa'!K19-'Kubiņu masa'!$D19)/'Kubiņu masa'!$D19*100</f>
        <v>7.6624636275460638</v>
      </c>
      <c r="L13" s="26">
        <f>('Kubiņu masa'!L19-'Kubiņu masa'!$D19)/'Kubiņu masa'!$D19*100</f>
        <v>8.0504364694471384</v>
      </c>
      <c r="M13" s="26">
        <f>('Kubiņu masa'!M19-'Kubiņu masa'!$D19)/'Kubiņu masa'!$D19*100</f>
        <v>10.960232783705131</v>
      </c>
      <c r="N13" s="26">
        <f>('Kubiņu masa'!N19-'Kubiņu masa'!$D19)/'Kubiņu masa'!$D19*100</f>
        <v>10.960232783705131</v>
      </c>
      <c r="O13" s="26">
        <f>('Kubiņu masa'!O19-'Kubiņu masa'!$D19)/'Kubiņu masa'!$D19*100</f>
        <v>10.960232783705131</v>
      </c>
      <c r="P13" s="26">
        <f>('Kubiņu masa'!P19-'Kubiņu masa'!$D19)/'Kubiņu masa'!$D19*100</f>
        <v>15.033947623666332</v>
      </c>
      <c r="Q13" s="26">
        <f>('Kubiņu masa'!Q19-'Kubiņu masa'!$D19)/'Kubiņu masa'!$D19*100</f>
        <v>16.197866149369542</v>
      </c>
      <c r="R13" s="26">
        <f>('Kubiņu masa'!R19-'Kubiņu masa'!$D19)/'Kubiņu masa'!$D19*100</f>
        <v>16.003879728419012</v>
      </c>
      <c r="S13" s="26">
        <f>('Kubiņu masa'!S19-'Kubiņu masa'!$D19)/'Kubiņu masa'!$D19*100</f>
        <v>20.077594568380217</v>
      </c>
      <c r="T13" s="26">
        <f>('Kubiņu masa'!T19-'Kubiņu masa'!$D19)/'Kubiņu masa'!$D19*100</f>
        <v>20.271580989330744</v>
      </c>
      <c r="U13" s="26">
        <f>('Kubiņu masa'!U19-'Kubiņu masa'!$D19)/'Kubiņu masa'!$D19*100</f>
        <v>17.555771096023264</v>
      </c>
    </row>
    <row r="14" spans="1:21" x14ac:dyDescent="0.35">
      <c r="A14" s="42"/>
      <c r="B14" s="11" t="s">
        <v>27</v>
      </c>
      <c r="C14" s="21">
        <v>368</v>
      </c>
      <c r="D14" s="26">
        <f>('Kubiņu masa'!D20-'Kubiņu masa'!$D20)/'Kubiņu masa'!$D20*100</f>
        <v>0</v>
      </c>
      <c r="E14" s="26">
        <f>('Kubiņu masa'!E20-'Kubiņu masa'!$D20)/'Kubiņu masa'!$D20*100</f>
        <v>5.4558131427575338</v>
      </c>
      <c r="F14" s="26">
        <f>('Kubiņu masa'!F20-'Kubiņu masa'!$D20)/'Kubiņu masa'!$D20*100</f>
        <v>4.9328917552727818</v>
      </c>
      <c r="G14" s="26">
        <f>('Kubiņu masa'!G20-'Kubiņu masa'!$D20)/'Kubiņu masa'!$D20*100</f>
        <v>5.2815060135959548</v>
      </c>
      <c r="H14" s="26">
        <f>('Kubiņu masa'!H20-'Kubiņu masa'!$D20)/'Kubiņu masa'!$D20*100</f>
        <v>6.3273487885654438</v>
      </c>
      <c r="I14" s="26">
        <f>('Kubiņu masa'!I20-'Kubiņu masa'!$D20)/'Kubiņu masa'!$D20*100</f>
        <v>6.8502701760501967</v>
      </c>
      <c r="J14" s="26">
        <f>('Kubiņu masa'!J20-'Kubiņu masa'!$D20)/'Kubiņu masa'!$D20*100</f>
        <v>6.6759630468886177</v>
      </c>
      <c r="K14" s="26">
        <f>('Kubiņu masa'!K20-'Kubiņu masa'!$D20)/'Kubiņu masa'!$D20*100</f>
        <v>8.0704200801812807</v>
      </c>
      <c r="L14" s="26">
        <f>('Kubiņu masa'!L20-'Kubiņu masa'!$D20)/'Kubiņu masa'!$D20*100</f>
        <v>7.8961129510197017</v>
      </c>
      <c r="M14" s="26">
        <f>('Kubiņu masa'!M20-'Kubiņu masa'!$D20)/'Kubiņu masa'!$D20*100</f>
        <v>10.859334146766606</v>
      </c>
      <c r="N14" s="26">
        <f>('Kubiņu masa'!N20-'Kubiņu masa'!$D20)/'Kubiņu masa'!$D20*100</f>
        <v>10.859334146766606</v>
      </c>
      <c r="O14" s="26">
        <f>('Kubiņu masa'!O20-'Kubiņu masa'!$D20)/'Kubiņu masa'!$D20*100</f>
        <v>10.685027017605012</v>
      </c>
      <c r="P14" s="26">
        <f>('Kubiņu masa'!P20-'Kubiņu masa'!$D20)/'Kubiņu masa'!$D20*100</f>
        <v>13.473941084190338</v>
      </c>
      <c r="Q14" s="26">
        <f>('Kubiņu masa'!Q20-'Kubiņu masa'!$D20)/'Kubiņu masa'!$D20*100</f>
        <v>14.868398117483</v>
      </c>
      <c r="R14" s="26">
        <f>('Kubiņu masa'!R20-'Kubiņu masa'!$D20)/'Kubiņu masa'!$D20*100</f>
        <v>14.69409098832142</v>
      </c>
      <c r="S14" s="26">
        <f>('Kubiņu masa'!S20-'Kubiņu masa'!$D20)/'Kubiņu masa'!$D20*100</f>
        <v>17.483005054906748</v>
      </c>
      <c r="T14" s="26">
        <f>('Kubiņu masa'!T20-'Kubiņu masa'!$D20)/'Kubiņu masa'!$D20*100</f>
        <v>17.134390796583574</v>
      </c>
      <c r="U14" s="26">
        <f>('Kubiņu masa'!U20-'Kubiņu masa'!$D20)/'Kubiņu masa'!$D20*100</f>
        <v>17.483005054906748</v>
      </c>
    </row>
    <row r="15" spans="1:21" x14ac:dyDescent="0.35">
      <c r="A15" s="42"/>
      <c r="B15" s="11"/>
      <c r="C15" s="21">
        <v>372</v>
      </c>
      <c r="D15" s="26">
        <f>('Kubiņu masa'!D21-'Kubiņu masa'!$D21)/'Kubiņu masa'!$D21*100</f>
        <v>0</v>
      </c>
      <c r="E15" s="26">
        <f>('Kubiņu masa'!E21-'Kubiņu masa'!$D21)/'Kubiņu masa'!$D21*100</f>
        <v>5.7147482596729917</v>
      </c>
      <c r="F15" s="26">
        <f>('Kubiņu masa'!F21-'Kubiņu masa'!$D21)/'Kubiņu masa'!$D21*100</f>
        <v>5.0671847175004148</v>
      </c>
      <c r="G15" s="26">
        <f>('Kubiņu masa'!G21-'Kubiņu masa'!$D21)/'Kubiņu masa'!$D21*100</f>
        <v>5.3909664885866961</v>
      </c>
      <c r="H15" s="26">
        <f>('Kubiņu masa'!H21-'Kubiņu masa'!$D21)/'Kubiņu masa'!$D21*100</f>
        <v>6.5242026873887085</v>
      </c>
      <c r="I15" s="26">
        <f>('Kubiņu masa'!I21-'Kubiņu masa'!$D21)/'Kubiņu masa'!$D21*100</f>
        <v>6.8479844584749889</v>
      </c>
      <c r="J15" s="26">
        <f>('Kubiņu masa'!J21-'Kubiņu masa'!$D21)/'Kubiņu masa'!$D21*100</f>
        <v>6.5242026873887085</v>
      </c>
      <c r="K15" s="26">
        <f>('Kubiņu masa'!K21-'Kubiņu masa'!$D21)/'Kubiņu masa'!$D21*100</f>
        <v>8.3050024283632968</v>
      </c>
      <c r="L15" s="26">
        <f>('Kubiņu masa'!L21-'Kubiņu masa'!$D21)/'Kubiņu masa'!$D21*100</f>
        <v>8.1431115428201419</v>
      </c>
      <c r="M15" s="26">
        <f>('Kubiņu masa'!M21-'Kubiņu masa'!$D21)/'Kubiņu masa'!$D21*100</f>
        <v>11.057147482596742</v>
      </c>
      <c r="N15" s="26">
        <f>('Kubiņu masa'!N21-'Kubiņu masa'!$D21)/'Kubiņu masa'!$D21*100</f>
        <v>11.057147482596742</v>
      </c>
      <c r="O15" s="26">
        <f>('Kubiņu masa'!O21-'Kubiņu masa'!$D21)/'Kubiņu masa'!$D21*100</f>
        <v>10.895256597053587</v>
      </c>
      <c r="P15" s="26">
        <f>('Kubiņu masa'!P21-'Kubiņu masa'!$D21)/'Kubiņu masa'!$D21*100</f>
        <v>13.809292536830187</v>
      </c>
      <c r="Q15" s="26">
        <f>('Kubiņu masa'!Q21-'Kubiņu masa'!$D21)/'Kubiņu masa'!$D21*100</f>
        <v>14.942528735632186</v>
      </c>
      <c r="R15" s="26">
        <f>('Kubiņu masa'!R21-'Kubiņu masa'!$D21)/'Kubiņu masa'!$D21*100</f>
        <v>14.780637850089045</v>
      </c>
      <c r="S15" s="26">
        <f>('Kubiņu masa'!S21-'Kubiņu masa'!$D21)/'Kubiņu masa'!$D21*100</f>
        <v>17.856564675408787</v>
      </c>
      <c r="T15" s="26">
        <f>('Kubiņu masa'!T21-'Kubiņu masa'!$D21)/'Kubiņu masa'!$D21*100</f>
        <v>17.856564675408787</v>
      </c>
      <c r="U15" s="26">
        <f>('Kubiņu masa'!U21-'Kubiņu masa'!$D21)/'Kubiņu masa'!$D21*100</f>
        <v>17.856564675408787</v>
      </c>
    </row>
    <row r="16" spans="1:21" x14ac:dyDescent="0.35">
      <c r="A16" s="42"/>
      <c r="B16" s="11"/>
      <c r="C16" s="21">
        <v>377</v>
      </c>
      <c r="D16" s="26">
        <f>('Kubiņu masa'!D22-'Kubiņu masa'!$D22)/'Kubiņu masa'!$D22*100</f>
        <v>0</v>
      </c>
      <c r="E16" s="26">
        <f>('Kubiņu masa'!E22-'Kubiņu masa'!$D22)/'Kubiņu masa'!$D22*100</f>
        <v>4.9229239184485278</v>
      </c>
      <c r="F16" s="26">
        <f>('Kubiņu masa'!F22-'Kubiņu masa'!$D22)/'Kubiņu masa'!$D22*100</f>
        <v>4.9229239184485278</v>
      </c>
      <c r="G16" s="26">
        <f>('Kubiņu masa'!G22-'Kubiņu masa'!$D22)/'Kubiņu masa'!$D22*100</f>
        <v>5.2544339466268735</v>
      </c>
      <c r="H16" s="26">
        <f>('Kubiņu masa'!H22-'Kubiņu masa'!$D22)/'Kubiņu masa'!$D22*100</f>
        <v>6.414719045251112</v>
      </c>
      <c r="I16" s="26">
        <f>('Kubiņu masa'!I22-'Kubiņu masa'!$D22)/'Kubiņu masa'!$D22*100</f>
        <v>6.7462290734294719</v>
      </c>
      <c r="J16" s="26">
        <f>('Kubiņu masa'!J22-'Kubiņu masa'!$D22)/'Kubiņu masa'!$D22*100</f>
        <v>6.7462290734294719</v>
      </c>
      <c r="K16" s="26">
        <f>('Kubiņu masa'!K22-'Kubiņu masa'!$D22)/'Kubiņu masa'!$D22*100</f>
        <v>8.0722691861428686</v>
      </c>
      <c r="L16" s="26">
        <f>('Kubiņu masa'!L22-'Kubiņu masa'!$D22)/'Kubiņu masa'!$D22*100</f>
        <v>7.7407591579645221</v>
      </c>
      <c r="M16" s="26">
        <f>('Kubiņu masa'!M22-'Kubiņu masa'!$D22)/'Kubiņu masa'!$D22*100</f>
        <v>11.055859439748049</v>
      </c>
      <c r="N16" s="26">
        <f>('Kubiņu masa'!N22-'Kubiņu masa'!$D22)/'Kubiņu masa'!$D22*100</f>
        <v>11.055859439748049</v>
      </c>
      <c r="O16" s="26">
        <f>('Kubiņu masa'!O22-'Kubiņu masa'!$D22)/'Kubiņu masa'!$D22*100</f>
        <v>10.724349411569689</v>
      </c>
      <c r="P16" s="26">
        <f>('Kubiņu masa'!P22-'Kubiņu masa'!$D22)/'Kubiņu masa'!$D22*100</f>
        <v>13.376429636996509</v>
      </c>
      <c r="Q16" s="26">
        <f>('Kubiņu masa'!Q22-'Kubiņu masa'!$D22)/'Kubiņu masa'!$D22*100</f>
        <v>14.70246974970992</v>
      </c>
      <c r="R16" s="26">
        <f>('Kubiņu masa'!R22-'Kubiņu masa'!$D22)/'Kubiņu masa'!$D22*100</f>
        <v>14.536714735620748</v>
      </c>
      <c r="S16" s="26">
        <f>('Kubiņu masa'!S22-'Kubiņu masa'!$D22)/'Kubiņu masa'!$D22*100</f>
        <v>18.18332504558262</v>
      </c>
      <c r="T16" s="26">
        <f>('Kubiņu masa'!T22-'Kubiņu masa'!$D22)/'Kubiņu masa'!$D22*100</f>
        <v>17.686060003315088</v>
      </c>
      <c r="U16" s="26">
        <f>('Kubiņu masa'!U22-'Kubiņu masa'!$D22)/'Kubiņu masa'!$D22*100</f>
        <v>17.520304989225917</v>
      </c>
    </row>
    <row r="17" spans="1:21" x14ac:dyDescent="0.35">
      <c r="A17" s="42"/>
      <c r="B17" s="11" t="s">
        <v>28</v>
      </c>
      <c r="C17" s="21">
        <v>384</v>
      </c>
      <c r="D17" s="26">
        <f>('Kubiņu masa'!D23-'Kubiņu masa'!$D23)/'Kubiņu masa'!$D23*100</f>
        <v>0</v>
      </c>
      <c r="E17" s="26">
        <f>('Kubiņu masa'!E23-'Kubiņu masa'!$D23)/'Kubiņu masa'!$D23*100</f>
        <v>4.6228710462287115</v>
      </c>
      <c r="F17" s="26">
        <f>('Kubiņu masa'!F23-'Kubiņu masa'!$D23)/'Kubiņu masa'!$D23*100</f>
        <v>3.2325338894682107</v>
      </c>
      <c r="G17" s="26">
        <f>('Kubiņu masa'!G23-'Kubiņu masa'!$D23)/'Kubiņu masa'!$D23*100</f>
        <v>4.2752867570385895</v>
      </c>
      <c r="H17" s="26">
        <f>('Kubiņu masa'!H23-'Kubiņu masa'!$D23)/'Kubiņu masa'!$D23*100</f>
        <v>5.6656239137991049</v>
      </c>
      <c r="I17" s="26">
        <f>('Kubiņu masa'!I23-'Kubiņu masa'!$D23)/'Kubiņu masa'!$D23*100</f>
        <v>6.0132082029892269</v>
      </c>
      <c r="J17" s="26">
        <f>('Kubiņu masa'!J23-'Kubiņu masa'!$D23)/'Kubiņu masa'!$D23*100</f>
        <v>4.9704553354188477</v>
      </c>
      <c r="K17" s="26">
        <f>('Kubiņu masa'!K23-'Kubiņu masa'!$D23)/'Kubiņu masa'!$D23*100</f>
        <v>6.708376781369485</v>
      </c>
      <c r="L17" s="26">
        <f>('Kubiņu masa'!L23-'Kubiņu masa'!$D23)/'Kubiņu masa'!$D23*100</f>
        <v>6.3607924921793639</v>
      </c>
      <c r="M17" s="26">
        <f>('Kubiņu masa'!M23-'Kubiņu masa'!$D23)/'Kubiņu masa'!$D23*100</f>
        <v>10.531803962460911</v>
      </c>
      <c r="N17" s="26">
        <f>('Kubiņu masa'!N23-'Kubiņu masa'!$D23)/'Kubiņu masa'!$D23*100</f>
        <v>10.531803962460911</v>
      </c>
      <c r="O17" s="26">
        <f>('Kubiņu masa'!O23-'Kubiņu masa'!$D23)/'Kubiņu masa'!$D23*100</f>
        <v>9.8366353840806529</v>
      </c>
      <c r="P17" s="26">
        <f>('Kubiņu masa'!P23-'Kubiņu masa'!$D23)/'Kubiņu masa'!$D23*100</f>
        <v>15.050399721932578</v>
      </c>
      <c r="Q17" s="26">
        <f>('Kubiņu masa'!Q23-'Kubiņu masa'!$D23)/'Kubiņu masa'!$D23*100</f>
        <v>16.09315258950296</v>
      </c>
      <c r="R17" s="26">
        <f>('Kubiņu masa'!R23-'Kubiņu masa'!$D23)/'Kubiņu masa'!$D23*100</f>
        <v>16.09315258950296</v>
      </c>
      <c r="S17" s="26">
        <f>('Kubiņu masa'!S23-'Kubiņu masa'!$D23)/'Kubiņu masa'!$D23*100</f>
        <v>23.044838373305538</v>
      </c>
      <c r="T17" s="26">
        <f>('Kubiņu masa'!T23-'Kubiņu masa'!$D23)/'Kubiņu masa'!$D23*100</f>
        <v>20.264164059784505</v>
      </c>
      <c r="U17" s="26">
        <f>('Kubiņu masa'!U23-'Kubiņu masa'!$D23)/'Kubiņu masa'!$D23*100</f>
        <v>18.178658324643731</v>
      </c>
    </row>
    <row r="18" spans="1:21" x14ac:dyDescent="0.35">
      <c r="A18" s="42"/>
      <c r="B18" s="11"/>
      <c r="C18" s="21">
        <v>387</v>
      </c>
      <c r="D18" s="26">
        <f>('Kubiņu masa'!D24-'Kubiņu masa'!$D24)/'Kubiņu masa'!$D24*100</f>
        <v>0</v>
      </c>
      <c r="E18" s="26">
        <f>('Kubiņu masa'!E24-'Kubiņu masa'!$D24)/'Kubiņu masa'!$D24*100</f>
        <v>4.9342105263157867</v>
      </c>
      <c r="F18" s="26">
        <f>('Kubiņu masa'!F24-'Kubiņu masa'!$D24)/'Kubiņu masa'!$D24*100</f>
        <v>4.2763157894736805</v>
      </c>
      <c r="G18" s="26">
        <f>('Kubiņu masa'!G24-'Kubiņu masa'!$D24)/'Kubiņu masa'!$D24*100</f>
        <v>4.2763157894736805</v>
      </c>
      <c r="H18" s="26">
        <f>('Kubiņu masa'!H24-'Kubiņu masa'!$D24)/'Kubiņu masa'!$D24*100</f>
        <v>5.592105263157892</v>
      </c>
      <c r="I18" s="26">
        <f>('Kubiņu masa'!I24-'Kubiņu masa'!$D24)/'Kubiņu masa'!$D24*100</f>
        <v>5.9210526315789522</v>
      </c>
      <c r="J18" s="26">
        <f>('Kubiņu masa'!J24-'Kubiņu masa'!$D24)/'Kubiņu masa'!$D24*100</f>
        <v>5.2631578947368469</v>
      </c>
      <c r="K18" s="26">
        <f>('Kubiņu masa'!K24-'Kubiņu masa'!$D24)/'Kubiņu masa'!$D24*100</f>
        <v>6.9078947368421044</v>
      </c>
      <c r="L18" s="26">
        <f>('Kubiņu masa'!L24-'Kubiņu masa'!$D24)/'Kubiņu masa'!$D24*100</f>
        <v>6.9078947368421044</v>
      </c>
      <c r="M18" s="26">
        <f>('Kubiņu masa'!M24-'Kubiņu masa'!$D24)/'Kubiņu masa'!$D24*100</f>
        <v>9.8684210526315734</v>
      </c>
      <c r="N18" s="26">
        <f>('Kubiņu masa'!N24-'Kubiņu masa'!$D24)/'Kubiņu masa'!$D24*100</f>
        <v>9.8684210526315734</v>
      </c>
      <c r="O18" s="26">
        <f>('Kubiņu masa'!O24-'Kubiņu masa'!$D24)/'Kubiņu masa'!$D24*100</f>
        <v>10.197368421052634</v>
      </c>
      <c r="P18" s="26">
        <f>('Kubiņu masa'!P24-'Kubiņu masa'!$D24)/'Kubiņu masa'!$D24*100</f>
        <v>15.131578947368421</v>
      </c>
      <c r="Q18" s="26">
        <f>('Kubiņu masa'!Q24-'Kubiņu masa'!$D24)/'Kubiņu masa'!$D24*100</f>
        <v>16.776315789473678</v>
      </c>
      <c r="R18" s="26">
        <f>('Kubiņu masa'!R24-'Kubiņu masa'!$D24)/'Kubiņu masa'!$D24*100</f>
        <v>16.447368421052634</v>
      </c>
      <c r="S18" s="26">
        <f>('Kubiņu masa'!S24-'Kubiņu masa'!$D24)/'Kubiņu masa'!$D24*100</f>
        <v>22.039473684210524</v>
      </c>
      <c r="T18" s="26">
        <f>('Kubiņu masa'!T24-'Kubiņu masa'!$D24)/'Kubiņu masa'!$D24*100</f>
        <v>21.710526315789476</v>
      </c>
      <c r="U18" s="26">
        <f>('Kubiņu masa'!U24-'Kubiņu masa'!$D24)/'Kubiņu masa'!$D24*100</f>
        <v>18.09210526315789</v>
      </c>
    </row>
    <row r="19" spans="1:21" x14ac:dyDescent="0.35">
      <c r="A19" s="42"/>
      <c r="B19" s="11"/>
      <c r="C19" s="21">
        <v>392</v>
      </c>
      <c r="D19" s="26">
        <f>('Kubiņu masa'!D25-'Kubiņu masa'!$D25)/'Kubiņu masa'!$D25*100</f>
        <v>0</v>
      </c>
      <c r="E19" s="26">
        <f>('Kubiņu masa'!E25-'Kubiņu masa'!$D25)/'Kubiņu masa'!$D25*100</f>
        <v>4.7136981967731737</v>
      </c>
      <c r="F19" s="26">
        <f>('Kubiņu masa'!F25-'Kubiņu masa'!$D25)/'Kubiņu masa'!$D25*100</f>
        <v>4.0809870294210695</v>
      </c>
      <c r="G19" s="26">
        <f>('Kubiņu masa'!G25-'Kubiņu masa'!$D25)/'Kubiņu masa'!$D25*100</f>
        <v>5.0300537804492187</v>
      </c>
      <c r="H19" s="26">
        <f>('Kubiņu masa'!H25-'Kubiņu masa'!$D25)/'Kubiņu masa'!$D25*100</f>
        <v>5.6627649478013229</v>
      </c>
      <c r="I19" s="26">
        <f>('Kubiņu masa'!I25-'Kubiņu masa'!$D25)/'Kubiņu masa'!$D25*100</f>
        <v>5.9791205314773821</v>
      </c>
      <c r="J19" s="26">
        <f>('Kubiņu masa'!J25-'Kubiņu masa'!$D25)/'Kubiņu masa'!$D25*100</f>
        <v>5.3464093641252779</v>
      </c>
      <c r="K19" s="26">
        <f>('Kubiņu masa'!K25-'Kubiņu masa'!$D25)/'Kubiņu masa'!$D25*100</f>
        <v>6.9281872825055322</v>
      </c>
      <c r="L19" s="26">
        <f>('Kubiņu masa'!L25-'Kubiņu masa'!$D25)/'Kubiņu masa'!$D25*100</f>
        <v>6.6118316988294872</v>
      </c>
      <c r="M19" s="26">
        <f>('Kubiņu masa'!M25-'Kubiņu masa'!$D25)/'Kubiņu masa'!$D25*100</f>
        <v>10.091743119266052</v>
      </c>
      <c r="N19" s="26">
        <f>('Kubiņu masa'!N25-'Kubiņu masa'!$D25)/'Kubiņu masa'!$D25*100</f>
        <v>10.091743119266052</v>
      </c>
      <c r="O19" s="26">
        <f>('Kubiņu masa'!O25-'Kubiņu masa'!$D25)/'Kubiņu masa'!$D25*100</f>
        <v>9.7753875355900082</v>
      </c>
      <c r="P19" s="26">
        <f>('Kubiņu masa'!P25-'Kubiņu masa'!$D25)/'Kubiņu masa'!$D25*100</f>
        <v>14.204365707054725</v>
      </c>
      <c r="Q19" s="26">
        <f>('Kubiņu masa'!Q25-'Kubiņu masa'!$D25)/'Kubiņu masa'!$D25*100</f>
        <v>16.73521037646314</v>
      </c>
      <c r="R19" s="26">
        <f>('Kubiņu masa'!R25-'Kubiņu masa'!$D25)/'Kubiņu masa'!$D25*100</f>
        <v>16.102499209111038</v>
      </c>
      <c r="S19" s="26">
        <f>('Kubiņu masa'!S25-'Kubiņu masa'!$D25)/'Kubiņu masa'!$D25*100</f>
        <v>21.796899715279977</v>
      </c>
      <c r="T19" s="26">
        <f>('Kubiņu masa'!T25-'Kubiņu masa'!$D25)/'Kubiņu masa'!$D25*100</f>
        <v>20.847832964251815</v>
      </c>
      <c r="U19" s="26">
        <f>('Kubiņu masa'!U25-'Kubiņu masa'!$D25)/'Kubiņu masa'!$D25*100</f>
        <v>18.000632711167349</v>
      </c>
    </row>
    <row r="20" spans="1:21" x14ac:dyDescent="0.35">
      <c r="A20" s="42"/>
      <c r="B20" s="11" t="s">
        <v>29</v>
      </c>
      <c r="C20" s="21">
        <v>399</v>
      </c>
      <c r="D20" s="26">
        <f>('Kubiņu masa'!D26-'Kubiņu masa'!$D26)/'Kubiņu masa'!$D26*100</f>
        <v>0</v>
      </c>
      <c r="E20" s="26">
        <f>('Kubiņu masa'!E26-'Kubiņu masa'!$D26)/'Kubiņu masa'!$D26*100</f>
        <v>4.491876393755974</v>
      </c>
      <c r="F20" s="26">
        <f>('Kubiņu masa'!F26-'Kubiņu masa'!$D26)/'Kubiņu masa'!$D26*100</f>
        <v>4.8104491876393842</v>
      </c>
      <c r="G20" s="26">
        <f>('Kubiņu masa'!G26-'Kubiņu masa'!$D26)/'Kubiņu masa'!$D26*100</f>
        <v>4.8104491876393842</v>
      </c>
      <c r="H20" s="26">
        <f>('Kubiņu masa'!H26-'Kubiņu masa'!$D26)/'Kubiņu masa'!$D26*100</f>
        <v>6.0847403631729939</v>
      </c>
      <c r="I20" s="26">
        <f>('Kubiņu masa'!I26-'Kubiņu masa'!$D26)/'Kubiņu masa'!$D26*100</f>
        <v>6.4033131570563899</v>
      </c>
      <c r="J20" s="26">
        <f>('Kubiņu masa'!J26-'Kubiņu masa'!$D26)/'Kubiņu masa'!$D26*100</f>
        <v>5.7661675692895846</v>
      </c>
      <c r="K20" s="26">
        <f>('Kubiņu masa'!K26-'Kubiņu masa'!$D26)/'Kubiņu masa'!$D26*100</f>
        <v>7.0404587448231952</v>
      </c>
      <c r="L20" s="26">
        <f>('Kubiņu masa'!L26-'Kubiņu masa'!$D26)/'Kubiņu masa'!$D26*100</f>
        <v>7.0404587448231952</v>
      </c>
      <c r="M20" s="26">
        <f>('Kubiņu masa'!M26-'Kubiņu masa'!$D26)/'Kubiņu masa'!$D26*100</f>
        <v>10.863332271424026</v>
      </c>
      <c r="N20" s="26">
        <f>('Kubiņu masa'!N26-'Kubiņu masa'!$D26)/'Kubiņu masa'!$D26*100</f>
        <v>10.863332271424026</v>
      </c>
      <c r="O20" s="26">
        <f>('Kubiņu masa'!O26-'Kubiņu masa'!$D26)/'Kubiņu masa'!$D26*100</f>
        <v>10.863332271424026</v>
      </c>
      <c r="P20" s="26">
        <f>('Kubiņu masa'!P26-'Kubiņu masa'!$D26)/'Kubiņu masa'!$D26*100</f>
        <v>14.68620579802486</v>
      </c>
      <c r="Q20" s="26">
        <f>('Kubiņu masa'!Q26-'Kubiņu masa'!$D26)/'Kubiņu masa'!$D26*100</f>
        <v>17.234788149092083</v>
      </c>
      <c r="R20" s="26">
        <f>('Kubiņu masa'!R26-'Kubiņu masa'!$D26)/'Kubiņu masa'!$D26*100</f>
        <v>16.279069767441865</v>
      </c>
      <c r="S20" s="26">
        <f>('Kubiņu masa'!S26-'Kubiņu masa'!$D26)/'Kubiņu masa'!$D26*100</f>
        <v>22.331952851226507</v>
      </c>
      <c r="T20" s="26">
        <f>('Kubiņu masa'!T26-'Kubiņu masa'!$D26)/'Kubiņu masa'!$D26*100</f>
        <v>20.101943294042698</v>
      </c>
      <c r="U20" s="26">
        <f>('Kubiņu masa'!U26-'Kubiņu masa'!$D26)/'Kubiņu masa'!$D26*100</f>
        <v>15.004778591908256</v>
      </c>
    </row>
    <row r="21" spans="1:21" x14ac:dyDescent="0.35">
      <c r="A21" s="42"/>
      <c r="B21" s="11"/>
      <c r="C21" s="21">
        <v>403</v>
      </c>
      <c r="D21" s="26">
        <f>('Kubiņu masa'!D27-'Kubiņu masa'!$D27)/'Kubiņu masa'!$D27*100</f>
        <v>0</v>
      </c>
      <c r="E21" s="26">
        <f>('Kubiņu masa'!E27-'Kubiņu masa'!$D27)/'Kubiņu masa'!$D27*100</f>
        <v>5.6074766355140238</v>
      </c>
      <c r="F21" s="26">
        <f>('Kubiņu masa'!F27-'Kubiņu masa'!$D27)/'Kubiņu masa'!$D27*100</f>
        <v>4.6728971962616797</v>
      </c>
      <c r="G21" s="26">
        <f>('Kubiņu masa'!G27-'Kubiņu masa'!$D27)/'Kubiņu masa'!$D27*100</f>
        <v>4.9844236760124661</v>
      </c>
      <c r="H21" s="26">
        <f>('Kubiņu masa'!H27-'Kubiņu masa'!$D27)/'Kubiņu masa'!$D27*100</f>
        <v>6.2305295950155815</v>
      </c>
      <c r="I21" s="26">
        <f>('Kubiņu masa'!I27-'Kubiņu masa'!$D27)/'Kubiņu masa'!$D27*100</f>
        <v>6.2305295950155815</v>
      </c>
      <c r="J21" s="26">
        <f>('Kubiņu masa'!J27-'Kubiņu masa'!$D27)/'Kubiņu masa'!$D27*100</f>
        <v>5.6074766355140238</v>
      </c>
      <c r="K21" s="26">
        <f>('Kubiņu masa'!K27-'Kubiņu masa'!$D27)/'Kubiņu masa'!$D27*100</f>
        <v>7.4766355140186977</v>
      </c>
      <c r="L21" s="26">
        <f>('Kubiņu masa'!L27-'Kubiņu masa'!$D27)/'Kubiņu masa'!$D27*100</f>
        <v>7.1651090342679122</v>
      </c>
      <c r="M21" s="26">
        <f>('Kubiņu masa'!M27-'Kubiņu masa'!$D27)/'Kubiņu masa'!$D27*100</f>
        <v>10.903426791277262</v>
      </c>
      <c r="N21" s="26">
        <f>('Kubiņu masa'!N27-'Kubiņu masa'!$D27)/'Kubiņu masa'!$D27*100</f>
        <v>10.903426791277262</v>
      </c>
      <c r="O21" s="26">
        <f>('Kubiņu masa'!O27-'Kubiņu masa'!$D27)/'Kubiņu masa'!$D27*100</f>
        <v>10.591900311526475</v>
      </c>
      <c r="P21" s="26">
        <f>('Kubiņu masa'!P27-'Kubiņu masa'!$D27)/'Kubiņu masa'!$D27*100</f>
        <v>14.018691588785051</v>
      </c>
      <c r="Q21" s="26">
        <f>('Kubiņu masa'!Q27-'Kubiņu masa'!$D27)/'Kubiņu masa'!$D27*100</f>
        <v>16.510903426791284</v>
      </c>
      <c r="R21" s="26">
        <f>('Kubiņu masa'!R27-'Kubiņu masa'!$D27)/'Kubiņu masa'!$D27*100</f>
        <v>15.57632398753894</v>
      </c>
      <c r="S21" s="26">
        <f>('Kubiņu masa'!S27-'Kubiņu masa'!$D27)/'Kubiņu masa'!$D27*100</f>
        <v>21.495327102803738</v>
      </c>
      <c r="T21" s="26">
        <f>('Kubiņu masa'!T27-'Kubiņu masa'!$D27)/'Kubiņu masa'!$D27*100</f>
        <v>21.183800623052964</v>
      </c>
      <c r="U21" s="26">
        <f>('Kubiņu masa'!U27-'Kubiņu masa'!$D27)/'Kubiņu masa'!$D27*100</f>
        <v>17.75700934579439</v>
      </c>
    </row>
    <row r="22" spans="1:21" x14ac:dyDescent="0.35">
      <c r="A22" s="42"/>
      <c r="B22" s="11"/>
      <c r="C22" s="21">
        <v>408</v>
      </c>
      <c r="D22" s="26">
        <f>('Kubiņu masa'!D28-'Kubiņu masa'!$D28)/'Kubiņu masa'!$D28*100</f>
        <v>0</v>
      </c>
      <c r="E22" s="26">
        <f>('Kubiņu masa'!E28-'Kubiņu masa'!$D28)/'Kubiņu masa'!$D28*100</f>
        <v>5.3137003841229165</v>
      </c>
      <c r="F22" s="26">
        <f>('Kubiņu masa'!F28-'Kubiņu masa'!$D28)/'Kubiņu masa'!$D28*100</f>
        <v>4.6734955185659377</v>
      </c>
      <c r="G22" s="26">
        <f>('Kubiņu masa'!G28-'Kubiņu masa'!$D28)/'Kubiņu masa'!$D28*100</f>
        <v>4.0332906530089589</v>
      </c>
      <c r="H22" s="26">
        <f>('Kubiņu masa'!H28-'Kubiņu masa'!$D28)/'Kubiņu masa'!$D28*100</f>
        <v>5.6338028169013992</v>
      </c>
      <c r="I22" s="26">
        <f>('Kubiņu masa'!I28-'Kubiņu masa'!$D28)/'Kubiņu masa'!$D28*100</f>
        <v>5.9539052496798961</v>
      </c>
      <c r="J22" s="26">
        <f>('Kubiņu masa'!J28-'Kubiņu masa'!$D28)/'Kubiņu masa'!$D28*100</f>
        <v>5.6338028169013992</v>
      </c>
      <c r="K22" s="26">
        <f>('Kubiņu masa'!K28-'Kubiņu masa'!$D28)/'Kubiņu masa'!$D28*100</f>
        <v>6.9142125480153567</v>
      </c>
      <c r="L22" s="26">
        <f>('Kubiņu masa'!L28-'Kubiņu masa'!$D28)/'Kubiņu masa'!$D28*100</f>
        <v>6.5941101152368748</v>
      </c>
      <c r="M22" s="26">
        <f>('Kubiņu masa'!M28-'Kubiņu masa'!$D28)/'Kubiņu masa'!$D28*100</f>
        <v>9.4750320102432717</v>
      </c>
      <c r="N22" s="26">
        <f>('Kubiņu masa'!N28-'Kubiņu masa'!$D28)/'Kubiņu masa'!$D28*100</f>
        <v>9.4750320102432717</v>
      </c>
      <c r="O22" s="26">
        <f>('Kubiņu masa'!O28-'Kubiņu masa'!$D28)/'Kubiņu masa'!$D28*100</f>
        <v>10.11523687580025</v>
      </c>
      <c r="P22" s="26">
        <f>('Kubiņu masa'!P28-'Kubiņu masa'!$D28)/'Kubiņu masa'!$D28*100</f>
        <v>13.316261203585144</v>
      </c>
      <c r="Q22" s="26">
        <f>('Kubiņu masa'!Q28-'Kubiņu masa'!$D28)/'Kubiņu masa'!$D28*100</f>
        <v>16.837387964148519</v>
      </c>
      <c r="R22" s="26">
        <f>('Kubiņu masa'!R28-'Kubiņu masa'!$D28)/'Kubiņu masa'!$D28*100</f>
        <v>12.035851472471187</v>
      </c>
      <c r="S22" s="26">
        <f>('Kubiņu masa'!S28-'Kubiņu masa'!$D28)/'Kubiņu masa'!$D28*100</f>
        <v>20.998719590268873</v>
      </c>
      <c r="T22" s="26">
        <f>('Kubiņu masa'!T28-'Kubiņu masa'!$D28)/'Kubiņu masa'!$D28*100</f>
        <v>19.718309859154932</v>
      </c>
      <c r="U22" s="26">
        <f>('Kubiņu masa'!U28-'Kubiņu masa'!$D28)/'Kubiņu masa'!$D28*100</f>
        <v>16.837387964148519</v>
      </c>
    </row>
    <row r="23" spans="1:21" x14ac:dyDescent="0.35">
      <c r="A23" s="42"/>
      <c r="B23" s="11" t="s">
        <v>30</v>
      </c>
      <c r="C23" s="21">
        <v>419</v>
      </c>
      <c r="D23" s="26">
        <f>('Kubiņu masa'!D29-'Kubiņu masa'!$D29)/'Kubiņu masa'!$D29*100</f>
        <v>0</v>
      </c>
      <c r="E23" s="26">
        <f>('Kubiņu masa'!E29-'Kubiņu masa'!$D29)/'Kubiņu masa'!$D29*100</f>
        <v>4.0218470705064755</v>
      </c>
      <c r="F23" s="26">
        <f>('Kubiņu masa'!F29-'Kubiņu masa'!$D29)/'Kubiņu masa'!$D29*100</f>
        <v>4.7666335650446916</v>
      </c>
      <c r="G23" s="26">
        <f>('Kubiņu masa'!G29-'Kubiņu masa'!$D29)/'Kubiņu masa'!$D29*100</f>
        <v>5.2631578947368585</v>
      </c>
      <c r="H23" s="26">
        <f>('Kubiņu masa'!H29-'Kubiņu masa'!$D29)/'Kubiņu masa'!$D29*100</f>
        <v>5.7596822244290022</v>
      </c>
      <c r="I23" s="26">
        <f>('Kubiņu masa'!I29-'Kubiņu masa'!$D29)/'Kubiņu masa'!$D29*100</f>
        <v>6.2562065541211691</v>
      </c>
      <c r="J23" s="26">
        <f>('Kubiņu masa'!J29-'Kubiņu masa'!$D29)/'Kubiņu masa'!$D29*100</f>
        <v>5.7596822244290022</v>
      </c>
      <c r="K23" s="26">
        <f>('Kubiņu masa'!K29-'Kubiņu masa'!$D29)/'Kubiņu masa'!$D29*100</f>
        <v>7.0009930486593861</v>
      </c>
      <c r="L23" s="26">
        <f>('Kubiņu masa'!L29-'Kubiņu masa'!$D29)/'Kubiņu masa'!$D29*100</f>
        <v>6.5044687189672423</v>
      </c>
      <c r="M23" s="26">
        <f>('Kubiņu masa'!M29-'Kubiņu masa'!$D29)/'Kubiņu masa'!$D29*100</f>
        <v>9.2353525322741028</v>
      </c>
      <c r="N23" s="26">
        <f>('Kubiņu masa'!N29-'Kubiņu masa'!$D29)/'Kubiņu masa'!$D29*100</f>
        <v>9.2353525322741028</v>
      </c>
      <c r="O23" s="26">
        <f>('Kubiņu masa'!O29-'Kubiņu masa'!$D29)/'Kubiņu masa'!$D29*100</f>
        <v>9.4836146971201742</v>
      </c>
      <c r="P23" s="26">
        <f>('Kubiņu masa'!P29-'Kubiņu masa'!$D29)/'Kubiņu masa'!$D29*100</f>
        <v>13.952333664349561</v>
      </c>
      <c r="Q23" s="26">
        <f>('Kubiņu masa'!Q29-'Kubiņu masa'!$D29)/'Kubiņu masa'!$D29*100</f>
        <v>15.938430983118183</v>
      </c>
      <c r="R23" s="26">
        <f>('Kubiņu masa'!R29-'Kubiņu masa'!$D29)/'Kubiņu masa'!$D29*100</f>
        <v>15.69016881827211</v>
      </c>
      <c r="S23" s="26">
        <f>('Kubiņu masa'!S29-'Kubiņu masa'!$D29)/'Kubiņu masa'!$D29*100</f>
        <v>20.158887785501499</v>
      </c>
      <c r="T23" s="26">
        <f>('Kubiņu masa'!T29-'Kubiņu masa'!$D29)/'Kubiņu masa'!$D29*100</f>
        <v>19.662363455809352</v>
      </c>
      <c r="U23" s="26">
        <f>('Kubiņu masa'!U29-'Kubiņu masa'!$D29)/'Kubiņu masa'!$D29*100</f>
        <v>16.931479642502495</v>
      </c>
    </row>
    <row r="24" spans="1:21" x14ac:dyDescent="0.35">
      <c r="A24" s="42"/>
      <c r="B24" s="11"/>
      <c r="C24" s="21">
        <v>423</v>
      </c>
      <c r="D24" s="26">
        <f>('Kubiņu masa'!D30-'Kubiņu masa'!$D30)/'Kubiņu masa'!$D30*100</f>
        <v>0</v>
      </c>
      <c r="E24" s="26">
        <f>('Kubiņu masa'!E30-'Kubiņu masa'!$D30)/'Kubiņu masa'!$D30*100</f>
        <v>5.1859099804305222</v>
      </c>
      <c r="F24" s="26">
        <f>('Kubiņu masa'!F30-'Kubiņu masa'!$D30)/'Kubiņu masa'!$D30*100</f>
        <v>4.6966731898238789</v>
      </c>
      <c r="G24" s="26">
        <f>('Kubiņu masa'!G30-'Kubiņu masa'!$D30)/'Kubiņu masa'!$D30*100</f>
        <v>4.9412915851272006</v>
      </c>
      <c r="H24" s="26">
        <f>('Kubiņu masa'!H30-'Kubiņu masa'!$D30)/'Kubiņu masa'!$D30*100</f>
        <v>5.4305283757338438</v>
      </c>
      <c r="I24" s="26">
        <f>('Kubiņu masa'!I30-'Kubiņu masa'!$D30)/'Kubiņu masa'!$D30*100</f>
        <v>6.1643835616438301</v>
      </c>
      <c r="J24" s="26">
        <f>('Kubiņu masa'!J30-'Kubiņu masa'!$D30)/'Kubiņu masa'!$D30*100</f>
        <v>5.9197651663405084</v>
      </c>
      <c r="K24" s="26">
        <f>('Kubiņu masa'!K30-'Kubiņu masa'!$D30)/'Kubiņu masa'!$D30*100</f>
        <v>7.1428571428571379</v>
      </c>
      <c r="L24" s="26">
        <f>('Kubiņu masa'!L30-'Kubiņu masa'!$D30)/'Kubiņu masa'!$D30*100</f>
        <v>6.8982387475538172</v>
      </c>
      <c r="M24" s="26">
        <f>('Kubiņu masa'!M30-'Kubiņu masa'!$D30)/'Kubiņu masa'!$D30*100</f>
        <v>9.3444227005870761</v>
      </c>
      <c r="N24" s="26">
        <f>('Kubiņu masa'!N30-'Kubiņu masa'!$D30)/'Kubiņu masa'!$D30*100</f>
        <v>9.3444227005870761</v>
      </c>
      <c r="O24" s="26">
        <f>('Kubiņu masa'!O30-'Kubiņu masa'!$D30)/'Kubiņu masa'!$D30*100</f>
        <v>9.5890410958904191</v>
      </c>
      <c r="P24" s="26">
        <f>('Kubiņu masa'!P30-'Kubiņu masa'!$D30)/'Kubiņu masa'!$D30*100</f>
        <v>13.258317025440308</v>
      </c>
      <c r="Q24" s="26">
        <f>('Kubiņu masa'!Q30-'Kubiņu masa'!$D30)/'Kubiņu masa'!$D30*100</f>
        <v>15.949119373776909</v>
      </c>
      <c r="R24" s="26">
        <f>('Kubiņu masa'!R30-'Kubiņu masa'!$D30)/'Kubiņu masa'!$D30*100</f>
        <v>15.215264187866925</v>
      </c>
      <c r="S24" s="26">
        <f>('Kubiņu masa'!S30-'Kubiņu masa'!$D30)/'Kubiņu masa'!$D30*100</f>
        <v>19.6183953033268</v>
      </c>
      <c r="T24" s="26">
        <f>('Kubiņu masa'!T30-'Kubiņu masa'!$D30)/'Kubiņu masa'!$D30*100</f>
        <v>19.6183953033268</v>
      </c>
      <c r="U24" s="26">
        <f>('Kubiņu masa'!U30-'Kubiņu masa'!$D30)/'Kubiņu masa'!$D30*100</f>
        <v>15.949119373776909</v>
      </c>
    </row>
    <row r="25" spans="1:21" x14ac:dyDescent="0.35">
      <c r="A25" s="42"/>
      <c r="B25" s="11"/>
      <c r="C25" s="22">
        <v>428</v>
      </c>
      <c r="D25" s="26">
        <f>('Kubiņu masa'!D31-'Kubiņu masa'!$D31)/'Kubiņu masa'!$D31*100</f>
        <v>0</v>
      </c>
      <c r="E25" s="26">
        <f>('Kubiņu masa'!E31-'Kubiņu masa'!$D31)/'Kubiņu masa'!$D31*100</f>
        <v>5.2905916080270998</v>
      </c>
      <c r="F25" s="26">
        <f>('Kubiņu masa'!F31-'Kubiņu masa'!$D31)/'Kubiņu masa'!$D31*100</f>
        <v>4.5087307792546154</v>
      </c>
      <c r="G25" s="26">
        <f>('Kubiņu masa'!G31-'Kubiņu masa'!$D31)/'Kubiņu masa'!$D31*100</f>
        <v>4.7693510555121028</v>
      </c>
      <c r="H25" s="26">
        <f>('Kubiņu masa'!H31-'Kubiņu masa'!$D31)/'Kubiņu masa'!$D31*100</f>
        <v>6.0724524367995851</v>
      </c>
      <c r="I25" s="26">
        <f>('Kubiņu masa'!I31-'Kubiņu masa'!$D31)/'Kubiņu masa'!$D31*100</f>
        <v>6.3330727130570725</v>
      </c>
      <c r="J25" s="26">
        <f>('Kubiņu masa'!J31-'Kubiņu masa'!$D31)/'Kubiņu masa'!$D31*100</f>
        <v>5.8118321605420746</v>
      </c>
      <c r="K25" s="26">
        <f>('Kubiņu masa'!K31-'Kubiņu masa'!$D31)/'Kubiņu masa'!$D31*100</f>
        <v>6.8543132655720473</v>
      </c>
      <c r="L25" s="26">
        <f>('Kubiņu masa'!L31-'Kubiņu masa'!$D31)/'Kubiņu masa'!$D31*100</f>
        <v>6.593692989314559</v>
      </c>
      <c r="M25" s="26">
        <f>('Kubiņu masa'!M31-'Kubiņu masa'!$D31)/'Kubiņu masa'!$D31*100</f>
        <v>9.1998957518895015</v>
      </c>
      <c r="N25" s="26">
        <f>('Kubiņu masa'!N31-'Kubiņu masa'!$D31)/'Kubiņu masa'!$D31*100</f>
        <v>9.1998957518895015</v>
      </c>
      <c r="O25" s="26">
        <f>('Kubiņu masa'!O31-'Kubiņu masa'!$D31)/'Kubiņu masa'!$D31*100</f>
        <v>9.4605160281469889</v>
      </c>
      <c r="P25" s="26">
        <f>('Kubiņu masa'!P31-'Kubiņu masa'!$D31)/'Kubiņu masa'!$D31*100</f>
        <v>13.10919989575188</v>
      </c>
      <c r="Q25" s="26">
        <f>('Kubiņu masa'!Q31-'Kubiņu masa'!$D31)/'Kubiņu masa'!$D31*100</f>
        <v>15.194162105811825</v>
      </c>
      <c r="R25" s="26">
        <f>('Kubiņu masa'!R31-'Kubiņu masa'!$D31)/'Kubiņu masa'!$D31*100</f>
        <v>14.672921553296851</v>
      </c>
      <c r="S25" s="26">
        <f>('Kubiņu masa'!S31-'Kubiņu masa'!$D31)/'Kubiņu masa'!$D31*100</f>
        <v>19.103466249674224</v>
      </c>
      <c r="T25" s="26">
        <f>('Kubiņu masa'!T31-'Kubiņu masa'!$D31)/'Kubiņu masa'!$D31*100</f>
        <v>19.364086525931715</v>
      </c>
      <c r="U25" s="26">
        <f>('Kubiņu masa'!U31-'Kubiņu masa'!$D31)/'Kubiņu masa'!$D31*100</f>
        <v>13.891060724524365</v>
      </c>
    </row>
    <row r="26" spans="1:21" x14ac:dyDescent="0.35">
      <c r="A26" s="42"/>
      <c r="B26" s="11" t="s">
        <v>31</v>
      </c>
      <c r="C26" s="21">
        <v>439</v>
      </c>
      <c r="D26" s="26">
        <f>('Kubiņu masa'!D32-'Kubiņu masa'!$D32)/'Kubiņu masa'!$D32*100</f>
        <v>0</v>
      </c>
      <c r="E26" s="26">
        <f>('Kubiņu masa'!E32-'Kubiņu masa'!$D32)/'Kubiņu masa'!$D32*100</f>
        <v>4.2752867570385895</v>
      </c>
      <c r="F26" s="26">
        <f>('Kubiņu masa'!F32-'Kubiņu masa'!$D32)/'Kubiņu masa'!$D32*100</f>
        <v>3.9277024678484684</v>
      </c>
      <c r="G26" s="26">
        <f>('Kubiņu masa'!G32-'Kubiņu masa'!$D32)/'Kubiņu masa'!$D32*100</f>
        <v>4.2752867570385895</v>
      </c>
      <c r="H26" s="26">
        <f>('Kubiņu masa'!H32-'Kubiņu masa'!$D32)/'Kubiņu masa'!$D32*100</f>
        <v>5.3180396246089687</v>
      </c>
      <c r="I26" s="26">
        <f>('Kubiņu masa'!I32-'Kubiņu masa'!$D32)/'Kubiņu masa'!$D32*100</f>
        <v>5.6656239137991049</v>
      </c>
      <c r="J26" s="26">
        <f>('Kubiņu masa'!J32-'Kubiņu masa'!$D32)/'Kubiņu masa'!$D32*100</f>
        <v>4.9704553354188477</v>
      </c>
      <c r="K26" s="26">
        <f>('Kubiņu masa'!K32-'Kubiņu masa'!$D32)/'Kubiņu masa'!$D32*100</f>
        <v>6.3607924921793639</v>
      </c>
      <c r="L26" s="26">
        <f>('Kubiņu masa'!L32-'Kubiņu masa'!$D32)/'Kubiņu masa'!$D32*100</f>
        <v>5.6656239137991049</v>
      </c>
      <c r="M26" s="26">
        <f>('Kubiņu masa'!M32-'Kubiņu masa'!$D32)/'Kubiņu masa'!$D32*100</f>
        <v>8.4462982273201366</v>
      </c>
      <c r="N26" s="26">
        <f>('Kubiņu masa'!N32-'Kubiņu masa'!$D32)/'Kubiņu masa'!$D32*100</f>
        <v>8.4462982273201366</v>
      </c>
      <c r="O26" s="26">
        <f>('Kubiņu masa'!O32-'Kubiņu masa'!$D32)/'Kubiņu masa'!$D32*100</f>
        <v>8.4462982273201366</v>
      </c>
      <c r="P26" s="26">
        <f>('Kubiņu masa'!P32-'Kubiņu masa'!$D32)/'Kubiņu masa'!$D32*100</f>
        <v>12.964893986791806</v>
      </c>
      <c r="Q26" s="26">
        <f>('Kubiņu masa'!Q32-'Kubiņu masa'!$D32)/'Kubiņu masa'!$D32*100</f>
        <v>13.660062565172062</v>
      </c>
      <c r="R26" s="26">
        <f>('Kubiņu masa'!R32-'Kubiņu masa'!$D32)/'Kubiņu masa'!$D32*100</f>
        <v>12.964893986791806</v>
      </c>
      <c r="S26" s="26">
        <f>('Kubiņu masa'!S32-'Kubiņu masa'!$D32)/'Kubiņu masa'!$D32*100</f>
        <v>16.440736878693095</v>
      </c>
      <c r="T26" s="26">
        <f>('Kubiņu masa'!T32-'Kubiņu masa'!$D32)/'Kubiņu masa'!$D32*100</f>
        <v>16.09315258950296</v>
      </c>
      <c r="U26" s="26">
        <f>('Kubiņu masa'!U32-'Kubiņu masa'!$D32)/'Kubiņu masa'!$D32*100</f>
        <v>14.702815432742442</v>
      </c>
    </row>
    <row r="27" spans="1:21" x14ac:dyDescent="0.35">
      <c r="A27" s="42"/>
      <c r="B27" s="11"/>
      <c r="C27" s="21">
        <v>443</v>
      </c>
      <c r="D27" s="26">
        <f>('Kubiņu masa'!D33-'Kubiņu masa'!$D33)/'Kubiņu masa'!$D33*100</f>
        <v>0</v>
      </c>
      <c r="E27" s="26">
        <f>('Kubiņu masa'!E33-'Kubiņu masa'!$D33)/'Kubiņu masa'!$D33*100</f>
        <v>3.7800687285223322</v>
      </c>
      <c r="F27" s="26">
        <f>('Kubiņu masa'!F33-'Kubiņu masa'!$D33)/'Kubiņu masa'!$D33*100</f>
        <v>4.1237113402061736</v>
      </c>
      <c r="G27" s="26">
        <f>('Kubiņu masa'!G33-'Kubiņu masa'!$D33)/'Kubiņu masa'!$D33*100</f>
        <v>4.46735395189003</v>
      </c>
      <c r="H27" s="26">
        <f>('Kubiņu masa'!H33-'Kubiņu masa'!$D33)/'Kubiņu masa'!$D33*100</f>
        <v>4.8109965635738714</v>
      </c>
      <c r="I27" s="26">
        <f>('Kubiņu masa'!I33-'Kubiņu masa'!$D33)/'Kubiņu masa'!$D33*100</f>
        <v>6.1855670103092679</v>
      </c>
      <c r="J27" s="26">
        <f>('Kubiņu masa'!J33-'Kubiņu masa'!$D33)/'Kubiņu masa'!$D33*100</f>
        <v>4.8109965635738714</v>
      </c>
      <c r="K27" s="26">
        <f>('Kubiņu masa'!K33-'Kubiņu masa'!$D33)/'Kubiņu masa'!$D33*100</f>
        <v>5.8419243986254266</v>
      </c>
      <c r="L27" s="26">
        <f>('Kubiņu masa'!L33-'Kubiņu masa'!$D33)/'Kubiņu masa'!$D33*100</f>
        <v>5.4982817869415701</v>
      </c>
      <c r="M27" s="26">
        <f>('Kubiņu masa'!M33-'Kubiņu masa'!$D33)/'Kubiņu masa'!$D33*100</f>
        <v>8.5910652920962196</v>
      </c>
      <c r="N27" s="26">
        <f>('Kubiņu masa'!N33-'Kubiņu masa'!$D33)/'Kubiņu masa'!$D33*100</f>
        <v>8.5910652920962196</v>
      </c>
      <c r="O27" s="26">
        <f>('Kubiņu masa'!O33-'Kubiņu masa'!$D33)/'Kubiņu masa'!$D33*100</f>
        <v>8.2474226804123631</v>
      </c>
      <c r="P27" s="26">
        <f>('Kubiņu masa'!P33-'Kubiņu masa'!$D33)/'Kubiņu masa'!$D33*100</f>
        <v>12.714776632302394</v>
      </c>
      <c r="Q27" s="26">
        <f>('Kubiņu masa'!Q33-'Kubiņu masa'!$D33)/'Kubiņu masa'!$D33*100</f>
        <v>13.402061855670091</v>
      </c>
      <c r="R27" s="26">
        <f>('Kubiņu masa'!R33-'Kubiņu masa'!$D33)/'Kubiņu masa'!$D33*100</f>
        <v>12.714776632302394</v>
      </c>
      <c r="S27" s="26">
        <f>('Kubiņu masa'!S33-'Kubiņu masa'!$D33)/'Kubiņu masa'!$D33*100</f>
        <v>16.151202749140882</v>
      </c>
      <c r="T27" s="26">
        <f>('Kubiņu masa'!T33-'Kubiņu masa'!$D33)/'Kubiņu masa'!$D33*100</f>
        <v>15.463917525773185</v>
      </c>
      <c r="U27" s="26">
        <f>('Kubiņu masa'!U33-'Kubiņu masa'!$D33)/'Kubiņu masa'!$D33*100</f>
        <v>14.08934707903779</v>
      </c>
    </row>
    <row r="28" spans="1:21" x14ac:dyDescent="0.35">
      <c r="A28" s="43"/>
      <c r="B28" s="11"/>
      <c r="C28" s="21">
        <v>448</v>
      </c>
      <c r="D28" s="26">
        <f>('Kubiņu masa'!D34-'Kubiņu masa'!$D34)/'Kubiņu masa'!$D34*100</f>
        <v>0</v>
      </c>
      <c r="E28" s="26">
        <f>('Kubiņu masa'!E34-'Kubiņu masa'!$D34)/'Kubiņu masa'!$D34*100</f>
        <v>4.4671122054168215</v>
      </c>
      <c r="F28" s="26">
        <f>('Kubiņu masa'!F34-'Kubiņu masa'!$D34)/'Kubiņu masa'!$D34*100</f>
        <v>3.060147731269792</v>
      </c>
      <c r="G28" s="26">
        <f>('Kubiņu masa'!G34-'Kubiņu masa'!$D34)/'Kubiņu masa'!$D34*100</f>
        <v>3.7636299683433063</v>
      </c>
      <c r="H28" s="26">
        <f>('Kubiņu masa'!H34-'Kubiņu masa'!$D34)/'Kubiņu masa'!$D34*100</f>
        <v>4.8188533239535714</v>
      </c>
      <c r="I28" s="26">
        <f>('Kubiņu masa'!I34-'Kubiņu masa'!$D34)/'Kubiņu masa'!$D34*100</f>
        <v>5.5223355610270852</v>
      </c>
      <c r="J28" s="26">
        <f>('Kubiņu masa'!J34-'Kubiņu masa'!$D34)/'Kubiņu masa'!$D34*100</f>
        <v>4.1153710868800566</v>
      </c>
      <c r="K28" s="26">
        <f>('Kubiņu masa'!K34-'Kubiņu masa'!$D34)/'Kubiņu masa'!$D34*100</f>
        <v>5.5223355610270852</v>
      </c>
      <c r="L28" s="26">
        <f>('Kubiņu masa'!L34-'Kubiņu masa'!$D34)/'Kubiņu masa'!$D34*100</f>
        <v>5.5223355610270852</v>
      </c>
      <c r="M28" s="26">
        <f>('Kubiņu masa'!M34-'Kubiņu masa'!$D34)/'Kubiņu masa'!$D34*100</f>
        <v>7.6327822722476295</v>
      </c>
      <c r="N28" s="26">
        <f>('Kubiņu masa'!N34-'Kubiņu masa'!$D34)/'Kubiņu masa'!$D34*100</f>
        <v>7.6327822722476295</v>
      </c>
      <c r="O28" s="26">
        <f>('Kubiņu masa'!O34-'Kubiņu masa'!$D34)/'Kubiņu masa'!$D34*100</f>
        <v>7.6327822722476295</v>
      </c>
      <c r="P28" s="26">
        <f>('Kubiņu masa'!P34-'Kubiņu masa'!$D34)/'Kubiņu masa'!$D34*100</f>
        <v>10.798452339078436</v>
      </c>
      <c r="Q28" s="26">
        <f>('Kubiņu masa'!Q34-'Kubiņu masa'!$D34)/'Kubiņu masa'!$D34*100</f>
        <v>12.908899050298981</v>
      </c>
      <c r="R28" s="26">
        <f>('Kubiņu masa'!R34-'Kubiņu masa'!$D34)/'Kubiņu masa'!$D34*100</f>
        <v>11.501934576151951</v>
      </c>
      <c r="S28" s="26">
        <f>('Kubiņu masa'!S34-'Kubiņu masa'!$D34)/'Kubiņu masa'!$D34*100</f>
        <v>15.371086880056273</v>
      </c>
      <c r="T28" s="26">
        <f>('Kubiņu masa'!T34-'Kubiņu masa'!$D34)/'Kubiņu masa'!$D34*100</f>
        <v>15.72282799859304</v>
      </c>
      <c r="U28" s="26">
        <f>('Kubiņu masa'!U34-'Kubiņu masa'!$D34)/'Kubiņu masa'!$D34*100</f>
        <v>13.612381287372493</v>
      </c>
    </row>
    <row r="29" spans="1:21" x14ac:dyDescent="0.35">
      <c r="A29" s="44" t="s">
        <v>32</v>
      </c>
      <c r="B29" s="11" t="s">
        <v>33</v>
      </c>
      <c r="C29" s="21">
        <v>295</v>
      </c>
      <c r="D29" s="26">
        <f>('Kubiņu masa'!D35-'Kubiņu masa'!$D35)/'Kubiņu masa'!$D35*100</f>
        <v>0</v>
      </c>
      <c r="E29" s="26">
        <f>('Kubiņu masa'!E35-'Kubiņu masa'!$D35)/'Kubiņu masa'!$D35*100</f>
        <v>1.4836795252225554</v>
      </c>
      <c r="F29" s="26">
        <f>('Kubiņu masa'!F35-'Kubiņu masa'!$D35)/'Kubiņu masa'!$D35*100</f>
        <v>0.89020771513352981</v>
      </c>
      <c r="G29" s="26">
        <f>('Kubiņu masa'!G35-'Kubiņu masa'!$D35)/'Kubiņu masa'!$D35*100</f>
        <v>0.89020771513352981</v>
      </c>
      <c r="H29" s="26">
        <f>('Kubiņu masa'!H35-'Kubiņu masa'!$D35)/'Kubiņu masa'!$D35*100</f>
        <v>1.879327398615245</v>
      </c>
      <c r="I29" s="26">
        <f>('Kubiņu masa'!I35-'Kubiņu masa'!$D35)/'Kubiņu masa'!$D35*100</f>
        <v>2.0771513353115814</v>
      </c>
      <c r="J29" s="26">
        <f>('Kubiņu masa'!J35-'Kubiņu masa'!$D35)/'Kubiņu masa'!$D35*100</f>
        <v>1.6815034619188916</v>
      </c>
      <c r="K29" s="26">
        <f>('Kubiņu masa'!K35-'Kubiņu masa'!$D35)/'Kubiņu masa'!$D35*100</f>
        <v>3.6597428288823051</v>
      </c>
      <c r="L29" s="26">
        <f>('Kubiņu masa'!L35-'Kubiņu masa'!$D35)/'Kubiņu masa'!$D35*100</f>
        <v>3.8575667655786408</v>
      </c>
      <c r="M29" s="26">
        <f>('Kubiņu masa'!M35-'Kubiņu masa'!$D35)/'Kubiņu masa'!$D35*100</f>
        <v>6.2314540059347268</v>
      </c>
      <c r="N29" s="26">
        <f>('Kubiņu masa'!N35-'Kubiņu masa'!$D35)/'Kubiņu masa'!$D35*100</f>
        <v>6.2314540059347268</v>
      </c>
      <c r="O29" s="26">
        <f>('Kubiņu masa'!O35-'Kubiņu masa'!$D35)/'Kubiņu masa'!$D35*100</f>
        <v>6.429277942631062</v>
      </c>
      <c r="P29" s="26">
        <f>('Kubiņu masa'!P35-'Kubiņu masa'!$D35)/'Kubiņu masa'!$D35*100</f>
        <v>11.572700296735905</v>
      </c>
      <c r="Q29" s="26">
        <f>('Kubiņu masa'!Q35-'Kubiņu masa'!$D35)/'Kubiņu masa'!$D35*100</f>
        <v>11.968348170128595</v>
      </c>
      <c r="R29" s="26">
        <f>('Kubiņu masa'!R35-'Kubiņu masa'!$D35)/'Kubiņu masa'!$D35*100</f>
        <v>12.166172106824931</v>
      </c>
      <c r="S29" s="26">
        <f>('Kubiņu masa'!S35-'Kubiņu masa'!$D35)/'Kubiņu masa'!$D35*100</f>
        <v>16.716122650840763</v>
      </c>
      <c r="T29" s="26">
        <f>('Kubiņu masa'!T35-'Kubiņu masa'!$D35)/'Kubiņu masa'!$D35*100</f>
        <v>17.507418397626125</v>
      </c>
      <c r="U29" s="26">
        <f>('Kubiņu masa'!U35-'Kubiņu masa'!$D35)/'Kubiņu masa'!$D35*100</f>
        <v>12.957467853610293</v>
      </c>
    </row>
    <row r="30" spans="1:21" x14ac:dyDescent="0.35">
      <c r="A30" s="42"/>
      <c r="B30" s="11"/>
      <c r="C30" s="21">
        <v>298</v>
      </c>
      <c r="D30" s="26">
        <f>('Kubiņu masa'!D36-'Kubiņu masa'!$D36)/'Kubiņu masa'!$D36*100</f>
        <v>0</v>
      </c>
      <c r="E30" s="26">
        <f>('Kubiņu masa'!E36-'Kubiņu masa'!$D36)/'Kubiņu masa'!$D36*100</f>
        <v>1.7011834319526558</v>
      </c>
      <c r="F30" s="26">
        <f>('Kubiņu masa'!F36-'Kubiņu masa'!$D36)/'Kubiņu masa'!$D36*100</f>
        <v>5.2144970414201186</v>
      </c>
      <c r="G30" s="26">
        <f>('Kubiņu masa'!G36-'Kubiņu masa'!$D36)/'Kubiņu masa'!$D36*100</f>
        <v>5.029585798816556</v>
      </c>
      <c r="H30" s="26">
        <f>('Kubiņu masa'!H36-'Kubiņu masa'!$D36)/'Kubiņu masa'!$D36*100</f>
        <v>5.9541420118343202</v>
      </c>
      <c r="I30" s="26">
        <f>('Kubiņu masa'!I36-'Kubiņu masa'!$D36)/'Kubiņu masa'!$D36*100</f>
        <v>6.1390532544378669</v>
      </c>
      <c r="J30" s="26">
        <f>('Kubiņu masa'!J36-'Kubiņu masa'!$D36)/'Kubiņu masa'!$D36*100</f>
        <v>5.9541420118343202</v>
      </c>
      <c r="K30" s="26">
        <f>('Kubiņu masa'!K36-'Kubiņu masa'!$D36)/'Kubiņu masa'!$D36*100</f>
        <v>7.9881656804733625</v>
      </c>
      <c r="L30" s="26">
        <f>('Kubiņu masa'!L36-'Kubiņu masa'!$D36)/'Kubiņu masa'!$D36*100</f>
        <v>7.8032544378698168</v>
      </c>
      <c r="M30" s="26">
        <f>('Kubiņu masa'!M36-'Kubiņu masa'!$D36)/'Kubiņu masa'!$D36*100</f>
        <v>10.94674556213017</v>
      </c>
      <c r="N30" s="26">
        <f>('Kubiņu masa'!N36-'Kubiņu masa'!$D36)/'Kubiņu masa'!$D36*100</f>
        <v>10.94674556213017</v>
      </c>
      <c r="O30" s="26">
        <f>('Kubiņu masa'!O36-'Kubiņu masa'!$D36)/'Kubiņu masa'!$D36*100</f>
        <v>10.761834319526624</v>
      </c>
      <c r="P30" s="26">
        <f>('Kubiņu masa'!P36-'Kubiņu masa'!$D36)/'Kubiņu masa'!$D36*100</f>
        <v>16.309171597633128</v>
      </c>
      <c r="Q30" s="26">
        <f>('Kubiņu masa'!Q36-'Kubiņu masa'!$D36)/'Kubiņu masa'!$D36*100</f>
        <v>16.863905325443785</v>
      </c>
      <c r="R30" s="26">
        <f>('Kubiņu masa'!R36-'Kubiņu masa'!$D36)/'Kubiņu masa'!$D36*100</f>
        <v>16.678994082840219</v>
      </c>
      <c r="S30" s="26">
        <f>('Kubiņu masa'!S36-'Kubiņu masa'!$D36)/'Kubiņu masa'!$D36*100</f>
        <v>21.671597633136088</v>
      </c>
      <c r="T30" s="26">
        <f>('Kubiņu masa'!T36-'Kubiņu masa'!$D36)/'Kubiņu masa'!$D36*100</f>
        <v>22.041420118343179</v>
      </c>
      <c r="U30" s="26">
        <f>('Kubiņu masa'!U36-'Kubiņu masa'!$D36)/'Kubiņu masa'!$D36*100</f>
        <v>18.528106508875734</v>
      </c>
    </row>
    <row r="31" spans="1:21" x14ac:dyDescent="0.35">
      <c r="A31" s="42"/>
      <c r="B31" s="11"/>
      <c r="C31" s="21">
        <v>301</v>
      </c>
      <c r="D31" s="26">
        <f>('Kubiņu masa'!D37-'Kubiņu masa'!$D37)/'Kubiņu masa'!$D37*100</f>
        <v>0</v>
      </c>
      <c r="E31" s="26">
        <f>('Kubiņu masa'!E37-'Kubiņu masa'!$D37)/'Kubiņu masa'!$D37*100</f>
        <v>9.4288999616711386</v>
      </c>
      <c r="F31" s="26">
        <f>('Kubiņu masa'!F37-'Kubiņu masa'!$D37)/'Kubiņu masa'!$D37*100</f>
        <v>5.2127251820620977</v>
      </c>
      <c r="G31" s="26">
        <f>('Kubiņu masa'!G37-'Kubiņu masa'!$D37)/'Kubiņu masa'!$D37*100</f>
        <v>5.0210808738980539</v>
      </c>
      <c r="H31" s="26">
        <f>('Kubiņu masa'!H37-'Kubiņu masa'!$D37)/'Kubiņu masa'!$D37*100</f>
        <v>5.9793024147182887</v>
      </c>
      <c r="I31" s="26">
        <f>('Kubiņu masa'!I37-'Kubiņu masa'!$D37)/'Kubiņu masa'!$D37*100</f>
        <v>6.1709467228823316</v>
      </c>
      <c r="J31" s="26">
        <f>('Kubiņu masa'!J37-'Kubiņu masa'!$D37)/'Kubiņu masa'!$D37*100</f>
        <v>6.1709467228823316</v>
      </c>
      <c r="K31" s="26">
        <f>('Kubiņu masa'!K37-'Kubiņu masa'!$D37)/'Kubiņu masa'!$D37*100</f>
        <v>8.0873898045228003</v>
      </c>
      <c r="L31" s="26">
        <f>('Kubiņu masa'!L37-'Kubiņu masa'!$D37)/'Kubiņu masa'!$D37*100</f>
        <v>8.2790341126868601</v>
      </c>
      <c r="M31" s="26">
        <f>('Kubiņu masa'!M37-'Kubiņu masa'!$D37)/'Kubiņu masa'!$D37*100</f>
        <v>10.962054426983519</v>
      </c>
      <c r="N31" s="26">
        <f>('Kubiņu masa'!N37-'Kubiņu masa'!$D37)/'Kubiņu masa'!$D37*100</f>
        <v>10.962054426983519</v>
      </c>
      <c r="O31" s="26">
        <f>('Kubiņu masa'!O37-'Kubiņu masa'!$D37)/'Kubiņu masa'!$D37*100</f>
        <v>10.962054426983519</v>
      </c>
      <c r="P31" s="26">
        <f>('Kubiņu masa'!P37-'Kubiņu masa'!$D37)/'Kubiņu masa'!$D37*100</f>
        <v>16.328095055576856</v>
      </c>
      <c r="Q31" s="26">
        <f>('Kubiņu masa'!Q37-'Kubiņu masa'!$D37)/'Kubiņu masa'!$D37*100</f>
        <v>16.71138367190494</v>
      </c>
      <c r="R31" s="26">
        <f>('Kubiņu masa'!R37-'Kubiņu masa'!$D37)/'Kubiņu masa'!$D37*100</f>
        <v>16.71138367190494</v>
      </c>
      <c r="S31" s="26">
        <f>('Kubiņu masa'!S37-'Kubiņu masa'!$D37)/'Kubiņu masa'!$D37*100</f>
        <v>21.50249137600613</v>
      </c>
      <c r="T31" s="26">
        <f>('Kubiņu masa'!T37-'Kubiņu masa'!$D37)/'Kubiņu masa'!$D37*100</f>
        <v>22.077424300498276</v>
      </c>
      <c r="U31" s="26">
        <f>('Kubiņu masa'!U37-'Kubiņu masa'!$D37)/'Kubiņu masa'!$D37*100</f>
        <v>18.819471061709471</v>
      </c>
    </row>
    <row r="32" spans="1:21" x14ac:dyDescent="0.35">
      <c r="A32" s="42"/>
      <c r="B32" s="11" t="s">
        <v>34</v>
      </c>
      <c r="C32" s="21">
        <v>6</v>
      </c>
      <c r="D32" s="26">
        <f>('Kubiņu masa'!D38-'Kubiņu masa'!$D38)/'Kubiņu masa'!$D38*100</f>
        <v>0</v>
      </c>
      <c r="E32" s="26">
        <f>('Kubiņu masa'!E38-'Kubiņu masa'!$D38)/'Kubiņu masa'!$D38*100</f>
        <v>5.2631578947368345</v>
      </c>
      <c r="F32" s="26">
        <f>('Kubiņu masa'!F38-'Kubiņu masa'!$D38)/'Kubiņu masa'!$D38*100</f>
        <v>6.0687432867883988</v>
      </c>
      <c r="G32" s="26">
        <f>('Kubiņu masa'!G38-'Kubiņu masa'!$D38)/'Kubiņu masa'!$D38*100</f>
        <v>6.0687432867883988</v>
      </c>
      <c r="H32" s="26">
        <f>('Kubiņu masa'!H38-'Kubiņu masa'!$D38)/'Kubiņu masa'!$D38*100</f>
        <v>7.1428571428571423</v>
      </c>
      <c r="I32" s="26">
        <f>('Kubiņu masa'!I38-'Kubiņu masa'!$D38)/'Kubiņu masa'!$D38*100</f>
        <v>7.4113856068743225</v>
      </c>
      <c r="J32" s="26">
        <f>('Kubiņu masa'!J38-'Kubiņu masa'!$D38)/'Kubiņu masa'!$D38*100</f>
        <v>6.8743286788399516</v>
      </c>
      <c r="K32" s="26">
        <f>('Kubiņu masa'!K38-'Kubiņu masa'!$D38)/'Kubiņu masa'!$D38*100</f>
        <v>9.5596133190118113</v>
      </c>
      <c r="L32" s="26">
        <f>('Kubiņu masa'!L38-'Kubiņu masa'!$D38)/'Kubiņu masa'!$D38*100</f>
        <v>9.5596133190118113</v>
      </c>
      <c r="M32" s="26">
        <f>('Kubiņu masa'!M38-'Kubiņu masa'!$D38)/'Kubiņu masa'!$D38*100</f>
        <v>13.319011815252404</v>
      </c>
      <c r="N32" s="26">
        <f>('Kubiņu masa'!N38-'Kubiņu masa'!$D38)/'Kubiņu masa'!$D38*100</f>
        <v>13.050483351235224</v>
      </c>
      <c r="O32" s="26">
        <f>('Kubiņu masa'!O38-'Kubiņu masa'!$D38)/'Kubiņu masa'!$D38*100</f>
        <v>13.050483351235224</v>
      </c>
      <c r="P32" s="26">
        <f>('Kubiņu masa'!P38-'Kubiņu masa'!$D38)/'Kubiņu masa'!$D38*100</f>
        <v>19.22663802363051</v>
      </c>
      <c r="Q32" s="26">
        <f>('Kubiņu masa'!Q38-'Kubiņu masa'!$D38)/'Kubiņu masa'!$D38*100</f>
        <v>20.032223415682047</v>
      </c>
      <c r="R32" s="26">
        <f>('Kubiņu masa'!R38-'Kubiņu masa'!$D38)/'Kubiņu masa'!$D38*100</f>
        <v>19.49516648764769</v>
      </c>
      <c r="S32" s="26">
        <f>('Kubiņu masa'!S38-'Kubiņu masa'!$D38)/'Kubiņu masa'!$D38*100</f>
        <v>26.208378088077332</v>
      </c>
      <c r="T32" s="26">
        <f>('Kubiņu masa'!T38-'Kubiņu masa'!$D38)/'Kubiņu masa'!$D38*100</f>
        <v>25.939849624060152</v>
      </c>
      <c r="U32" s="26">
        <f>('Kubiņu masa'!U38-'Kubiņu masa'!$D38)/'Kubiņu masa'!$D38*100</f>
        <v>17.07841031149302</v>
      </c>
    </row>
    <row r="33" spans="1:21" x14ac:dyDescent="0.35">
      <c r="A33" s="42"/>
      <c r="B33" s="11"/>
      <c r="C33" s="21">
        <v>10</v>
      </c>
      <c r="D33" s="26">
        <f>('Kubiņu masa'!D39-'Kubiņu masa'!$D39)/'Kubiņu masa'!$D39*100</f>
        <v>0</v>
      </c>
      <c r="E33" s="26">
        <f>('Kubiņu masa'!E39-'Kubiņu masa'!$D39)/'Kubiņu masa'!$D39*100</f>
        <v>5.6932715881231299</v>
      </c>
      <c r="F33" s="26">
        <f>('Kubiņu masa'!F39-'Kubiņu masa'!$D39)/'Kubiņu masa'!$D39*100</f>
        <v>5.6932715881231299</v>
      </c>
      <c r="G33" s="26">
        <f>('Kubiņu masa'!G39-'Kubiņu masa'!$D39)/'Kubiņu masa'!$D39*100</f>
        <v>5.4208662489784887</v>
      </c>
      <c r="H33" s="26">
        <f>('Kubiņu masa'!H39-'Kubiņu masa'!$D39)/'Kubiņu masa'!$D39*100</f>
        <v>6.7828929447017199</v>
      </c>
      <c r="I33" s="26">
        <f>('Kubiņu masa'!I39-'Kubiņu masa'!$D39)/'Kubiņu masa'!$D39*100</f>
        <v>6.7828929447017199</v>
      </c>
      <c r="J33" s="26">
        <f>('Kubiņu masa'!J39-'Kubiņu masa'!$D39)/'Kubiņu masa'!$D39*100</f>
        <v>6.238082266412424</v>
      </c>
      <c r="K33" s="26">
        <f>('Kubiņu masa'!K39-'Kubiņu masa'!$D39)/'Kubiņu masa'!$D39*100</f>
        <v>8.9621356578588998</v>
      </c>
      <c r="L33" s="26">
        <f>('Kubiņu masa'!L39-'Kubiņu masa'!$D39)/'Kubiņu masa'!$D39*100</f>
        <v>8.6897303187142576</v>
      </c>
      <c r="M33" s="26">
        <f>('Kubiņu masa'!M39-'Kubiņu masa'!$D39)/'Kubiņu masa'!$D39*100</f>
        <v>11.958594388450027</v>
      </c>
      <c r="N33" s="26">
        <f>('Kubiņu masa'!N39-'Kubiņu masa'!$D39)/'Kubiņu masa'!$D39*100</f>
        <v>12.23099972759467</v>
      </c>
      <c r="O33" s="26">
        <f>('Kubiņu masa'!O39-'Kubiņu masa'!$D39)/'Kubiņu masa'!$D39*100</f>
        <v>11.958594388450027</v>
      </c>
      <c r="P33" s="26">
        <f>('Kubiņu masa'!P39-'Kubiņu masa'!$D39)/'Kubiņu masa'!$D39*100</f>
        <v>16.861890493053671</v>
      </c>
      <c r="Q33" s="26">
        <f>('Kubiņu masa'!Q39-'Kubiņu masa'!$D39)/'Kubiņu masa'!$D39*100</f>
        <v>19.313538545355492</v>
      </c>
      <c r="R33" s="26">
        <f>('Kubiņu masa'!R39-'Kubiņu masa'!$D39)/'Kubiņu masa'!$D39*100</f>
        <v>18.496322527921542</v>
      </c>
      <c r="S33" s="26">
        <f>('Kubiņu masa'!S39-'Kubiņu masa'!$D39)/'Kubiņu masa'!$D39*100</f>
        <v>24.216834649959136</v>
      </c>
      <c r="T33" s="26">
        <f>('Kubiņu masa'!T39-'Kubiņu masa'!$D39)/'Kubiņu masa'!$D39*100</f>
        <v>24.216834649959136</v>
      </c>
      <c r="U33" s="26">
        <f>('Kubiņu masa'!U39-'Kubiņu masa'!$D39)/'Kubiņu masa'!$D39*100</f>
        <v>17.679106510487617</v>
      </c>
    </row>
    <row r="34" spans="1:21" x14ac:dyDescent="0.35">
      <c r="A34" s="42"/>
      <c r="B34" s="11"/>
      <c r="C34" s="21">
        <v>14</v>
      </c>
      <c r="D34" s="26">
        <f>('Kubiņu masa'!D40-'Kubiņu masa'!$D40)/'Kubiņu masa'!$D40*100</f>
        <v>0</v>
      </c>
      <c r="E34" s="26">
        <f>('Kubiņu masa'!E40-'Kubiņu masa'!$D40)/'Kubiņu masa'!$D40*100</f>
        <v>6.338939197930145</v>
      </c>
      <c r="F34" s="26">
        <f>('Kubiņu masa'!F40-'Kubiņu masa'!$D40)/'Kubiņu masa'!$D40*100</f>
        <v>5.5627425614488963</v>
      </c>
      <c r="G34" s="26">
        <f>('Kubiņu masa'!G40-'Kubiņu masa'!$D40)/'Kubiņu masa'!$D40*100</f>
        <v>5.3040103492884878</v>
      </c>
      <c r="H34" s="26">
        <f>('Kubiņu masa'!H40-'Kubiņu masa'!$D40)/'Kubiņu masa'!$D40*100</f>
        <v>6.5976714100905527</v>
      </c>
      <c r="I34" s="26">
        <f>('Kubiņu masa'!I40-'Kubiņu masa'!$D40)/'Kubiņu masa'!$D40*100</f>
        <v>6.8564036222509621</v>
      </c>
      <c r="J34" s="26">
        <f>('Kubiņu masa'!J40-'Kubiņu masa'!$D40)/'Kubiņu masa'!$D40*100</f>
        <v>6.338939197930145</v>
      </c>
      <c r="K34" s="26">
        <f>('Kubiņu masa'!K40-'Kubiņu masa'!$D40)/'Kubiņu masa'!$D40*100</f>
        <v>9.1849935316946834</v>
      </c>
      <c r="L34" s="26">
        <f>('Kubiņu masa'!L40-'Kubiņu masa'!$D40)/'Kubiņu masa'!$D40*100</f>
        <v>8.9262613195342748</v>
      </c>
      <c r="M34" s="26">
        <f>('Kubiņu masa'!M40-'Kubiņu masa'!$D40)/'Kubiņu masa'!$D40*100</f>
        <v>12.548512289780062</v>
      </c>
      <c r="N34" s="26">
        <f>('Kubiņu masa'!N40-'Kubiņu masa'!$D40)/'Kubiņu masa'!$D40*100</f>
        <v>12.289780077619653</v>
      </c>
      <c r="O34" s="26">
        <f>('Kubiņu masa'!O40-'Kubiņu masa'!$D40)/'Kubiņu masa'!$D40*100</f>
        <v>12.031047865459245</v>
      </c>
      <c r="P34" s="26">
        <f>('Kubiņu masa'!P40-'Kubiņu masa'!$D40)/'Kubiņu masa'!$D40*100</f>
        <v>17.723156532988344</v>
      </c>
      <c r="Q34" s="26">
        <f>('Kubiņu masa'!Q40-'Kubiņu masa'!$D40)/'Kubiņu masa'!$D40*100</f>
        <v>19.275549805950842</v>
      </c>
      <c r="R34" s="26">
        <f>('Kubiņu masa'!R40-'Kubiņu masa'!$D40)/'Kubiņu masa'!$D40*100</f>
        <v>18.499353169469597</v>
      </c>
      <c r="S34" s="26">
        <f>('Kubiņu masa'!S40-'Kubiņu masa'!$D40)/'Kubiņu masa'!$D40*100</f>
        <v>24.708926261319537</v>
      </c>
      <c r="T34" s="26">
        <f>('Kubiņu masa'!T40-'Kubiņu masa'!$D40)/'Kubiņu masa'!$D40*100</f>
        <v>24.450194049159105</v>
      </c>
      <c r="U34" s="26">
        <f>('Kubiņu masa'!U40-'Kubiņu masa'!$D40)/'Kubiņu masa'!$D40*100</f>
        <v>19.275549805950842</v>
      </c>
    </row>
    <row r="35" spans="1:21" x14ac:dyDescent="0.35">
      <c r="A35" s="42"/>
      <c r="B35" s="11" t="s">
        <v>35</v>
      </c>
      <c r="C35" s="21">
        <v>26</v>
      </c>
      <c r="D35" s="26">
        <f>('Kubiņu masa'!D41-'Kubiņu masa'!$D41)/'Kubiņu masa'!$D41*100</f>
        <v>0</v>
      </c>
      <c r="E35" s="26">
        <f>('Kubiņu masa'!E41-'Kubiņu masa'!$D41)/'Kubiņu masa'!$D41*100</f>
        <v>6.3981042654028553</v>
      </c>
      <c r="F35" s="26">
        <f>('Kubiņu masa'!F41-'Kubiņu masa'!$D41)/'Kubiņu masa'!$D41*100</f>
        <v>5.6872037914691997</v>
      </c>
      <c r="G35" s="26">
        <f>('Kubiņu masa'!G41-'Kubiņu masa'!$D41)/'Kubiņu masa'!$D41*100</f>
        <v>5.6872037914691997</v>
      </c>
      <c r="H35" s="26">
        <f>('Kubiņu masa'!H41-'Kubiņu masa'!$D41)/'Kubiņu masa'!$D41*100</f>
        <v>6.872037914691945</v>
      </c>
      <c r="I35" s="26">
        <f>('Kubiņu masa'!I41-'Kubiņu masa'!$D41)/'Kubiņu masa'!$D41*100</f>
        <v>7.1090047393364886</v>
      </c>
      <c r="J35" s="26">
        <f>('Kubiņu masa'!J41-'Kubiņu masa'!$D41)/'Kubiņu masa'!$D41*100</f>
        <v>6.3981042654028553</v>
      </c>
      <c r="K35" s="26">
        <f>('Kubiņu masa'!K41-'Kubiņu masa'!$D41)/'Kubiņu masa'!$D41*100</f>
        <v>9.0047393364928894</v>
      </c>
      <c r="L35" s="26">
        <f>('Kubiņu masa'!L41-'Kubiņu masa'!$D41)/'Kubiņu masa'!$D41*100</f>
        <v>9.0047393364928894</v>
      </c>
      <c r="M35" s="26">
        <f>('Kubiņu masa'!M41-'Kubiņu masa'!$D41)/'Kubiņu masa'!$D41*100</f>
        <v>13.033175355450233</v>
      </c>
      <c r="N35" s="26">
        <f>('Kubiņu masa'!N41-'Kubiņu masa'!$D41)/'Kubiņu masa'!$D41*100</f>
        <v>12.559241706161146</v>
      </c>
      <c r="O35" s="26">
        <f>('Kubiņu masa'!O41-'Kubiņu masa'!$D41)/'Kubiņu masa'!$D41*100</f>
        <v>11.848341232227488</v>
      </c>
      <c r="P35" s="26">
        <f>('Kubiņu masa'!P41-'Kubiņu masa'!$D41)/'Kubiņu masa'!$D41*100</f>
        <v>19.43127962085309</v>
      </c>
      <c r="Q35" s="26">
        <f>('Kubiņu masa'!Q41-'Kubiņu masa'!$D41)/'Kubiņu masa'!$D41*100</f>
        <v>20.616113744075832</v>
      </c>
      <c r="R35" s="26">
        <f>('Kubiņu masa'!R41-'Kubiņu masa'!$D41)/'Kubiņu masa'!$D41*100</f>
        <v>20.142180094786745</v>
      </c>
      <c r="S35" s="26">
        <f>('Kubiņu masa'!S41-'Kubiņu masa'!$D41)/'Kubiņu masa'!$D41*100</f>
        <v>27.962085308056889</v>
      </c>
      <c r="T35" s="26">
        <f>('Kubiņu masa'!T41-'Kubiņu masa'!$D41)/'Kubiņu masa'!$D41*100</f>
        <v>36.966824644549781</v>
      </c>
      <c r="U35" s="26">
        <f>('Kubiņu masa'!U41-'Kubiņu masa'!$D41)/'Kubiņu masa'!$D41*100</f>
        <v>20.85308056872038</v>
      </c>
    </row>
    <row r="36" spans="1:21" x14ac:dyDescent="0.35">
      <c r="A36" s="42"/>
      <c r="B36" s="11"/>
      <c r="C36" s="21">
        <v>30</v>
      </c>
      <c r="D36" s="26">
        <f>('Kubiņu masa'!D42-'Kubiņu masa'!$D42)/'Kubiņu masa'!$D42*100</f>
        <v>0</v>
      </c>
      <c r="E36" s="26">
        <f>('Kubiņu masa'!E42-'Kubiņu masa'!$D42)/'Kubiņu masa'!$D42*100</f>
        <v>5.8150619637750403</v>
      </c>
      <c r="F36" s="26">
        <f>('Kubiņu masa'!F42-'Kubiņu masa'!$D42)/'Kubiņu masa'!$D42*100</f>
        <v>5.8150619637750403</v>
      </c>
      <c r="G36" s="26">
        <f>('Kubiņu masa'!G42-'Kubiņu masa'!$D42)/'Kubiņu masa'!$D42*100</f>
        <v>6.0533841754051592</v>
      </c>
      <c r="H36" s="26">
        <f>('Kubiņu masa'!H42-'Kubiņu masa'!$D42)/'Kubiņu masa'!$D42*100</f>
        <v>7.0066730219256552</v>
      </c>
      <c r="I36" s="26">
        <f>('Kubiņu masa'!I42-'Kubiņu masa'!$D42)/'Kubiņu masa'!$D42*100</f>
        <v>7.483317445185893</v>
      </c>
      <c r="J36" s="26">
        <f>('Kubiņu masa'!J42-'Kubiņu masa'!$D42)/'Kubiņu masa'!$D42*100</f>
        <v>6.530028598665397</v>
      </c>
      <c r="K36" s="26">
        <f>('Kubiņu masa'!K42-'Kubiņu masa'!$D42)/'Kubiņu masa'!$D42*100</f>
        <v>9.1515729265967671</v>
      </c>
      <c r="L36" s="26">
        <f>('Kubiņu masa'!L42-'Kubiņu masa'!$D42)/'Kubiņu masa'!$D42*100</f>
        <v>9.3898951382268869</v>
      </c>
      <c r="M36" s="26">
        <f>('Kubiņu masa'!M42-'Kubiņu masa'!$D42)/'Kubiņu masa'!$D42*100</f>
        <v>12.726406101048635</v>
      </c>
      <c r="N36" s="26">
        <f>('Kubiņu masa'!N42-'Kubiņu masa'!$D42)/'Kubiņu masa'!$D42*100</f>
        <v>12.488083889418496</v>
      </c>
      <c r="O36" s="26">
        <f>('Kubiņu masa'!O42-'Kubiņu masa'!$D42)/'Kubiņu masa'!$D42*100</f>
        <v>12.249761677788376</v>
      </c>
      <c r="P36" s="26">
        <f>('Kubiņu masa'!P42-'Kubiņu masa'!$D42)/'Kubiņu masa'!$D42*100</f>
        <v>19.637750238322209</v>
      </c>
      <c r="Q36" s="26">
        <f>('Kubiņu masa'!Q42-'Kubiņu masa'!$D42)/'Kubiņu masa'!$D42*100</f>
        <v>20.829361296472847</v>
      </c>
      <c r="R36" s="26">
        <f>('Kubiņu masa'!R42-'Kubiņu masa'!$D42)/'Kubiņu masa'!$D42*100</f>
        <v>20.352716873212586</v>
      </c>
      <c r="S36" s="26">
        <f>('Kubiņu masa'!S42-'Kubiņu masa'!$D42)/'Kubiņu masa'!$D42*100</f>
        <v>28.217349857006681</v>
      </c>
      <c r="T36" s="26">
        <f>('Kubiņu masa'!T42-'Kubiņu masa'!$D42)/'Kubiņu masa'!$D42*100</f>
        <v>27.979027645376558</v>
      </c>
      <c r="U36" s="26">
        <f>('Kubiņu masa'!U42-'Kubiņu masa'!$D42)/'Kubiņu masa'!$D42*100</f>
        <v>19.637750238322209</v>
      </c>
    </row>
    <row r="37" spans="1:21" x14ac:dyDescent="0.35">
      <c r="A37" s="42"/>
      <c r="B37" s="11"/>
      <c r="C37" s="21">
        <v>34</v>
      </c>
      <c r="D37" s="26">
        <f>('Kubiņu masa'!D43-'Kubiņu masa'!$D43)/'Kubiņu masa'!$D43*100</f>
        <v>0</v>
      </c>
      <c r="E37" s="26">
        <f>('Kubiņu masa'!E43-'Kubiņu masa'!$D43)/'Kubiņu masa'!$D43*100</f>
        <v>5.6487827936657968</v>
      </c>
      <c r="F37" s="26">
        <f>('Kubiņu masa'!F43-'Kubiņu masa'!$D43)/'Kubiņu masa'!$D43*100</f>
        <v>5.6487827936657968</v>
      </c>
      <c r="G37" s="26">
        <f>('Kubiņu masa'!G43-'Kubiņu masa'!$D43)/'Kubiņu masa'!$D43*100</f>
        <v>5.8851335381706589</v>
      </c>
      <c r="H37" s="26">
        <f>('Kubiņu masa'!H43-'Kubiņu masa'!$D43)/'Kubiņu masa'!$D43*100</f>
        <v>6.5941857716851793</v>
      </c>
      <c r="I37" s="26">
        <f>('Kubiņu masa'!I43-'Kubiņu masa'!$D43)/'Kubiņu masa'!$D43*100</f>
        <v>7.303238005199721</v>
      </c>
      <c r="J37" s="26">
        <f>('Kubiņu masa'!J43-'Kubiņu masa'!$D43)/'Kubiņu masa'!$D43*100</f>
        <v>6.3578350271803394</v>
      </c>
      <c r="K37" s="26">
        <f>('Kubiņu masa'!K43-'Kubiņu masa'!$D43)/'Kubiņu masa'!$D43*100</f>
        <v>9.4303947057433231</v>
      </c>
      <c r="L37" s="26">
        <f>('Kubiņu masa'!L43-'Kubiņu masa'!$D43)/'Kubiņu masa'!$D43*100</f>
        <v>9.1940439612384832</v>
      </c>
      <c r="M37" s="26">
        <f>('Kubiņu masa'!M43-'Kubiņu masa'!$D43)/'Kubiņu masa'!$D43*100</f>
        <v>12.502954384306308</v>
      </c>
      <c r="N37" s="26">
        <f>('Kubiņu masa'!N43-'Kubiņu masa'!$D43)/'Kubiņu masa'!$D43*100</f>
        <v>12.502954384306308</v>
      </c>
      <c r="O37" s="26">
        <f>('Kubiņu masa'!O43-'Kubiņu masa'!$D43)/'Kubiņu masa'!$D43*100</f>
        <v>12.030252895296629</v>
      </c>
      <c r="P37" s="26">
        <f>('Kubiņu masa'!P43-'Kubiņu masa'!$D43)/'Kubiņu masa'!$D43*100</f>
        <v>18.884424485937139</v>
      </c>
      <c r="Q37" s="26">
        <f>('Kubiņu masa'!Q43-'Kubiņu masa'!$D43)/'Kubiņu masa'!$D43*100</f>
        <v>19.829827463956523</v>
      </c>
      <c r="R37" s="26">
        <f>('Kubiņu masa'!R43-'Kubiņu masa'!$D43)/'Kubiņu masa'!$D43*100</f>
        <v>19.357125974946822</v>
      </c>
      <c r="S37" s="26">
        <f>('Kubiņu masa'!S43-'Kubiņu masa'!$D43)/'Kubiņu masa'!$D43*100</f>
        <v>25.265894587567949</v>
      </c>
      <c r="T37" s="26">
        <f>('Kubiņu masa'!T43-'Kubiņu masa'!$D43)/'Kubiņu masa'!$D43*100</f>
        <v>25.738596076577654</v>
      </c>
      <c r="U37" s="26">
        <f>('Kubiņu masa'!U43-'Kubiņu masa'!$D43)/'Kubiņu masa'!$D43*100</f>
        <v>16.284566296383833</v>
      </c>
    </row>
    <row r="38" spans="1:21" x14ac:dyDescent="0.35">
      <c r="A38" s="42"/>
      <c r="B38" s="11" t="s">
        <v>36</v>
      </c>
      <c r="C38" s="21">
        <v>46</v>
      </c>
      <c r="D38" s="26">
        <f>('Kubiņu masa'!D44-'Kubiņu masa'!$D44)/'Kubiņu masa'!$D44*100</f>
        <v>0</v>
      </c>
      <c r="E38" s="26">
        <f>('Kubiņu masa'!E44-'Kubiņu masa'!$D44)/'Kubiņu masa'!$D44*100</f>
        <v>5.8683584456780391</v>
      </c>
      <c r="F38" s="26">
        <f>('Kubiņu masa'!F44-'Kubiņu masa'!$D44)/'Kubiņu masa'!$D44*100</f>
        <v>6.066613798572563</v>
      </c>
      <c r="G38" s="26">
        <f>('Kubiņu masa'!G44-'Kubiņu masa'!$D44)/'Kubiņu masa'!$D44*100</f>
        <v>5.4718477398889913</v>
      </c>
      <c r="H38" s="26">
        <f>('Kubiņu masa'!H44-'Kubiņu masa'!$D44)/'Kubiņu masa'!$D44*100</f>
        <v>6.066613798572563</v>
      </c>
      <c r="I38" s="26">
        <f>('Kubiņu masa'!I44-'Kubiņu masa'!$D44)/'Kubiņu masa'!$D44*100</f>
        <v>7.0578905630452171</v>
      </c>
      <c r="J38" s="26">
        <f>('Kubiņu masa'!J44-'Kubiņu masa'!$D44)/'Kubiņu masa'!$D44*100</f>
        <v>6.4631245043616286</v>
      </c>
      <c r="K38" s="26">
        <f>('Kubiņu masa'!K44-'Kubiņu masa'!$D44)/'Kubiņu masa'!$D44*100</f>
        <v>8.6439333862014447</v>
      </c>
      <c r="L38" s="26">
        <f>('Kubiņu masa'!L44-'Kubiņu masa'!$D44)/'Kubiņu masa'!$D44*100</f>
        <v>8.445678033306903</v>
      </c>
      <c r="M38" s="26">
        <f>('Kubiņu masa'!M44-'Kubiņu masa'!$D44)/'Kubiņu masa'!$D44*100</f>
        <v>11.617763679619356</v>
      </c>
      <c r="N38" s="26">
        <f>('Kubiņu masa'!N44-'Kubiņu masa'!$D44)/'Kubiņu masa'!$D44*100</f>
        <v>11.81601903251388</v>
      </c>
      <c r="O38" s="26">
        <f>('Kubiņu masa'!O44-'Kubiņu masa'!$D44)/'Kubiņu masa'!$D44*100</f>
        <v>11.419508326724833</v>
      </c>
      <c r="P38" s="26">
        <f>('Kubiņu masa'!P44-'Kubiņu masa'!$D44)/'Kubiņu masa'!$D44*100</f>
        <v>16.177636796193511</v>
      </c>
      <c r="Q38" s="26">
        <f>('Kubiņu masa'!Q44-'Kubiņu masa'!$D44)/'Kubiņu masa'!$D44*100</f>
        <v>17.367168913560675</v>
      </c>
      <c r="R38" s="26">
        <f>('Kubiņu masa'!R44-'Kubiņu masa'!$D44)/'Kubiņu masa'!$D44*100</f>
        <v>16.970658207771628</v>
      </c>
      <c r="S38" s="26">
        <f>('Kubiņu masa'!S44-'Kubiņu masa'!$D44)/'Kubiņu masa'!$D44*100</f>
        <v>20.935765265662177</v>
      </c>
      <c r="T38" s="26">
        <f>('Kubiņu masa'!T44-'Kubiņu masa'!$D44)/'Kubiņu masa'!$D44*100</f>
        <v>21.530531324345763</v>
      </c>
      <c r="U38" s="26">
        <f>('Kubiņu masa'!U44-'Kubiņu masa'!$D44)/'Kubiņu masa'!$D44*100</f>
        <v>18.556701030927851</v>
      </c>
    </row>
    <row r="39" spans="1:21" x14ac:dyDescent="0.35">
      <c r="A39" s="42"/>
      <c r="B39" s="11"/>
      <c r="C39" s="21">
        <v>50</v>
      </c>
      <c r="D39" s="26">
        <f>('Kubiņu masa'!D45-'Kubiņu masa'!$D45)/'Kubiņu masa'!$D45*100</f>
        <v>0</v>
      </c>
      <c r="E39" s="26">
        <f>('Kubiņu masa'!E45-'Kubiņu masa'!$D45)/'Kubiņu masa'!$D45*100</f>
        <v>5.5647994083934211</v>
      </c>
      <c r="F39" s="26">
        <f>('Kubiņu masa'!F45-'Kubiņu masa'!$D45)/'Kubiņu masa'!$D45*100</f>
        <v>5.7496764651506735</v>
      </c>
      <c r="G39" s="26">
        <f>('Kubiņu masa'!G45-'Kubiņu masa'!$D45)/'Kubiņu masa'!$D45*100</f>
        <v>5.7496764651506735</v>
      </c>
      <c r="H39" s="26">
        <f>('Kubiņu masa'!H45-'Kubiņu masa'!$D45)/'Kubiņu masa'!$D45*100</f>
        <v>6.6740617489369534</v>
      </c>
      <c r="I39" s="26">
        <f>('Kubiņu masa'!I45-'Kubiņu masa'!$D45)/'Kubiņu masa'!$D45*100</f>
        <v>7.0438158624514742</v>
      </c>
      <c r="J39" s="26">
        <f>('Kubiņu masa'!J45-'Kubiņu masa'!$D45)/'Kubiņu masa'!$D45*100</f>
        <v>6.4891846921797001</v>
      </c>
      <c r="K39" s="26">
        <f>('Kubiņu masa'!K45-'Kubiņu masa'!$D45)/'Kubiņu masa'!$D45*100</f>
        <v>8.892586430024032</v>
      </c>
      <c r="L39" s="26">
        <f>('Kubiņu masa'!L45-'Kubiņu masa'!$D45)/'Kubiņu masa'!$D45*100</f>
        <v>8.7077093732667787</v>
      </c>
      <c r="M39" s="26">
        <f>('Kubiņu masa'!M45-'Kubiņu masa'!$D45)/'Kubiņu masa'!$D45*100</f>
        <v>11.480865224625633</v>
      </c>
      <c r="N39" s="26">
        <f>('Kubiņu masa'!N45-'Kubiņu masa'!$D45)/'Kubiņu masa'!$D45*100</f>
        <v>11.295988167868364</v>
      </c>
      <c r="O39" s="26">
        <f>('Kubiņu masa'!O45-'Kubiņu masa'!$D45)/'Kubiņu masa'!$D45*100</f>
        <v>11.111111111111111</v>
      </c>
      <c r="P39" s="26">
        <f>('Kubiņu masa'!P45-'Kubiņu masa'!$D45)/'Kubiņu masa'!$D45*100</f>
        <v>14.993529303013494</v>
      </c>
      <c r="Q39" s="26">
        <f>('Kubiņu masa'!Q45-'Kubiņu masa'!$D45)/'Kubiņu masa'!$D45*100</f>
        <v>16.657422813828802</v>
      </c>
      <c r="R39" s="26">
        <f>('Kubiņu masa'!R45-'Kubiņu masa'!$D45)/'Kubiņu masa'!$D45*100</f>
        <v>16.657422813828802</v>
      </c>
      <c r="S39" s="26">
        <f>('Kubiņu masa'!S45-'Kubiņu masa'!$D45)/'Kubiņu masa'!$D45*100</f>
        <v>19.800332778702177</v>
      </c>
      <c r="T39" s="26">
        <f>('Kubiņu masa'!T45-'Kubiņu masa'!$D45)/'Kubiņu masa'!$D45*100</f>
        <v>20.17008689221668</v>
      </c>
      <c r="U39" s="26">
        <f>('Kubiņu masa'!U45-'Kubiņu masa'!$D45)/'Kubiņu masa'!$D45*100</f>
        <v>17.76668515437235</v>
      </c>
    </row>
    <row r="40" spans="1:21" x14ac:dyDescent="0.35">
      <c r="A40" s="42"/>
      <c r="B40" s="11"/>
      <c r="C40" s="21">
        <v>54</v>
      </c>
      <c r="D40" s="26">
        <f>('Kubiņu masa'!D46-'Kubiņu masa'!$D46)/'Kubiņu masa'!$D46*100</f>
        <v>0</v>
      </c>
      <c r="E40" s="26">
        <f>('Kubiņu masa'!E46-'Kubiņu masa'!$D46)/'Kubiņu masa'!$D46*100</f>
        <v>5.7004830917874383</v>
      </c>
      <c r="F40" s="26">
        <f>('Kubiņu masa'!F46-'Kubiņu masa'!$D46)/'Kubiņu masa'!$D46*100</f>
        <v>5.893719806763297</v>
      </c>
      <c r="G40" s="26">
        <f>('Kubiņu masa'!G46-'Kubiņu masa'!$D46)/'Kubiņu masa'!$D46*100</f>
        <v>5.1207729468599146</v>
      </c>
      <c r="H40" s="26">
        <f>('Kubiņu masa'!H46-'Kubiņu masa'!$D46)/'Kubiņu masa'!$D46*100</f>
        <v>6.4734299516908207</v>
      </c>
      <c r="I40" s="26">
        <f>('Kubiņu masa'!I46-'Kubiņu masa'!$D46)/'Kubiņu masa'!$D46*100</f>
        <v>6.6666666666666625</v>
      </c>
      <c r="J40" s="26">
        <f>('Kubiņu masa'!J46-'Kubiņu masa'!$D46)/'Kubiņu masa'!$D46*100</f>
        <v>6.2801932367149798</v>
      </c>
      <c r="K40" s="26">
        <f>('Kubiņu masa'!K46-'Kubiņu masa'!$D46)/'Kubiņu masa'!$D46*100</f>
        <v>8.4057971014492843</v>
      </c>
      <c r="L40" s="26">
        <f>('Kubiņu masa'!L46-'Kubiņu masa'!$D46)/'Kubiņu masa'!$D46*100</f>
        <v>8.0193236714975864</v>
      </c>
      <c r="M40" s="26">
        <f>('Kubiņu masa'!M46-'Kubiņu masa'!$D46)/'Kubiņu masa'!$D46*100</f>
        <v>11.690821256038655</v>
      </c>
      <c r="N40" s="26">
        <f>('Kubiņu masa'!N46-'Kubiņu masa'!$D46)/'Kubiņu masa'!$D46*100</f>
        <v>11.497584541062796</v>
      </c>
      <c r="O40" s="26">
        <f>('Kubiņu masa'!O46-'Kubiņu masa'!$D46)/'Kubiņu masa'!$D46*100</f>
        <v>11.111111111111114</v>
      </c>
      <c r="P40" s="26">
        <f>('Kubiņu masa'!P46-'Kubiņu masa'!$D46)/'Kubiņu masa'!$D46*100</f>
        <v>15.16908212560387</v>
      </c>
      <c r="Q40" s="26">
        <f>('Kubiņu masa'!Q46-'Kubiņu masa'!$D46)/'Kubiņu masa'!$D46*100</f>
        <v>16.135265700483092</v>
      </c>
      <c r="R40" s="26">
        <f>('Kubiņu masa'!R46-'Kubiņu masa'!$D46)/'Kubiņu masa'!$D46*100</f>
        <v>16.135265700483092</v>
      </c>
      <c r="S40" s="26">
        <f>('Kubiņu masa'!S46-'Kubiņu masa'!$D46)/'Kubiņu masa'!$D46*100</f>
        <v>20.193236714975846</v>
      </c>
      <c r="T40" s="26">
        <f>('Kubiņu masa'!T46-'Kubiņu masa'!$D46)/'Kubiņu masa'!$D46*100</f>
        <v>20.386473429951703</v>
      </c>
      <c r="U40" s="26">
        <f>('Kubiņu masa'!U46-'Kubiņu masa'!$D46)/'Kubiņu masa'!$D46*100</f>
        <v>17.101449275362317</v>
      </c>
    </row>
    <row r="41" spans="1:21" x14ac:dyDescent="0.35">
      <c r="A41" s="42"/>
      <c r="B41" s="11" t="s">
        <v>37</v>
      </c>
      <c r="C41" s="21">
        <v>67</v>
      </c>
      <c r="D41" s="26">
        <f>('Kubiņu masa'!D47-'Kubiņu masa'!$D47)/'Kubiņu masa'!$D47*100</f>
        <v>0</v>
      </c>
      <c r="E41" s="26">
        <f>('Kubiņu masa'!E47-'Kubiņu masa'!$D47)/'Kubiņu masa'!$D47*100</f>
        <v>5.9217877094972202</v>
      </c>
      <c r="F41" s="26">
        <f>('Kubiņu masa'!F47-'Kubiņu masa'!$D47)/'Kubiņu masa'!$D47*100</f>
        <v>5.6983240223463865</v>
      </c>
      <c r="G41" s="26">
        <f>('Kubiņu masa'!G47-'Kubiņu masa'!$D47)/'Kubiņu masa'!$D47*100</f>
        <v>5.4748603351955332</v>
      </c>
      <c r="H41" s="26">
        <f>('Kubiņu masa'!H47-'Kubiņu masa'!$D47)/'Kubiņu masa'!$D47*100</f>
        <v>6.5921787709497188</v>
      </c>
      <c r="I41" s="26">
        <f>('Kubiņu masa'!I47-'Kubiņu masa'!$D47)/'Kubiņu masa'!$D47*100</f>
        <v>6.5921787709497188</v>
      </c>
      <c r="J41" s="26">
        <f>('Kubiņu masa'!J47-'Kubiņu masa'!$D47)/'Kubiņu masa'!$D47*100</f>
        <v>6.1452513966480531</v>
      </c>
      <c r="K41" s="26">
        <f>('Kubiņu masa'!K47-'Kubiņu masa'!$D47)/'Kubiņu masa'!$D47*100</f>
        <v>7.9329608938547587</v>
      </c>
      <c r="L41" s="26">
        <f>('Kubiņu masa'!L47-'Kubiņu masa'!$D47)/'Kubiņu masa'!$D47*100</f>
        <v>8.1564245810055915</v>
      </c>
      <c r="M41" s="26">
        <f>('Kubiņu masa'!M47-'Kubiņu masa'!$D47)/'Kubiņu masa'!$D47*100</f>
        <v>12.17877094972067</v>
      </c>
      <c r="N41" s="26">
        <f>('Kubiņu masa'!N47-'Kubiņu masa'!$D47)/'Kubiņu masa'!$D47*100</f>
        <v>12.17877094972067</v>
      </c>
      <c r="O41" s="26">
        <f>('Kubiņu masa'!O47-'Kubiņu masa'!$D47)/'Kubiņu masa'!$D47*100</f>
        <v>11.731843575419003</v>
      </c>
      <c r="P41" s="26">
        <f>('Kubiņu masa'!P47-'Kubiņu masa'!$D47)/'Kubiņu masa'!$D47*100</f>
        <v>17.765363128491622</v>
      </c>
      <c r="Q41" s="26">
        <f>('Kubiņu masa'!Q47-'Kubiņu masa'!$D47)/'Kubiņu masa'!$D47*100</f>
        <v>18.882681564245825</v>
      </c>
      <c r="R41" s="26">
        <f>('Kubiņu masa'!R47-'Kubiņu masa'!$D47)/'Kubiņu masa'!$D47*100</f>
        <v>18.435754189944138</v>
      </c>
      <c r="S41" s="26">
        <f>('Kubiņu masa'!S47-'Kubiņu masa'!$D47)/'Kubiņu masa'!$D47*100</f>
        <v>24.245810055865924</v>
      </c>
      <c r="T41" s="26">
        <f>('Kubiņu masa'!T47-'Kubiņu masa'!$D47)/'Kubiņu masa'!$D47*100</f>
        <v>23.798882681564258</v>
      </c>
      <c r="U41" s="26">
        <f>('Kubiņu masa'!U47-'Kubiņu masa'!$D47)/'Kubiņu masa'!$D47*100</f>
        <v>20.670391061452531</v>
      </c>
    </row>
    <row r="42" spans="1:21" x14ac:dyDescent="0.35">
      <c r="A42" s="42"/>
      <c r="B42" s="11"/>
      <c r="C42" s="21">
        <v>71</v>
      </c>
      <c r="D42" s="26">
        <f>('Kubiņu masa'!D48-'Kubiņu masa'!$D48)/'Kubiņu masa'!$D48*100</f>
        <v>0</v>
      </c>
      <c r="E42" s="26">
        <f>('Kubiņu masa'!E48-'Kubiņu masa'!$D48)/'Kubiņu masa'!$D48*100</f>
        <v>5.7314297537761254</v>
      </c>
      <c r="F42" s="26">
        <f>('Kubiņu masa'!F48-'Kubiņu masa'!$D48)/'Kubiņu masa'!$D48*100</f>
        <v>5.9383405752120817</v>
      </c>
      <c r="G42" s="26">
        <f>('Kubiņu masa'!G48-'Kubiņu masa'!$D48)/'Kubiņu masa'!$D48*100</f>
        <v>5.5245189323401505</v>
      </c>
      <c r="H42" s="26">
        <f>('Kubiņu masa'!H48-'Kubiņu masa'!$D48)/'Kubiņu masa'!$D48*100</f>
        <v>6.3521622180839952</v>
      </c>
      <c r="I42" s="26">
        <f>('Kubiņu masa'!I48-'Kubiņu masa'!$D48)/'Kubiņu masa'!$D48*100</f>
        <v>6.7659838609559264</v>
      </c>
      <c r="J42" s="26">
        <f>('Kubiņu masa'!J48-'Kubiņu masa'!$D48)/'Kubiņu masa'!$D48*100</f>
        <v>6.3521622180839952</v>
      </c>
      <c r="K42" s="26">
        <f>('Kubiņu masa'!K48-'Kubiņu masa'!$D48)/'Kubiņu masa'!$D48*100</f>
        <v>8.4212704324436167</v>
      </c>
      <c r="L42" s="26">
        <f>('Kubiņu masa'!L48-'Kubiņu masa'!$D48)/'Kubiņu masa'!$D48*100</f>
        <v>8.6281812538795748</v>
      </c>
      <c r="M42" s="26">
        <f>('Kubiņu masa'!M48-'Kubiņu masa'!$D48)/'Kubiņu masa'!$D48*100</f>
        <v>12.352576039726868</v>
      </c>
      <c r="N42" s="26">
        <f>('Kubiņu masa'!N48-'Kubiņu masa'!$D48)/'Kubiņu masa'!$D48*100</f>
        <v>11.938754396854954</v>
      </c>
      <c r="O42" s="26">
        <f>('Kubiņu masa'!O48-'Kubiņu masa'!$D48)/'Kubiņu masa'!$D48*100</f>
        <v>11.524932753983022</v>
      </c>
      <c r="P42" s="26">
        <f>('Kubiņu masa'!P48-'Kubiņu masa'!$D48)/'Kubiņu masa'!$D48*100</f>
        <v>17.111524932753984</v>
      </c>
      <c r="Q42" s="26">
        <f>('Kubiņu masa'!Q48-'Kubiņu masa'!$D48)/'Kubiņu masa'!$D48*100</f>
        <v>18.559900682805715</v>
      </c>
      <c r="R42" s="26">
        <f>('Kubiņu masa'!R48-'Kubiņu masa'!$D48)/'Kubiņu masa'!$D48*100</f>
        <v>17.318435754189938</v>
      </c>
      <c r="S42" s="26">
        <f>('Kubiņu masa'!S48-'Kubiņu masa'!$D48)/'Kubiņu masa'!$D48*100</f>
        <v>23.732671218704741</v>
      </c>
      <c r="T42" s="26">
        <f>('Kubiņu masa'!T48-'Kubiņu masa'!$D48)/'Kubiņu masa'!$D48*100</f>
        <v>23.380922822263599</v>
      </c>
      <c r="U42" s="26">
        <f>('Kubiņu masa'!U48-'Kubiņu masa'!$D48)/'Kubiņu masa'!$D48*100</f>
        <v>20.215187254293387</v>
      </c>
    </row>
    <row r="43" spans="1:21" x14ac:dyDescent="0.35">
      <c r="A43" s="42"/>
      <c r="B43" s="11"/>
      <c r="C43" s="21">
        <v>75</v>
      </c>
      <c r="D43" s="26">
        <f>('Kubiņu masa'!D49-'Kubiņu masa'!$D49)/'Kubiņu masa'!$D49*100</f>
        <v>0</v>
      </c>
      <c r="E43" s="26">
        <f>('Kubiņu masa'!E49-'Kubiņu masa'!$D49)/'Kubiņu masa'!$D49*100</f>
        <v>6.214016279531462</v>
      </c>
      <c r="F43" s="26">
        <f>('Kubiņu masa'!F49-'Kubiņu masa'!$D49)/'Kubiņu masa'!$D49*100</f>
        <v>6.0154854079809397</v>
      </c>
      <c r="G43" s="26">
        <f>('Kubiņu masa'!G49-'Kubiņu masa'!$D49)/'Kubiņu masa'!$D49*100</f>
        <v>4.8243001786777908</v>
      </c>
      <c r="H43" s="26">
        <f>('Kubiņu masa'!H49-'Kubiņu masa'!$D49)/'Kubiņu masa'!$D49*100</f>
        <v>6.6110780226325234</v>
      </c>
      <c r="I43" s="26">
        <f>('Kubiņu masa'!I49-'Kubiņu masa'!$D49)/'Kubiņu masa'!$D49*100</f>
        <v>7.0081397657335671</v>
      </c>
      <c r="J43" s="26">
        <f>('Kubiņu masa'!J49-'Kubiņu masa'!$D49)/'Kubiņu masa'!$D49*100</f>
        <v>6.4125471510820011</v>
      </c>
      <c r="K43" s="26">
        <f>('Kubiņu masa'!K49-'Kubiņu masa'!$D49)/'Kubiņu masa'!$D49*100</f>
        <v>8.5963867381377774</v>
      </c>
      <c r="L43" s="26">
        <f>('Kubiņu masa'!L49-'Kubiņu masa'!$D49)/'Kubiņu masa'!$D49*100</f>
        <v>8.3978558665872551</v>
      </c>
      <c r="M43" s="26">
        <f>('Kubiņu masa'!M49-'Kubiņu masa'!$D49)/'Kubiņu masa'!$D49*100</f>
        <v>12.567004169148301</v>
      </c>
      <c r="N43" s="26">
        <f>('Kubiņu masa'!N49-'Kubiņu masa'!$D49)/'Kubiņu masa'!$D49*100</f>
        <v>12.567004169148301</v>
      </c>
      <c r="O43" s="26">
        <f>('Kubiņu masa'!O49-'Kubiņu masa'!$D49)/'Kubiņu masa'!$D49*100</f>
        <v>11.971411554496719</v>
      </c>
      <c r="P43" s="26">
        <f>('Kubiņu masa'!P49-'Kubiņu masa'!$D49)/'Kubiņu masa'!$D49*100</f>
        <v>17.133214214810412</v>
      </c>
      <c r="Q43" s="26">
        <f>('Kubiņu masa'!Q49-'Kubiņu masa'!$D49)/'Kubiņu masa'!$D49*100</f>
        <v>18.125868572563039</v>
      </c>
      <c r="R43" s="26">
        <f>('Kubiņu masa'!R49-'Kubiņu masa'!$D49)/'Kubiņu masa'!$D49*100</f>
        <v>17.331745086360932</v>
      </c>
      <c r="S43" s="26">
        <f>('Kubiņu masa'!S49-'Kubiņu masa'!$D49)/'Kubiņu masa'!$D49*100</f>
        <v>23.089140361326191</v>
      </c>
      <c r="T43" s="26">
        <f>('Kubiņu masa'!T49-'Kubiņu masa'!$D49)/'Kubiņu masa'!$D49*100</f>
        <v>23.883263847528298</v>
      </c>
      <c r="U43" s="26">
        <f>('Kubiņu masa'!U49-'Kubiņu masa'!$D49)/'Kubiņu masa'!$D49*100</f>
        <v>19.91264641651777</v>
      </c>
    </row>
    <row r="44" spans="1:21" x14ac:dyDescent="0.35">
      <c r="A44" s="42"/>
      <c r="B44" s="11" t="s">
        <v>38</v>
      </c>
      <c r="C44" s="21">
        <v>87</v>
      </c>
      <c r="D44" s="26">
        <f>('Kubiņu masa'!D50-'Kubiņu masa'!$D50)/'Kubiņu masa'!$D50*100</f>
        <v>0</v>
      </c>
      <c r="E44" s="26">
        <f>('Kubiņu masa'!E50-'Kubiņu masa'!$D50)/'Kubiņu masa'!$D50*100</f>
        <v>5.9436510999614018</v>
      </c>
      <c r="F44" s="26">
        <f>('Kubiņu masa'!F50-'Kubiņu masa'!$D50)/'Kubiņu masa'!$D50*100</f>
        <v>5.1717483597066725</v>
      </c>
      <c r="G44" s="26">
        <f>('Kubiņu masa'!G50-'Kubiņu masa'!$D50)/'Kubiņu masa'!$D50*100</f>
        <v>5.1717483597066725</v>
      </c>
      <c r="H44" s="26">
        <f>('Kubiņu masa'!H50-'Kubiņu masa'!$D50)/'Kubiņu masa'!$D50*100</f>
        <v>5.9436510999614018</v>
      </c>
      <c r="I44" s="26">
        <f>('Kubiņu masa'!I50-'Kubiņu masa'!$D50)/'Kubiņu masa'!$D50*100</f>
        <v>6.9085295252798078</v>
      </c>
      <c r="J44" s="26">
        <f>('Kubiņu masa'!J50-'Kubiņu masa'!$D50)/'Kubiņu masa'!$D50*100</f>
        <v>6.3296024700887559</v>
      </c>
      <c r="K44" s="26">
        <f>('Kubiņu masa'!K50-'Kubiņu masa'!$D50)/'Kubiņu masa'!$D50*100</f>
        <v>8.6453106908529413</v>
      </c>
      <c r="L44" s="26">
        <f>('Kubiņu masa'!L50-'Kubiņu masa'!$D50)/'Kubiņu masa'!$D50*100</f>
        <v>8.0663836356618912</v>
      </c>
      <c r="M44" s="26">
        <f>('Kubiņu masa'!M50-'Kubiņu masa'!$D50)/'Kubiņu masa'!$D50*100</f>
        <v>11.153994596680807</v>
      </c>
      <c r="N44" s="26">
        <f>('Kubiņu masa'!N50-'Kubiņu masa'!$D50)/'Kubiņu masa'!$D50*100</f>
        <v>11.539945966808178</v>
      </c>
      <c r="O44" s="26">
        <f>('Kubiņu masa'!O50-'Kubiņu masa'!$D50)/'Kubiņu masa'!$D50*100</f>
        <v>10.961018911617128</v>
      </c>
      <c r="P44" s="26">
        <f>('Kubiņu masa'!P50-'Kubiņu masa'!$D50)/'Kubiņu masa'!$D50*100</f>
        <v>14.048629872636042</v>
      </c>
      <c r="Q44" s="26">
        <f>('Kubiņu masa'!Q50-'Kubiņu masa'!$D50)/'Kubiņu masa'!$D50*100</f>
        <v>15.785411038209176</v>
      </c>
      <c r="R44" s="26">
        <f>('Kubiņu masa'!R50-'Kubiņu masa'!$D50)/'Kubiņu masa'!$D50*100</f>
        <v>15.206483983018126</v>
      </c>
      <c r="S44" s="26">
        <f>('Kubiņu masa'!S50-'Kubiņu masa'!$D50)/'Kubiņu masa'!$D50*100</f>
        <v>19.065997684291769</v>
      </c>
      <c r="T44" s="26">
        <f>('Kubiņu masa'!T50-'Kubiņu masa'!$D50)/'Kubiņu masa'!$D50*100</f>
        <v>19.644924739482818</v>
      </c>
      <c r="U44" s="26">
        <f>('Kubiņu masa'!U50-'Kubiņu masa'!$D50)/'Kubiņu masa'!$D50*100</f>
        <v>19.258973369355449</v>
      </c>
    </row>
    <row r="45" spans="1:21" x14ac:dyDescent="0.35">
      <c r="A45" s="42"/>
      <c r="B45" s="11"/>
      <c r="C45" s="21">
        <v>91</v>
      </c>
      <c r="D45" s="26">
        <f>('Kubiņu masa'!D51-'Kubiņu masa'!$D51)/'Kubiņu masa'!$D51*100</f>
        <v>0</v>
      </c>
      <c r="E45" s="26">
        <f>('Kubiņu masa'!E51-'Kubiņu masa'!$D51)/'Kubiņu masa'!$D51*100</f>
        <v>5.4827175208581611</v>
      </c>
      <c r="F45" s="26">
        <f>('Kubiņu masa'!F51-'Kubiņu masa'!$D51)/'Kubiņu masa'!$D51*100</f>
        <v>5.8800158919348489</v>
      </c>
      <c r="G45" s="26">
        <f>('Kubiņu masa'!G51-'Kubiņu masa'!$D51)/'Kubiņu masa'!$D51*100</f>
        <v>5.4827175208581611</v>
      </c>
      <c r="H45" s="26">
        <f>('Kubiņu masa'!H51-'Kubiņu masa'!$D51)/'Kubiņu masa'!$D51*100</f>
        <v>6.6746126340882057</v>
      </c>
      <c r="I45" s="26">
        <f>('Kubiņu masa'!I51-'Kubiņu masa'!$D51)/'Kubiņu masa'!$D51*100</f>
        <v>6.873261819626542</v>
      </c>
      <c r="J45" s="26">
        <f>('Kubiņu masa'!J51-'Kubiņu masa'!$D51)/'Kubiņu masa'!$D51*100</f>
        <v>6.4759634485498712</v>
      </c>
      <c r="K45" s="26">
        <f>('Kubiņu masa'!K51-'Kubiņu masa'!$D51)/'Kubiņu masa'!$D51*100</f>
        <v>8.0651569328565884</v>
      </c>
      <c r="L45" s="26">
        <f>('Kubiņu masa'!L51-'Kubiņu masa'!$D51)/'Kubiņu masa'!$D51*100</f>
        <v>8.4624553039332575</v>
      </c>
      <c r="M45" s="26">
        <f>('Kubiņu masa'!M51-'Kubiņu masa'!$D51)/'Kubiņu masa'!$D51*100</f>
        <v>11.640842272546688</v>
      </c>
      <c r="N45" s="26">
        <f>('Kubiņu masa'!N51-'Kubiņu masa'!$D51)/'Kubiņu masa'!$D51*100</f>
        <v>11.243543901470002</v>
      </c>
      <c r="O45" s="26">
        <f>('Kubiņu masa'!O51-'Kubiņu masa'!$D51)/'Kubiņu masa'!$D51*100</f>
        <v>11.243543901470002</v>
      </c>
      <c r="P45" s="26">
        <f>('Kubiņu masa'!P51-'Kubiņu masa'!$D51)/'Kubiņu masa'!$D51*100</f>
        <v>14.223281684545096</v>
      </c>
      <c r="Q45" s="26">
        <f>('Kubiņu masa'!Q51-'Kubiņu masa'!$D51)/'Kubiņu masa'!$D51*100</f>
        <v>16.209773539928484</v>
      </c>
      <c r="R45" s="26">
        <f>('Kubiņu masa'!R51-'Kubiņu masa'!$D51)/'Kubiņu masa'!$D51*100</f>
        <v>15.613825983313479</v>
      </c>
      <c r="S45" s="26">
        <f>('Kubiņu masa'!S51-'Kubiņu masa'!$D51)/'Kubiņu masa'!$D51*100</f>
        <v>19.189511323003579</v>
      </c>
      <c r="T45" s="26">
        <f>('Kubiņu masa'!T51-'Kubiņu masa'!$D51)/'Kubiņu masa'!$D51*100</f>
        <v>19.586809694080252</v>
      </c>
      <c r="U45" s="26">
        <f>('Kubiņu masa'!U51-'Kubiņu masa'!$D51)/'Kubiņu masa'!$D51*100</f>
        <v>18.79221295192691</v>
      </c>
    </row>
    <row r="46" spans="1:21" x14ac:dyDescent="0.35">
      <c r="A46" s="42"/>
      <c r="B46" s="11"/>
      <c r="C46" s="21">
        <v>95</v>
      </c>
      <c r="D46" s="26">
        <f>('Kubiņu masa'!D52-'Kubiņu masa'!$D52)/'Kubiņu masa'!$D52*100</f>
        <v>0</v>
      </c>
      <c r="E46" s="26">
        <f>('Kubiņu masa'!E52-'Kubiņu masa'!$D52)/'Kubiņu masa'!$D52*100</f>
        <v>5.9369202226345141</v>
      </c>
      <c r="F46" s="26">
        <f>('Kubiņu masa'!F52-'Kubiņu masa'!$D52)/'Kubiņu masa'!$D52*100</f>
        <v>5.9369202226345141</v>
      </c>
      <c r="G46" s="26">
        <f>('Kubiņu masa'!G52-'Kubiņu masa'!$D52)/'Kubiņu masa'!$D52*100</f>
        <v>5.3803339517625242</v>
      </c>
      <c r="H46" s="26">
        <f>('Kubiņu masa'!H52-'Kubiņu masa'!$D52)/'Kubiņu masa'!$D52*100</f>
        <v>6.6790352504638291</v>
      </c>
      <c r="I46" s="26">
        <f>('Kubiņu masa'!I52-'Kubiņu masa'!$D52)/'Kubiņu masa'!$D52*100</f>
        <v>7.0500927643784763</v>
      </c>
      <c r="J46" s="26">
        <f>('Kubiņu masa'!J52-'Kubiņu masa'!$D52)/'Kubiņu masa'!$D52*100</f>
        <v>6.6790352504638291</v>
      </c>
      <c r="K46" s="26">
        <f>('Kubiņu masa'!K52-'Kubiņu masa'!$D52)/'Kubiņu masa'!$D52*100</f>
        <v>8.7198515769944454</v>
      </c>
      <c r="L46" s="26">
        <f>('Kubiņu masa'!L52-'Kubiņu masa'!$D52)/'Kubiņu masa'!$D52*100</f>
        <v>8.3487940630797812</v>
      </c>
      <c r="M46" s="26">
        <f>('Kubiņu masa'!M52-'Kubiņu masa'!$D52)/'Kubiņu masa'!$D52*100</f>
        <v>12.059369202226353</v>
      </c>
      <c r="N46" s="26">
        <f>('Kubiņu masa'!N52-'Kubiņu masa'!$D52)/'Kubiņu masa'!$D52*100</f>
        <v>11.317254174397039</v>
      </c>
      <c r="O46" s="26">
        <f>('Kubiņu masa'!O52-'Kubiņu masa'!$D52)/'Kubiņu masa'!$D52*100</f>
        <v>11.317254174397039</v>
      </c>
      <c r="P46" s="26">
        <f>('Kubiņu masa'!P52-'Kubiņu masa'!$D52)/'Kubiņu masa'!$D52*100</f>
        <v>15.398886827458258</v>
      </c>
      <c r="Q46" s="26">
        <f>('Kubiņu masa'!Q52-'Kubiņu masa'!$D52)/'Kubiņu masa'!$D52*100</f>
        <v>16.697588126159562</v>
      </c>
      <c r="R46" s="26">
        <f>('Kubiņu masa'!R52-'Kubiņu masa'!$D52)/'Kubiņu masa'!$D52*100</f>
        <v>15.955473098330247</v>
      </c>
      <c r="S46" s="26">
        <f>('Kubiņu masa'!S52-'Kubiņu masa'!$D52)/'Kubiņu masa'!$D52*100</f>
        <v>20.779220779220783</v>
      </c>
      <c r="T46" s="26">
        <f>('Kubiņu masa'!T52-'Kubiņu masa'!$D52)/'Kubiņu masa'!$D52*100</f>
        <v>20.408163265306133</v>
      </c>
      <c r="U46" s="26">
        <f>('Kubiņu masa'!U52-'Kubiņu masa'!$D52)/'Kubiņu masa'!$D52*100</f>
        <v>18.55287569573284</v>
      </c>
    </row>
    <row r="47" spans="1:21" x14ac:dyDescent="0.35">
      <c r="A47" s="42"/>
      <c r="B47" s="11" t="s">
        <v>39</v>
      </c>
      <c r="C47" s="21">
        <v>107</v>
      </c>
      <c r="D47" s="26">
        <f>('Kubiņu masa'!D53-'Kubiņu masa'!$D53)/'Kubiņu masa'!$D53*100</f>
        <v>0</v>
      </c>
      <c r="E47" s="26">
        <f>('Kubiņu masa'!E53-'Kubiņu masa'!$D53)/'Kubiņu masa'!$D53*100</f>
        <v>5.9787345302422867</v>
      </c>
      <c r="F47" s="26">
        <f>('Kubiņu masa'!F53-'Kubiņu masa'!$D53)/'Kubiņu masa'!$D53*100</f>
        <v>5.8044274010807069</v>
      </c>
      <c r="G47" s="26">
        <f>('Kubiņu masa'!G53-'Kubiņu masa'!$D53)/'Kubiņu masa'!$D53*100</f>
        <v>5.4558131427575338</v>
      </c>
      <c r="H47" s="26">
        <f>('Kubiņu masa'!H53-'Kubiņu masa'!$D53)/'Kubiņu masa'!$D53*100</f>
        <v>6.6759630468886177</v>
      </c>
      <c r="I47" s="26">
        <f>('Kubiņu masa'!I53-'Kubiņu masa'!$D53)/'Kubiņu masa'!$D53*100</f>
        <v>6.6759630468886177</v>
      </c>
      <c r="J47" s="26">
        <f>('Kubiņu masa'!J53-'Kubiņu masa'!$D53)/'Kubiņu masa'!$D53*100</f>
        <v>6.5016559177270397</v>
      </c>
      <c r="K47" s="26">
        <f>('Kubiņu masa'!K53-'Kubiņu masa'!$D53)/'Kubiņu masa'!$D53*100</f>
        <v>8.0704200801812807</v>
      </c>
      <c r="L47" s="26">
        <f>('Kubiņu masa'!L53-'Kubiņu masa'!$D53)/'Kubiņu masa'!$D53*100</f>
        <v>8.2447272093428605</v>
      </c>
      <c r="M47" s="26">
        <f>('Kubiņu masa'!M53-'Kubiņu masa'!$D53)/'Kubiņu masa'!$D53*100</f>
        <v>11.730869792574516</v>
      </c>
      <c r="N47" s="26">
        <f>('Kubiņu masa'!N53-'Kubiņu masa'!$D53)/'Kubiņu masa'!$D53*100</f>
        <v>11.207948405089764</v>
      </c>
      <c r="O47" s="26">
        <f>('Kubiņu masa'!O53-'Kubiņu masa'!$D53)/'Kubiņu masa'!$D53*100</f>
        <v>10.859334146766606</v>
      </c>
      <c r="P47" s="26">
        <f>('Kubiņu masa'!P53-'Kubiņu masa'!$D53)/'Kubiņu masa'!$D53*100</f>
        <v>16.262855150775664</v>
      </c>
      <c r="Q47" s="26">
        <f>('Kubiņu masa'!Q53-'Kubiņu masa'!$D53)/'Kubiņu masa'!$D53*100</f>
        <v>17.134390796583574</v>
      </c>
      <c r="R47" s="26">
        <f>('Kubiņu masa'!R53-'Kubiņu masa'!$D53)/'Kubiņu masa'!$D53*100</f>
        <v>16.785776538260418</v>
      </c>
      <c r="S47" s="26">
        <f>('Kubiņu masa'!S53-'Kubiņu masa'!$D53)/'Kubiņu masa'!$D53*100</f>
        <v>22.537911800592646</v>
      </c>
      <c r="T47" s="26">
        <f>('Kubiņu masa'!T53-'Kubiņu masa'!$D53)/'Kubiņu masa'!$D53*100</f>
        <v>23.060833188077385</v>
      </c>
      <c r="U47" s="26">
        <f>('Kubiņu masa'!U53-'Kubiņu masa'!$D53)/'Kubiņu masa'!$D53*100</f>
        <v>20.446226250653652</v>
      </c>
    </row>
    <row r="48" spans="1:21" x14ac:dyDescent="0.35">
      <c r="A48" s="42"/>
      <c r="B48" s="11"/>
      <c r="C48" s="21">
        <v>111</v>
      </c>
      <c r="D48" s="26">
        <f>('Kubiņu masa'!D54-'Kubiņu masa'!$D54)/'Kubiņu masa'!$D54*100</f>
        <v>0</v>
      </c>
      <c r="E48" s="26">
        <f>('Kubiņu masa'!E54-'Kubiņu masa'!$D54)/'Kubiņu masa'!$D54*100</f>
        <v>5.9669062343306072</v>
      </c>
      <c r="F48" s="26">
        <f>('Kubiņu masa'!F54-'Kubiņu masa'!$D54)/'Kubiņu masa'!$D54*100</f>
        <v>5.7997660036770924</v>
      </c>
      <c r="G48" s="26">
        <f>('Kubiņu masa'!G54-'Kubiņu masa'!$D54)/'Kubiņu masa'!$D54*100</f>
        <v>5.2983453117165329</v>
      </c>
      <c r="H48" s="26">
        <f>('Kubiņu masa'!H54-'Kubiņu masa'!$D54)/'Kubiņu masa'!$D54*100</f>
        <v>6.6354671569446815</v>
      </c>
      <c r="I48" s="26">
        <f>('Kubiņu masa'!I54-'Kubiņu masa'!$D54)/'Kubiņu masa'!$D54*100</f>
        <v>6.3011866956376519</v>
      </c>
      <c r="J48" s="26">
        <f>('Kubiņu masa'!J54-'Kubiņu masa'!$D54)/'Kubiņu masa'!$D54*100</f>
        <v>6.6354671569446815</v>
      </c>
      <c r="K48" s="26">
        <f>('Kubiņu masa'!K54-'Kubiņu masa'!$D54)/'Kubiņu masa'!$D54*100</f>
        <v>8.3068694634798721</v>
      </c>
      <c r="L48" s="26">
        <f>('Kubiņu masa'!L54-'Kubiņu masa'!$D54)/'Kubiņu masa'!$D54*100</f>
        <v>8.3068694634798721</v>
      </c>
      <c r="M48" s="26">
        <f>('Kubiņu masa'!M54-'Kubiņu masa'!$D54)/'Kubiņu masa'!$D54*100</f>
        <v>11.649674076550227</v>
      </c>
      <c r="N48" s="26">
        <f>('Kubiņu masa'!N54-'Kubiņu masa'!$D54)/'Kubiņu masa'!$D54*100</f>
        <v>11.148253384589683</v>
      </c>
      <c r="O48" s="26">
        <f>('Kubiņu masa'!O54-'Kubiņu masa'!$D54)/'Kubiņu masa'!$D54*100</f>
        <v>10.813972923282639</v>
      </c>
      <c r="P48" s="26">
        <f>('Kubiņu masa'!P54-'Kubiņu masa'!$D54)/'Kubiņu masa'!$D54*100</f>
        <v>16.329600534848744</v>
      </c>
      <c r="Q48" s="26">
        <f>('Kubiņu masa'!Q54-'Kubiņu masa'!$D54)/'Kubiņu masa'!$D54*100</f>
        <v>16.998161457462817</v>
      </c>
      <c r="R48" s="26">
        <f>('Kubiņu masa'!R54-'Kubiņu masa'!$D54)/'Kubiņu masa'!$D54*100</f>
        <v>16.66388099615579</v>
      </c>
      <c r="S48" s="26">
        <f>('Kubiņu masa'!S54-'Kubiņu masa'!$D54)/'Kubiņu masa'!$D54*100</f>
        <v>21.343807454454293</v>
      </c>
      <c r="T48" s="26">
        <f>('Kubiņu masa'!T54-'Kubiņu masa'!$D54)/'Kubiņu masa'!$D54*100</f>
        <v>22.179508607721878</v>
      </c>
      <c r="U48" s="26">
        <f>('Kubiņu masa'!U54-'Kubiņu masa'!$D54)/'Kubiņu masa'!$D54*100</f>
        <v>20.5081063011867</v>
      </c>
    </row>
    <row r="49" spans="1:21" x14ac:dyDescent="0.35">
      <c r="A49" s="42"/>
      <c r="B49" s="11"/>
      <c r="C49" s="21">
        <v>115</v>
      </c>
      <c r="D49" s="26">
        <f>('Kubiņu masa'!D55-'Kubiņu masa'!$D55)/'Kubiņu masa'!$D55*100</f>
        <v>0</v>
      </c>
      <c r="E49" s="26">
        <f>('Kubiņu masa'!E55-'Kubiņu masa'!$D55)/'Kubiņu masa'!$D55*100</f>
        <v>5.6924986699769411</v>
      </c>
      <c r="F49" s="26">
        <f>('Kubiņu masa'!F55-'Kubiņu masa'!$D55)/'Kubiņu masa'!$D55*100</f>
        <v>5.6924986699769411</v>
      </c>
      <c r="G49" s="26">
        <f>('Kubiņu masa'!G55-'Kubiņu masa'!$D55)/'Kubiņu masa'!$D55*100</f>
        <v>5.337825855648167</v>
      </c>
      <c r="H49" s="26">
        <f>('Kubiņu masa'!H55-'Kubiņu masa'!$D55)/'Kubiņu masa'!$D55*100</f>
        <v>6.5791807057988922</v>
      </c>
      <c r="I49" s="26">
        <f>('Kubiņu masa'!I55-'Kubiņu masa'!$D55)/'Kubiņu masa'!$D55*100</f>
        <v>6.5791807057988922</v>
      </c>
      <c r="J49" s="26">
        <f>('Kubiņu masa'!J55-'Kubiņu masa'!$D55)/'Kubiņu masa'!$D55*100</f>
        <v>6.5791807057988922</v>
      </c>
      <c r="K49" s="26">
        <f>('Kubiņu masa'!K55-'Kubiņu masa'!$D55)/'Kubiņu masa'!$D55*100</f>
        <v>8.1752083702784066</v>
      </c>
      <c r="L49" s="26">
        <f>('Kubiņu masa'!L55-'Kubiņu masa'!$D55)/'Kubiņu masa'!$D55*100</f>
        <v>8.3525447774428105</v>
      </c>
      <c r="M49" s="26">
        <f>('Kubiņu masa'!M55-'Kubiņu masa'!$D55)/'Kubiņu masa'!$D55*100</f>
        <v>11.367263699237453</v>
      </c>
      <c r="N49" s="26">
        <f>('Kubiņu masa'!N55-'Kubiņu masa'!$D55)/'Kubiņu masa'!$D55*100</f>
        <v>11.012590884908663</v>
      </c>
      <c r="O49" s="26">
        <f>('Kubiņu masa'!O55-'Kubiņu masa'!$D55)/'Kubiņu masa'!$D55*100</f>
        <v>10.657918070579889</v>
      </c>
      <c r="P49" s="26">
        <f>('Kubiņu masa'!P55-'Kubiņu masa'!$D55)/'Kubiņu masa'!$D55*100</f>
        <v>16.687355914169174</v>
      </c>
      <c r="Q49" s="26">
        <f>('Kubiņu masa'!Q55-'Kubiņu masa'!$D55)/'Kubiņu masa'!$D55*100</f>
        <v>17.574037949991126</v>
      </c>
      <c r="R49" s="26">
        <f>('Kubiņu masa'!R55-'Kubiņu masa'!$D55)/'Kubiņu masa'!$D55*100</f>
        <v>17.21936513566235</v>
      </c>
      <c r="S49" s="26">
        <f>('Kubiņu masa'!S55-'Kubiņu masa'!$D55)/'Kubiņu masa'!$D55*100</f>
        <v>22.894130164922849</v>
      </c>
      <c r="T49" s="26">
        <f>('Kubiņu masa'!T55-'Kubiņu masa'!$D55)/'Kubiņu masa'!$D55*100</f>
        <v>23.071466572087253</v>
      </c>
      <c r="U49" s="26">
        <f>('Kubiņu masa'!U55-'Kubiņu masa'!$D55)/'Kubiņu masa'!$D55*100</f>
        <v>21.120766093278949</v>
      </c>
    </row>
    <row r="50" spans="1:21" x14ac:dyDescent="0.35">
      <c r="A50" s="42"/>
      <c r="B50" s="11" t="s">
        <v>40</v>
      </c>
      <c r="C50" s="21">
        <v>128</v>
      </c>
      <c r="D50" s="26">
        <f>('Kubiņu masa'!D56-'Kubiņu masa'!$D56)/'Kubiņu masa'!$D56*100</f>
        <v>0</v>
      </c>
      <c r="E50" s="26">
        <f>('Kubiņu masa'!E56-'Kubiņu masa'!$D56)/'Kubiņu masa'!$D56*100</f>
        <v>5.4560260586319176</v>
      </c>
      <c r="F50" s="26">
        <f>('Kubiņu masa'!F56-'Kubiņu masa'!$D56)/'Kubiņu masa'!$D56*100</f>
        <v>5.0488599348534242</v>
      </c>
      <c r="G50" s="26">
        <f>('Kubiņu masa'!G56-'Kubiņu masa'!$D56)/'Kubiņu masa'!$D56*100</f>
        <v>4.2345276872964206</v>
      </c>
      <c r="H50" s="26">
        <f>('Kubiņu masa'!H56-'Kubiņu masa'!$D56)/'Kubiņu masa'!$D56*100</f>
        <v>5.8631921824104287</v>
      </c>
      <c r="I50" s="26">
        <f>('Kubiņu masa'!I56-'Kubiņu masa'!$D56)/'Kubiņu masa'!$D56*100</f>
        <v>5.8631921824104287</v>
      </c>
      <c r="J50" s="26">
        <f>('Kubiņu masa'!J56-'Kubiņu masa'!$D56)/'Kubiņu masa'!$D56*100</f>
        <v>5.4560260586319176</v>
      </c>
      <c r="K50" s="26">
        <f>('Kubiņu masa'!K56-'Kubiņu masa'!$D56)/'Kubiņu masa'!$D56*100</f>
        <v>7.8990228013029293</v>
      </c>
      <c r="L50" s="26">
        <f>('Kubiņu masa'!L56-'Kubiņu masa'!$D56)/'Kubiņu masa'!$D56*100</f>
        <v>7.8990228013029293</v>
      </c>
      <c r="M50" s="26">
        <f>('Kubiņu masa'!M56-'Kubiņu masa'!$D56)/'Kubiņu masa'!$D56*100</f>
        <v>11.563517915309458</v>
      </c>
      <c r="N50" s="26">
        <f>('Kubiņu masa'!N56-'Kubiņu masa'!$D56)/'Kubiņu masa'!$D56*100</f>
        <v>10.342019543973942</v>
      </c>
      <c r="O50" s="26">
        <f>('Kubiņu masa'!O56-'Kubiņu masa'!$D56)/'Kubiņu masa'!$D56*100</f>
        <v>9.9348534201954486</v>
      </c>
      <c r="P50" s="26">
        <f>('Kubiņu masa'!P56-'Kubiņu masa'!$D56)/'Kubiņu masa'!$D56*100</f>
        <v>18.485342019543982</v>
      </c>
      <c r="Q50" s="26">
        <f>('Kubiņu masa'!Q56-'Kubiņu masa'!$D56)/'Kubiņu masa'!$D56*100</f>
        <v>16.042345276872968</v>
      </c>
      <c r="R50" s="26">
        <f>('Kubiņu masa'!R56-'Kubiņu masa'!$D56)/'Kubiņu masa'!$D56*100</f>
        <v>16.042345276872968</v>
      </c>
      <c r="S50" s="26">
        <f>('Kubiņu masa'!S56-'Kubiņu masa'!$D56)/'Kubiņu masa'!$D56*100</f>
        <v>20.928338762214992</v>
      </c>
      <c r="T50" s="26">
        <f>('Kubiņu masa'!T56-'Kubiņu masa'!$D56)/'Kubiņu masa'!$D56*100</f>
        <v>22.149837133550491</v>
      </c>
      <c r="U50" s="26">
        <f>('Kubiņu masa'!U56-'Kubiņu masa'!$D56)/'Kubiņu masa'!$D56*100</f>
        <v>18.485342019543982</v>
      </c>
    </row>
    <row r="51" spans="1:21" x14ac:dyDescent="0.35">
      <c r="A51" s="42"/>
      <c r="B51" s="11"/>
      <c r="C51" s="21">
        <v>133</v>
      </c>
      <c r="D51" s="26">
        <f>('Kubiņu masa'!D57-'Kubiņu masa'!$D57)/'Kubiņu masa'!$D57*100</f>
        <v>0</v>
      </c>
      <c r="E51" s="26">
        <f>('Kubiņu masa'!E57-'Kubiņu masa'!$D57)/'Kubiņu masa'!$D57*100</f>
        <v>5.3074978938500372</v>
      </c>
      <c r="F51" s="26">
        <f>('Kubiņu masa'!F57-'Kubiņu masa'!$D57)/'Kubiņu masa'!$D57*100</f>
        <v>5.7287278854254282</v>
      </c>
      <c r="G51" s="26">
        <f>('Kubiņu masa'!G57-'Kubiņu masa'!$D57)/'Kubiņu masa'!$D57*100</f>
        <v>3.6225779275484351</v>
      </c>
      <c r="H51" s="26">
        <f>('Kubiņu masa'!H57-'Kubiņu masa'!$D57)/'Kubiņu masa'!$D57*100</f>
        <v>6.1499578770008378</v>
      </c>
      <c r="I51" s="26">
        <f>('Kubiņu masa'!I57-'Kubiņu masa'!$D57)/'Kubiņu masa'!$D57*100</f>
        <v>6.1499578770008378</v>
      </c>
      <c r="J51" s="26">
        <f>('Kubiņu masa'!J57-'Kubiņu masa'!$D57)/'Kubiņu masa'!$D57*100</f>
        <v>5.7287278854254282</v>
      </c>
      <c r="K51" s="26">
        <f>('Kubiņu masa'!K57-'Kubiņu masa'!$D57)/'Kubiņu masa'!$D57*100</f>
        <v>7.83487784330244</v>
      </c>
      <c r="L51" s="26">
        <f>('Kubiņu masa'!L57-'Kubiņu masa'!$D57)/'Kubiņu masa'!$D57*100</f>
        <v>7.83487784330244</v>
      </c>
      <c r="M51" s="26">
        <f>('Kubiņu masa'!M57-'Kubiņu masa'!$D57)/'Kubiņu masa'!$D57*100</f>
        <v>12.047177759056446</v>
      </c>
      <c r="N51" s="26">
        <f>('Kubiņu masa'!N57-'Kubiņu masa'!$D57)/'Kubiņu masa'!$D57*100</f>
        <v>11.204717775905644</v>
      </c>
      <c r="O51" s="26">
        <f>('Kubiņu masa'!O57-'Kubiņu masa'!$D57)/'Kubiņu masa'!$D57*100</f>
        <v>10.362257792754843</v>
      </c>
      <c r="P51" s="26">
        <f>('Kubiņu masa'!P57-'Kubiņu masa'!$D57)/'Kubiņu masa'!$D57*100</f>
        <v>14.995787700084239</v>
      </c>
      <c r="Q51" s="26">
        <f>('Kubiņu masa'!Q57-'Kubiņu masa'!$D57)/'Kubiņu masa'!$D57*100</f>
        <v>15.838247683235041</v>
      </c>
      <c r="R51" s="26">
        <f>('Kubiņu masa'!R57-'Kubiņu masa'!$D57)/'Kubiņu masa'!$D57*100</f>
        <v>15.417017691659648</v>
      </c>
      <c r="S51" s="26">
        <f>('Kubiņu masa'!S57-'Kubiņu masa'!$D57)/'Kubiņu masa'!$D57*100</f>
        <v>20.471777590564439</v>
      </c>
      <c r="T51" s="26">
        <f>('Kubiņu masa'!T57-'Kubiņu masa'!$D57)/'Kubiņu masa'!$D57*100</f>
        <v>21.735467565290648</v>
      </c>
      <c r="U51" s="26">
        <f>('Kubiņu masa'!U57-'Kubiņu masa'!$D57)/'Kubiņu masa'!$D57*100</f>
        <v>14.995787700084239</v>
      </c>
    </row>
    <row r="52" spans="1:21" x14ac:dyDescent="0.35">
      <c r="A52" s="42"/>
      <c r="B52" s="11"/>
      <c r="C52" s="21">
        <v>139</v>
      </c>
      <c r="D52" s="26">
        <f>('Kubiņu masa'!D58-'Kubiņu masa'!$D58)/'Kubiņu masa'!$D58*100</f>
        <v>0</v>
      </c>
      <c r="E52" s="26">
        <f>('Kubiņu masa'!E58-'Kubiņu masa'!$D58)/'Kubiņu masa'!$D58*100</f>
        <v>5.595288178376105</v>
      </c>
      <c r="F52" s="26">
        <f>('Kubiņu masa'!F58-'Kubiņu masa'!$D58)/'Kubiņu masa'!$D58*100</f>
        <v>5.595288178376105</v>
      </c>
      <c r="G52" s="26">
        <f>('Kubiņu masa'!G58-'Kubiņu masa'!$D58)/'Kubiņu masa'!$D58*100</f>
        <v>4.3331931005469171</v>
      </c>
      <c r="H52" s="26">
        <f>('Kubiņu masa'!H58-'Kubiņu masa'!$D58)/'Kubiņu masa'!$D58*100</f>
        <v>6.0159865376525135</v>
      </c>
      <c r="I52" s="26">
        <f>('Kubiņu masa'!I58-'Kubiņu masa'!$D58)/'Kubiņu masa'!$D58*100</f>
        <v>6.4366848969289041</v>
      </c>
      <c r="J52" s="26">
        <f>('Kubiņu masa'!J58-'Kubiņu masa'!$D58)/'Kubiņu masa'!$D58*100</f>
        <v>6.4366848969289041</v>
      </c>
      <c r="K52" s="26">
        <f>('Kubiņu masa'!K58-'Kubiņu masa'!$D58)/'Kubiņu masa'!$D58*100</f>
        <v>7.6987799747581107</v>
      </c>
      <c r="L52" s="26">
        <f>('Kubiņu masa'!L58-'Kubiņu masa'!$D58)/'Kubiņu masa'!$D58*100</f>
        <v>7.6987799747581107</v>
      </c>
      <c r="M52" s="26">
        <f>('Kubiņu masa'!M58-'Kubiņu masa'!$D58)/'Kubiņu masa'!$D58*100</f>
        <v>13.167858645351291</v>
      </c>
      <c r="N52" s="26">
        <f>('Kubiņu masa'!N58-'Kubiņu masa'!$D58)/'Kubiņu masa'!$D58*100</f>
        <v>11.064366848969305</v>
      </c>
      <c r="O52" s="26">
        <f>('Kubiņu masa'!O58-'Kubiņu masa'!$D58)/'Kubiņu masa'!$D58*100</f>
        <v>11.064366848969305</v>
      </c>
      <c r="P52" s="26">
        <f>('Kubiņu masa'!P58-'Kubiņu masa'!$D58)/'Kubiņu masa'!$D58*100</f>
        <v>17.374842238115285</v>
      </c>
      <c r="Q52" s="26">
        <f>('Kubiņu masa'!Q58-'Kubiņu masa'!$D58)/'Kubiņu masa'!$D58*100</f>
        <v>17.795540597391675</v>
      </c>
      <c r="R52" s="26">
        <f>('Kubiņu masa'!R58-'Kubiņu masa'!$D58)/'Kubiņu masa'!$D58*100</f>
        <v>16.954143878838877</v>
      </c>
      <c r="S52" s="26">
        <f>('Kubiņu masa'!S58-'Kubiņu masa'!$D58)/'Kubiņu masa'!$D58*100</f>
        <v>23.264619267984873</v>
      </c>
      <c r="T52" s="26">
        <f>('Kubiņu masa'!T58-'Kubiņu masa'!$D58)/'Kubiņu masa'!$D58*100</f>
        <v>23.685317627261263</v>
      </c>
      <c r="U52" s="26">
        <f>('Kubiņu masa'!U58-'Kubiņu masa'!$D58)/'Kubiņu masa'!$D58*100</f>
        <v>17.374842238115285</v>
      </c>
    </row>
    <row r="53" spans="1:21" x14ac:dyDescent="0.35">
      <c r="A53" s="42"/>
      <c r="B53" s="11" t="s">
        <v>41</v>
      </c>
      <c r="C53" s="21">
        <v>150</v>
      </c>
      <c r="D53" s="26">
        <f>('Kubiņu masa'!D59-'Kubiņu masa'!$D59)/'Kubiņu masa'!$D59*100</f>
        <v>0</v>
      </c>
      <c r="E53" s="26">
        <f>('Kubiņu masa'!E59-'Kubiņu masa'!$D59)/'Kubiņu masa'!$D59*100</f>
        <v>6.3333333333333313</v>
      </c>
      <c r="F53" s="26">
        <f>('Kubiņu masa'!F59-'Kubiņu masa'!$D59)/'Kubiņu masa'!$D59*100</f>
        <v>6.3333333333333313</v>
      </c>
      <c r="G53" s="26">
        <f>('Kubiņu masa'!G59-'Kubiņu masa'!$D59)/'Kubiņu masa'!$D59*100</f>
        <v>6.3333333333333313</v>
      </c>
      <c r="H53" s="26">
        <f>('Kubiņu masa'!H59-'Kubiņu masa'!$D59)/'Kubiņu masa'!$D59*100</f>
        <v>8.0000000000000071</v>
      </c>
      <c r="I53" s="26">
        <f>('Kubiņu masa'!I59-'Kubiņu masa'!$D59)/'Kubiņu masa'!$D59*100</f>
        <v>8.0000000000000071</v>
      </c>
      <c r="J53" s="26">
        <f>('Kubiņu masa'!J59-'Kubiņu masa'!$D59)/'Kubiņu masa'!$D59*100</f>
        <v>8.0000000000000071</v>
      </c>
      <c r="K53" s="26">
        <f>('Kubiņu masa'!K59-'Kubiņu masa'!$D59)/'Kubiņu masa'!$D59*100</f>
        <v>9.9999999999999929</v>
      </c>
      <c r="L53" s="26">
        <f>('Kubiņu masa'!L59-'Kubiņu masa'!$D59)/'Kubiņu masa'!$D59*100</f>
        <v>9.9999999999999929</v>
      </c>
      <c r="M53" s="26">
        <f>('Kubiņu masa'!M59-'Kubiņu masa'!$D59)/'Kubiņu masa'!$D59*100</f>
        <v>16.333333333333343</v>
      </c>
      <c r="N53" s="26">
        <f>('Kubiņu masa'!N59-'Kubiņu masa'!$D59)/'Kubiņu masa'!$D59*100</f>
        <v>15.000000000000005</v>
      </c>
      <c r="O53" s="26">
        <f>('Kubiņu masa'!O59-'Kubiņu masa'!$D59)/'Kubiņu masa'!$D59*100</f>
        <v>14.333333333333339</v>
      </c>
      <c r="P53" s="26">
        <f>('Kubiņu masa'!P59-'Kubiņu masa'!$D59)/'Kubiņu masa'!$D59*100</f>
        <v>24.666666666666671</v>
      </c>
      <c r="Q53" s="26">
        <f>('Kubiņu masa'!Q59-'Kubiņu masa'!$D59)/'Kubiņu masa'!$D59*100</f>
        <v>24.000000000000007</v>
      </c>
      <c r="R53" s="26">
        <f>('Kubiņu masa'!R59-'Kubiņu masa'!$D59)/'Kubiņu masa'!$D59*100</f>
        <v>23.333333333333339</v>
      </c>
      <c r="S53" s="26">
        <f>('Kubiņu masa'!S59-'Kubiņu masa'!$D59)/'Kubiņu masa'!$D59*100</f>
        <v>33.999999999999986</v>
      </c>
      <c r="T53" s="26">
        <f>('Kubiņu masa'!T59-'Kubiņu masa'!$D59)/'Kubiņu masa'!$D59*100</f>
        <v>35.333333333333321</v>
      </c>
      <c r="U53" s="26">
        <f>('Kubiņu masa'!U59-'Kubiņu masa'!$D59)/'Kubiņu masa'!$D59*100</f>
        <v>24.666666666666671</v>
      </c>
    </row>
    <row r="54" spans="1:21" x14ac:dyDescent="0.35">
      <c r="A54" s="42"/>
      <c r="B54" s="11"/>
      <c r="C54" s="21">
        <v>156</v>
      </c>
      <c r="D54" s="26">
        <f>('Kubiņu masa'!D60-'Kubiņu masa'!$D60)/'Kubiņu masa'!$D60*100</f>
        <v>0</v>
      </c>
      <c r="E54" s="26">
        <f>('Kubiņu masa'!E60-'Kubiņu masa'!$D60)/'Kubiņu masa'!$D60*100</f>
        <v>6.705539358600582</v>
      </c>
      <c r="F54" s="26">
        <f>('Kubiņu masa'!F60-'Kubiņu masa'!$D60)/'Kubiņu masa'!$D60*100</f>
        <v>6.4139941690962026</v>
      </c>
      <c r="G54" s="26">
        <f>('Kubiņu masa'!G60-'Kubiņu masa'!$D60)/'Kubiņu masa'!$D60*100</f>
        <v>4.9562682215743417</v>
      </c>
      <c r="H54" s="26">
        <f>('Kubiņu masa'!H60-'Kubiņu masa'!$D60)/'Kubiņu masa'!$D60*100</f>
        <v>7.5801749271136964</v>
      </c>
      <c r="I54" s="26">
        <f>('Kubiņu masa'!I60-'Kubiņu masa'!$D60)/'Kubiņu masa'!$D60*100</f>
        <v>8.1632653061224421</v>
      </c>
      <c r="J54" s="26">
        <f>('Kubiņu masa'!J60-'Kubiņu masa'!$D60)/'Kubiņu masa'!$D60*100</f>
        <v>7.2886297376093285</v>
      </c>
      <c r="K54" s="26">
        <f>('Kubiņu masa'!K60-'Kubiņu masa'!$D60)/'Kubiņu masa'!$D60*100</f>
        <v>10.20408163265305</v>
      </c>
      <c r="L54" s="26">
        <f>('Kubiņu masa'!L60-'Kubiņu masa'!$D60)/'Kubiņu masa'!$D60*100</f>
        <v>10.466472303206995</v>
      </c>
      <c r="M54" s="26">
        <f>('Kubiņu masa'!M60-'Kubiņu masa'!$D60)/'Kubiņu masa'!$D60*100</f>
        <v>16.618075801749267</v>
      </c>
      <c r="N54" s="26">
        <f>('Kubiņu masa'!N60-'Kubiņu masa'!$D60)/'Kubiņu masa'!$D60*100</f>
        <v>14.577259475218657</v>
      </c>
      <c r="O54" s="26">
        <f>('Kubiņu masa'!O60-'Kubiņu masa'!$D60)/'Kubiņu masa'!$D60*100</f>
        <v>13.994169096209911</v>
      </c>
      <c r="P54" s="26">
        <f>('Kubiņu masa'!P60-'Kubiņu masa'!$D60)/'Kubiņu masa'!$D60*100</f>
        <v>21.865889212827973</v>
      </c>
      <c r="Q54" s="26">
        <f>('Kubiņu masa'!Q60-'Kubiņu masa'!$D60)/'Kubiņu masa'!$D60*100</f>
        <v>25.07288629737609</v>
      </c>
      <c r="R54" s="26">
        <f>('Kubiņu masa'!R60-'Kubiņu masa'!$D60)/'Kubiņu masa'!$D60*100</f>
        <v>24.781341107871722</v>
      </c>
      <c r="S54" s="26">
        <f>('Kubiņu masa'!S60-'Kubiņu masa'!$D60)/'Kubiņu masa'!$D60*100</f>
        <v>33.236151603498541</v>
      </c>
      <c r="T54" s="26">
        <f>('Kubiņu masa'!T60-'Kubiņu masa'!$D60)/'Kubiņu masa'!$D60*100</f>
        <v>36.734693877551031</v>
      </c>
      <c r="U54" s="26">
        <f>('Kubiņu masa'!U60-'Kubiņu masa'!$D60)/'Kubiņu masa'!$D60*100</f>
        <v>21.865889212827973</v>
      </c>
    </row>
    <row r="55" spans="1:21" x14ac:dyDescent="0.35">
      <c r="A55" s="42"/>
      <c r="B55" s="11"/>
      <c r="C55" s="21">
        <v>158</v>
      </c>
      <c r="D55" s="26">
        <f>('Kubiņu masa'!D61-'Kubiņu masa'!$D61)/'Kubiņu masa'!$D61*100</f>
        <v>0</v>
      </c>
      <c r="E55" s="26">
        <f>('Kubiņu masa'!E61-'Kubiņu masa'!$D61)/'Kubiņu masa'!$D61*100</f>
        <v>6.2477938581009385</v>
      </c>
      <c r="F55" s="26">
        <f>('Kubiņu masa'!F61-'Kubiņu masa'!$D61)/'Kubiņu masa'!$D61*100</f>
        <v>6.2477938581009385</v>
      </c>
      <c r="G55" s="26">
        <f>('Kubiņu masa'!G61-'Kubiņu masa'!$D61)/'Kubiņu masa'!$D61*100</f>
        <v>3.4239322273208606</v>
      </c>
      <c r="H55" s="26">
        <f>('Kubiņu masa'!H61-'Kubiņu masa'!$D61)/'Kubiņu masa'!$D61*100</f>
        <v>6.9537592657959628</v>
      </c>
      <c r="I55" s="26">
        <f>('Kubiņu masa'!I61-'Kubiņu masa'!$D61)/'Kubiņu masa'!$D61*100</f>
        <v>6.9537592657959628</v>
      </c>
      <c r="J55" s="26">
        <f>('Kubiņu masa'!J61-'Kubiņu masa'!$D61)/'Kubiņu masa'!$D61*100</f>
        <v>6.9537592657959628</v>
      </c>
      <c r="K55" s="26">
        <f>('Kubiņu masa'!K61-'Kubiņu masa'!$D61)/'Kubiņu masa'!$D61*100</f>
        <v>8.7186727850335295</v>
      </c>
      <c r="L55" s="26">
        <f>('Kubiņu masa'!L61-'Kubiņu masa'!$D61)/'Kubiņu masa'!$D61*100</f>
        <v>8.7186727850335295</v>
      </c>
      <c r="M55" s="26">
        <f>('Kubiņu masa'!M61-'Kubiņu masa'!$D61)/'Kubiņu masa'!$D61*100</f>
        <v>14.719378750441219</v>
      </c>
      <c r="N55" s="26">
        <f>('Kubiņu masa'!N61-'Kubiņu masa'!$D61)/'Kubiņu masa'!$D61*100</f>
        <v>12.248499823508647</v>
      </c>
      <c r="O55" s="26">
        <f>('Kubiņu masa'!O61-'Kubiņu masa'!$D61)/'Kubiņu masa'!$D61*100</f>
        <v>12.248499823508647</v>
      </c>
      <c r="P55" s="26">
        <f>('Kubiņu masa'!P61-'Kubiņu masa'!$D61)/'Kubiņu masa'!$D61*100</f>
        <v>19.661136604306385</v>
      </c>
      <c r="Q55" s="26">
        <f>('Kubiņu masa'!Q61-'Kubiņu masa'!$D61)/'Kubiņu masa'!$D61*100</f>
        <v>21.779032827391458</v>
      </c>
      <c r="R55" s="26">
        <f>('Kubiņu masa'!R61-'Kubiņu masa'!$D61)/'Kubiņu masa'!$D61*100</f>
        <v>21.426050123543934</v>
      </c>
      <c r="S55" s="26">
        <f>('Kubiņu masa'!S61-'Kubiņu masa'!$D61)/'Kubiņu masa'!$D61*100</f>
        <v>29.5446523120367</v>
      </c>
      <c r="T55" s="26">
        <f>('Kubiņu masa'!T61-'Kubiņu masa'!$D61)/'Kubiņu masa'!$D61*100</f>
        <v>32.368513942816797</v>
      </c>
      <c r="U55" s="26">
        <f>('Kubiņu masa'!U61-'Kubiņu masa'!$D61)/'Kubiņu masa'!$D61*100</f>
        <v>19.661136604306385</v>
      </c>
    </row>
    <row r="56" spans="1:21" x14ac:dyDescent="0.35">
      <c r="A56" s="42"/>
      <c r="B56" s="11" t="s">
        <v>42</v>
      </c>
      <c r="C56" s="21">
        <v>191</v>
      </c>
      <c r="D56" s="26">
        <f>('Kubiņu masa'!D62-'Kubiņu masa'!$D62)/'Kubiņu masa'!$D62*100</f>
        <v>0</v>
      </c>
      <c r="E56" s="26">
        <f>('Kubiņu masa'!E62-'Kubiņu masa'!$D62)/'Kubiņu masa'!$D62*100</f>
        <v>5.2631578947368363</v>
      </c>
      <c r="F56" s="26">
        <f>('Kubiņu masa'!F62-'Kubiņu masa'!$D62)/'Kubiņu masa'!$D62*100</f>
        <v>6.2318372618663247</v>
      </c>
      <c r="G56" s="26">
        <f>('Kubiņu masa'!G62-'Kubiņu masa'!$D62)/'Kubiņu masa'!$D62*100</f>
        <v>5.9089441394898232</v>
      </c>
      <c r="H56" s="26">
        <f>('Kubiņu masa'!H62-'Kubiņu masa'!$D62)/'Kubiņu masa'!$D62*100</f>
        <v>7.200516628995798</v>
      </c>
      <c r="I56" s="26">
        <f>('Kubiņu masa'!I62-'Kubiņu masa'!$D62)/'Kubiņu masa'!$D62*100</f>
        <v>7.200516628995798</v>
      </c>
      <c r="J56" s="26">
        <f>('Kubiņu masa'!J62-'Kubiņu masa'!$D62)/'Kubiņu masa'!$D62*100</f>
        <v>6.8776235066193108</v>
      </c>
      <c r="K56" s="26">
        <f>('Kubiņu masa'!K62-'Kubiņu masa'!$D62)/'Kubiņu masa'!$D62*100</f>
        <v>8.8149822408782725</v>
      </c>
      <c r="L56" s="26">
        <f>('Kubiņu masa'!L62-'Kubiņu masa'!$D62)/'Kubiņu masa'!$D62*100</f>
        <v>8.8149822408782725</v>
      </c>
      <c r="M56" s="26">
        <f>('Kubiņu masa'!M62-'Kubiņu masa'!$D62)/'Kubiņu masa'!$D62*100</f>
        <v>14.627058443655145</v>
      </c>
      <c r="N56" s="26">
        <f>('Kubiņu masa'!N62-'Kubiņu masa'!$D62)/'Kubiņu masa'!$D62*100</f>
        <v>13.012592831772684</v>
      </c>
      <c r="O56" s="26">
        <f>('Kubiņu masa'!O62-'Kubiņu masa'!$D62)/'Kubiņu masa'!$D62*100</f>
        <v>12.366806587019695</v>
      </c>
      <c r="P56" s="26">
        <f>('Kubiņu masa'!P62-'Kubiņu masa'!$D62)/'Kubiņu masa'!$D62*100</f>
        <v>19.793348401679044</v>
      </c>
      <c r="Q56" s="26">
        <f>('Kubiņu masa'!Q62-'Kubiņu masa'!$D62)/'Kubiņu masa'!$D62*100</f>
        <v>21.407814013561506</v>
      </c>
      <c r="R56" s="26">
        <f>('Kubiņu masa'!R62-'Kubiņu masa'!$D62)/'Kubiņu masa'!$D62*100</f>
        <v>20.762027768808533</v>
      </c>
      <c r="S56" s="26">
        <f>('Kubiņu masa'!S62-'Kubiņu masa'!$D62)/'Kubiņu masa'!$D62*100</f>
        <v>28.834355828220865</v>
      </c>
      <c r="T56" s="26">
        <f>('Kubiņu masa'!T62-'Kubiņu masa'!$D62)/'Kubiņu masa'!$D62*100</f>
        <v>31.417500807232816</v>
      </c>
      <c r="U56" s="26">
        <f>('Kubiņu masa'!U62-'Kubiņu masa'!$D62)/'Kubiņu masa'!$D62*100</f>
        <v>19.793348401679044</v>
      </c>
    </row>
    <row r="57" spans="1:21" x14ac:dyDescent="0.35">
      <c r="A57" s="42"/>
      <c r="B57" s="11"/>
      <c r="C57" s="21">
        <v>197</v>
      </c>
      <c r="D57" s="26">
        <f>('Kubiņu masa'!D63-'Kubiņu masa'!$D63)/'Kubiņu masa'!$D63*100</f>
        <v>0</v>
      </c>
      <c r="E57" s="26">
        <f>('Kubiņu masa'!E63-'Kubiņu masa'!$D63)/'Kubiņu masa'!$D63*100</f>
        <v>5.2798982188295138</v>
      </c>
      <c r="F57" s="26">
        <f>('Kubiņu masa'!F63-'Kubiņu masa'!$D63)/'Kubiņu masa'!$D63*100</f>
        <v>6.2340966921119501</v>
      </c>
      <c r="G57" s="26">
        <f>('Kubiņu masa'!G63-'Kubiņu masa'!$D63)/'Kubiņu masa'!$D63*100</f>
        <v>5.5979643765903209</v>
      </c>
      <c r="H57" s="26">
        <f>('Kubiņu masa'!H63-'Kubiņu masa'!$D63)/'Kubiņu masa'!$D63*100</f>
        <v>7.1882951653944014</v>
      </c>
      <c r="I57" s="26">
        <f>('Kubiņu masa'!I63-'Kubiņu masa'!$D63)/'Kubiņu masa'!$D63*100</f>
        <v>7.8244274809160297</v>
      </c>
      <c r="J57" s="26">
        <f>('Kubiņu masa'!J63-'Kubiņu masa'!$D63)/'Kubiņu masa'!$D63*100</f>
        <v>7.5063613231552084</v>
      </c>
      <c r="K57" s="26">
        <f>('Kubiņu masa'!K63-'Kubiņu masa'!$D63)/'Kubiņu masa'!$D63*100</f>
        <v>8.7786259541984677</v>
      </c>
      <c r="L57" s="26">
        <f>('Kubiņu masa'!L63-'Kubiņu masa'!$D63)/'Kubiņu masa'!$D63*100</f>
        <v>8.7786259541984677</v>
      </c>
      <c r="M57" s="26">
        <f>('Kubiņu masa'!M63-'Kubiņu masa'!$D63)/'Kubiņu masa'!$D63*100</f>
        <v>15.458015267175565</v>
      </c>
      <c r="N57" s="26">
        <f>('Kubiņu masa'!N63-'Kubiņu masa'!$D63)/'Kubiņu masa'!$D63*100</f>
        <v>12.27735368956742</v>
      </c>
      <c r="O57" s="26">
        <f>('Kubiņu masa'!O63-'Kubiņu masa'!$D63)/'Kubiņu masa'!$D63*100</f>
        <v>12.595419847328241</v>
      </c>
      <c r="P57" s="26">
        <f>('Kubiņu masa'!P63-'Kubiņu masa'!$D63)/'Kubiņu masa'!$D63*100</f>
        <v>18.956743002544531</v>
      </c>
      <c r="Q57" s="26">
        <f>('Kubiņu masa'!Q63-'Kubiņu masa'!$D63)/'Kubiņu masa'!$D63*100</f>
        <v>22.77353689567429</v>
      </c>
      <c r="R57" s="26">
        <f>('Kubiņu masa'!R63-'Kubiņu masa'!$D63)/'Kubiņu masa'!$D63*100</f>
        <v>21.819338422391855</v>
      </c>
      <c r="S57" s="26">
        <f>('Kubiņu masa'!S63-'Kubiņu masa'!$D63)/'Kubiņu masa'!$D63*100</f>
        <v>32.633587786259532</v>
      </c>
      <c r="T57" s="26">
        <f>('Kubiņu masa'!T63-'Kubiņu masa'!$D63)/'Kubiņu masa'!$D63*100</f>
        <v>32.633587786259532</v>
      </c>
      <c r="U57" s="26">
        <f>('Kubiņu masa'!U63-'Kubiņu masa'!$D63)/'Kubiņu masa'!$D63*100</f>
        <v>18.956743002544531</v>
      </c>
    </row>
    <row r="58" spans="1:21" x14ac:dyDescent="0.35">
      <c r="A58" s="42"/>
      <c r="B58" s="11"/>
      <c r="C58" s="21">
        <v>204</v>
      </c>
      <c r="D58" s="26">
        <f>('Kubiņu masa'!D64-'Kubiņu masa'!$D64)/'Kubiņu masa'!$D64*100</f>
        <v>0</v>
      </c>
      <c r="E58" s="26">
        <f>('Kubiņu masa'!E64-'Kubiņu masa'!$D64)/'Kubiņu masa'!$D64*100</f>
        <v>4.9611879851501781</v>
      </c>
      <c r="F58" s="26">
        <f>('Kubiņu masa'!F64-'Kubiņu masa'!$D64)/'Kubiņu masa'!$D64*100</f>
        <v>6.3111711103611148</v>
      </c>
      <c r="G58" s="26">
        <f>('Kubiņu masa'!G64-'Kubiņu masa'!$D64)/'Kubiņu masa'!$D64*100</f>
        <v>6.3111711103611148</v>
      </c>
      <c r="H58" s="26">
        <f>('Kubiņu masa'!H64-'Kubiņu masa'!$D64)/'Kubiņu masa'!$D64*100</f>
        <v>7.9986500168747918</v>
      </c>
      <c r="I58" s="26">
        <f>('Kubiņu masa'!I64-'Kubiņu masa'!$D64)/'Kubiņu masa'!$D64*100</f>
        <v>7.6611542355720514</v>
      </c>
      <c r="J58" s="26">
        <f>('Kubiņu masa'!J64-'Kubiņu masa'!$D64)/'Kubiņu masa'!$D64*100</f>
        <v>6.9861626729665822</v>
      </c>
      <c r="K58" s="26">
        <f>('Kubiņu masa'!K64-'Kubiņu masa'!$D64)/'Kubiņu masa'!$D64*100</f>
        <v>9.3486331420857294</v>
      </c>
      <c r="L58" s="26">
        <f>('Kubiņu masa'!L64-'Kubiņu masa'!$D64)/'Kubiņu masa'!$D64*100</f>
        <v>9.3486331420857294</v>
      </c>
      <c r="M58" s="26">
        <f>('Kubiņu masa'!M64-'Kubiņu masa'!$D64)/'Kubiņu masa'!$D64*100</f>
        <v>16.098548768140393</v>
      </c>
      <c r="N58" s="26">
        <f>('Kubiņu masa'!N64-'Kubiņu masa'!$D64)/'Kubiņu masa'!$D64*100</f>
        <v>13.061086736415795</v>
      </c>
      <c r="O58" s="26">
        <f>('Kubiņu masa'!O64-'Kubiņu masa'!$D64)/'Kubiņu masa'!$D64*100</f>
        <v>13.398582517718522</v>
      </c>
      <c r="P58" s="26">
        <f>('Kubiņu masa'!P64-'Kubiņu masa'!$D64)/'Kubiņu masa'!$D64*100</f>
        <v>18.461019237259524</v>
      </c>
      <c r="Q58" s="26">
        <f>('Kubiņu masa'!Q64-'Kubiņu masa'!$D64)/'Kubiņu masa'!$D64*100</f>
        <v>23.523455956800539</v>
      </c>
      <c r="R58" s="26">
        <f>('Kubiņu masa'!R64-'Kubiņu masa'!$D64)/'Kubiņu masa'!$D64*100</f>
        <v>22.510968612892331</v>
      </c>
      <c r="S58" s="26">
        <f>('Kubiņu masa'!S64-'Kubiņu masa'!$D64)/'Kubiņu masa'!$D64*100</f>
        <v>36.348295646304422</v>
      </c>
      <c r="T58" s="26">
        <f>('Kubiņu masa'!T64-'Kubiņu masa'!$D64)/'Kubiņu masa'!$D64*100</f>
        <v>34.660816739790754</v>
      </c>
      <c r="U58" s="26">
        <f>('Kubiņu masa'!U64-'Kubiņu masa'!$D64)/'Kubiņu masa'!$D64*100</f>
        <v>18.461019237259524</v>
      </c>
    </row>
    <row r="59" spans="1:21" x14ac:dyDescent="0.35">
      <c r="A59" s="42"/>
      <c r="B59" s="11" t="s">
        <v>43</v>
      </c>
      <c r="C59" s="21">
        <v>233</v>
      </c>
      <c r="D59" s="26">
        <f>('Kubiņu masa'!D65-'Kubiņu masa'!$D65)/'Kubiņu masa'!$D65*100</f>
        <v>0</v>
      </c>
      <c r="E59" s="26">
        <f>('Kubiņu masa'!E65-'Kubiņu masa'!$D65)/'Kubiņu masa'!$D65*100</f>
        <v>6.6336019838809657</v>
      </c>
      <c r="F59" s="26">
        <f>('Kubiņu masa'!F65-'Kubiņu masa'!$D65)/'Kubiņu masa'!$D65*100</f>
        <v>6.9435833849969066</v>
      </c>
      <c r="G59" s="26">
        <f>('Kubiņu masa'!G65-'Kubiņu masa'!$D65)/'Kubiņu masa'!$D65*100</f>
        <v>5.703657780533173</v>
      </c>
      <c r="H59" s="26">
        <f>('Kubiņu masa'!H65-'Kubiņu masa'!$D65)/'Kubiņu masa'!$D65*100</f>
        <v>8.4934903905765662</v>
      </c>
      <c r="I59" s="26">
        <f>('Kubiņu masa'!I65-'Kubiņu masa'!$D65)/'Kubiņu masa'!$D65*100</f>
        <v>8.1835089894606394</v>
      </c>
      <c r="J59" s="26">
        <f>('Kubiņu masa'!J65-'Kubiņu masa'!$D65)/'Kubiņu masa'!$D65*100</f>
        <v>7.8735275883446993</v>
      </c>
      <c r="K59" s="26">
        <f>('Kubiņu masa'!K65-'Kubiņu masa'!$D65)/'Kubiņu masa'!$D65*100</f>
        <v>10.043397396156225</v>
      </c>
      <c r="L59" s="26">
        <f>('Kubiņu masa'!L65-'Kubiņu masa'!$D65)/'Kubiņu masa'!$D65*100</f>
        <v>10.043397396156225</v>
      </c>
      <c r="M59" s="26">
        <f>('Kubiņu masa'!M65-'Kubiņu masa'!$D65)/'Kubiņu masa'!$D65*100</f>
        <v>17.482951022938625</v>
      </c>
      <c r="N59" s="26">
        <f>('Kubiņu masa'!N65-'Kubiņu masa'!$D65)/'Kubiņu masa'!$D65*100</f>
        <v>14.383137011779294</v>
      </c>
      <c r="O59" s="26">
        <f>('Kubiņu masa'!O65-'Kubiņu masa'!$D65)/'Kubiņu masa'!$D65*100</f>
        <v>14.383137011779294</v>
      </c>
      <c r="P59" s="26">
        <f>('Kubiņu masa'!P65-'Kubiņu masa'!$D65)/'Kubiņu masa'!$D65*100</f>
        <v>16.553006819590816</v>
      </c>
      <c r="Q59" s="26">
        <f>('Kubiņu masa'!Q65-'Kubiņu masa'!$D65)/'Kubiņu masa'!$D65*100</f>
        <v>28.95226286422815</v>
      </c>
      <c r="R59" s="26">
        <f>('Kubiņu masa'!R65-'Kubiņu masa'!$D65)/'Kubiņu masa'!$D65*100</f>
        <v>28.022318660880348</v>
      </c>
      <c r="S59" s="26">
        <f>('Kubiņu masa'!S65-'Kubiņu masa'!$D65)/'Kubiņu masa'!$D65*100</f>
        <v>45.381277123372612</v>
      </c>
      <c r="T59" s="26">
        <f>('Kubiņu masa'!T65-'Kubiņu masa'!$D65)/'Kubiņu masa'!$D65*100</f>
        <v>42.591444513329193</v>
      </c>
      <c r="U59" s="26">
        <f>('Kubiņu masa'!U65-'Kubiņu masa'!$D65)/'Kubiņu masa'!$D65*100</f>
        <v>16.553006819590816</v>
      </c>
    </row>
    <row r="60" spans="1:21" x14ac:dyDescent="0.35">
      <c r="A60" s="42"/>
      <c r="B60" s="11"/>
      <c r="C60" s="21">
        <v>239</v>
      </c>
      <c r="D60" s="26">
        <f>('Kubiņu masa'!D66-'Kubiņu masa'!$D66)/'Kubiņu masa'!$D66*100</f>
        <v>0</v>
      </c>
      <c r="E60" s="26">
        <f>('Kubiņu masa'!E66-'Kubiņu masa'!$D66)/'Kubiņu masa'!$D66*100</f>
        <v>6.1015930267508223</v>
      </c>
      <c r="F60" s="26">
        <f>('Kubiņu masa'!F66-'Kubiņu masa'!$D66)/'Kubiņu masa'!$D66*100</f>
        <v>6.7027351968740572</v>
      </c>
      <c r="G60" s="26">
        <f>('Kubiņu masa'!G66-'Kubiņu masa'!$D66)/'Kubiņu masa'!$D66*100</f>
        <v>6.4021641118124455</v>
      </c>
      <c r="H60" s="26">
        <f>('Kubiņu masa'!H66-'Kubiņu masa'!$D66)/'Kubiņu masa'!$D66*100</f>
        <v>7.9050195371205261</v>
      </c>
      <c r="I60" s="26">
        <f>('Kubiņu masa'!I66-'Kubiņu masa'!$D66)/'Kubiņu masa'!$D66*100</f>
        <v>8.2055906221821502</v>
      </c>
      <c r="J60" s="26">
        <f>('Kubiņu masa'!J66-'Kubiņu masa'!$D66)/'Kubiņu masa'!$D66*100</f>
        <v>7.6044484520589153</v>
      </c>
      <c r="K60" s="26">
        <f>('Kubiņu masa'!K66-'Kubiņu masa'!$D66)/'Kubiņu masa'!$D66*100</f>
        <v>10.309588217613465</v>
      </c>
      <c r="L60" s="26">
        <f>('Kubiņu masa'!L66-'Kubiņu masa'!$D66)/'Kubiņu masa'!$D66*100</f>
        <v>10.309588217613465</v>
      </c>
      <c r="M60" s="26">
        <f>('Kubiņu masa'!M66-'Kubiņu masa'!$D66)/'Kubiņu masa'!$D66*100</f>
        <v>17.523294259092282</v>
      </c>
      <c r="N60" s="26">
        <f>('Kubiņu masa'!N66-'Kubiņu masa'!$D66)/'Kubiņu masa'!$D66*100</f>
        <v>14.818154493537719</v>
      </c>
      <c r="O60" s="26">
        <f>('Kubiņu masa'!O66-'Kubiņu masa'!$D66)/'Kubiņu masa'!$D66*100</f>
        <v>14.818154493537719</v>
      </c>
      <c r="P60" s="26">
        <f>('Kubiņu masa'!P66-'Kubiņu masa'!$D66)/'Kubiņu masa'!$D66*100</f>
        <v>22.933573790201383</v>
      </c>
      <c r="Q60" s="26">
        <f>('Kubiņu masa'!Q66-'Kubiņu masa'!$D66)/'Kubiņu masa'!$D66*100</f>
        <v>29.546137661556948</v>
      </c>
      <c r="R60" s="26">
        <f>('Kubiņu masa'!R66-'Kubiņu masa'!$D66)/'Kubiņu masa'!$D66*100</f>
        <v>28.644424406372117</v>
      </c>
      <c r="S60" s="26">
        <f>('Kubiņu masa'!S66-'Kubiņu masa'!$D66)/'Kubiņu masa'!$D66*100</f>
        <v>45.17583408476105</v>
      </c>
      <c r="T60" s="26">
        <f>('Kubiņu masa'!T66-'Kubiņu masa'!$D66)/'Kubiņu masa'!$D66*100</f>
        <v>46.979260595130739</v>
      </c>
      <c r="U60" s="26">
        <f>('Kubiņu masa'!U66-'Kubiņu masa'!$D66)/'Kubiņu masa'!$D66*100</f>
        <v>22.933573790201383</v>
      </c>
    </row>
    <row r="61" spans="1:21" x14ac:dyDescent="0.35">
      <c r="A61" s="42"/>
      <c r="B61" s="11"/>
      <c r="C61" s="21">
        <v>242</v>
      </c>
      <c r="D61" s="26">
        <f>('Kubiņu masa'!D67-'Kubiņu masa'!$D67)/'Kubiņu masa'!$D67*100</f>
        <v>0</v>
      </c>
      <c r="E61" s="26">
        <f>('Kubiņu masa'!E67-'Kubiņu masa'!$D67)/'Kubiņu masa'!$D67*100</f>
        <v>6.2001227747084089</v>
      </c>
      <c r="F61" s="26">
        <f>('Kubiņu masa'!F67-'Kubiņu masa'!$D67)/'Kubiņu masa'!$D67*100</f>
        <v>7.1209330877839232</v>
      </c>
      <c r="G61" s="26">
        <f>('Kubiņu masa'!G67-'Kubiņu masa'!$D67)/'Kubiņu masa'!$D67*100</f>
        <v>6.2001227747084089</v>
      </c>
      <c r="H61" s="26">
        <f>('Kubiņu masa'!H67-'Kubiņu masa'!$D67)/'Kubiņu masa'!$D67*100</f>
        <v>7.4278698588090846</v>
      </c>
      <c r="I61" s="26">
        <f>('Kubiņu masa'!I67-'Kubiņu masa'!$D67)/'Kubiņu masa'!$D67*100</f>
        <v>8.3486801718845864</v>
      </c>
      <c r="J61" s="26">
        <f>('Kubiņu masa'!J67-'Kubiņu masa'!$D67)/'Kubiņu masa'!$D67*100</f>
        <v>8.0417434008594224</v>
      </c>
      <c r="K61" s="26">
        <f>('Kubiņu masa'!K67-'Kubiņu masa'!$D67)/'Kubiņu masa'!$D67*100</f>
        <v>10.497237569060776</v>
      </c>
      <c r="L61" s="26">
        <f>('Kubiņu masa'!L67-'Kubiņu masa'!$D67)/'Kubiņu masa'!$D67*100</f>
        <v>10.497237569060776</v>
      </c>
      <c r="M61" s="26">
        <f>('Kubiņu masa'!M67-'Kubiņu masa'!$D67)/'Kubiņu masa'!$D67*100</f>
        <v>17.249846531614484</v>
      </c>
      <c r="N61" s="26">
        <f>('Kubiņu masa'!N67-'Kubiņu masa'!$D67)/'Kubiņu masa'!$D67*100</f>
        <v>15.101289134438305</v>
      </c>
      <c r="O61" s="26">
        <f>('Kubiņu masa'!O67-'Kubiņu masa'!$D67)/'Kubiņu masa'!$D67*100</f>
        <v>15.101289134438305</v>
      </c>
      <c r="P61" s="26">
        <f>('Kubiņu masa'!P67-'Kubiņu masa'!$D67)/'Kubiņu masa'!$D67*100</f>
        <v>15.715162676488644</v>
      </c>
      <c r="Q61" s="26">
        <f>('Kubiņu masa'!Q67-'Kubiņu masa'!$D67)/'Kubiņu masa'!$D67*100</f>
        <v>29.52731737262123</v>
      </c>
      <c r="R61" s="26">
        <f>('Kubiņu masa'!R67-'Kubiņu masa'!$D67)/'Kubiņu masa'!$D67*100</f>
        <v>27.378759975445071</v>
      </c>
      <c r="S61" s="26">
        <f>('Kubiņu masa'!S67-'Kubiņu masa'!$D67)/'Kubiņu masa'!$D67*100</f>
        <v>45.488029465930026</v>
      </c>
      <c r="T61" s="26">
        <f>('Kubiņu masa'!T67-'Kubiņu masa'!$D67)/'Kubiņu masa'!$D67*100</f>
        <v>47.329650092081025</v>
      </c>
      <c r="U61" s="26">
        <f>('Kubiņu masa'!U67-'Kubiņu masa'!$D67)/'Kubiņu masa'!$D67*100</f>
        <v>15.715162676488644</v>
      </c>
    </row>
    <row r="62" spans="1:21" x14ac:dyDescent="0.35">
      <c r="A62" s="42"/>
      <c r="B62" s="11" t="s">
        <v>44</v>
      </c>
      <c r="C62" s="21">
        <v>255</v>
      </c>
      <c r="D62" s="26">
        <f>('Kubiņu masa'!D68-'Kubiņu masa'!$D68)/'Kubiņu masa'!$D68*100</f>
        <v>0</v>
      </c>
      <c r="E62" s="26">
        <f>('Kubiņu masa'!E68-'Kubiņu masa'!$D68)/'Kubiņu masa'!$D68*100</f>
        <v>4.296212549462977</v>
      </c>
      <c r="F62" s="26">
        <f>('Kubiņu masa'!F68-'Kubiņu masa'!$D68)/'Kubiņu masa'!$D68*100</f>
        <v>4.5788581119276532</v>
      </c>
      <c r="G62" s="26">
        <f>('Kubiņu masa'!G68-'Kubiņu masa'!$D68)/'Kubiņu masa'!$D68*100</f>
        <v>5.1441492368569923</v>
      </c>
      <c r="H62" s="26">
        <f>('Kubiņu masa'!H68-'Kubiņu masa'!$D68)/'Kubiņu masa'!$D68*100</f>
        <v>5.1441492368569923</v>
      </c>
      <c r="I62" s="26">
        <f>('Kubiņu masa'!I68-'Kubiņu masa'!$D68)/'Kubiņu masa'!$D68*100</f>
        <v>5.9920859242509952</v>
      </c>
      <c r="J62" s="26">
        <f>('Kubiņu masa'!J68-'Kubiņu masa'!$D68)/'Kubiņu masa'!$D68*100</f>
        <v>5.1441492368569923</v>
      </c>
      <c r="K62" s="26">
        <f>('Kubiņu masa'!K68-'Kubiņu masa'!$D68)/'Kubiņu masa'!$D68*100</f>
        <v>6.5573770491803334</v>
      </c>
      <c r="L62" s="26">
        <f>('Kubiņu masa'!L68-'Kubiņu masa'!$D68)/'Kubiņu masa'!$D68*100</f>
        <v>6.8400226116449971</v>
      </c>
      <c r="M62" s="26">
        <f>('Kubiņu masa'!M68-'Kubiņu masa'!$D68)/'Kubiņu masa'!$D68*100</f>
        <v>10.514414923685708</v>
      </c>
      <c r="N62" s="26">
        <f>('Kubiņu masa'!N68-'Kubiņu masa'!$D68)/'Kubiņu masa'!$D68*100</f>
        <v>9.3838326738270297</v>
      </c>
      <c r="O62" s="26">
        <f>('Kubiņu masa'!O68-'Kubiņu masa'!$D68)/'Kubiņu masa'!$D68*100</f>
        <v>9.3838326738270297</v>
      </c>
      <c r="P62" s="26">
        <f>('Kubiņu masa'!P68-'Kubiņu masa'!$D68)/'Kubiņu masa'!$D68*100</f>
        <v>13.623516110797054</v>
      </c>
      <c r="Q62" s="26">
        <f>('Kubiņu masa'!Q68-'Kubiņu masa'!$D68)/'Kubiņu masa'!$D68*100</f>
        <v>15.602035048049748</v>
      </c>
      <c r="R62" s="26">
        <f>('Kubiņu masa'!R68-'Kubiņu masa'!$D68)/'Kubiņu masa'!$D68*100</f>
        <v>15.036743923120422</v>
      </c>
      <c r="S62" s="26">
        <f>('Kubiņu masa'!S68-'Kubiņu masa'!$D68)/'Kubiņu masa'!$D68*100</f>
        <v>19.276427360090445</v>
      </c>
      <c r="T62" s="26">
        <f>('Kubiņu masa'!T68-'Kubiņu masa'!$D68)/'Kubiņu masa'!$D68*100</f>
        <v>20.124364047484463</v>
      </c>
      <c r="U62" s="26">
        <f>('Kubiņu masa'!U68-'Kubiņu masa'!$D68)/'Kubiņu masa'!$D68*100</f>
        <v>14.47145279819107</v>
      </c>
    </row>
    <row r="63" spans="1:21" x14ac:dyDescent="0.35">
      <c r="A63" s="42"/>
      <c r="B63" s="11"/>
      <c r="C63" s="21">
        <v>264</v>
      </c>
      <c r="D63" s="26">
        <f>('Kubiņu masa'!D69-'Kubiņu masa'!$D69)/'Kubiņu masa'!$D69*100</f>
        <v>0</v>
      </c>
      <c r="E63" s="26">
        <f>('Kubiņu masa'!E69-'Kubiņu masa'!$D69)/'Kubiņu masa'!$D69*100</f>
        <v>5.4027179317202609</v>
      </c>
      <c r="F63" s="26">
        <f>('Kubiņu masa'!F69-'Kubiņu masa'!$D69)/'Kubiņu masa'!$D69*100</f>
        <v>4.7398077560490641</v>
      </c>
      <c r="G63" s="26">
        <f>('Kubiņu masa'!G69-'Kubiņu masa'!$D69)/'Kubiņu masa'!$D69*100</f>
        <v>4.4083526682134577</v>
      </c>
      <c r="H63" s="26">
        <f>('Kubiņu masa'!H69-'Kubiņu masa'!$D69)/'Kubiņu masa'!$D69*100</f>
        <v>5.4027179317202609</v>
      </c>
      <c r="I63" s="26">
        <f>('Kubiņu masa'!I69-'Kubiņu masa'!$D69)/'Kubiņu masa'!$D69*100</f>
        <v>6.0656281073914577</v>
      </c>
      <c r="J63" s="26">
        <f>('Kubiņu masa'!J69-'Kubiņu masa'!$D69)/'Kubiņu masa'!$D69*100</f>
        <v>5.7341730195558522</v>
      </c>
      <c r="K63" s="26">
        <f>('Kubiņu masa'!K69-'Kubiņu masa'!$D69)/'Kubiņu masa'!$D69*100</f>
        <v>7.0599933708982459</v>
      </c>
      <c r="L63" s="26">
        <f>('Kubiņu masa'!L69-'Kubiņu masa'!$D69)/'Kubiņu masa'!$D69*100</f>
        <v>7.0599933708982459</v>
      </c>
      <c r="M63" s="26">
        <f>('Kubiņu masa'!M69-'Kubiņu masa'!$D69)/'Kubiņu masa'!$D69*100</f>
        <v>11.037454424925428</v>
      </c>
      <c r="N63" s="26">
        <f>('Kubiņu masa'!N69-'Kubiņu masa'!$D69)/'Kubiņu masa'!$D69*100</f>
        <v>9.3801789857474276</v>
      </c>
      <c r="O63" s="26">
        <f>('Kubiņu masa'!O69-'Kubiņu masa'!$D69)/'Kubiņu masa'!$D69*100</f>
        <v>9.7116340735830349</v>
      </c>
      <c r="P63" s="26">
        <f>('Kubiņu masa'!P69-'Kubiņu masa'!$D69)/'Kubiņu masa'!$D69*100</f>
        <v>14.683460391117006</v>
      </c>
      <c r="Q63" s="26">
        <f>('Kubiņu masa'!Q69-'Kubiņu masa'!$D69)/'Kubiņu masa'!$D69*100</f>
        <v>16.340735830294992</v>
      </c>
      <c r="R63" s="26">
        <f>('Kubiņu masa'!R69-'Kubiņu masa'!$D69)/'Kubiņu masa'!$D69*100</f>
        <v>16.340735830294992</v>
      </c>
      <c r="S63" s="26">
        <f>('Kubiņu masa'!S69-'Kubiņu masa'!$D69)/'Kubiņu masa'!$D69*100</f>
        <v>19.655286708650976</v>
      </c>
      <c r="T63" s="26">
        <f>('Kubiņu masa'!T69-'Kubiņu masa'!$D69)/'Kubiņu masa'!$D69*100</f>
        <v>21.312562147828977</v>
      </c>
      <c r="U63" s="26">
        <f>('Kubiņu masa'!U69-'Kubiņu masa'!$D69)/'Kubiņu masa'!$D69*100</f>
        <v>16.672190918130596</v>
      </c>
    </row>
    <row r="64" spans="1:21" x14ac:dyDescent="0.35">
      <c r="A64" s="42"/>
      <c r="B64" s="11"/>
      <c r="C64" s="21">
        <v>270</v>
      </c>
      <c r="D64" s="26">
        <f>('Kubiņu masa'!D70-'Kubiņu masa'!$D70)/'Kubiņu masa'!$D70*100</f>
        <v>0</v>
      </c>
      <c r="E64" s="26">
        <f>('Kubiņu masa'!E70-'Kubiņu masa'!$D70)/'Kubiņu masa'!$D70*100</f>
        <v>5.0165380374862165</v>
      </c>
      <c r="F64" s="26">
        <f>('Kubiņu masa'!F70-'Kubiņu masa'!$D70)/'Kubiņu masa'!$D70*100</f>
        <v>5.0165380374862165</v>
      </c>
      <c r="G64" s="26">
        <f>('Kubiņu masa'!G70-'Kubiņu masa'!$D70)/'Kubiņu masa'!$D70*100</f>
        <v>5.8434399117971259</v>
      </c>
      <c r="H64" s="26">
        <f>('Kubiņu masa'!H70-'Kubiņu masa'!$D70)/'Kubiņu masa'!$D70*100</f>
        <v>5.2921719955898494</v>
      </c>
      <c r="I64" s="26">
        <f>('Kubiņu masa'!I70-'Kubiņu masa'!$D70)/'Kubiņu masa'!$D70*100</f>
        <v>6.3947078280044032</v>
      </c>
      <c r="J64" s="26">
        <f>('Kubiņu masa'!J70-'Kubiņu masa'!$D70)/'Kubiņu masa'!$D70*100</f>
        <v>6.1190738699007703</v>
      </c>
      <c r="K64" s="26">
        <f>('Kubiņu masa'!K70-'Kubiņu masa'!$D70)/'Kubiņu masa'!$D70*100</f>
        <v>8.0485115766262361</v>
      </c>
      <c r="L64" s="26">
        <f>('Kubiņu masa'!L70-'Kubiņu masa'!$D70)/'Kubiņu masa'!$D70*100</f>
        <v>7.4972436604189578</v>
      </c>
      <c r="M64" s="26">
        <f>('Kubiņu masa'!M70-'Kubiņu masa'!$D70)/'Kubiņu masa'!$D70*100</f>
        <v>12.458654906284453</v>
      </c>
      <c r="N64" s="26">
        <f>('Kubiņu masa'!N70-'Kubiņu masa'!$D70)/'Kubiņu masa'!$D70*100</f>
        <v>10.253583241455344</v>
      </c>
      <c r="O64" s="26">
        <f>('Kubiņu masa'!O70-'Kubiņu masa'!$D70)/'Kubiņu masa'!$D70*100</f>
        <v>10.253583241455344</v>
      </c>
      <c r="P64" s="26">
        <f>('Kubiņu masa'!P70-'Kubiņu masa'!$D70)/'Kubiņu masa'!$D70*100</f>
        <v>15.766262403528117</v>
      </c>
      <c r="Q64" s="26">
        <f>('Kubiņu masa'!Q70-'Kubiņu masa'!$D70)/'Kubiņu masa'!$D70*100</f>
        <v>17.144432194046303</v>
      </c>
      <c r="R64" s="26">
        <f>('Kubiņu masa'!R70-'Kubiņu masa'!$D70)/'Kubiņu masa'!$D70*100</f>
        <v>16.317530319735383</v>
      </c>
      <c r="S64" s="26">
        <f>('Kubiņu masa'!S70-'Kubiņu masa'!$D70)/'Kubiņu masa'!$D70*100</f>
        <v>20.727673649393598</v>
      </c>
      <c r="T64" s="26">
        <f>('Kubiņu masa'!T70-'Kubiņu masa'!$D70)/'Kubiņu masa'!$D70*100</f>
        <v>22.105843439911784</v>
      </c>
      <c r="U64" s="26">
        <f>('Kubiņu masa'!U70-'Kubiņu masa'!$D70)/'Kubiņu masa'!$D70*100</f>
        <v>19.349503858875412</v>
      </c>
    </row>
    <row r="65" spans="1:21" x14ac:dyDescent="0.35">
      <c r="A65" s="42"/>
      <c r="B65" s="11" t="s">
        <v>45</v>
      </c>
      <c r="C65" s="21">
        <v>274</v>
      </c>
      <c r="D65" s="26">
        <f>('Kubiņu masa'!D71-'Kubiņu masa'!$D71)/'Kubiņu masa'!$D71*100</f>
        <v>0</v>
      </c>
      <c r="E65" s="26">
        <f>('Kubiņu masa'!E71-'Kubiņu masa'!$D71)/'Kubiņu masa'!$D71*100</f>
        <v>5.5711015008903662</v>
      </c>
      <c r="F65" s="26">
        <f>('Kubiņu masa'!F71-'Kubiņu masa'!$D71)/'Kubiņu masa'!$D71*100</f>
        <v>5.5711015008903662</v>
      </c>
      <c r="G65" s="26">
        <f>('Kubiņu masa'!G71-'Kubiņu masa'!$D71)/'Kubiņu masa'!$D71*100</f>
        <v>5.8254896972780488</v>
      </c>
      <c r="H65" s="26">
        <f>('Kubiņu masa'!H71-'Kubiņu masa'!$D71)/'Kubiņu masa'!$D71*100</f>
        <v>6.5886542864411171</v>
      </c>
      <c r="I65" s="26">
        <f>('Kubiņu masa'!I71-'Kubiņu masa'!$D71)/'Kubiņu masa'!$D71*100</f>
        <v>6.8430424828287997</v>
      </c>
      <c r="J65" s="26">
        <f>('Kubiņu masa'!J71-'Kubiņu masa'!$D71)/'Kubiņu masa'!$D71*100</f>
        <v>6.5886542864411171</v>
      </c>
      <c r="K65" s="26">
        <f>('Kubiņu masa'!K71-'Kubiņu masa'!$D71)/'Kubiņu masa'!$D71*100</f>
        <v>8.1149834647672332</v>
      </c>
      <c r="L65" s="26">
        <f>('Kubiņu masa'!L71-'Kubiņu masa'!$D71)/'Kubiņu masa'!$D71*100</f>
        <v>8.1149834647672332</v>
      </c>
      <c r="M65" s="26">
        <f>('Kubiņu masa'!M71-'Kubiņu masa'!$D71)/'Kubiņu masa'!$D71*100</f>
        <v>12.948359196133307</v>
      </c>
      <c r="N65" s="26">
        <f>('Kubiņu masa'!N71-'Kubiņu masa'!$D71)/'Kubiņu masa'!$D71*100</f>
        <v>10.913253625031805</v>
      </c>
      <c r="O65" s="26">
        <f>('Kubiņu masa'!O71-'Kubiņu masa'!$D71)/'Kubiņu masa'!$D71*100</f>
        <v>11.167641821419487</v>
      </c>
      <c r="P65" s="26">
        <f>('Kubiņu masa'!P71-'Kubiņu masa'!$D71)/'Kubiņu masa'!$D71*100</f>
        <v>17.272958534723994</v>
      </c>
      <c r="Q65" s="26">
        <f>('Kubiņu masa'!Q71-'Kubiņu masa'!$D71)/'Kubiņu masa'!$D71*100</f>
        <v>19.053675909437793</v>
      </c>
      <c r="R65" s="26">
        <f>('Kubiņu masa'!R71-'Kubiņu masa'!$D71)/'Kubiņu masa'!$D71*100</f>
        <v>18.799287713050113</v>
      </c>
      <c r="S65" s="26">
        <f>('Kubiņu masa'!S71-'Kubiņu masa'!$D71)/'Kubiņu masa'!$D71*100</f>
        <v>24.141439837191552</v>
      </c>
      <c r="T65" s="26">
        <f>('Kubiņu masa'!T71-'Kubiņu masa'!$D71)/'Kubiņu masa'!$D71*100</f>
        <v>24.650216229966937</v>
      </c>
      <c r="U65" s="26">
        <f>('Kubiņu masa'!U71-'Kubiņu masa'!$D71)/'Kubiņu masa'!$D71*100</f>
        <v>18.799287713050113</v>
      </c>
    </row>
    <row r="66" spans="1:21" x14ac:dyDescent="0.35">
      <c r="A66" s="42"/>
      <c r="B66" s="11"/>
      <c r="C66" s="21">
        <v>277</v>
      </c>
      <c r="D66" s="26">
        <f>('Kubiņu masa'!D72-'Kubiņu masa'!$D72)/'Kubiņu masa'!$D72*100</f>
        <v>0</v>
      </c>
      <c r="E66" s="26">
        <f>('Kubiņu masa'!E72-'Kubiņu masa'!$D72)/'Kubiņu masa'!$D72*100</f>
        <v>5.0603647572566164</v>
      </c>
      <c r="F66" s="26">
        <f>('Kubiņu masa'!F72-'Kubiņu masa'!$D72)/'Kubiņu masa'!$D72*100</f>
        <v>5.830978679681488</v>
      </c>
      <c r="G66" s="26">
        <f>('Kubiņu masa'!G72-'Kubiņu masa'!$D72)/'Kubiņu masa'!$D72*100</f>
        <v>5.830978679681488</v>
      </c>
      <c r="H66" s="26">
        <f>('Kubiņu masa'!H72-'Kubiņu masa'!$D72)/'Kubiņu masa'!$D72*100</f>
        <v>6.0878499871564369</v>
      </c>
      <c r="I66" s="26">
        <f>('Kubiņu masa'!I72-'Kubiņu masa'!$D72)/'Kubiņu masa'!$D72*100</f>
        <v>6.8584639095813094</v>
      </c>
      <c r="J66" s="26">
        <f>('Kubiņu masa'!J72-'Kubiņu masa'!$D72)/'Kubiņu masa'!$D72*100</f>
        <v>6.6015926021063596</v>
      </c>
      <c r="K66" s="26">
        <f>('Kubiņu masa'!K72-'Kubiņu masa'!$D72)/'Kubiņu masa'!$D72*100</f>
        <v>8.1428204469560796</v>
      </c>
      <c r="L66" s="26">
        <f>('Kubiņu masa'!L72-'Kubiņu masa'!$D72)/'Kubiņu masa'!$D72*100</f>
        <v>8.3996917544310303</v>
      </c>
      <c r="M66" s="26">
        <f>('Kubiņu masa'!M72-'Kubiņu masa'!$D72)/'Kubiņu masa'!$D72*100</f>
        <v>13.280246596455186</v>
      </c>
      <c r="N66" s="26">
        <f>('Kubiņu masa'!N72-'Kubiņu masa'!$D72)/'Kubiņu masa'!$D72*100</f>
        <v>10.968404829180594</v>
      </c>
      <c r="O66" s="26">
        <f>('Kubiņu masa'!O72-'Kubiņu masa'!$D72)/'Kubiņu masa'!$D72*100</f>
        <v>10.968404829180594</v>
      </c>
      <c r="P66" s="26">
        <f>('Kubiņu masa'!P72-'Kubiņu masa'!$D72)/'Kubiņu masa'!$D72*100</f>
        <v>16.362702286154647</v>
      </c>
      <c r="Q66" s="26">
        <f>('Kubiņu masa'!Q72-'Kubiņu masa'!$D72)/'Kubiņu masa'!$D72*100</f>
        <v>18.160801438479318</v>
      </c>
      <c r="R66" s="26">
        <f>('Kubiņu masa'!R72-'Kubiņu masa'!$D72)/'Kubiņu masa'!$D72*100</f>
        <v>18.160801438479318</v>
      </c>
      <c r="S66" s="26">
        <f>('Kubiņu masa'!S72-'Kubiņu masa'!$D72)/'Kubiņu masa'!$D72*100</f>
        <v>24.325712817878244</v>
      </c>
      <c r="T66" s="26">
        <f>('Kubiņu masa'!T72-'Kubiņu masa'!$D72)/'Kubiņu masa'!$D72*100</f>
        <v>24.068841510403296</v>
      </c>
      <c r="U66" s="26">
        <f>('Kubiņu masa'!U72-'Kubiņu masa'!$D72)/'Kubiņu masa'!$D72*100</f>
        <v>18.160801438479318</v>
      </c>
    </row>
    <row r="67" spans="1:21" x14ac:dyDescent="0.35">
      <c r="A67" s="42"/>
      <c r="B67" s="11"/>
      <c r="C67" s="21">
        <v>282</v>
      </c>
      <c r="D67" s="26">
        <f>('Kubiņu masa'!D73-'Kubiņu masa'!$D73)/'Kubiņu masa'!$D73*100</f>
        <v>0</v>
      </c>
      <c r="E67" s="26">
        <f>('Kubiņu masa'!E73-'Kubiņu masa'!$D73)/'Kubiņu masa'!$D73*100</f>
        <v>4.9198151671649919</v>
      </c>
      <c r="F67" s="26">
        <f>('Kubiņu masa'!F73-'Kubiņu masa'!$D73)/'Kubiņu masa'!$D73*100</f>
        <v>5.7352541451481462</v>
      </c>
      <c r="G67" s="26">
        <f>('Kubiņu masa'!G73-'Kubiņu masa'!$D73)/'Kubiņu masa'!$D73*100</f>
        <v>6.00706713780919</v>
      </c>
      <c r="H67" s="26">
        <f>('Kubiņu masa'!H73-'Kubiņu masa'!$D73)/'Kubiņu masa'!$D73*100</f>
        <v>6.2788801304702453</v>
      </c>
      <c r="I67" s="26">
        <f>('Kubiņu masa'!I73-'Kubiņu masa'!$D73)/'Kubiņu masa'!$D73*100</f>
        <v>7.0943191084533881</v>
      </c>
      <c r="J67" s="26">
        <f>('Kubiņu masa'!J73-'Kubiņu masa'!$D73)/'Kubiņu masa'!$D73*100</f>
        <v>6.2788801304702453</v>
      </c>
      <c r="K67" s="26">
        <f>('Kubiņu masa'!K73-'Kubiņu masa'!$D73)/'Kubiņu masa'!$D73*100</f>
        <v>8.4533840717586415</v>
      </c>
      <c r="L67" s="26">
        <f>('Kubiņu masa'!L73-'Kubiņu masa'!$D73)/'Kubiņu masa'!$D73*100</f>
        <v>8.4533840717586415</v>
      </c>
      <c r="M67" s="26">
        <f>('Kubiņu masa'!M73-'Kubiņu masa'!$D73)/'Kubiņu masa'!$D73*100</f>
        <v>13.34601793965752</v>
      </c>
      <c r="N67" s="26">
        <f>('Kubiņu masa'!N73-'Kubiņu masa'!$D73)/'Kubiņu masa'!$D73*100</f>
        <v>11.171513998369123</v>
      </c>
      <c r="O67" s="26">
        <f>('Kubiņu masa'!O73-'Kubiņu masa'!$D73)/'Kubiņu masa'!$D73*100</f>
        <v>11.443326991030167</v>
      </c>
      <c r="P67" s="26">
        <f>('Kubiņu masa'!P73-'Kubiņu masa'!$D73)/'Kubiņu masa'!$D73*100</f>
        <v>15.792334873606958</v>
      </c>
      <c r="Q67" s="26">
        <f>('Kubiņu masa'!Q73-'Kubiņu masa'!$D73)/'Kubiņu masa'!$D73*100</f>
        <v>18.510464800217466</v>
      </c>
      <c r="R67" s="26">
        <f>('Kubiņu masa'!R73-'Kubiņu masa'!$D73)/'Kubiņu masa'!$D73*100</f>
        <v>18.238651807556398</v>
      </c>
      <c r="S67" s="26">
        <f>('Kubiņu masa'!S73-'Kubiņu masa'!$D73)/'Kubiņu masa'!$D73*100</f>
        <v>25.577602609404735</v>
      </c>
      <c r="T67" s="26">
        <f>('Kubiņu masa'!T73-'Kubiņu masa'!$D73)/'Kubiņu masa'!$D73*100</f>
        <v>25.033976624082626</v>
      </c>
      <c r="U67" s="26">
        <f>('Kubiņu masa'!U73-'Kubiņu masa'!$D73)/'Kubiņu masa'!$D73*100</f>
        <v>23.131285675455299</v>
      </c>
    </row>
    <row r="68" spans="1:21" x14ac:dyDescent="0.35">
      <c r="A68" s="42"/>
      <c r="B68" s="11" t="s">
        <v>46</v>
      </c>
      <c r="C68" s="21">
        <v>166</v>
      </c>
      <c r="D68" s="26">
        <f>('Kubiņu masa'!D74-'Kubiņu masa'!$D74)/'Kubiņu masa'!$D74*100</f>
        <v>0</v>
      </c>
      <c r="E68" s="26">
        <f>('Kubiņu masa'!E74-'Kubiņu masa'!$D74)/'Kubiņu masa'!$D74*100</f>
        <v>4.3014845831747408</v>
      </c>
      <c r="F68" s="26">
        <f>('Kubiņu masa'!F74-'Kubiņu masa'!$D74)/'Kubiņu masa'!$D74*100</f>
        <v>5.062809288161402</v>
      </c>
      <c r="G68" s="26">
        <f>('Kubiņu masa'!G74-'Kubiņu masa'!$D74)/'Kubiņu masa'!$D74*100</f>
        <v>5.8241339931480791</v>
      </c>
      <c r="H68" s="26">
        <f>('Kubiņu masa'!H74-'Kubiņu masa'!$D74)/'Kubiņu masa'!$D74*100</f>
        <v>5.4434716406547485</v>
      </c>
      <c r="I68" s="26">
        <f>('Kubiņu masa'!I74-'Kubiņu masa'!$D74)/'Kubiņu masa'!$D74*100</f>
        <v>5.8241339931480791</v>
      </c>
      <c r="J68" s="26">
        <f>('Kubiņu masa'!J74-'Kubiņu masa'!$D74)/'Kubiņu masa'!$D74*100</f>
        <v>5.062809288161402</v>
      </c>
      <c r="K68" s="26">
        <f>('Kubiņu masa'!K74-'Kubiņu masa'!$D74)/'Kubiņu masa'!$D74*100</f>
        <v>7.7274457556147809</v>
      </c>
      <c r="L68" s="26">
        <f>('Kubiņu masa'!L74-'Kubiņu masa'!$D74)/'Kubiņu masa'!$D74*100</f>
        <v>8.1081081081081106</v>
      </c>
      <c r="M68" s="26">
        <f>('Kubiņu masa'!M74-'Kubiņu masa'!$D74)/'Kubiņu masa'!$D74*100</f>
        <v>12.676056338028177</v>
      </c>
      <c r="N68" s="26">
        <f>('Kubiņu masa'!N74-'Kubiņu masa'!$D74)/'Kubiņu masa'!$D74*100</f>
        <v>9.2500951655881369</v>
      </c>
      <c r="O68" s="26">
        <f>('Kubiņu masa'!O74-'Kubiņu masa'!$D74)/'Kubiņu masa'!$D74*100</f>
        <v>10.011419870574814</v>
      </c>
      <c r="P68" s="26">
        <f>('Kubiņu masa'!P74-'Kubiņu masa'!$D74)/'Kubiņu masa'!$D74*100</f>
        <v>14.198705748001533</v>
      </c>
      <c r="Q68" s="26">
        <f>('Kubiņu masa'!Q74-'Kubiņu masa'!$D74)/'Kubiņu masa'!$D74*100</f>
        <v>16.482679862961565</v>
      </c>
      <c r="R68" s="26">
        <f>('Kubiņu masa'!R74-'Kubiņu masa'!$D74)/'Kubiņu masa'!$D74*100</f>
        <v>16.102017510468215</v>
      </c>
      <c r="S68" s="26">
        <f>('Kubiņu masa'!S74-'Kubiņu masa'!$D74)/'Kubiņu masa'!$D74*100</f>
        <v>22.19261515036164</v>
      </c>
      <c r="T68" s="26">
        <f>('Kubiņu masa'!T74-'Kubiņu masa'!$D74)/'Kubiņu masa'!$D74*100</f>
        <v>21.431290445374959</v>
      </c>
      <c r="U68" s="26">
        <f>('Kubiņu masa'!U74-'Kubiņu masa'!$D74)/'Kubiņu masa'!$D74*100</f>
        <v>15.34069280548154</v>
      </c>
    </row>
    <row r="69" spans="1:21" x14ac:dyDescent="0.35">
      <c r="A69" s="42"/>
      <c r="B69" s="11"/>
      <c r="C69" s="21">
        <v>172</v>
      </c>
      <c r="D69" s="26">
        <f>('Kubiņu masa'!D75-'Kubiņu masa'!$D75)/'Kubiņu masa'!$D75*100</f>
        <v>0</v>
      </c>
      <c r="E69" s="26">
        <f>('Kubiņu masa'!E75-'Kubiņu masa'!$D75)/'Kubiņu masa'!$D75*100</f>
        <v>4.808877928483354</v>
      </c>
      <c r="F69" s="26">
        <f>('Kubiņu masa'!F75-'Kubiņu masa'!$D75)/'Kubiņu masa'!$D75*100</f>
        <v>5.2198931360460428</v>
      </c>
      <c r="G69" s="26">
        <f>('Kubiņu masa'!G75-'Kubiņu masa'!$D75)/'Kubiņu masa'!$D75*100</f>
        <v>5.6309083436087137</v>
      </c>
      <c r="H69" s="26">
        <f>('Kubiņu masa'!H75-'Kubiņu masa'!$D75)/'Kubiņu masa'!$D75*100</f>
        <v>4.3978627209206831</v>
      </c>
      <c r="I69" s="26">
        <f>('Kubiņu masa'!I75-'Kubiņu masa'!$D75)/'Kubiņu masa'!$D75*100</f>
        <v>6.4529387587340752</v>
      </c>
      <c r="J69" s="26">
        <f>('Kubiņu masa'!J75-'Kubiņu masa'!$D75)/'Kubiņu masa'!$D75*100</f>
        <v>5.2198931360460428</v>
      </c>
      <c r="K69" s="26">
        <f>('Kubiņu masa'!K75-'Kubiņu masa'!$D75)/'Kubiņu masa'!$D75*100</f>
        <v>7.6859843814221245</v>
      </c>
      <c r="L69" s="26">
        <f>('Kubiņu masa'!L75-'Kubiņu masa'!$D75)/'Kubiņu masa'!$D75*100</f>
        <v>7.6859843814221245</v>
      </c>
      <c r="M69" s="26">
        <f>('Kubiņu masa'!M75-'Kubiņu masa'!$D75)/'Kubiņu masa'!$D75*100</f>
        <v>12.207151664611597</v>
      </c>
      <c r="N69" s="26">
        <f>('Kubiņu masa'!N75-'Kubiņu masa'!$D75)/'Kubiņu masa'!$D75*100</f>
        <v>8.9190300041101569</v>
      </c>
      <c r="O69" s="26">
        <f>('Kubiņu masa'!O75-'Kubiņu masa'!$D75)/'Kubiņu masa'!$D75*100</f>
        <v>9.7410604192355166</v>
      </c>
      <c r="P69" s="26">
        <f>('Kubiņu masa'!P75-'Kubiņu masa'!$D75)/'Kubiņu masa'!$D75*100</f>
        <v>14.67324290998768</v>
      </c>
      <c r="Q69" s="26">
        <f>('Kubiņu masa'!Q75-'Kubiņu masa'!$D75)/'Kubiņu masa'!$D75*100</f>
        <v>17.139334155363763</v>
      </c>
      <c r="R69" s="26">
        <f>('Kubiņu masa'!R75-'Kubiņu masa'!$D75)/'Kubiņu masa'!$D75*100</f>
        <v>16.317303740238401</v>
      </c>
      <c r="S69" s="26">
        <f>('Kubiņu masa'!S75-'Kubiņu masa'!$D75)/'Kubiņu masa'!$D75*100</f>
        <v>21.249486230990563</v>
      </c>
      <c r="T69" s="26">
        <f>('Kubiņu masa'!T75-'Kubiņu masa'!$D75)/'Kubiņu masa'!$D75*100</f>
        <v>20.838471023427875</v>
      </c>
      <c r="U69" s="26">
        <f>('Kubiņu masa'!U75-'Kubiņu masa'!$D75)/'Kubiņu masa'!$D75*100</f>
        <v>17.139334155363763</v>
      </c>
    </row>
    <row r="70" spans="1:21" x14ac:dyDescent="0.35">
      <c r="A70" s="42"/>
      <c r="B70" s="11"/>
      <c r="C70" s="21">
        <v>175</v>
      </c>
      <c r="D70" s="26">
        <f>('Kubiņu masa'!D76-'Kubiņu masa'!$D76)/'Kubiņu masa'!$D76*100</f>
        <v>0</v>
      </c>
      <c r="E70" s="26">
        <f>('Kubiņu masa'!E76-'Kubiņu masa'!$D76)/'Kubiņu masa'!$D76*100</f>
        <v>5.5853098699311365</v>
      </c>
      <c r="F70" s="26">
        <f>('Kubiņu masa'!F76-'Kubiņu masa'!$D76)/'Kubiņu masa'!$D76*100</f>
        <v>5.5853098699311365</v>
      </c>
      <c r="G70" s="26">
        <f>('Kubiņu masa'!G76-'Kubiņu masa'!$D76)/'Kubiņu masa'!$D76*100</f>
        <v>4.0550879877582373</v>
      </c>
      <c r="H70" s="26">
        <f>('Kubiņu masa'!H76-'Kubiņu masa'!$D76)/'Kubiņu masa'!$D76*100</f>
        <v>5.2027543993879162</v>
      </c>
      <c r="I70" s="26">
        <f>('Kubiņu masa'!I76-'Kubiņu masa'!$D76)/'Kubiņu masa'!$D76*100</f>
        <v>6.7329762815608332</v>
      </c>
      <c r="J70" s="26">
        <f>('Kubiņu masa'!J76-'Kubiņu masa'!$D76)/'Kubiņu masa'!$D76*100</f>
        <v>6.3504208110175941</v>
      </c>
      <c r="K70" s="26">
        <f>('Kubiņu masa'!K76-'Kubiņu masa'!$D76)/'Kubiņu masa'!$D76*100</f>
        <v>7.880642693190512</v>
      </c>
      <c r="L70" s="26">
        <f>('Kubiņu masa'!L76-'Kubiņu masa'!$D76)/'Kubiņu masa'!$D76*100</f>
        <v>8.2631981637337493</v>
      </c>
      <c r="M70" s="26">
        <f>('Kubiņu masa'!M76-'Kubiņu masa'!$D76)/'Kubiņu masa'!$D76*100</f>
        <v>13.236419280795719</v>
      </c>
      <c r="N70" s="26">
        <f>('Kubiņu masa'!N76-'Kubiņu masa'!$D76)/'Kubiņu masa'!$D76*100</f>
        <v>10.558530986993125</v>
      </c>
      <c r="O70" s="26">
        <f>('Kubiņu masa'!O76-'Kubiņu masa'!$D76)/'Kubiņu masa'!$D76*100</f>
        <v>10.941086457536345</v>
      </c>
      <c r="P70" s="26">
        <f>('Kubiņu masa'!P76-'Kubiņu masa'!$D76)/'Kubiņu masa'!$D76*100</f>
        <v>16.679418515684773</v>
      </c>
      <c r="Q70" s="26">
        <f>('Kubiņu masa'!Q76-'Kubiņu masa'!$D76)/'Kubiņu masa'!$D76*100</f>
        <v>19.357306809487383</v>
      </c>
      <c r="R70" s="26">
        <f>('Kubiņu masa'!R76-'Kubiņu masa'!$D76)/'Kubiņu masa'!$D76*100</f>
        <v>18.592195868400925</v>
      </c>
      <c r="S70" s="26">
        <f>('Kubiņu masa'!S76-'Kubiņu masa'!$D76)/'Kubiņu masa'!$D76*100</f>
        <v>25.478194338179033</v>
      </c>
      <c r="T70" s="26">
        <f>('Kubiņu masa'!T76-'Kubiņu masa'!$D76)/'Kubiņu masa'!$D76*100</f>
        <v>25.09563886763581</v>
      </c>
      <c r="U70" s="26">
        <f>('Kubiņu masa'!U76-'Kubiņu masa'!$D76)/'Kubiņu masa'!$D76*100</f>
        <v>17.82708492731447</v>
      </c>
    </row>
    <row r="71" spans="1:21" x14ac:dyDescent="0.35">
      <c r="A71" s="42"/>
      <c r="B71" s="11" t="s">
        <v>47</v>
      </c>
      <c r="C71" s="21">
        <v>211</v>
      </c>
      <c r="D71" s="26">
        <f>('Kubiņu masa'!D77-'Kubiņu masa'!$D77)/'Kubiņu masa'!$D77*100</f>
        <v>0</v>
      </c>
      <c r="E71" s="26">
        <f>('Kubiņu masa'!E77-'Kubiņu masa'!$D77)/'Kubiņu masa'!$D77*100</f>
        <v>5.3484602917341988</v>
      </c>
      <c r="F71" s="26">
        <f>('Kubiņu masa'!F77-'Kubiņu masa'!$D77)/'Kubiņu masa'!$D77*100</f>
        <v>6.3209076175040471</v>
      </c>
      <c r="G71" s="26">
        <f>('Kubiņu masa'!G77-'Kubiņu masa'!$D77)/'Kubiņu masa'!$D77*100</f>
        <v>5.9967585089141027</v>
      </c>
      <c r="H71" s="26">
        <f>('Kubiņu masa'!H77-'Kubiņu masa'!$D77)/'Kubiņu masa'!$D77*100</f>
        <v>6.9692058346839501</v>
      </c>
      <c r="I71" s="26">
        <f>('Kubiņu masa'!I77-'Kubiņu masa'!$D77)/'Kubiņu masa'!$D77*100</f>
        <v>7.9416531604538125</v>
      </c>
      <c r="J71" s="26">
        <f>('Kubiņu masa'!J77-'Kubiņu masa'!$D77)/'Kubiņu masa'!$D77*100</f>
        <v>6.6450567260940048</v>
      </c>
      <c r="K71" s="26">
        <f>('Kubiņu masa'!K77-'Kubiņu masa'!$D77)/'Kubiņu masa'!$D77*100</f>
        <v>8.5899513776337155</v>
      </c>
      <c r="L71" s="26">
        <f>('Kubiņu masa'!L77-'Kubiņu masa'!$D77)/'Kubiņu masa'!$D77*100</f>
        <v>8.5899513776337155</v>
      </c>
      <c r="M71" s="26">
        <f>('Kubiņu masa'!M77-'Kubiņu masa'!$D77)/'Kubiņu masa'!$D77*100</f>
        <v>13.776337115072929</v>
      </c>
      <c r="N71" s="26">
        <f>('Kubiņu masa'!N77-'Kubiņu masa'!$D77)/'Kubiņu masa'!$D77*100</f>
        <v>11.831442463533232</v>
      </c>
      <c r="O71" s="26">
        <f>('Kubiņu masa'!O77-'Kubiņu masa'!$D77)/'Kubiņu masa'!$D77*100</f>
        <v>11.831442463533232</v>
      </c>
      <c r="P71" s="26">
        <f>('Kubiņu masa'!P77-'Kubiņu masa'!$D77)/'Kubiņu masa'!$D77*100</f>
        <v>19.611021069692057</v>
      </c>
      <c r="Q71" s="26">
        <f>('Kubiņu masa'!Q77-'Kubiņu masa'!$D77)/'Kubiņu masa'!$D77*100</f>
        <v>22.528363047001616</v>
      </c>
      <c r="R71" s="26">
        <f>('Kubiņu masa'!R77-'Kubiņu masa'!$D77)/'Kubiņu masa'!$D77*100</f>
        <v>21.55591572123177</v>
      </c>
      <c r="S71" s="26">
        <f>('Kubiņu masa'!S77-'Kubiņu masa'!$D77)/'Kubiņu masa'!$D77*100</f>
        <v>31.928687196110221</v>
      </c>
      <c r="T71" s="26">
        <f>('Kubiņu masa'!T77-'Kubiņu masa'!$D77)/'Kubiņu masa'!$D77*100</f>
        <v>31.60453808752025</v>
      </c>
      <c r="U71" s="26">
        <f>('Kubiņu masa'!U77-'Kubiņu masa'!$D77)/'Kubiņu masa'!$D77*100</f>
        <v>22.852512155591576</v>
      </c>
    </row>
    <row r="72" spans="1:21" x14ac:dyDescent="0.35">
      <c r="A72" s="42"/>
      <c r="B72" s="11"/>
      <c r="C72" s="21">
        <v>217</v>
      </c>
      <c r="D72" s="26">
        <f>('Kubiņu masa'!D78-'Kubiņu masa'!$D78)/'Kubiņu masa'!$D78*100</f>
        <v>0</v>
      </c>
      <c r="E72" s="26">
        <f>('Kubiņu masa'!E78-'Kubiņu masa'!$D78)/'Kubiņu masa'!$D78*100</f>
        <v>5.5860510171133368</v>
      </c>
      <c r="F72" s="26">
        <f>('Kubiņu masa'!F78-'Kubiņu masa'!$D78)/'Kubiņu masa'!$D78*100</f>
        <v>6.2318372618663247</v>
      </c>
      <c r="G72" s="26">
        <f>('Kubiņu masa'!G78-'Kubiņu masa'!$D78)/'Kubiņu masa'!$D78*100</f>
        <v>6.2318372618663247</v>
      </c>
      <c r="H72" s="26">
        <f>('Kubiņu masa'!H78-'Kubiņu masa'!$D78)/'Kubiņu masa'!$D78*100</f>
        <v>6.8776235066193108</v>
      </c>
      <c r="I72" s="26">
        <f>('Kubiņu masa'!I78-'Kubiņu masa'!$D78)/'Kubiņu masa'!$D78*100</f>
        <v>7.5234097513722995</v>
      </c>
      <c r="J72" s="26">
        <f>('Kubiņu masa'!J78-'Kubiņu masa'!$D78)/'Kubiņu masa'!$D78*100</f>
        <v>7.200516628995798</v>
      </c>
      <c r="K72" s="26">
        <f>('Kubiņu masa'!K78-'Kubiņu masa'!$D78)/'Kubiņu masa'!$D78*100</f>
        <v>9.4607684856312613</v>
      </c>
      <c r="L72" s="26">
        <f>('Kubiņu masa'!L78-'Kubiņu masa'!$D78)/'Kubiņu masa'!$D78*100</f>
        <v>9.4607684856312613</v>
      </c>
      <c r="M72" s="26">
        <f>('Kubiņu masa'!M78-'Kubiņu masa'!$D78)/'Kubiņu masa'!$D78*100</f>
        <v>14.949951566031647</v>
      </c>
      <c r="N72" s="26">
        <f>('Kubiņu masa'!N78-'Kubiņu masa'!$D78)/'Kubiņu masa'!$D78*100</f>
        <v>12.366806587019695</v>
      </c>
      <c r="O72" s="26">
        <f>('Kubiņu masa'!O78-'Kubiņu masa'!$D78)/'Kubiņu masa'!$D78*100</f>
        <v>12.366806587019695</v>
      </c>
      <c r="P72" s="26">
        <f>('Kubiņu masa'!P78-'Kubiņu masa'!$D78)/'Kubiņu masa'!$D78*100</f>
        <v>19.470455279302556</v>
      </c>
      <c r="Q72" s="26">
        <f>('Kubiņu masa'!Q78-'Kubiņu masa'!$D78)/'Kubiņu masa'!$D78*100</f>
        <v>22.69938650306748</v>
      </c>
      <c r="R72" s="26">
        <f>('Kubiņu masa'!R78-'Kubiņu masa'!$D78)/'Kubiņu masa'!$D78*100</f>
        <v>21.084920891185018</v>
      </c>
      <c r="S72" s="26">
        <f>('Kubiņu masa'!S78-'Kubiņu masa'!$D78)/'Kubiņu masa'!$D78*100</f>
        <v>32.709073296738786</v>
      </c>
      <c r="T72" s="26">
        <f>('Kubiņu masa'!T78-'Kubiņu masa'!$D78)/'Kubiņu masa'!$D78*100</f>
        <v>32.063287051985789</v>
      </c>
      <c r="U72" s="26">
        <f>('Kubiņu masa'!U78-'Kubiņu masa'!$D78)/'Kubiņu masa'!$D78*100</f>
        <v>21.730707135938008</v>
      </c>
    </row>
    <row r="73" spans="1:21" x14ac:dyDescent="0.35">
      <c r="A73" s="43"/>
      <c r="B73" s="11"/>
      <c r="C73" s="21">
        <v>223</v>
      </c>
      <c r="D73" s="26">
        <f>('Kubiņu masa'!D79-'Kubiņu masa'!$D79)/'Kubiņu masa'!$D79*100</f>
        <v>0</v>
      </c>
      <c r="E73" s="26">
        <f>('Kubiņu masa'!E79-'Kubiņu masa'!$D79)/'Kubiņu masa'!$D79*100</f>
        <v>5.4131054131054182</v>
      </c>
      <c r="F73" s="26">
        <f>('Kubiņu masa'!F79-'Kubiņu masa'!$D79)/'Kubiņu masa'!$D79*100</f>
        <v>6.4814814814814952</v>
      </c>
      <c r="G73" s="26">
        <f>('Kubiņu masa'!G79-'Kubiņu masa'!$D79)/'Kubiņu masa'!$D79*100</f>
        <v>6.1253561253561308</v>
      </c>
      <c r="H73" s="26">
        <f>('Kubiņu masa'!H79-'Kubiņu masa'!$D79)/'Kubiņu masa'!$D79*100</f>
        <v>6.1253561253561308</v>
      </c>
      <c r="I73" s="26">
        <f>('Kubiņu masa'!I79-'Kubiņu masa'!$D79)/'Kubiņu masa'!$D79*100</f>
        <v>7.5498575498575571</v>
      </c>
      <c r="J73" s="26">
        <f>('Kubiņu masa'!J79-'Kubiņu masa'!$D79)/'Kubiņu masa'!$D79*100</f>
        <v>6.1253561253561308</v>
      </c>
      <c r="K73" s="26">
        <f>('Kubiņu masa'!K79-'Kubiņu masa'!$D79)/'Kubiņu masa'!$D79*100</f>
        <v>7.9059829059829054</v>
      </c>
      <c r="L73" s="26">
        <f>('Kubiņu masa'!L79-'Kubiņu masa'!$D79)/'Kubiņu masa'!$D79*100</f>
        <v>7.9059829059829054</v>
      </c>
      <c r="M73" s="26">
        <f>('Kubiņu masa'!M79-'Kubiņu masa'!$D79)/'Kubiņu masa'!$D79*100</f>
        <v>14.31623931623932</v>
      </c>
      <c r="N73" s="26">
        <f>('Kubiņu masa'!N79-'Kubiņu masa'!$D79)/'Kubiņu masa'!$D79*100</f>
        <v>11.46723646723647</v>
      </c>
      <c r="O73" s="26">
        <f>('Kubiņu masa'!O79-'Kubiņu masa'!$D79)/'Kubiņu masa'!$D79*100</f>
        <v>11.46723646723647</v>
      </c>
      <c r="P73" s="26">
        <f>('Kubiņu masa'!P79-'Kubiņu masa'!$D79)/'Kubiņu masa'!$D79*100</f>
        <v>20.370370370370374</v>
      </c>
      <c r="Q73" s="26">
        <f>('Kubiņu masa'!Q79-'Kubiņu masa'!$D79)/'Kubiņu masa'!$D79*100</f>
        <v>24.287749287749303</v>
      </c>
      <c r="R73" s="26">
        <f>('Kubiņu masa'!R79-'Kubiņu masa'!$D79)/'Kubiņu masa'!$D79*100</f>
        <v>22.507122507122514</v>
      </c>
      <c r="S73" s="26">
        <f>('Kubiņu masa'!S79-'Kubiņu masa'!$D79)/'Kubiņu masa'!$D79*100</f>
        <v>35.327635327635335</v>
      </c>
      <c r="T73" s="26">
        <f>('Kubiņu masa'!T79-'Kubiņu masa'!$D79)/'Kubiņu masa'!$D79*100</f>
        <v>38.176638176638185</v>
      </c>
      <c r="U73" s="26">
        <f>('Kubiņu masa'!U79-'Kubiņu masa'!$D79)/'Kubiņu masa'!$D79*100</f>
        <v>20.726495726495738</v>
      </c>
    </row>
  </sheetData>
  <mergeCells count="5">
    <mergeCell ref="B1:C1"/>
    <mergeCell ref="B2:C2"/>
    <mergeCell ref="B3:C4"/>
    <mergeCell ref="A5:A28"/>
    <mergeCell ref="A29:A7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43"/>
  <sheetViews>
    <sheetView tabSelected="1" zoomScale="70" zoomScaleNormal="70" workbookViewId="0">
      <selection activeCell="M10" sqref="M10"/>
    </sheetView>
  </sheetViews>
  <sheetFormatPr defaultRowHeight="14.5" x14ac:dyDescent="0.35"/>
  <cols>
    <col min="4" max="4" width="13.453125" customWidth="1"/>
    <col min="5" max="5" width="12.81640625" style="29" customWidth="1"/>
  </cols>
  <sheetData>
    <row r="1" spans="1:9" x14ac:dyDescent="0.35">
      <c r="A1" t="s">
        <v>49</v>
      </c>
      <c r="B1" t="s">
        <v>77</v>
      </c>
      <c r="C1" t="s">
        <v>76</v>
      </c>
      <c r="D1" t="s">
        <v>75</v>
      </c>
      <c r="E1" s="29" t="s">
        <v>74</v>
      </c>
      <c r="F1" t="s">
        <v>73</v>
      </c>
      <c r="G1" t="s">
        <v>78</v>
      </c>
      <c r="H1" t="s">
        <v>79</v>
      </c>
      <c r="I1" t="s">
        <v>80</v>
      </c>
    </row>
    <row r="2" spans="1:9" x14ac:dyDescent="0.35">
      <c r="A2">
        <v>0</v>
      </c>
      <c r="B2" t="s">
        <v>63</v>
      </c>
      <c r="C2">
        <v>316</v>
      </c>
      <c r="D2">
        <v>0</v>
      </c>
      <c r="E2" s="29">
        <v>45608</v>
      </c>
      <c r="F2">
        <v>0</v>
      </c>
      <c r="G2">
        <v>6.617</v>
      </c>
      <c r="H2">
        <f>G2-G2</f>
        <v>0</v>
      </c>
      <c r="I2">
        <f>H2/27*100</f>
        <v>0</v>
      </c>
    </row>
    <row r="3" spans="1:9" x14ac:dyDescent="0.35">
      <c r="A3">
        <v>0</v>
      </c>
      <c r="B3" t="s">
        <v>63</v>
      </c>
      <c r="C3">
        <v>320</v>
      </c>
      <c r="D3">
        <v>0</v>
      </c>
      <c r="E3" s="29">
        <v>45608</v>
      </c>
      <c r="F3">
        <v>0</v>
      </c>
      <c r="G3">
        <v>6.4729999999999999</v>
      </c>
      <c r="H3">
        <f t="shared" ref="H3:H66" si="0">G3-G3</f>
        <v>0</v>
      </c>
      <c r="I3">
        <f t="shared" ref="I3:I66" si="1">H3/27*100</f>
        <v>0</v>
      </c>
    </row>
    <row r="4" spans="1:9" x14ac:dyDescent="0.35">
      <c r="A4">
        <v>0</v>
      </c>
      <c r="B4" t="s">
        <v>63</v>
      </c>
      <c r="C4">
        <v>325</v>
      </c>
      <c r="D4">
        <v>0</v>
      </c>
      <c r="E4" s="29">
        <v>45608</v>
      </c>
      <c r="F4">
        <v>0</v>
      </c>
      <c r="G4">
        <v>6.1280000000000001</v>
      </c>
      <c r="H4">
        <f t="shared" si="0"/>
        <v>0</v>
      </c>
      <c r="I4">
        <f t="shared" si="1"/>
        <v>0</v>
      </c>
    </row>
    <row r="5" spans="1:9" x14ac:dyDescent="0.35">
      <c r="A5">
        <v>0</v>
      </c>
      <c r="B5" t="s">
        <v>64</v>
      </c>
      <c r="C5">
        <v>332</v>
      </c>
      <c r="D5">
        <v>0</v>
      </c>
      <c r="E5" s="29">
        <v>45608</v>
      </c>
      <c r="F5">
        <v>0</v>
      </c>
      <c r="G5">
        <v>3.74</v>
      </c>
      <c r="H5">
        <f t="shared" si="0"/>
        <v>0</v>
      </c>
      <c r="I5">
        <f t="shared" si="1"/>
        <v>0</v>
      </c>
    </row>
    <row r="6" spans="1:9" x14ac:dyDescent="0.35">
      <c r="A6">
        <v>0</v>
      </c>
      <c r="B6" t="s">
        <v>64</v>
      </c>
      <c r="C6">
        <v>336</v>
      </c>
      <c r="D6">
        <v>0</v>
      </c>
      <c r="E6" s="29">
        <v>45608</v>
      </c>
      <c r="F6">
        <v>0</v>
      </c>
      <c r="G6">
        <v>3.827</v>
      </c>
      <c r="H6">
        <f t="shared" si="0"/>
        <v>0</v>
      </c>
      <c r="I6">
        <f t="shared" si="1"/>
        <v>0</v>
      </c>
    </row>
    <row r="7" spans="1:9" x14ac:dyDescent="0.35">
      <c r="A7">
        <v>0</v>
      </c>
      <c r="B7" t="s">
        <v>64</v>
      </c>
      <c r="C7">
        <v>341</v>
      </c>
      <c r="D7">
        <v>0</v>
      </c>
      <c r="E7" s="29">
        <v>45608</v>
      </c>
      <c r="F7">
        <v>0</v>
      </c>
      <c r="G7">
        <v>3.6339999999999999</v>
      </c>
      <c r="H7">
        <f t="shared" si="0"/>
        <v>0</v>
      </c>
      <c r="I7">
        <f t="shared" si="1"/>
        <v>0</v>
      </c>
    </row>
    <row r="8" spans="1:9" x14ac:dyDescent="0.35">
      <c r="A8">
        <v>0</v>
      </c>
      <c r="B8" t="s">
        <v>65</v>
      </c>
      <c r="C8">
        <v>348</v>
      </c>
      <c r="D8">
        <v>0</v>
      </c>
      <c r="E8" s="29">
        <v>45608</v>
      </c>
      <c r="F8">
        <v>0</v>
      </c>
      <c r="G8">
        <v>5.1529999999999996</v>
      </c>
      <c r="H8">
        <f t="shared" si="0"/>
        <v>0</v>
      </c>
      <c r="I8">
        <f t="shared" si="1"/>
        <v>0</v>
      </c>
    </row>
    <row r="9" spans="1:9" x14ac:dyDescent="0.35">
      <c r="A9">
        <v>0</v>
      </c>
      <c r="B9" t="s">
        <v>65</v>
      </c>
      <c r="C9">
        <v>352</v>
      </c>
      <c r="D9">
        <v>0</v>
      </c>
      <c r="E9" s="29">
        <v>45608</v>
      </c>
      <c r="F9">
        <v>0</v>
      </c>
      <c r="G9">
        <v>5.2409999999999997</v>
      </c>
      <c r="H9">
        <f t="shared" si="0"/>
        <v>0</v>
      </c>
      <c r="I9">
        <f t="shared" si="1"/>
        <v>0</v>
      </c>
    </row>
    <row r="10" spans="1:9" x14ac:dyDescent="0.35">
      <c r="A10">
        <v>0</v>
      </c>
      <c r="B10" t="s">
        <v>65</v>
      </c>
      <c r="C10">
        <v>357</v>
      </c>
      <c r="D10">
        <v>0</v>
      </c>
      <c r="E10" s="29">
        <v>45608</v>
      </c>
      <c r="F10">
        <v>0</v>
      </c>
      <c r="G10">
        <v>5.1550000000000002</v>
      </c>
      <c r="H10">
        <f t="shared" si="0"/>
        <v>0</v>
      </c>
      <c r="I10">
        <f t="shared" si="1"/>
        <v>0</v>
      </c>
    </row>
    <row r="11" spans="1:9" x14ac:dyDescent="0.35">
      <c r="A11">
        <v>0</v>
      </c>
      <c r="B11" t="s">
        <v>66</v>
      </c>
      <c r="C11">
        <v>368</v>
      </c>
      <c r="D11">
        <v>0</v>
      </c>
      <c r="E11" s="29">
        <v>45608</v>
      </c>
      <c r="F11">
        <v>0</v>
      </c>
      <c r="G11">
        <v>5.7370000000000001</v>
      </c>
      <c r="H11">
        <f t="shared" si="0"/>
        <v>0</v>
      </c>
      <c r="I11">
        <f t="shared" si="1"/>
        <v>0</v>
      </c>
    </row>
    <row r="12" spans="1:9" x14ac:dyDescent="0.35">
      <c r="A12">
        <v>0</v>
      </c>
      <c r="B12" t="s">
        <v>66</v>
      </c>
      <c r="C12">
        <v>372</v>
      </c>
      <c r="D12">
        <v>0</v>
      </c>
      <c r="E12" s="29">
        <v>45608</v>
      </c>
      <c r="F12">
        <v>0</v>
      </c>
      <c r="G12">
        <v>6.1769999999999996</v>
      </c>
      <c r="H12">
        <f t="shared" si="0"/>
        <v>0</v>
      </c>
      <c r="I12">
        <f t="shared" si="1"/>
        <v>0</v>
      </c>
    </row>
    <row r="13" spans="1:9" x14ac:dyDescent="0.35">
      <c r="A13">
        <v>0</v>
      </c>
      <c r="B13" t="s">
        <v>66</v>
      </c>
      <c r="C13">
        <v>377</v>
      </c>
      <c r="D13">
        <v>0</v>
      </c>
      <c r="E13" s="29">
        <v>45608</v>
      </c>
      <c r="F13">
        <v>0</v>
      </c>
      <c r="G13">
        <v>6.0330000000000004</v>
      </c>
      <c r="H13">
        <f t="shared" si="0"/>
        <v>0</v>
      </c>
      <c r="I13">
        <f t="shared" si="1"/>
        <v>0</v>
      </c>
    </row>
    <row r="14" spans="1:9" x14ac:dyDescent="0.35">
      <c r="A14">
        <v>0</v>
      </c>
      <c r="B14" t="s">
        <v>58</v>
      </c>
      <c r="C14">
        <v>384</v>
      </c>
      <c r="D14">
        <v>0</v>
      </c>
      <c r="E14" s="29">
        <v>45608</v>
      </c>
      <c r="F14">
        <v>0</v>
      </c>
      <c r="G14">
        <v>2.8769999999999998</v>
      </c>
      <c r="H14">
        <f t="shared" si="0"/>
        <v>0</v>
      </c>
      <c r="I14">
        <f t="shared" si="1"/>
        <v>0</v>
      </c>
    </row>
    <row r="15" spans="1:9" x14ac:dyDescent="0.35">
      <c r="A15">
        <v>0</v>
      </c>
      <c r="B15" t="s">
        <v>58</v>
      </c>
      <c r="C15">
        <v>387</v>
      </c>
      <c r="D15">
        <v>0</v>
      </c>
      <c r="E15" s="29">
        <v>45608</v>
      </c>
      <c r="F15">
        <v>0</v>
      </c>
      <c r="G15">
        <v>3.04</v>
      </c>
      <c r="H15">
        <f t="shared" si="0"/>
        <v>0</v>
      </c>
      <c r="I15">
        <f t="shared" si="1"/>
        <v>0</v>
      </c>
    </row>
    <row r="16" spans="1:9" x14ac:dyDescent="0.35">
      <c r="A16">
        <v>0</v>
      </c>
      <c r="B16" t="s">
        <v>58</v>
      </c>
      <c r="C16">
        <v>392</v>
      </c>
      <c r="D16">
        <v>0</v>
      </c>
      <c r="E16" s="29">
        <v>45608</v>
      </c>
      <c r="F16">
        <v>0</v>
      </c>
      <c r="G16">
        <v>3.161</v>
      </c>
      <c r="H16">
        <f t="shared" si="0"/>
        <v>0</v>
      </c>
      <c r="I16">
        <f t="shared" si="1"/>
        <v>0</v>
      </c>
    </row>
    <row r="17" spans="1:9" x14ac:dyDescent="0.35">
      <c r="A17">
        <v>0</v>
      </c>
      <c r="B17" t="s">
        <v>59</v>
      </c>
      <c r="C17">
        <v>399</v>
      </c>
      <c r="D17">
        <v>0</v>
      </c>
      <c r="E17" s="29">
        <v>45608</v>
      </c>
      <c r="F17">
        <v>0</v>
      </c>
      <c r="G17">
        <v>3.1389999999999998</v>
      </c>
      <c r="H17">
        <f t="shared" si="0"/>
        <v>0</v>
      </c>
      <c r="I17">
        <f t="shared" si="1"/>
        <v>0</v>
      </c>
    </row>
    <row r="18" spans="1:9" x14ac:dyDescent="0.35">
      <c r="A18">
        <v>0</v>
      </c>
      <c r="B18" t="s">
        <v>59</v>
      </c>
      <c r="C18">
        <v>403</v>
      </c>
      <c r="D18">
        <v>0</v>
      </c>
      <c r="E18" s="29">
        <v>45608</v>
      </c>
      <c r="F18">
        <v>0</v>
      </c>
      <c r="G18">
        <v>3.21</v>
      </c>
      <c r="H18">
        <f t="shared" si="0"/>
        <v>0</v>
      </c>
      <c r="I18">
        <f t="shared" si="1"/>
        <v>0</v>
      </c>
    </row>
    <row r="19" spans="1:9" x14ac:dyDescent="0.35">
      <c r="A19">
        <v>0</v>
      </c>
      <c r="B19" t="s">
        <v>59</v>
      </c>
      <c r="C19">
        <v>408</v>
      </c>
      <c r="D19">
        <v>0</v>
      </c>
      <c r="E19" s="29">
        <v>45608</v>
      </c>
      <c r="F19">
        <v>0</v>
      </c>
      <c r="G19">
        <v>3.1240000000000001</v>
      </c>
      <c r="H19">
        <f t="shared" si="0"/>
        <v>0</v>
      </c>
      <c r="I19">
        <f t="shared" si="1"/>
        <v>0</v>
      </c>
    </row>
    <row r="20" spans="1:9" x14ac:dyDescent="0.35">
      <c r="A20">
        <v>0</v>
      </c>
      <c r="B20" t="s">
        <v>60</v>
      </c>
      <c r="C20">
        <v>419</v>
      </c>
      <c r="D20">
        <v>0</v>
      </c>
      <c r="E20" s="29">
        <v>45608</v>
      </c>
      <c r="F20">
        <v>0</v>
      </c>
      <c r="G20">
        <v>4.0279999999999996</v>
      </c>
      <c r="H20">
        <f t="shared" si="0"/>
        <v>0</v>
      </c>
      <c r="I20">
        <f t="shared" si="1"/>
        <v>0</v>
      </c>
    </row>
    <row r="21" spans="1:9" x14ac:dyDescent="0.35">
      <c r="A21">
        <v>0</v>
      </c>
      <c r="B21" t="s">
        <v>60</v>
      </c>
      <c r="C21">
        <v>423</v>
      </c>
      <c r="D21">
        <v>0</v>
      </c>
      <c r="E21" s="29">
        <v>45608</v>
      </c>
      <c r="F21">
        <v>0</v>
      </c>
      <c r="G21">
        <v>4.0880000000000001</v>
      </c>
      <c r="H21">
        <f t="shared" si="0"/>
        <v>0</v>
      </c>
      <c r="I21">
        <f t="shared" si="1"/>
        <v>0</v>
      </c>
    </row>
    <row r="22" spans="1:9" x14ac:dyDescent="0.35">
      <c r="A22">
        <v>0</v>
      </c>
      <c r="B22" t="s">
        <v>60</v>
      </c>
      <c r="C22">
        <v>428</v>
      </c>
      <c r="D22">
        <v>0</v>
      </c>
      <c r="E22" s="29">
        <v>45608</v>
      </c>
      <c r="F22">
        <v>0</v>
      </c>
      <c r="G22">
        <v>3.8370000000000002</v>
      </c>
      <c r="H22">
        <f t="shared" si="0"/>
        <v>0</v>
      </c>
      <c r="I22">
        <f t="shared" si="1"/>
        <v>0</v>
      </c>
    </row>
    <row r="23" spans="1:9" x14ac:dyDescent="0.35">
      <c r="A23">
        <v>0</v>
      </c>
      <c r="B23" t="s">
        <v>61</v>
      </c>
      <c r="C23">
        <v>439</v>
      </c>
      <c r="D23">
        <v>0</v>
      </c>
      <c r="E23" s="29">
        <v>45608</v>
      </c>
      <c r="F23">
        <v>0</v>
      </c>
      <c r="G23">
        <v>2.8769999999999998</v>
      </c>
      <c r="H23">
        <f t="shared" si="0"/>
        <v>0</v>
      </c>
      <c r="I23">
        <f t="shared" si="1"/>
        <v>0</v>
      </c>
    </row>
    <row r="24" spans="1:9" x14ac:dyDescent="0.35">
      <c r="A24">
        <v>0</v>
      </c>
      <c r="B24" t="s">
        <v>61</v>
      </c>
      <c r="C24">
        <v>443</v>
      </c>
      <c r="D24">
        <v>0</v>
      </c>
      <c r="E24" s="29">
        <v>45608</v>
      </c>
      <c r="F24">
        <v>0</v>
      </c>
      <c r="G24">
        <v>2.91</v>
      </c>
      <c r="H24">
        <f t="shared" si="0"/>
        <v>0</v>
      </c>
      <c r="I24">
        <f t="shared" si="1"/>
        <v>0</v>
      </c>
    </row>
    <row r="25" spans="1:9" x14ac:dyDescent="0.35">
      <c r="A25">
        <v>0</v>
      </c>
      <c r="B25" t="s">
        <v>61</v>
      </c>
      <c r="C25">
        <v>448</v>
      </c>
      <c r="D25">
        <v>0</v>
      </c>
      <c r="E25" s="29">
        <v>45608</v>
      </c>
      <c r="F25">
        <v>0</v>
      </c>
      <c r="G25">
        <v>2.843</v>
      </c>
      <c r="H25">
        <f t="shared" si="0"/>
        <v>0</v>
      </c>
      <c r="I25">
        <f t="shared" si="1"/>
        <v>0</v>
      </c>
    </row>
    <row r="26" spans="1:9" x14ac:dyDescent="0.35">
      <c r="A26">
        <v>2</v>
      </c>
      <c r="B26" t="s">
        <v>63</v>
      </c>
      <c r="C26">
        <v>295</v>
      </c>
      <c r="D26">
        <v>0</v>
      </c>
      <c r="E26" s="29">
        <v>45608</v>
      </c>
      <c r="F26">
        <v>0</v>
      </c>
      <c r="G26">
        <v>5.0549999999999997</v>
      </c>
      <c r="H26">
        <f t="shared" si="0"/>
        <v>0</v>
      </c>
      <c r="I26">
        <f t="shared" si="1"/>
        <v>0</v>
      </c>
    </row>
    <row r="27" spans="1:9" x14ac:dyDescent="0.35">
      <c r="A27">
        <v>2</v>
      </c>
      <c r="B27" t="s">
        <v>63</v>
      </c>
      <c r="C27">
        <v>298</v>
      </c>
      <c r="D27">
        <v>0</v>
      </c>
      <c r="E27" s="29">
        <v>45608</v>
      </c>
      <c r="F27">
        <v>0</v>
      </c>
      <c r="G27">
        <v>5.4080000000000004</v>
      </c>
      <c r="H27">
        <f t="shared" si="0"/>
        <v>0</v>
      </c>
      <c r="I27">
        <f t="shared" si="1"/>
        <v>0</v>
      </c>
    </row>
    <row r="28" spans="1:9" x14ac:dyDescent="0.35">
      <c r="A28">
        <v>2</v>
      </c>
      <c r="B28" t="s">
        <v>63</v>
      </c>
      <c r="C28">
        <v>301</v>
      </c>
      <c r="D28">
        <v>0</v>
      </c>
      <c r="E28" s="29">
        <v>45608</v>
      </c>
      <c r="F28">
        <v>0</v>
      </c>
      <c r="G28">
        <v>5.218</v>
      </c>
      <c r="H28">
        <f t="shared" si="0"/>
        <v>0</v>
      </c>
      <c r="I28">
        <f t="shared" si="1"/>
        <v>0</v>
      </c>
    </row>
    <row r="29" spans="1:9" x14ac:dyDescent="0.35">
      <c r="A29">
        <v>2</v>
      </c>
      <c r="B29" t="s">
        <v>64</v>
      </c>
      <c r="C29">
        <v>6</v>
      </c>
      <c r="D29">
        <v>0</v>
      </c>
      <c r="E29" s="29">
        <v>45608</v>
      </c>
      <c r="F29">
        <v>0</v>
      </c>
      <c r="G29">
        <v>3.7240000000000002</v>
      </c>
      <c r="H29">
        <f t="shared" si="0"/>
        <v>0</v>
      </c>
      <c r="I29">
        <f t="shared" si="1"/>
        <v>0</v>
      </c>
    </row>
    <row r="30" spans="1:9" x14ac:dyDescent="0.35">
      <c r="A30">
        <v>2</v>
      </c>
      <c r="B30" t="s">
        <v>64</v>
      </c>
      <c r="C30">
        <v>10</v>
      </c>
      <c r="D30">
        <v>0</v>
      </c>
      <c r="E30" s="29">
        <v>45608</v>
      </c>
      <c r="F30">
        <v>0</v>
      </c>
      <c r="G30">
        <v>3.6709999999999998</v>
      </c>
      <c r="H30">
        <f t="shared" si="0"/>
        <v>0</v>
      </c>
      <c r="I30">
        <f t="shared" si="1"/>
        <v>0</v>
      </c>
    </row>
    <row r="31" spans="1:9" x14ac:dyDescent="0.35">
      <c r="A31">
        <v>2</v>
      </c>
      <c r="B31" t="s">
        <v>64</v>
      </c>
      <c r="C31">
        <v>14</v>
      </c>
      <c r="D31">
        <v>0</v>
      </c>
      <c r="E31" s="29">
        <v>45608</v>
      </c>
      <c r="F31">
        <v>0</v>
      </c>
      <c r="G31">
        <v>3.8650000000000002</v>
      </c>
      <c r="H31">
        <f t="shared" si="0"/>
        <v>0</v>
      </c>
      <c r="I31">
        <f t="shared" si="1"/>
        <v>0</v>
      </c>
    </row>
    <row r="32" spans="1:9" x14ac:dyDescent="0.35">
      <c r="A32">
        <v>4</v>
      </c>
      <c r="B32" t="s">
        <v>64</v>
      </c>
      <c r="C32">
        <v>26</v>
      </c>
      <c r="D32">
        <v>0</v>
      </c>
      <c r="E32" s="29">
        <v>45608</v>
      </c>
      <c r="F32">
        <v>0</v>
      </c>
      <c r="G32">
        <v>4.22</v>
      </c>
      <c r="H32">
        <f t="shared" si="0"/>
        <v>0</v>
      </c>
      <c r="I32">
        <f t="shared" si="1"/>
        <v>0</v>
      </c>
    </row>
    <row r="33" spans="1:9" x14ac:dyDescent="0.35">
      <c r="A33">
        <v>4</v>
      </c>
      <c r="B33" t="s">
        <v>64</v>
      </c>
      <c r="C33">
        <v>30</v>
      </c>
      <c r="D33">
        <v>0</v>
      </c>
      <c r="E33" s="29">
        <v>45608</v>
      </c>
      <c r="F33">
        <v>0</v>
      </c>
      <c r="G33">
        <v>4.1959999999999997</v>
      </c>
      <c r="H33">
        <f t="shared" si="0"/>
        <v>0</v>
      </c>
      <c r="I33">
        <f t="shared" si="1"/>
        <v>0</v>
      </c>
    </row>
    <row r="34" spans="1:9" x14ac:dyDescent="0.35">
      <c r="A34">
        <v>4</v>
      </c>
      <c r="B34" t="s">
        <v>64</v>
      </c>
      <c r="C34">
        <v>34</v>
      </c>
      <c r="D34">
        <v>0</v>
      </c>
      <c r="E34" s="29">
        <v>45608</v>
      </c>
      <c r="F34">
        <v>0</v>
      </c>
      <c r="G34">
        <v>4.2309999999999999</v>
      </c>
      <c r="H34">
        <f t="shared" si="0"/>
        <v>0</v>
      </c>
      <c r="I34">
        <f t="shared" si="1"/>
        <v>0</v>
      </c>
    </row>
    <row r="35" spans="1:9" x14ac:dyDescent="0.35">
      <c r="A35">
        <v>2</v>
      </c>
      <c r="B35" t="s">
        <v>65</v>
      </c>
      <c r="C35">
        <v>46</v>
      </c>
      <c r="D35">
        <v>0</v>
      </c>
      <c r="E35" s="29">
        <v>45608</v>
      </c>
      <c r="F35">
        <v>0</v>
      </c>
      <c r="G35">
        <v>5.0439999999999996</v>
      </c>
      <c r="H35">
        <f t="shared" si="0"/>
        <v>0</v>
      </c>
      <c r="I35">
        <f t="shared" si="1"/>
        <v>0</v>
      </c>
    </row>
    <row r="36" spans="1:9" x14ac:dyDescent="0.35">
      <c r="A36">
        <v>2</v>
      </c>
      <c r="B36" t="s">
        <v>65</v>
      </c>
      <c r="C36">
        <v>50</v>
      </c>
      <c r="D36">
        <v>0</v>
      </c>
      <c r="E36" s="29">
        <v>45608</v>
      </c>
      <c r="F36">
        <v>0</v>
      </c>
      <c r="G36">
        <v>5.4089999999999998</v>
      </c>
      <c r="H36">
        <f t="shared" si="0"/>
        <v>0</v>
      </c>
      <c r="I36">
        <f t="shared" si="1"/>
        <v>0</v>
      </c>
    </row>
    <row r="37" spans="1:9" x14ac:dyDescent="0.35">
      <c r="A37">
        <v>2</v>
      </c>
      <c r="B37" t="s">
        <v>65</v>
      </c>
      <c r="C37">
        <v>54</v>
      </c>
      <c r="D37">
        <v>0</v>
      </c>
      <c r="E37" s="29">
        <v>45608</v>
      </c>
      <c r="F37">
        <v>0</v>
      </c>
      <c r="G37">
        <v>5.1749999999999998</v>
      </c>
      <c r="H37">
        <f t="shared" si="0"/>
        <v>0</v>
      </c>
      <c r="I37">
        <f t="shared" si="1"/>
        <v>0</v>
      </c>
    </row>
    <row r="38" spans="1:9" x14ac:dyDescent="0.35">
      <c r="A38">
        <v>4</v>
      </c>
      <c r="B38" t="s">
        <v>65</v>
      </c>
      <c r="C38">
        <v>67</v>
      </c>
      <c r="D38">
        <v>0</v>
      </c>
      <c r="E38" s="29">
        <v>45608</v>
      </c>
      <c r="F38">
        <v>0</v>
      </c>
      <c r="G38">
        <v>4.4749999999999996</v>
      </c>
      <c r="H38">
        <f t="shared" si="0"/>
        <v>0</v>
      </c>
      <c r="I38">
        <f t="shared" si="1"/>
        <v>0</v>
      </c>
    </row>
    <row r="39" spans="1:9" x14ac:dyDescent="0.35">
      <c r="A39">
        <v>4</v>
      </c>
      <c r="B39" t="s">
        <v>65</v>
      </c>
      <c r="C39">
        <v>71</v>
      </c>
      <c r="D39">
        <v>0</v>
      </c>
      <c r="E39" s="29">
        <v>45608</v>
      </c>
      <c r="F39">
        <v>0</v>
      </c>
      <c r="G39">
        <v>4.8330000000000002</v>
      </c>
      <c r="H39">
        <f t="shared" si="0"/>
        <v>0</v>
      </c>
      <c r="I39">
        <f t="shared" si="1"/>
        <v>0</v>
      </c>
    </row>
    <row r="40" spans="1:9" x14ac:dyDescent="0.35">
      <c r="A40">
        <v>4</v>
      </c>
      <c r="B40" t="s">
        <v>65</v>
      </c>
      <c r="C40">
        <v>75</v>
      </c>
      <c r="D40">
        <v>0</v>
      </c>
      <c r="E40" s="29">
        <v>45608</v>
      </c>
      <c r="F40">
        <v>0</v>
      </c>
      <c r="G40">
        <v>5.0369999999999999</v>
      </c>
      <c r="H40">
        <f t="shared" si="0"/>
        <v>0</v>
      </c>
      <c r="I40">
        <f t="shared" si="1"/>
        <v>0</v>
      </c>
    </row>
    <row r="41" spans="1:9" x14ac:dyDescent="0.35">
      <c r="A41">
        <v>2</v>
      </c>
      <c r="B41" t="s">
        <v>66</v>
      </c>
      <c r="C41">
        <v>87</v>
      </c>
      <c r="D41">
        <v>0</v>
      </c>
      <c r="E41" s="29">
        <v>45608</v>
      </c>
      <c r="F41">
        <v>0</v>
      </c>
      <c r="G41">
        <v>5.1820000000000004</v>
      </c>
      <c r="H41">
        <f t="shared" si="0"/>
        <v>0</v>
      </c>
      <c r="I41">
        <f t="shared" si="1"/>
        <v>0</v>
      </c>
    </row>
    <row r="42" spans="1:9" x14ac:dyDescent="0.35">
      <c r="A42">
        <v>2</v>
      </c>
      <c r="B42" t="s">
        <v>66</v>
      </c>
      <c r="C42">
        <v>91</v>
      </c>
      <c r="D42">
        <v>0</v>
      </c>
      <c r="E42" s="29">
        <v>45608</v>
      </c>
      <c r="F42">
        <v>0</v>
      </c>
      <c r="G42">
        <v>5.0339999999999998</v>
      </c>
      <c r="H42">
        <f t="shared" si="0"/>
        <v>0</v>
      </c>
      <c r="I42">
        <f t="shared" si="1"/>
        <v>0</v>
      </c>
    </row>
    <row r="43" spans="1:9" x14ac:dyDescent="0.35">
      <c r="A43">
        <v>2</v>
      </c>
      <c r="B43" t="s">
        <v>66</v>
      </c>
      <c r="C43">
        <v>95</v>
      </c>
      <c r="D43">
        <v>0</v>
      </c>
      <c r="E43" s="29">
        <v>45608</v>
      </c>
      <c r="F43">
        <v>0</v>
      </c>
      <c r="G43">
        <v>5.39</v>
      </c>
      <c r="H43">
        <f t="shared" si="0"/>
        <v>0</v>
      </c>
      <c r="I43">
        <f t="shared" si="1"/>
        <v>0</v>
      </c>
    </row>
    <row r="44" spans="1:9" x14ac:dyDescent="0.35">
      <c r="A44">
        <v>4</v>
      </c>
      <c r="B44" t="s">
        <v>66</v>
      </c>
      <c r="C44">
        <v>107</v>
      </c>
      <c r="D44">
        <v>0</v>
      </c>
      <c r="E44" s="29">
        <v>45608</v>
      </c>
      <c r="F44">
        <v>0</v>
      </c>
      <c r="G44">
        <v>5.7370000000000001</v>
      </c>
      <c r="H44">
        <f t="shared" si="0"/>
        <v>0</v>
      </c>
      <c r="I44">
        <f t="shared" si="1"/>
        <v>0</v>
      </c>
    </row>
    <row r="45" spans="1:9" x14ac:dyDescent="0.35">
      <c r="A45">
        <v>4</v>
      </c>
      <c r="B45" t="s">
        <v>66</v>
      </c>
      <c r="C45">
        <v>111</v>
      </c>
      <c r="D45">
        <v>0</v>
      </c>
      <c r="E45" s="29">
        <v>45608</v>
      </c>
      <c r="F45">
        <v>0</v>
      </c>
      <c r="G45">
        <v>5.9829999999999997</v>
      </c>
      <c r="H45">
        <f t="shared" si="0"/>
        <v>0</v>
      </c>
      <c r="I45">
        <f t="shared" si="1"/>
        <v>0</v>
      </c>
    </row>
    <row r="46" spans="1:9" x14ac:dyDescent="0.35">
      <c r="A46">
        <v>4</v>
      </c>
      <c r="B46" t="s">
        <v>66</v>
      </c>
      <c r="C46">
        <v>115</v>
      </c>
      <c r="D46">
        <v>0</v>
      </c>
      <c r="E46" s="29">
        <v>45608</v>
      </c>
      <c r="F46">
        <v>0</v>
      </c>
      <c r="G46">
        <v>5.6390000000000002</v>
      </c>
      <c r="H46">
        <f t="shared" si="0"/>
        <v>0</v>
      </c>
      <c r="I46">
        <f t="shared" si="1"/>
        <v>0</v>
      </c>
    </row>
    <row r="47" spans="1:9" x14ac:dyDescent="0.35">
      <c r="A47">
        <v>2</v>
      </c>
      <c r="B47" t="s">
        <v>58</v>
      </c>
      <c r="C47">
        <v>128</v>
      </c>
      <c r="D47">
        <v>0</v>
      </c>
      <c r="E47" s="29">
        <v>45608</v>
      </c>
      <c r="F47">
        <v>0</v>
      </c>
      <c r="G47">
        <v>2.456</v>
      </c>
      <c r="H47">
        <f t="shared" si="0"/>
        <v>0</v>
      </c>
      <c r="I47">
        <f t="shared" si="1"/>
        <v>0</v>
      </c>
    </row>
    <row r="48" spans="1:9" x14ac:dyDescent="0.35">
      <c r="A48">
        <v>2</v>
      </c>
      <c r="B48" t="s">
        <v>58</v>
      </c>
      <c r="C48">
        <v>133</v>
      </c>
      <c r="D48">
        <v>0</v>
      </c>
      <c r="E48" s="29">
        <v>45608</v>
      </c>
      <c r="F48">
        <v>0</v>
      </c>
      <c r="G48">
        <v>2.3740000000000001</v>
      </c>
      <c r="H48">
        <f t="shared" si="0"/>
        <v>0</v>
      </c>
      <c r="I48">
        <f t="shared" si="1"/>
        <v>0</v>
      </c>
    </row>
    <row r="49" spans="1:9" x14ac:dyDescent="0.35">
      <c r="A49">
        <v>2</v>
      </c>
      <c r="B49" t="s">
        <v>58</v>
      </c>
      <c r="C49">
        <v>139</v>
      </c>
      <c r="D49">
        <v>0</v>
      </c>
      <c r="E49" s="29">
        <v>45608</v>
      </c>
      <c r="F49">
        <v>0</v>
      </c>
      <c r="G49">
        <v>2.3769999999999998</v>
      </c>
      <c r="H49">
        <f t="shared" si="0"/>
        <v>0</v>
      </c>
      <c r="I49">
        <f t="shared" si="1"/>
        <v>0</v>
      </c>
    </row>
    <row r="50" spans="1:9" x14ac:dyDescent="0.35">
      <c r="A50">
        <v>4</v>
      </c>
      <c r="B50" t="s">
        <v>58</v>
      </c>
      <c r="C50">
        <v>150</v>
      </c>
      <c r="D50">
        <v>0</v>
      </c>
      <c r="E50" s="29">
        <v>45608</v>
      </c>
      <c r="F50">
        <v>0</v>
      </c>
      <c r="G50">
        <v>3</v>
      </c>
      <c r="H50">
        <f t="shared" si="0"/>
        <v>0</v>
      </c>
      <c r="I50">
        <f t="shared" si="1"/>
        <v>0</v>
      </c>
    </row>
    <row r="51" spans="1:9" x14ac:dyDescent="0.35">
      <c r="A51">
        <v>4</v>
      </c>
      <c r="B51" t="s">
        <v>58</v>
      </c>
      <c r="C51">
        <v>156</v>
      </c>
      <c r="D51">
        <v>0</v>
      </c>
      <c r="E51" s="29">
        <v>45608</v>
      </c>
      <c r="F51">
        <v>0</v>
      </c>
      <c r="G51">
        <v>3.43</v>
      </c>
      <c r="H51">
        <f t="shared" si="0"/>
        <v>0</v>
      </c>
      <c r="I51">
        <f t="shared" si="1"/>
        <v>0</v>
      </c>
    </row>
    <row r="52" spans="1:9" x14ac:dyDescent="0.35">
      <c r="A52">
        <v>4</v>
      </c>
      <c r="B52" t="s">
        <v>58</v>
      </c>
      <c r="C52">
        <v>158</v>
      </c>
      <c r="D52">
        <v>0</v>
      </c>
      <c r="E52" s="29">
        <v>45608</v>
      </c>
      <c r="F52">
        <v>0</v>
      </c>
      <c r="G52">
        <v>2.8330000000000002</v>
      </c>
      <c r="H52">
        <f t="shared" si="0"/>
        <v>0</v>
      </c>
      <c r="I52">
        <f t="shared" si="1"/>
        <v>0</v>
      </c>
    </row>
    <row r="53" spans="1:9" x14ac:dyDescent="0.35">
      <c r="A53">
        <v>2</v>
      </c>
      <c r="B53" t="s">
        <v>59</v>
      </c>
      <c r="C53">
        <v>191</v>
      </c>
      <c r="D53">
        <v>0</v>
      </c>
      <c r="E53" s="29">
        <v>45608</v>
      </c>
      <c r="F53">
        <v>0</v>
      </c>
      <c r="G53">
        <v>3.097</v>
      </c>
      <c r="H53">
        <f t="shared" si="0"/>
        <v>0</v>
      </c>
      <c r="I53">
        <f t="shared" si="1"/>
        <v>0</v>
      </c>
    </row>
    <row r="54" spans="1:9" x14ac:dyDescent="0.35">
      <c r="A54">
        <v>2</v>
      </c>
      <c r="B54" t="s">
        <v>59</v>
      </c>
      <c r="C54">
        <v>197</v>
      </c>
      <c r="D54">
        <v>0</v>
      </c>
      <c r="E54" s="29">
        <v>45608</v>
      </c>
      <c r="F54">
        <v>0</v>
      </c>
      <c r="G54">
        <v>3.1440000000000001</v>
      </c>
      <c r="H54">
        <f t="shared" si="0"/>
        <v>0</v>
      </c>
      <c r="I54">
        <f t="shared" si="1"/>
        <v>0</v>
      </c>
    </row>
    <row r="55" spans="1:9" x14ac:dyDescent="0.35">
      <c r="A55">
        <v>2</v>
      </c>
      <c r="B55" t="s">
        <v>59</v>
      </c>
      <c r="C55">
        <v>204</v>
      </c>
      <c r="D55">
        <v>0</v>
      </c>
      <c r="E55" s="29">
        <v>45608</v>
      </c>
      <c r="F55">
        <v>0</v>
      </c>
      <c r="G55">
        <v>2.9630000000000001</v>
      </c>
      <c r="H55">
        <f t="shared" si="0"/>
        <v>0</v>
      </c>
      <c r="I55">
        <f t="shared" si="1"/>
        <v>0</v>
      </c>
    </row>
    <row r="56" spans="1:9" x14ac:dyDescent="0.35">
      <c r="A56">
        <v>4</v>
      </c>
      <c r="B56" t="s">
        <v>59</v>
      </c>
      <c r="C56">
        <v>233</v>
      </c>
      <c r="D56">
        <v>0</v>
      </c>
      <c r="E56" s="29">
        <v>45608</v>
      </c>
      <c r="F56">
        <v>0</v>
      </c>
      <c r="G56">
        <v>3.226</v>
      </c>
      <c r="H56">
        <f t="shared" si="0"/>
        <v>0</v>
      </c>
      <c r="I56">
        <f t="shared" si="1"/>
        <v>0</v>
      </c>
    </row>
    <row r="57" spans="1:9" x14ac:dyDescent="0.35">
      <c r="A57">
        <v>4</v>
      </c>
      <c r="B57" t="s">
        <v>59</v>
      </c>
      <c r="C57">
        <v>239</v>
      </c>
      <c r="D57">
        <v>0</v>
      </c>
      <c r="E57" s="29">
        <v>45608</v>
      </c>
      <c r="F57">
        <v>0</v>
      </c>
      <c r="G57">
        <v>3.327</v>
      </c>
      <c r="H57">
        <f t="shared" si="0"/>
        <v>0</v>
      </c>
      <c r="I57">
        <f t="shared" si="1"/>
        <v>0</v>
      </c>
    </row>
    <row r="58" spans="1:9" x14ac:dyDescent="0.35">
      <c r="A58">
        <v>4</v>
      </c>
      <c r="B58" t="s">
        <v>59</v>
      </c>
      <c r="C58">
        <v>242</v>
      </c>
      <c r="D58">
        <v>0</v>
      </c>
      <c r="E58" s="29">
        <v>45608</v>
      </c>
      <c r="F58">
        <v>0</v>
      </c>
      <c r="G58">
        <v>3.258</v>
      </c>
      <c r="H58">
        <f t="shared" si="0"/>
        <v>0</v>
      </c>
      <c r="I58">
        <f t="shared" si="1"/>
        <v>0</v>
      </c>
    </row>
    <row r="59" spans="1:9" x14ac:dyDescent="0.35">
      <c r="A59">
        <v>2</v>
      </c>
      <c r="B59" t="s">
        <v>62</v>
      </c>
      <c r="C59">
        <v>255</v>
      </c>
      <c r="D59">
        <v>0</v>
      </c>
      <c r="E59" s="29">
        <v>45608</v>
      </c>
      <c r="F59">
        <v>0</v>
      </c>
      <c r="G59">
        <v>3.5379999999999998</v>
      </c>
      <c r="H59">
        <f t="shared" si="0"/>
        <v>0</v>
      </c>
      <c r="I59">
        <f t="shared" si="1"/>
        <v>0</v>
      </c>
    </row>
    <row r="60" spans="1:9" x14ac:dyDescent="0.35">
      <c r="A60">
        <v>2</v>
      </c>
      <c r="B60" t="s">
        <v>62</v>
      </c>
      <c r="C60">
        <v>264</v>
      </c>
      <c r="D60">
        <v>0</v>
      </c>
      <c r="E60" s="29">
        <v>45608</v>
      </c>
      <c r="F60">
        <v>0</v>
      </c>
      <c r="G60">
        <v>3.0169999999999999</v>
      </c>
      <c r="H60">
        <f t="shared" si="0"/>
        <v>0</v>
      </c>
      <c r="I60">
        <f t="shared" si="1"/>
        <v>0</v>
      </c>
    </row>
    <row r="61" spans="1:9" x14ac:dyDescent="0.35">
      <c r="A61">
        <v>2</v>
      </c>
      <c r="B61" t="s">
        <v>62</v>
      </c>
      <c r="C61">
        <v>270</v>
      </c>
      <c r="D61">
        <v>0</v>
      </c>
      <c r="E61" s="29">
        <v>45608</v>
      </c>
      <c r="F61">
        <v>0</v>
      </c>
      <c r="G61">
        <v>3.6280000000000001</v>
      </c>
      <c r="H61">
        <f t="shared" si="0"/>
        <v>0</v>
      </c>
      <c r="I61">
        <f t="shared" si="1"/>
        <v>0</v>
      </c>
    </row>
    <row r="62" spans="1:9" x14ac:dyDescent="0.35">
      <c r="A62">
        <v>4</v>
      </c>
      <c r="B62" t="s">
        <v>62</v>
      </c>
      <c r="C62">
        <v>274</v>
      </c>
      <c r="D62">
        <v>0</v>
      </c>
      <c r="E62" s="29">
        <v>45608</v>
      </c>
      <c r="F62">
        <v>0</v>
      </c>
      <c r="G62">
        <v>3.931</v>
      </c>
      <c r="H62">
        <f t="shared" si="0"/>
        <v>0</v>
      </c>
      <c r="I62">
        <f t="shared" si="1"/>
        <v>0</v>
      </c>
    </row>
    <row r="63" spans="1:9" x14ac:dyDescent="0.35">
      <c r="A63">
        <v>4</v>
      </c>
      <c r="B63" t="s">
        <v>62</v>
      </c>
      <c r="C63">
        <v>277</v>
      </c>
      <c r="D63">
        <v>0</v>
      </c>
      <c r="E63" s="29">
        <v>45608</v>
      </c>
      <c r="F63">
        <v>0</v>
      </c>
      <c r="G63">
        <v>3.8929999999999998</v>
      </c>
      <c r="H63">
        <f t="shared" si="0"/>
        <v>0</v>
      </c>
      <c r="I63">
        <f t="shared" si="1"/>
        <v>0</v>
      </c>
    </row>
    <row r="64" spans="1:9" x14ac:dyDescent="0.35">
      <c r="A64">
        <v>4</v>
      </c>
      <c r="B64" t="s">
        <v>62</v>
      </c>
      <c r="C64">
        <v>282</v>
      </c>
      <c r="D64">
        <v>0</v>
      </c>
      <c r="E64" s="29">
        <v>45608</v>
      </c>
      <c r="F64">
        <v>0</v>
      </c>
      <c r="G64">
        <v>3.6789999999999998</v>
      </c>
      <c r="H64">
        <f t="shared" si="0"/>
        <v>0</v>
      </c>
      <c r="I64">
        <f t="shared" si="1"/>
        <v>0</v>
      </c>
    </row>
    <row r="65" spans="1:9" x14ac:dyDescent="0.35">
      <c r="A65">
        <v>2</v>
      </c>
      <c r="B65" t="s">
        <v>61</v>
      </c>
      <c r="C65">
        <v>166</v>
      </c>
      <c r="D65">
        <v>0</v>
      </c>
      <c r="E65" s="29">
        <v>45608</v>
      </c>
      <c r="F65">
        <v>0</v>
      </c>
      <c r="G65">
        <v>2.6269999999999998</v>
      </c>
      <c r="H65">
        <f t="shared" si="0"/>
        <v>0</v>
      </c>
      <c r="I65">
        <f t="shared" si="1"/>
        <v>0</v>
      </c>
    </row>
    <row r="66" spans="1:9" x14ac:dyDescent="0.35">
      <c r="A66">
        <v>2</v>
      </c>
      <c r="B66" t="s">
        <v>61</v>
      </c>
      <c r="C66">
        <v>172</v>
      </c>
      <c r="D66">
        <v>0</v>
      </c>
      <c r="E66" s="29">
        <v>45608</v>
      </c>
      <c r="F66">
        <v>0</v>
      </c>
      <c r="G66">
        <v>2.4329999999999998</v>
      </c>
      <c r="H66">
        <f t="shared" si="0"/>
        <v>0</v>
      </c>
      <c r="I66">
        <f t="shared" si="1"/>
        <v>0</v>
      </c>
    </row>
    <row r="67" spans="1:9" x14ac:dyDescent="0.35">
      <c r="A67">
        <v>2</v>
      </c>
      <c r="B67" t="s">
        <v>61</v>
      </c>
      <c r="C67">
        <v>175</v>
      </c>
      <c r="D67">
        <v>0</v>
      </c>
      <c r="E67" s="29">
        <v>45608</v>
      </c>
      <c r="F67">
        <v>0</v>
      </c>
      <c r="G67">
        <v>2.6139999999999999</v>
      </c>
      <c r="H67">
        <f t="shared" ref="H67:H71" si="2">G67-G67</f>
        <v>0</v>
      </c>
      <c r="I67">
        <f t="shared" ref="I67:I130" si="3">H67/27*100</f>
        <v>0</v>
      </c>
    </row>
    <row r="68" spans="1:9" x14ac:dyDescent="0.35">
      <c r="A68">
        <v>4</v>
      </c>
      <c r="B68" t="s">
        <v>61</v>
      </c>
      <c r="C68">
        <v>211</v>
      </c>
      <c r="D68">
        <v>0</v>
      </c>
      <c r="E68" s="29">
        <v>45608</v>
      </c>
      <c r="F68">
        <v>0</v>
      </c>
      <c r="G68">
        <v>3.085</v>
      </c>
      <c r="H68">
        <f t="shared" si="2"/>
        <v>0</v>
      </c>
      <c r="I68">
        <f t="shared" si="3"/>
        <v>0</v>
      </c>
    </row>
    <row r="69" spans="1:9" x14ac:dyDescent="0.35">
      <c r="A69">
        <v>4</v>
      </c>
      <c r="B69" t="s">
        <v>61</v>
      </c>
      <c r="C69">
        <v>217</v>
      </c>
      <c r="D69">
        <v>0</v>
      </c>
      <c r="E69" s="29">
        <v>45608</v>
      </c>
      <c r="F69">
        <v>0</v>
      </c>
      <c r="G69">
        <v>3.097</v>
      </c>
      <c r="H69">
        <f t="shared" si="2"/>
        <v>0</v>
      </c>
      <c r="I69">
        <f t="shared" si="3"/>
        <v>0</v>
      </c>
    </row>
    <row r="70" spans="1:9" x14ac:dyDescent="0.35">
      <c r="A70">
        <v>4</v>
      </c>
      <c r="B70" t="s">
        <v>61</v>
      </c>
      <c r="C70">
        <v>223</v>
      </c>
      <c r="D70">
        <v>0</v>
      </c>
      <c r="E70" s="29">
        <v>45608</v>
      </c>
      <c r="F70">
        <v>0</v>
      </c>
      <c r="G70">
        <v>2.8079999999999998</v>
      </c>
      <c r="H70">
        <f t="shared" si="2"/>
        <v>0</v>
      </c>
      <c r="I70">
        <f t="shared" si="3"/>
        <v>0</v>
      </c>
    </row>
    <row r="71" spans="1:9" x14ac:dyDescent="0.35">
      <c r="A71">
        <v>0</v>
      </c>
      <c r="B71" t="s">
        <v>63</v>
      </c>
      <c r="C71">
        <v>316</v>
      </c>
      <c r="D71">
        <v>50</v>
      </c>
      <c r="E71" s="29">
        <v>45609</v>
      </c>
      <c r="F71">
        <v>5.4858697294846674</v>
      </c>
      <c r="G71">
        <v>6.98</v>
      </c>
      <c r="H71">
        <f>G71-G2</f>
        <v>0.36300000000000043</v>
      </c>
      <c r="I71">
        <f t="shared" si="3"/>
        <v>1.3444444444444461</v>
      </c>
    </row>
    <row r="72" spans="1:9" x14ac:dyDescent="0.35">
      <c r="A72">
        <v>0</v>
      </c>
      <c r="B72" t="s">
        <v>63</v>
      </c>
      <c r="C72">
        <v>320</v>
      </c>
      <c r="D72">
        <v>50</v>
      </c>
      <c r="E72" s="29">
        <v>45609</v>
      </c>
      <c r="F72">
        <v>5.6697049281631395</v>
      </c>
      <c r="G72">
        <v>6.84</v>
      </c>
      <c r="H72">
        <f t="shared" ref="H72:H135" si="4">G72-G3</f>
        <v>0.36699999999999999</v>
      </c>
      <c r="I72">
        <f t="shared" si="3"/>
        <v>1.3592592592592592</v>
      </c>
    </row>
    <row r="73" spans="1:9" x14ac:dyDescent="0.35">
      <c r="A73">
        <v>0</v>
      </c>
      <c r="B73" t="s">
        <v>63</v>
      </c>
      <c r="C73">
        <v>325</v>
      </c>
      <c r="D73">
        <v>50</v>
      </c>
      <c r="E73" s="29">
        <v>45609</v>
      </c>
      <c r="F73">
        <v>5.4177545691905982</v>
      </c>
      <c r="G73">
        <v>6.46</v>
      </c>
      <c r="H73">
        <f t="shared" si="4"/>
        <v>0.33199999999999985</v>
      </c>
      <c r="I73">
        <f t="shared" si="3"/>
        <v>1.2296296296296292</v>
      </c>
    </row>
    <row r="74" spans="1:9" x14ac:dyDescent="0.35">
      <c r="A74">
        <v>0</v>
      </c>
      <c r="B74" t="s">
        <v>64</v>
      </c>
      <c r="C74">
        <v>332</v>
      </c>
      <c r="D74">
        <v>50</v>
      </c>
      <c r="E74" s="29">
        <v>45609</v>
      </c>
      <c r="F74">
        <v>5.3475935828876926</v>
      </c>
      <c r="G74">
        <v>3.94</v>
      </c>
      <c r="H74">
        <f t="shared" si="4"/>
        <v>0.19999999999999973</v>
      </c>
      <c r="I74">
        <f t="shared" si="3"/>
        <v>0.7407407407407397</v>
      </c>
    </row>
    <row r="75" spans="1:9" x14ac:dyDescent="0.35">
      <c r="A75">
        <v>0</v>
      </c>
      <c r="B75" t="s">
        <v>64</v>
      </c>
      <c r="C75">
        <v>336</v>
      </c>
      <c r="D75">
        <v>50</v>
      </c>
      <c r="E75" s="29">
        <v>45609</v>
      </c>
      <c r="F75">
        <v>5.5657172720146351</v>
      </c>
      <c r="G75">
        <v>4.04</v>
      </c>
      <c r="H75">
        <f t="shared" si="4"/>
        <v>0.21300000000000008</v>
      </c>
      <c r="I75">
        <f t="shared" si="3"/>
        <v>0.78888888888888919</v>
      </c>
    </row>
    <row r="76" spans="1:9" x14ac:dyDescent="0.35">
      <c r="A76">
        <v>0</v>
      </c>
      <c r="B76" t="s">
        <v>64</v>
      </c>
      <c r="C76">
        <v>341</v>
      </c>
      <c r="D76">
        <v>50</v>
      </c>
      <c r="E76" s="29">
        <v>45609</v>
      </c>
      <c r="F76">
        <v>5.6686846450192618</v>
      </c>
      <c r="G76">
        <v>3.84</v>
      </c>
      <c r="H76">
        <f t="shared" si="4"/>
        <v>0.20599999999999996</v>
      </c>
      <c r="I76">
        <f t="shared" si="3"/>
        <v>0.76296296296296284</v>
      </c>
    </row>
    <row r="77" spans="1:9" x14ac:dyDescent="0.35">
      <c r="A77">
        <v>0</v>
      </c>
      <c r="B77" t="s">
        <v>65</v>
      </c>
      <c r="C77">
        <v>348</v>
      </c>
      <c r="D77">
        <v>50</v>
      </c>
      <c r="E77" s="29">
        <v>45609</v>
      </c>
      <c r="F77">
        <v>4.9873859887444318</v>
      </c>
      <c r="G77">
        <v>5.41</v>
      </c>
      <c r="H77">
        <f t="shared" si="4"/>
        <v>0.25700000000000056</v>
      </c>
      <c r="I77">
        <f t="shared" si="3"/>
        <v>0.95185185185185395</v>
      </c>
    </row>
    <row r="78" spans="1:9" x14ac:dyDescent="0.35">
      <c r="A78">
        <v>0</v>
      </c>
      <c r="B78" t="s">
        <v>65</v>
      </c>
      <c r="C78">
        <v>352</v>
      </c>
      <c r="D78">
        <v>50</v>
      </c>
      <c r="E78" s="29">
        <v>45609</v>
      </c>
      <c r="F78">
        <v>5.7050181263117805</v>
      </c>
      <c r="G78">
        <v>5.54</v>
      </c>
      <c r="H78">
        <f t="shared" si="4"/>
        <v>0.29900000000000038</v>
      </c>
      <c r="I78">
        <f t="shared" si="3"/>
        <v>1.107407407407409</v>
      </c>
    </row>
    <row r="79" spans="1:9" x14ac:dyDescent="0.35">
      <c r="A79">
        <v>0</v>
      </c>
      <c r="B79" t="s">
        <v>65</v>
      </c>
      <c r="C79">
        <v>357</v>
      </c>
      <c r="D79">
        <v>50</v>
      </c>
      <c r="E79" s="29">
        <v>45609</v>
      </c>
      <c r="F79">
        <v>5.3346265761396596</v>
      </c>
      <c r="G79">
        <v>5.43</v>
      </c>
      <c r="H79">
        <f t="shared" si="4"/>
        <v>0.27499999999999947</v>
      </c>
      <c r="I79">
        <f t="shared" si="3"/>
        <v>1.0185185185185166</v>
      </c>
    </row>
    <row r="80" spans="1:9" x14ac:dyDescent="0.35">
      <c r="A80">
        <v>0</v>
      </c>
      <c r="B80" t="s">
        <v>66</v>
      </c>
      <c r="C80">
        <v>368</v>
      </c>
      <c r="D80">
        <v>50</v>
      </c>
      <c r="E80" s="29">
        <v>45609</v>
      </c>
      <c r="F80">
        <v>5.4558131427575338</v>
      </c>
      <c r="G80">
        <v>6.05</v>
      </c>
      <c r="H80">
        <f t="shared" si="4"/>
        <v>0.31299999999999972</v>
      </c>
      <c r="I80">
        <f t="shared" si="3"/>
        <v>1.1592592592592583</v>
      </c>
    </row>
    <row r="81" spans="1:9" x14ac:dyDescent="0.35">
      <c r="A81">
        <v>0</v>
      </c>
      <c r="B81" t="s">
        <v>66</v>
      </c>
      <c r="C81">
        <v>372</v>
      </c>
      <c r="D81">
        <v>50</v>
      </c>
      <c r="E81" s="29">
        <v>45609</v>
      </c>
      <c r="F81">
        <v>5.7147482596729917</v>
      </c>
      <c r="G81">
        <v>6.53</v>
      </c>
      <c r="H81">
        <f t="shared" si="4"/>
        <v>0.35300000000000065</v>
      </c>
      <c r="I81">
        <f t="shared" si="3"/>
        <v>1.3074074074074098</v>
      </c>
    </row>
    <row r="82" spans="1:9" x14ac:dyDescent="0.35">
      <c r="A82">
        <v>0</v>
      </c>
      <c r="B82" t="s">
        <v>66</v>
      </c>
      <c r="C82">
        <v>377</v>
      </c>
      <c r="D82">
        <v>50</v>
      </c>
      <c r="E82" s="29">
        <v>45609</v>
      </c>
      <c r="F82">
        <v>4.9229239184485278</v>
      </c>
      <c r="G82">
        <v>6.33</v>
      </c>
      <c r="H82">
        <f t="shared" si="4"/>
        <v>0.29699999999999971</v>
      </c>
      <c r="I82">
        <f t="shared" si="3"/>
        <v>1.099999999999999</v>
      </c>
    </row>
    <row r="83" spans="1:9" x14ac:dyDescent="0.35">
      <c r="A83">
        <v>0</v>
      </c>
      <c r="B83" t="s">
        <v>58</v>
      </c>
      <c r="C83">
        <v>384</v>
      </c>
      <c r="D83">
        <v>50</v>
      </c>
      <c r="E83" s="29">
        <v>45609</v>
      </c>
      <c r="F83">
        <v>4.6228710462287115</v>
      </c>
      <c r="G83">
        <v>3.01</v>
      </c>
      <c r="H83">
        <f t="shared" si="4"/>
        <v>0.13300000000000001</v>
      </c>
      <c r="I83">
        <f t="shared" si="3"/>
        <v>0.49259259259259264</v>
      </c>
    </row>
    <row r="84" spans="1:9" x14ac:dyDescent="0.35">
      <c r="A84">
        <v>0</v>
      </c>
      <c r="B84" t="s">
        <v>58</v>
      </c>
      <c r="C84">
        <v>387</v>
      </c>
      <c r="D84">
        <v>50</v>
      </c>
      <c r="E84" s="29">
        <v>45609</v>
      </c>
      <c r="F84">
        <v>4.9342105263157867</v>
      </c>
      <c r="G84">
        <v>3.19</v>
      </c>
      <c r="H84">
        <f t="shared" si="4"/>
        <v>0.14999999999999991</v>
      </c>
      <c r="I84">
        <f t="shared" si="3"/>
        <v>0.55555555555555525</v>
      </c>
    </row>
    <row r="85" spans="1:9" x14ac:dyDescent="0.35">
      <c r="A85">
        <v>0</v>
      </c>
      <c r="B85" t="s">
        <v>58</v>
      </c>
      <c r="C85">
        <v>392</v>
      </c>
      <c r="D85">
        <v>50</v>
      </c>
      <c r="E85" s="29">
        <v>45609</v>
      </c>
      <c r="F85">
        <v>4.7136981967731737</v>
      </c>
      <c r="G85">
        <v>3.31</v>
      </c>
      <c r="H85">
        <f t="shared" si="4"/>
        <v>0.14900000000000002</v>
      </c>
      <c r="I85">
        <f t="shared" si="3"/>
        <v>0.55185185185185193</v>
      </c>
    </row>
    <row r="86" spans="1:9" x14ac:dyDescent="0.35">
      <c r="A86">
        <v>0</v>
      </c>
      <c r="B86" t="s">
        <v>59</v>
      </c>
      <c r="C86">
        <v>399</v>
      </c>
      <c r="D86">
        <v>50</v>
      </c>
      <c r="E86" s="29">
        <v>45609</v>
      </c>
      <c r="F86">
        <v>4.491876393755974</v>
      </c>
      <c r="G86">
        <v>3.28</v>
      </c>
      <c r="H86">
        <f t="shared" si="4"/>
        <v>0.14100000000000001</v>
      </c>
      <c r="I86">
        <f t="shared" si="3"/>
        <v>0.52222222222222225</v>
      </c>
    </row>
    <row r="87" spans="1:9" x14ac:dyDescent="0.35">
      <c r="A87">
        <v>0</v>
      </c>
      <c r="B87" t="s">
        <v>59</v>
      </c>
      <c r="C87">
        <v>403</v>
      </c>
      <c r="D87">
        <v>50</v>
      </c>
      <c r="E87" s="29">
        <v>45609</v>
      </c>
      <c r="F87">
        <v>5.6074766355140238</v>
      </c>
      <c r="G87">
        <v>3.39</v>
      </c>
      <c r="H87">
        <f t="shared" si="4"/>
        <v>0.18000000000000016</v>
      </c>
      <c r="I87">
        <f t="shared" si="3"/>
        <v>0.66666666666666718</v>
      </c>
    </row>
    <row r="88" spans="1:9" x14ac:dyDescent="0.35">
      <c r="A88">
        <v>0</v>
      </c>
      <c r="B88" t="s">
        <v>59</v>
      </c>
      <c r="C88">
        <v>408</v>
      </c>
      <c r="D88">
        <v>50</v>
      </c>
      <c r="E88" s="29">
        <v>45609</v>
      </c>
      <c r="F88">
        <v>5.3137003841229165</v>
      </c>
      <c r="G88">
        <v>3.29</v>
      </c>
      <c r="H88">
        <f t="shared" si="4"/>
        <v>0.16599999999999993</v>
      </c>
      <c r="I88">
        <f t="shared" si="3"/>
        <v>0.61481481481481459</v>
      </c>
    </row>
    <row r="89" spans="1:9" x14ac:dyDescent="0.35">
      <c r="A89">
        <v>0</v>
      </c>
      <c r="B89" t="s">
        <v>60</v>
      </c>
      <c r="C89">
        <v>419</v>
      </c>
      <c r="D89">
        <v>50</v>
      </c>
      <c r="E89" s="29">
        <v>45609</v>
      </c>
      <c r="F89">
        <v>4.0218470705064755</v>
      </c>
      <c r="G89">
        <v>4.1900000000000004</v>
      </c>
      <c r="H89">
        <f t="shared" si="4"/>
        <v>0.16200000000000081</v>
      </c>
      <c r="I89">
        <f t="shared" si="3"/>
        <v>0.60000000000000298</v>
      </c>
    </row>
    <row r="90" spans="1:9" x14ac:dyDescent="0.35">
      <c r="A90">
        <v>0</v>
      </c>
      <c r="B90" t="s">
        <v>60</v>
      </c>
      <c r="C90">
        <v>423</v>
      </c>
      <c r="D90">
        <v>50</v>
      </c>
      <c r="E90" s="29">
        <v>45609</v>
      </c>
      <c r="F90">
        <v>5.1859099804305222</v>
      </c>
      <c r="G90">
        <v>4.3</v>
      </c>
      <c r="H90">
        <f t="shared" si="4"/>
        <v>0.21199999999999974</v>
      </c>
      <c r="I90">
        <f t="shared" si="3"/>
        <v>0.78518518518518421</v>
      </c>
    </row>
    <row r="91" spans="1:9" x14ac:dyDescent="0.35">
      <c r="A91">
        <v>0</v>
      </c>
      <c r="B91" t="s">
        <v>60</v>
      </c>
      <c r="C91">
        <v>428</v>
      </c>
      <c r="D91">
        <v>50</v>
      </c>
      <c r="E91" s="29">
        <v>45609</v>
      </c>
      <c r="F91">
        <v>5.2905916080270998</v>
      </c>
      <c r="G91">
        <v>4.04</v>
      </c>
      <c r="H91">
        <f t="shared" si="4"/>
        <v>0.20299999999999985</v>
      </c>
      <c r="I91">
        <f t="shared" si="3"/>
        <v>0.75185185185185133</v>
      </c>
    </row>
    <row r="92" spans="1:9" x14ac:dyDescent="0.35">
      <c r="A92">
        <v>0</v>
      </c>
      <c r="B92" t="s">
        <v>61</v>
      </c>
      <c r="C92">
        <v>439</v>
      </c>
      <c r="D92">
        <v>50</v>
      </c>
      <c r="E92" s="29">
        <v>45609</v>
      </c>
      <c r="F92">
        <v>4.2752867570385895</v>
      </c>
      <c r="G92">
        <v>3</v>
      </c>
      <c r="H92">
        <f t="shared" si="4"/>
        <v>0.12300000000000022</v>
      </c>
      <c r="I92">
        <f t="shared" si="3"/>
        <v>0.45555555555555638</v>
      </c>
    </row>
    <row r="93" spans="1:9" x14ac:dyDescent="0.35">
      <c r="A93">
        <v>0</v>
      </c>
      <c r="B93" t="s">
        <v>61</v>
      </c>
      <c r="C93">
        <v>443</v>
      </c>
      <c r="D93">
        <v>50</v>
      </c>
      <c r="E93" s="29">
        <v>45609</v>
      </c>
      <c r="F93">
        <v>3.7800687285223322</v>
      </c>
      <c r="G93">
        <v>3.02</v>
      </c>
      <c r="H93">
        <f t="shared" si="4"/>
        <v>0.10999999999999988</v>
      </c>
      <c r="I93">
        <f t="shared" si="3"/>
        <v>0.40740740740740694</v>
      </c>
    </row>
    <row r="94" spans="1:9" x14ac:dyDescent="0.35">
      <c r="A94">
        <v>0</v>
      </c>
      <c r="B94" t="s">
        <v>61</v>
      </c>
      <c r="C94">
        <v>448</v>
      </c>
      <c r="D94">
        <v>50</v>
      </c>
      <c r="E94" s="29">
        <v>45609</v>
      </c>
      <c r="F94">
        <v>4.4671122054168215</v>
      </c>
      <c r="G94">
        <v>2.97</v>
      </c>
      <c r="H94">
        <f t="shared" si="4"/>
        <v>0.12700000000000022</v>
      </c>
      <c r="I94">
        <f t="shared" si="3"/>
        <v>0.47037037037037116</v>
      </c>
    </row>
    <row r="95" spans="1:9" x14ac:dyDescent="0.35">
      <c r="A95">
        <v>2</v>
      </c>
      <c r="B95" t="s">
        <v>63</v>
      </c>
      <c r="C95">
        <v>295</v>
      </c>
      <c r="D95">
        <v>50</v>
      </c>
      <c r="E95" s="29">
        <v>45609</v>
      </c>
      <c r="F95">
        <v>1.4836795252225554</v>
      </c>
      <c r="G95">
        <v>5.13</v>
      </c>
      <c r="H95">
        <f t="shared" si="4"/>
        <v>7.5000000000000178E-2</v>
      </c>
      <c r="I95">
        <f t="shared" si="3"/>
        <v>0.27777777777777846</v>
      </c>
    </row>
    <row r="96" spans="1:9" x14ac:dyDescent="0.35">
      <c r="A96">
        <v>2</v>
      </c>
      <c r="B96" t="s">
        <v>63</v>
      </c>
      <c r="C96">
        <v>298</v>
      </c>
      <c r="D96">
        <v>50</v>
      </c>
      <c r="E96" s="29">
        <v>45609</v>
      </c>
      <c r="F96">
        <v>1.7011834319526558</v>
      </c>
      <c r="G96">
        <v>5.5</v>
      </c>
      <c r="H96">
        <f t="shared" si="4"/>
        <v>9.1999999999999638E-2</v>
      </c>
      <c r="I96">
        <f t="shared" si="3"/>
        <v>0.3407407407407394</v>
      </c>
    </row>
    <row r="97" spans="1:9" x14ac:dyDescent="0.35">
      <c r="A97">
        <v>2</v>
      </c>
      <c r="B97" t="s">
        <v>63</v>
      </c>
      <c r="C97">
        <v>301</v>
      </c>
      <c r="D97">
        <v>50</v>
      </c>
      <c r="E97" s="29">
        <v>45609</v>
      </c>
      <c r="F97">
        <v>9.4288999616711386</v>
      </c>
      <c r="G97">
        <v>5.71</v>
      </c>
      <c r="H97">
        <f t="shared" si="4"/>
        <v>0.49199999999999999</v>
      </c>
      <c r="I97">
        <f t="shared" si="3"/>
        <v>1.8222222222222224</v>
      </c>
    </row>
    <row r="98" spans="1:9" x14ac:dyDescent="0.35">
      <c r="A98">
        <v>2</v>
      </c>
      <c r="B98" t="s">
        <v>64</v>
      </c>
      <c r="C98">
        <v>6</v>
      </c>
      <c r="D98">
        <v>50</v>
      </c>
      <c r="E98" s="29">
        <v>45609</v>
      </c>
      <c r="F98">
        <v>5.2631578947368345</v>
      </c>
      <c r="G98">
        <v>3.92</v>
      </c>
      <c r="H98">
        <f t="shared" si="4"/>
        <v>0.19599999999999973</v>
      </c>
      <c r="I98">
        <f t="shared" si="3"/>
        <v>0.72592592592592486</v>
      </c>
    </row>
    <row r="99" spans="1:9" x14ac:dyDescent="0.35">
      <c r="A99">
        <v>2</v>
      </c>
      <c r="B99" t="s">
        <v>64</v>
      </c>
      <c r="C99">
        <v>10</v>
      </c>
      <c r="D99">
        <v>50</v>
      </c>
      <c r="E99" s="29">
        <v>45609</v>
      </c>
      <c r="F99">
        <v>5.6932715881231299</v>
      </c>
      <c r="G99">
        <v>3.88</v>
      </c>
      <c r="H99">
        <f t="shared" si="4"/>
        <v>0.20900000000000007</v>
      </c>
      <c r="I99">
        <f t="shared" si="3"/>
        <v>0.77407407407407436</v>
      </c>
    </row>
    <row r="100" spans="1:9" x14ac:dyDescent="0.35">
      <c r="A100">
        <v>2</v>
      </c>
      <c r="B100" t="s">
        <v>64</v>
      </c>
      <c r="C100">
        <v>14</v>
      </c>
      <c r="D100">
        <v>50</v>
      </c>
      <c r="E100" s="29">
        <v>45609</v>
      </c>
      <c r="F100">
        <v>6.338939197930145</v>
      </c>
      <c r="G100">
        <v>4.1100000000000003</v>
      </c>
      <c r="H100">
        <f t="shared" si="4"/>
        <v>0.24500000000000011</v>
      </c>
      <c r="I100">
        <f t="shared" si="3"/>
        <v>0.90740740740740777</v>
      </c>
    </row>
    <row r="101" spans="1:9" x14ac:dyDescent="0.35">
      <c r="A101">
        <v>4</v>
      </c>
      <c r="B101" t="s">
        <v>64</v>
      </c>
      <c r="C101">
        <v>26</v>
      </c>
      <c r="D101">
        <v>50</v>
      </c>
      <c r="E101" s="29">
        <v>45609</v>
      </c>
      <c r="F101">
        <v>6.3981042654028553</v>
      </c>
      <c r="G101">
        <v>4.49</v>
      </c>
      <c r="H101">
        <f t="shared" si="4"/>
        <v>0.27000000000000046</v>
      </c>
      <c r="I101">
        <f t="shared" si="3"/>
        <v>1.0000000000000018</v>
      </c>
    </row>
    <row r="102" spans="1:9" x14ac:dyDescent="0.35">
      <c r="A102">
        <v>4</v>
      </c>
      <c r="B102" t="s">
        <v>64</v>
      </c>
      <c r="C102">
        <v>30</v>
      </c>
      <c r="D102">
        <v>50</v>
      </c>
      <c r="E102" s="29">
        <v>45609</v>
      </c>
      <c r="F102">
        <v>5.8150619637750403</v>
      </c>
      <c r="G102">
        <v>4.4400000000000004</v>
      </c>
      <c r="H102">
        <f t="shared" si="4"/>
        <v>0.24400000000000066</v>
      </c>
      <c r="I102">
        <f t="shared" si="3"/>
        <v>0.90370370370370623</v>
      </c>
    </row>
    <row r="103" spans="1:9" x14ac:dyDescent="0.35">
      <c r="A103">
        <v>4</v>
      </c>
      <c r="B103" t="s">
        <v>64</v>
      </c>
      <c r="C103">
        <v>34</v>
      </c>
      <c r="D103">
        <v>50</v>
      </c>
      <c r="E103" s="29">
        <v>45609</v>
      </c>
      <c r="F103">
        <v>5.6487827936657968</v>
      </c>
      <c r="G103">
        <v>4.47</v>
      </c>
      <c r="H103">
        <f t="shared" si="4"/>
        <v>0.23899999999999988</v>
      </c>
      <c r="I103">
        <f t="shared" si="3"/>
        <v>0.88518518518518463</v>
      </c>
    </row>
    <row r="104" spans="1:9" x14ac:dyDescent="0.35">
      <c r="A104">
        <v>2</v>
      </c>
      <c r="B104" t="s">
        <v>65</v>
      </c>
      <c r="C104">
        <v>46</v>
      </c>
      <c r="D104">
        <v>50</v>
      </c>
      <c r="E104" s="29">
        <v>45609</v>
      </c>
      <c r="F104">
        <v>5.8683584456780391</v>
      </c>
      <c r="G104">
        <v>5.34</v>
      </c>
      <c r="H104">
        <f t="shared" si="4"/>
        <v>0.29600000000000026</v>
      </c>
      <c r="I104">
        <f t="shared" si="3"/>
        <v>1.0962962962962972</v>
      </c>
    </row>
    <row r="105" spans="1:9" x14ac:dyDescent="0.35">
      <c r="A105">
        <v>2</v>
      </c>
      <c r="B105" t="s">
        <v>65</v>
      </c>
      <c r="C105">
        <v>50</v>
      </c>
      <c r="D105">
        <v>50</v>
      </c>
      <c r="E105" s="29">
        <v>45609</v>
      </c>
      <c r="F105">
        <v>5.5647994083934211</v>
      </c>
      <c r="G105">
        <v>5.71</v>
      </c>
      <c r="H105">
        <f t="shared" si="4"/>
        <v>0.30100000000000016</v>
      </c>
      <c r="I105">
        <f t="shared" si="3"/>
        <v>1.1148148148148154</v>
      </c>
    </row>
    <row r="106" spans="1:9" x14ac:dyDescent="0.35">
      <c r="A106">
        <v>2</v>
      </c>
      <c r="B106" t="s">
        <v>65</v>
      </c>
      <c r="C106">
        <v>54</v>
      </c>
      <c r="D106">
        <v>50</v>
      </c>
      <c r="E106" s="29">
        <v>45609</v>
      </c>
      <c r="F106">
        <v>5.7004830917874383</v>
      </c>
      <c r="G106">
        <v>5.47</v>
      </c>
      <c r="H106">
        <f t="shared" si="4"/>
        <v>0.29499999999999993</v>
      </c>
      <c r="I106">
        <f t="shared" si="3"/>
        <v>1.0925925925925923</v>
      </c>
    </row>
    <row r="107" spans="1:9" x14ac:dyDescent="0.35">
      <c r="A107">
        <v>4</v>
      </c>
      <c r="B107" t="s">
        <v>65</v>
      </c>
      <c r="C107">
        <v>67</v>
      </c>
      <c r="D107">
        <v>50</v>
      </c>
      <c r="E107" s="29">
        <v>45609</v>
      </c>
      <c r="F107">
        <v>5.9217877094972202</v>
      </c>
      <c r="G107">
        <v>4.74</v>
      </c>
      <c r="H107">
        <f t="shared" si="4"/>
        <v>0.26500000000000057</v>
      </c>
      <c r="I107">
        <f t="shared" si="3"/>
        <v>0.98148148148148351</v>
      </c>
    </row>
    <row r="108" spans="1:9" x14ac:dyDescent="0.35">
      <c r="A108">
        <v>4</v>
      </c>
      <c r="B108" t="s">
        <v>65</v>
      </c>
      <c r="C108">
        <v>71</v>
      </c>
      <c r="D108">
        <v>50</v>
      </c>
      <c r="E108" s="29">
        <v>45609</v>
      </c>
      <c r="F108">
        <v>5.7314297537761254</v>
      </c>
      <c r="G108">
        <v>5.1100000000000003</v>
      </c>
      <c r="H108">
        <f t="shared" si="4"/>
        <v>0.27700000000000014</v>
      </c>
      <c r="I108">
        <f t="shared" si="3"/>
        <v>1.0259259259259266</v>
      </c>
    </row>
    <row r="109" spans="1:9" x14ac:dyDescent="0.35">
      <c r="A109">
        <v>4</v>
      </c>
      <c r="B109" t="s">
        <v>65</v>
      </c>
      <c r="C109">
        <v>75</v>
      </c>
      <c r="D109">
        <v>50</v>
      </c>
      <c r="E109" s="29">
        <v>45609</v>
      </c>
      <c r="F109">
        <v>6.214016279531462</v>
      </c>
      <c r="G109">
        <v>5.35</v>
      </c>
      <c r="H109">
        <f t="shared" si="4"/>
        <v>0.31299999999999972</v>
      </c>
      <c r="I109">
        <f t="shared" si="3"/>
        <v>1.1592592592592583</v>
      </c>
    </row>
    <row r="110" spans="1:9" x14ac:dyDescent="0.35">
      <c r="A110">
        <v>2</v>
      </c>
      <c r="B110" t="s">
        <v>66</v>
      </c>
      <c r="C110">
        <v>87</v>
      </c>
      <c r="D110">
        <v>50</v>
      </c>
      <c r="E110" s="29">
        <v>45609</v>
      </c>
      <c r="F110">
        <v>5.9436510999614018</v>
      </c>
      <c r="G110">
        <v>5.49</v>
      </c>
      <c r="H110">
        <f t="shared" si="4"/>
        <v>0.30799999999999983</v>
      </c>
      <c r="I110">
        <f t="shared" si="3"/>
        <v>1.1407407407407402</v>
      </c>
    </row>
    <row r="111" spans="1:9" x14ac:dyDescent="0.35">
      <c r="A111">
        <v>2</v>
      </c>
      <c r="B111" t="s">
        <v>66</v>
      </c>
      <c r="C111">
        <v>91</v>
      </c>
      <c r="D111">
        <v>50</v>
      </c>
      <c r="E111" s="29">
        <v>45609</v>
      </c>
      <c r="F111">
        <v>5.4827175208581611</v>
      </c>
      <c r="G111">
        <v>5.31</v>
      </c>
      <c r="H111">
        <f t="shared" si="4"/>
        <v>0.2759999999999998</v>
      </c>
      <c r="I111">
        <f t="shared" si="3"/>
        <v>1.0222222222222215</v>
      </c>
    </row>
    <row r="112" spans="1:9" x14ac:dyDescent="0.35">
      <c r="A112">
        <v>2</v>
      </c>
      <c r="B112" t="s">
        <v>66</v>
      </c>
      <c r="C112">
        <v>95</v>
      </c>
      <c r="D112">
        <v>50</v>
      </c>
      <c r="E112" s="29">
        <v>45609</v>
      </c>
      <c r="F112">
        <v>5.9369202226345141</v>
      </c>
      <c r="G112">
        <v>5.71</v>
      </c>
      <c r="H112">
        <f t="shared" si="4"/>
        <v>0.32000000000000028</v>
      </c>
      <c r="I112">
        <f t="shared" si="3"/>
        <v>1.1851851851851862</v>
      </c>
    </row>
    <row r="113" spans="1:9" x14ac:dyDescent="0.35">
      <c r="A113">
        <v>4</v>
      </c>
      <c r="B113" t="s">
        <v>66</v>
      </c>
      <c r="C113">
        <v>107</v>
      </c>
      <c r="D113">
        <v>50</v>
      </c>
      <c r="E113" s="29">
        <v>45609</v>
      </c>
      <c r="F113">
        <v>5.9787345302422867</v>
      </c>
      <c r="G113">
        <v>6.08</v>
      </c>
      <c r="H113">
        <f t="shared" si="4"/>
        <v>0.34299999999999997</v>
      </c>
      <c r="I113">
        <f t="shared" si="3"/>
        <v>1.2703703703703704</v>
      </c>
    </row>
    <row r="114" spans="1:9" x14ac:dyDescent="0.35">
      <c r="A114">
        <v>4</v>
      </c>
      <c r="B114" t="s">
        <v>66</v>
      </c>
      <c r="C114">
        <v>111</v>
      </c>
      <c r="D114">
        <v>50</v>
      </c>
      <c r="E114" s="29">
        <v>45609</v>
      </c>
      <c r="F114">
        <v>5.9669062343306072</v>
      </c>
      <c r="G114">
        <v>6.34</v>
      </c>
      <c r="H114">
        <f t="shared" si="4"/>
        <v>0.35700000000000021</v>
      </c>
      <c r="I114">
        <f t="shared" si="3"/>
        <v>1.3222222222222231</v>
      </c>
    </row>
    <row r="115" spans="1:9" x14ac:dyDescent="0.35">
      <c r="A115">
        <v>4</v>
      </c>
      <c r="B115" t="s">
        <v>66</v>
      </c>
      <c r="C115">
        <v>115</v>
      </c>
      <c r="D115">
        <v>50</v>
      </c>
      <c r="E115" s="29">
        <v>45609</v>
      </c>
      <c r="F115">
        <v>5.6924986699769411</v>
      </c>
      <c r="G115">
        <v>5.96</v>
      </c>
      <c r="H115">
        <f t="shared" si="4"/>
        <v>0.32099999999999973</v>
      </c>
      <c r="I115">
        <f t="shared" si="3"/>
        <v>1.188888888888888</v>
      </c>
    </row>
    <row r="116" spans="1:9" x14ac:dyDescent="0.35">
      <c r="A116">
        <v>2</v>
      </c>
      <c r="B116" t="s">
        <v>58</v>
      </c>
      <c r="C116">
        <v>128</v>
      </c>
      <c r="D116">
        <v>50</v>
      </c>
      <c r="E116" s="29">
        <v>45609</v>
      </c>
      <c r="F116">
        <v>5.4560260586319176</v>
      </c>
      <c r="G116">
        <v>2.59</v>
      </c>
      <c r="H116">
        <f t="shared" si="4"/>
        <v>0.1339999999999999</v>
      </c>
      <c r="I116">
        <f t="shared" si="3"/>
        <v>0.4962962962962959</v>
      </c>
    </row>
    <row r="117" spans="1:9" x14ac:dyDescent="0.35">
      <c r="A117">
        <v>2</v>
      </c>
      <c r="B117" t="s">
        <v>58</v>
      </c>
      <c r="C117">
        <v>133</v>
      </c>
      <c r="D117">
        <v>50</v>
      </c>
      <c r="E117" s="29">
        <v>45609</v>
      </c>
      <c r="F117">
        <v>5.3074978938500372</v>
      </c>
      <c r="G117">
        <v>2.5</v>
      </c>
      <c r="H117">
        <f t="shared" si="4"/>
        <v>0.12599999999999989</v>
      </c>
      <c r="I117">
        <f t="shared" si="3"/>
        <v>0.46666666666666629</v>
      </c>
    </row>
    <row r="118" spans="1:9" x14ac:dyDescent="0.35">
      <c r="A118">
        <v>2</v>
      </c>
      <c r="B118" t="s">
        <v>58</v>
      </c>
      <c r="C118">
        <v>139</v>
      </c>
      <c r="D118">
        <v>50</v>
      </c>
      <c r="E118" s="29">
        <v>45609</v>
      </c>
      <c r="F118">
        <v>5.595288178376105</v>
      </c>
      <c r="G118">
        <v>2.5099999999999998</v>
      </c>
      <c r="H118">
        <f t="shared" si="4"/>
        <v>0.13300000000000001</v>
      </c>
      <c r="I118">
        <f t="shared" si="3"/>
        <v>0.49259259259259264</v>
      </c>
    </row>
    <row r="119" spans="1:9" x14ac:dyDescent="0.35">
      <c r="A119">
        <v>4</v>
      </c>
      <c r="B119" t="s">
        <v>58</v>
      </c>
      <c r="C119">
        <v>150</v>
      </c>
      <c r="D119">
        <v>50</v>
      </c>
      <c r="E119" s="29">
        <v>45609</v>
      </c>
      <c r="F119">
        <v>6.3333333333333313</v>
      </c>
      <c r="G119">
        <v>3.19</v>
      </c>
      <c r="H119">
        <f t="shared" si="4"/>
        <v>0.18999999999999995</v>
      </c>
      <c r="I119">
        <f t="shared" si="3"/>
        <v>0.7037037037037035</v>
      </c>
    </row>
    <row r="120" spans="1:9" x14ac:dyDescent="0.35">
      <c r="A120">
        <v>4</v>
      </c>
      <c r="B120" t="s">
        <v>58</v>
      </c>
      <c r="C120">
        <v>156</v>
      </c>
      <c r="D120">
        <v>50</v>
      </c>
      <c r="E120" s="29">
        <v>45609</v>
      </c>
      <c r="F120">
        <v>6.705539358600582</v>
      </c>
      <c r="G120">
        <v>3.66</v>
      </c>
      <c r="H120">
        <f t="shared" si="4"/>
        <v>0.22999999999999998</v>
      </c>
      <c r="I120">
        <f t="shared" si="3"/>
        <v>0.85185185185185175</v>
      </c>
    </row>
    <row r="121" spans="1:9" x14ac:dyDescent="0.35">
      <c r="A121">
        <v>4</v>
      </c>
      <c r="B121" t="s">
        <v>58</v>
      </c>
      <c r="C121">
        <v>158</v>
      </c>
      <c r="D121">
        <v>50</v>
      </c>
      <c r="E121" s="29">
        <v>45609</v>
      </c>
      <c r="F121">
        <v>6.2477938581009385</v>
      </c>
      <c r="G121">
        <v>3.01</v>
      </c>
      <c r="H121">
        <f t="shared" si="4"/>
        <v>0.1769999999999996</v>
      </c>
      <c r="I121">
        <f t="shared" si="3"/>
        <v>0.65555555555555411</v>
      </c>
    </row>
    <row r="122" spans="1:9" x14ac:dyDescent="0.35">
      <c r="A122">
        <v>2</v>
      </c>
      <c r="B122" t="s">
        <v>59</v>
      </c>
      <c r="C122">
        <v>191</v>
      </c>
      <c r="D122">
        <v>50</v>
      </c>
      <c r="E122" s="29">
        <v>45609</v>
      </c>
      <c r="F122">
        <v>5.2631578947368363</v>
      </c>
      <c r="G122">
        <v>3.26</v>
      </c>
      <c r="H122">
        <f t="shared" si="4"/>
        <v>0.16299999999999981</v>
      </c>
      <c r="I122">
        <f t="shared" si="3"/>
        <v>0.60370370370370297</v>
      </c>
    </row>
    <row r="123" spans="1:9" x14ac:dyDescent="0.35">
      <c r="A123">
        <v>2</v>
      </c>
      <c r="B123" t="s">
        <v>59</v>
      </c>
      <c r="C123">
        <v>197</v>
      </c>
      <c r="D123">
        <v>50</v>
      </c>
      <c r="E123" s="29">
        <v>45609</v>
      </c>
      <c r="F123">
        <v>5.2798982188295138</v>
      </c>
      <c r="G123">
        <v>3.31</v>
      </c>
      <c r="H123">
        <f t="shared" si="4"/>
        <v>0.16599999999999993</v>
      </c>
      <c r="I123">
        <f t="shared" si="3"/>
        <v>0.61481481481481459</v>
      </c>
    </row>
    <row r="124" spans="1:9" x14ac:dyDescent="0.35">
      <c r="A124">
        <v>2</v>
      </c>
      <c r="B124" t="s">
        <v>59</v>
      </c>
      <c r="C124">
        <v>204</v>
      </c>
      <c r="D124">
        <v>50</v>
      </c>
      <c r="E124" s="29">
        <v>45609</v>
      </c>
      <c r="F124">
        <v>4.9611879851501781</v>
      </c>
      <c r="G124">
        <v>3.11</v>
      </c>
      <c r="H124">
        <f t="shared" si="4"/>
        <v>0.1469999999999998</v>
      </c>
      <c r="I124">
        <f t="shared" si="3"/>
        <v>0.54444444444444362</v>
      </c>
    </row>
    <row r="125" spans="1:9" x14ac:dyDescent="0.35">
      <c r="A125">
        <v>4</v>
      </c>
      <c r="B125" t="s">
        <v>59</v>
      </c>
      <c r="C125">
        <v>233</v>
      </c>
      <c r="D125">
        <v>50</v>
      </c>
      <c r="E125" s="29">
        <v>45609</v>
      </c>
      <c r="F125">
        <v>6.6336019838809657</v>
      </c>
      <c r="G125">
        <v>3.44</v>
      </c>
      <c r="H125">
        <f t="shared" si="4"/>
        <v>0.21399999999999997</v>
      </c>
      <c r="I125">
        <f t="shared" si="3"/>
        <v>0.79259259259259252</v>
      </c>
    </row>
    <row r="126" spans="1:9" x14ac:dyDescent="0.35">
      <c r="A126">
        <v>4</v>
      </c>
      <c r="B126" t="s">
        <v>59</v>
      </c>
      <c r="C126">
        <v>239</v>
      </c>
      <c r="D126">
        <v>50</v>
      </c>
      <c r="E126" s="29">
        <v>45609</v>
      </c>
      <c r="F126">
        <v>6.1015930267508223</v>
      </c>
      <c r="G126">
        <v>3.53</v>
      </c>
      <c r="H126">
        <f t="shared" si="4"/>
        <v>0.20299999999999985</v>
      </c>
      <c r="I126">
        <f t="shared" si="3"/>
        <v>0.75185185185185133</v>
      </c>
    </row>
    <row r="127" spans="1:9" x14ac:dyDescent="0.35">
      <c r="A127">
        <v>4</v>
      </c>
      <c r="B127" t="s">
        <v>59</v>
      </c>
      <c r="C127">
        <v>242</v>
      </c>
      <c r="D127">
        <v>50</v>
      </c>
      <c r="E127" s="29">
        <v>45609</v>
      </c>
      <c r="F127">
        <v>6.2001227747084089</v>
      </c>
      <c r="G127">
        <v>3.46</v>
      </c>
      <c r="H127">
        <f t="shared" si="4"/>
        <v>0.20199999999999996</v>
      </c>
      <c r="I127">
        <f t="shared" si="3"/>
        <v>0.74814814814814801</v>
      </c>
    </row>
    <row r="128" spans="1:9" x14ac:dyDescent="0.35">
      <c r="A128">
        <v>2</v>
      </c>
      <c r="B128" t="s">
        <v>62</v>
      </c>
      <c r="C128">
        <v>255</v>
      </c>
      <c r="D128">
        <v>50</v>
      </c>
      <c r="E128" s="29">
        <v>45609</v>
      </c>
      <c r="F128">
        <v>4.296212549462977</v>
      </c>
      <c r="G128">
        <v>3.69</v>
      </c>
      <c r="H128">
        <f t="shared" si="4"/>
        <v>0.15200000000000014</v>
      </c>
      <c r="I128">
        <f t="shared" si="3"/>
        <v>0.56296296296296344</v>
      </c>
    </row>
    <row r="129" spans="1:9" x14ac:dyDescent="0.35">
      <c r="A129">
        <v>2</v>
      </c>
      <c r="B129" t="s">
        <v>62</v>
      </c>
      <c r="C129">
        <v>264</v>
      </c>
      <c r="D129">
        <v>50</v>
      </c>
      <c r="E129" s="29">
        <v>45609</v>
      </c>
      <c r="F129">
        <v>5.4027179317202609</v>
      </c>
      <c r="G129">
        <v>3.18</v>
      </c>
      <c r="H129">
        <f t="shared" si="4"/>
        <v>0.16300000000000026</v>
      </c>
      <c r="I129">
        <f t="shared" si="3"/>
        <v>0.60370370370370463</v>
      </c>
    </row>
    <row r="130" spans="1:9" x14ac:dyDescent="0.35">
      <c r="A130">
        <v>2</v>
      </c>
      <c r="B130" t="s">
        <v>62</v>
      </c>
      <c r="C130">
        <v>270</v>
      </c>
      <c r="D130">
        <v>50</v>
      </c>
      <c r="E130" s="29">
        <v>45609</v>
      </c>
      <c r="F130">
        <v>5.0165380374862165</v>
      </c>
      <c r="G130">
        <v>3.81</v>
      </c>
      <c r="H130">
        <f t="shared" si="4"/>
        <v>0.18199999999999994</v>
      </c>
      <c r="I130">
        <f t="shared" si="3"/>
        <v>0.67407407407407383</v>
      </c>
    </row>
    <row r="131" spans="1:9" x14ac:dyDescent="0.35">
      <c r="A131">
        <v>4</v>
      </c>
      <c r="B131" t="s">
        <v>62</v>
      </c>
      <c r="C131">
        <v>274</v>
      </c>
      <c r="D131">
        <v>50</v>
      </c>
      <c r="E131" s="29">
        <v>45609</v>
      </c>
      <c r="F131">
        <v>5.5711015008903662</v>
      </c>
      <c r="G131">
        <v>4.1500000000000004</v>
      </c>
      <c r="H131">
        <f t="shared" si="4"/>
        <v>0.21900000000000031</v>
      </c>
      <c r="I131">
        <f t="shared" ref="I131:I194" si="5">H131/27*100</f>
        <v>0.81111111111111223</v>
      </c>
    </row>
    <row r="132" spans="1:9" x14ac:dyDescent="0.35">
      <c r="A132">
        <v>4</v>
      </c>
      <c r="B132" t="s">
        <v>62</v>
      </c>
      <c r="C132">
        <v>277</v>
      </c>
      <c r="D132">
        <v>50</v>
      </c>
      <c r="E132" s="29">
        <v>45609</v>
      </c>
      <c r="F132">
        <v>5.0603647572566164</v>
      </c>
      <c r="G132">
        <v>4.09</v>
      </c>
      <c r="H132">
        <f t="shared" si="4"/>
        <v>0.19700000000000006</v>
      </c>
      <c r="I132">
        <f t="shared" si="5"/>
        <v>0.72962962962962985</v>
      </c>
    </row>
    <row r="133" spans="1:9" x14ac:dyDescent="0.35">
      <c r="A133">
        <v>4</v>
      </c>
      <c r="B133" t="s">
        <v>62</v>
      </c>
      <c r="C133">
        <v>282</v>
      </c>
      <c r="D133">
        <v>50</v>
      </c>
      <c r="E133" s="29">
        <v>45609</v>
      </c>
      <c r="F133">
        <v>4.9198151671649919</v>
      </c>
      <c r="G133">
        <v>3.86</v>
      </c>
      <c r="H133">
        <f t="shared" si="4"/>
        <v>0.18100000000000005</v>
      </c>
      <c r="I133">
        <f t="shared" si="5"/>
        <v>0.67037037037037062</v>
      </c>
    </row>
    <row r="134" spans="1:9" x14ac:dyDescent="0.35">
      <c r="A134">
        <v>2</v>
      </c>
      <c r="B134" t="s">
        <v>61</v>
      </c>
      <c r="C134">
        <v>166</v>
      </c>
      <c r="D134">
        <v>50</v>
      </c>
      <c r="E134" s="29">
        <v>45609</v>
      </c>
      <c r="F134">
        <v>4.3014845831747408</v>
      </c>
      <c r="G134">
        <v>2.74</v>
      </c>
      <c r="H134">
        <f t="shared" si="4"/>
        <v>0.11300000000000043</v>
      </c>
      <c r="I134">
        <f t="shared" si="5"/>
        <v>0.41851851851852018</v>
      </c>
    </row>
    <row r="135" spans="1:9" x14ac:dyDescent="0.35">
      <c r="A135">
        <v>2</v>
      </c>
      <c r="B135" t="s">
        <v>61</v>
      </c>
      <c r="C135">
        <v>172</v>
      </c>
      <c r="D135">
        <v>50</v>
      </c>
      <c r="E135" s="29">
        <v>45609</v>
      </c>
      <c r="F135">
        <v>4.808877928483354</v>
      </c>
      <c r="G135">
        <v>2.5499999999999998</v>
      </c>
      <c r="H135">
        <f t="shared" si="4"/>
        <v>0.11699999999999999</v>
      </c>
      <c r="I135">
        <f t="shared" si="5"/>
        <v>0.43333333333333329</v>
      </c>
    </row>
    <row r="136" spans="1:9" x14ac:dyDescent="0.35">
      <c r="A136">
        <v>2</v>
      </c>
      <c r="B136" t="s">
        <v>61</v>
      </c>
      <c r="C136">
        <v>175</v>
      </c>
      <c r="D136">
        <v>50</v>
      </c>
      <c r="E136" s="29">
        <v>45609</v>
      </c>
      <c r="F136">
        <v>5.5853098699311365</v>
      </c>
      <c r="G136">
        <v>2.76</v>
      </c>
      <c r="H136">
        <f t="shared" ref="H136:H140" si="6">G136-G67</f>
        <v>0.14599999999999991</v>
      </c>
      <c r="I136">
        <f t="shared" si="5"/>
        <v>0.54074074074074041</v>
      </c>
    </row>
    <row r="137" spans="1:9" x14ac:dyDescent="0.35">
      <c r="A137">
        <v>4</v>
      </c>
      <c r="B137" t="s">
        <v>61</v>
      </c>
      <c r="C137">
        <v>211</v>
      </c>
      <c r="D137">
        <v>50</v>
      </c>
      <c r="E137" s="29">
        <v>45609</v>
      </c>
      <c r="F137">
        <v>5.3484602917341988</v>
      </c>
      <c r="G137">
        <v>3.25</v>
      </c>
      <c r="H137">
        <f t="shared" si="6"/>
        <v>0.16500000000000004</v>
      </c>
      <c r="I137">
        <f t="shared" si="5"/>
        <v>0.61111111111111127</v>
      </c>
    </row>
    <row r="138" spans="1:9" x14ac:dyDescent="0.35">
      <c r="A138">
        <v>4</v>
      </c>
      <c r="B138" t="s">
        <v>61</v>
      </c>
      <c r="C138">
        <v>217</v>
      </c>
      <c r="D138">
        <v>50</v>
      </c>
      <c r="E138" s="29">
        <v>45609</v>
      </c>
      <c r="F138">
        <v>5.5860510171133368</v>
      </c>
      <c r="G138">
        <v>3.27</v>
      </c>
      <c r="H138">
        <f t="shared" si="6"/>
        <v>0.17300000000000004</v>
      </c>
      <c r="I138">
        <f t="shared" si="5"/>
        <v>0.64074074074074094</v>
      </c>
    </row>
    <row r="139" spans="1:9" x14ac:dyDescent="0.35">
      <c r="A139">
        <v>4</v>
      </c>
      <c r="B139" t="s">
        <v>61</v>
      </c>
      <c r="C139">
        <v>223</v>
      </c>
      <c r="D139">
        <v>50</v>
      </c>
      <c r="E139" s="29">
        <v>45609</v>
      </c>
      <c r="F139">
        <v>5.4131054131054182</v>
      </c>
      <c r="G139">
        <v>2.96</v>
      </c>
      <c r="H139">
        <f t="shared" si="6"/>
        <v>0.15200000000000014</v>
      </c>
      <c r="I139">
        <f t="shared" si="5"/>
        <v>0.56296296296296344</v>
      </c>
    </row>
    <row r="140" spans="1:9" x14ac:dyDescent="0.35">
      <c r="A140">
        <v>0</v>
      </c>
      <c r="B140" t="s">
        <v>63</v>
      </c>
      <c r="C140">
        <v>316</v>
      </c>
      <c r="D140">
        <v>50</v>
      </c>
      <c r="E140" s="29">
        <v>45611</v>
      </c>
      <c r="F140">
        <v>5.4858697294846674</v>
      </c>
      <c r="G140">
        <v>6.98</v>
      </c>
      <c r="H140">
        <f>G140-G2</f>
        <v>0.36300000000000043</v>
      </c>
      <c r="I140">
        <f t="shared" si="5"/>
        <v>1.3444444444444461</v>
      </c>
    </row>
    <row r="141" spans="1:9" x14ac:dyDescent="0.35">
      <c r="A141">
        <v>0</v>
      </c>
      <c r="B141" t="s">
        <v>63</v>
      </c>
      <c r="C141">
        <v>320</v>
      </c>
      <c r="D141">
        <v>50</v>
      </c>
      <c r="E141" s="29">
        <v>45611</v>
      </c>
      <c r="F141">
        <v>5.6697049281631395</v>
      </c>
      <c r="G141">
        <v>6.84</v>
      </c>
      <c r="H141">
        <f t="shared" ref="H141:H204" si="7">G141-G3</f>
        <v>0.36699999999999999</v>
      </c>
      <c r="I141">
        <f t="shared" si="5"/>
        <v>1.3592592592592592</v>
      </c>
    </row>
    <row r="142" spans="1:9" x14ac:dyDescent="0.35">
      <c r="A142">
        <v>0</v>
      </c>
      <c r="B142" t="s">
        <v>63</v>
      </c>
      <c r="C142">
        <v>325</v>
      </c>
      <c r="D142">
        <v>50</v>
      </c>
      <c r="E142" s="29">
        <v>45611</v>
      </c>
      <c r="F142">
        <v>5.4177545691905982</v>
      </c>
      <c r="G142">
        <v>6.46</v>
      </c>
      <c r="H142">
        <f t="shared" si="7"/>
        <v>0.33199999999999985</v>
      </c>
      <c r="I142">
        <f t="shared" si="5"/>
        <v>1.2296296296296292</v>
      </c>
    </row>
    <row r="143" spans="1:9" x14ac:dyDescent="0.35">
      <c r="A143">
        <v>0</v>
      </c>
      <c r="B143" t="s">
        <v>64</v>
      </c>
      <c r="C143">
        <v>332</v>
      </c>
      <c r="D143">
        <v>50</v>
      </c>
      <c r="E143" s="29">
        <v>45611</v>
      </c>
      <c r="F143">
        <v>5.3475935828876926</v>
      </c>
      <c r="G143">
        <v>3.94</v>
      </c>
      <c r="H143">
        <f t="shared" si="7"/>
        <v>0.19999999999999973</v>
      </c>
      <c r="I143">
        <f t="shared" si="5"/>
        <v>0.7407407407407397</v>
      </c>
    </row>
    <row r="144" spans="1:9" x14ac:dyDescent="0.35">
      <c r="A144">
        <v>0</v>
      </c>
      <c r="B144" t="s">
        <v>64</v>
      </c>
      <c r="C144">
        <v>336</v>
      </c>
      <c r="D144">
        <v>50</v>
      </c>
      <c r="E144" s="29">
        <v>45611</v>
      </c>
      <c r="F144">
        <v>5.5657172720146351</v>
      </c>
      <c r="G144">
        <v>4.04</v>
      </c>
      <c r="H144">
        <f t="shared" si="7"/>
        <v>0.21300000000000008</v>
      </c>
      <c r="I144">
        <f t="shared" si="5"/>
        <v>0.78888888888888919</v>
      </c>
    </row>
    <row r="145" spans="1:9" x14ac:dyDescent="0.35">
      <c r="A145">
        <v>0</v>
      </c>
      <c r="B145" t="s">
        <v>64</v>
      </c>
      <c r="C145">
        <v>341</v>
      </c>
      <c r="D145">
        <v>50</v>
      </c>
      <c r="E145" s="29">
        <v>45611</v>
      </c>
      <c r="F145">
        <v>5.3935057787561957</v>
      </c>
      <c r="G145">
        <v>3.83</v>
      </c>
      <c r="H145">
        <f t="shared" si="7"/>
        <v>0.19600000000000017</v>
      </c>
      <c r="I145">
        <f t="shared" si="5"/>
        <v>0.72592592592592653</v>
      </c>
    </row>
    <row r="146" spans="1:9" x14ac:dyDescent="0.35">
      <c r="A146">
        <v>0</v>
      </c>
      <c r="B146" t="s">
        <v>65</v>
      </c>
      <c r="C146">
        <v>348</v>
      </c>
      <c r="D146">
        <v>50</v>
      </c>
      <c r="E146" s="29">
        <v>45611</v>
      </c>
      <c r="F146">
        <v>5.3755094119930167</v>
      </c>
      <c r="G146">
        <v>5.43</v>
      </c>
      <c r="H146">
        <f t="shared" si="7"/>
        <v>0.27700000000000014</v>
      </c>
      <c r="I146">
        <f t="shared" si="5"/>
        <v>1.0259259259259266</v>
      </c>
    </row>
    <row r="147" spans="1:9" x14ac:dyDescent="0.35">
      <c r="A147">
        <v>0</v>
      </c>
      <c r="B147" t="s">
        <v>65</v>
      </c>
      <c r="C147">
        <v>352</v>
      </c>
      <c r="D147">
        <v>50</v>
      </c>
      <c r="E147" s="29">
        <v>45611</v>
      </c>
      <c r="F147">
        <v>5.3234115626788769</v>
      </c>
      <c r="G147">
        <v>5.52</v>
      </c>
      <c r="H147">
        <f t="shared" si="7"/>
        <v>0.27899999999999991</v>
      </c>
      <c r="I147">
        <f t="shared" si="5"/>
        <v>1.033333333333333</v>
      </c>
    </row>
    <row r="148" spans="1:9" x14ac:dyDescent="0.35">
      <c r="A148">
        <v>0</v>
      </c>
      <c r="B148" t="s">
        <v>65</v>
      </c>
      <c r="C148">
        <v>357</v>
      </c>
      <c r="D148">
        <v>50</v>
      </c>
      <c r="E148" s="29">
        <v>45611</v>
      </c>
      <c r="F148">
        <v>4.7526673132880717</v>
      </c>
      <c r="G148">
        <v>5.4</v>
      </c>
      <c r="H148">
        <f t="shared" si="7"/>
        <v>0.24500000000000011</v>
      </c>
      <c r="I148">
        <f t="shared" si="5"/>
        <v>0.90740740740740777</v>
      </c>
    </row>
    <row r="149" spans="1:9" x14ac:dyDescent="0.35">
      <c r="A149">
        <v>0</v>
      </c>
      <c r="B149" t="s">
        <v>66</v>
      </c>
      <c r="C149">
        <v>368</v>
      </c>
      <c r="D149">
        <v>50</v>
      </c>
      <c r="E149" s="29">
        <v>45611</v>
      </c>
      <c r="F149">
        <v>4.9328917552727818</v>
      </c>
      <c r="G149">
        <v>6.02</v>
      </c>
      <c r="H149">
        <f t="shared" si="7"/>
        <v>0.28299999999999947</v>
      </c>
      <c r="I149">
        <f t="shared" si="5"/>
        <v>1.0481481481481461</v>
      </c>
    </row>
    <row r="150" spans="1:9" x14ac:dyDescent="0.35">
      <c r="A150">
        <v>0</v>
      </c>
      <c r="B150" t="s">
        <v>66</v>
      </c>
      <c r="C150">
        <v>372</v>
      </c>
      <c r="D150">
        <v>50</v>
      </c>
      <c r="E150" s="29">
        <v>45611</v>
      </c>
      <c r="F150">
        <v>5.0671847175004148</v>
      </c>
      <c r="G150">
        <v>6.49</v>
      </c>
      <c r="H150">
        <f t="shared" si="7"/>
        <v>0.31300000000000061</v>
      </c>
      <c r="I150">
        <f t="shared" si="5"/>
        <v>1.1592592592592614</v>
      </c>
    </row>
    <row r="151" spans="1:9" x14ac:dyDescent="0.35">
      <c r="A151">
        <v>0</v>
      </c>
      <c r="B151" t="s">
        <v>66</v>
      </c>
      <c r="C151">
        <v>377</v>
      </c>
      <c r="D151">
        <v>50</v>
      </c>
      <c r="E151" s="29">
        <v>45611</v>
      </c>
      <c r="F151">
        <v>4.9229239184485278</v>
      </c>
      <c r="G151">
        <v>6.33</v>
      </c>
      <c r="H151">
        <f t="shared" si="7"/>
        <v>0.29699999999999971</v>
      </c>
      <c r="I151">
        <f t="shared" si="5"/>
        <v>1.099999999999999</v>
      </c>
    </row>
    <row r="152" spans="1:9" x14ac:dyDescent="0.35">
      <c r="A152">
        <v>0</v>
      </c>
      <c r="B152" t="s">
        <v>58</v>
      </c>
      <c r="C152">
        <v>384</v>
      </c>
      <c r="D152">
        <v>50</v>
      </c>
      <c r="E152" s="29">
        <v>45611</v>
      </c>
      <c r="F152">
        <v>3.2325338894682107</v>
      </c>
      <c r="G152">
        <v>2.97</v>
      </c>
      <c r="H152">
        <f t="shared" si="7"/>
        <v>9.3000000000000416E-2</v>
      </c>
      <c r="I152">
        <f t="shared" si="5"/>
        <v>0.344444444444446</v>
      </c>
    </row>
    <row r="153" spans="1:9" x14ac:dyDescent="0.35">
      <c r="A153">
        <v>0</v>
      </c>
      <c r="B153" t="s">
        <v>58</v>
      </c>
      <c r="C153">
        <v>387</v>
      </c>
      <c r="D153">
        <v>50</v>
      </c>
      <c r="E153" s="29">
        <v>45611</v>
      </c>
      <c r="F153">
        <v>4.2763157894736805</v>
      </c>
      <c r="G153">
        <v>3.17</v>
      </c>
      <c r="H153">
        <f t="shared" si="7"/>
        <v>0.12999999999999989</v>
      </c>
      <c r="I153">
        <f t="shared" si="5"/>
        <v>0.48148148148148107</v>
      </c>
    </row>
    <row r="154" spans="1:9" x14ac:dyDescent="0.35">
      <c r="A154">
        <v>0</v>
      </c>
      <c r="B154" t="s">
        <v>58</v>
      </c>
      <c r="C154">
        <v>392</v>
      </c>
      <c r="D154">
        <v>50</v>
      </c>
      <c r="E154" s="29">
        <v>45611</v>
      </c>
      <c r="F154">
        <v>4.0809870294210695</v>
      </c>
      <c r="G154">
        <v>3.29</v>
      </c>
      <c r="H154">
        <f t="shared" si="7"/>
        <v>0.129</v>
      </c>
      <c r="I154">
        <f t="shared" si="5"/>
        <v>0.47777777777777775</v>
      </c>
    </row>
    <row r="155" spans="1:9" x14ac:dyDescent="0.35">
      <c r="A155">
        <v>0</v>
      </c>
      <c r="B155" t="s">
        <v>59</v>
      </c>
      <c r="C155">
        <v>399</v>
      </c>
      <c r="D155">
        <v>50</v>
      </c>
      <c r="E155" s="29">
        <v>45611</v>
      </c>
      <c r="F155">
        <v>4.8104491876393842</v>
      </c>
      <c r="G155">
        <v>3.29</v>
      </c>
      <c r="H155">
        <f t="shared" si="7"/>
        <v>0.15100000000000025</v>
      </c>
      <c r="I155">
        <f t="shared" si="5"/>
        <v>0.55925925925926012</v>
      </c>
    </row>
    <row r="156" spans="1:9" x14ac:dyDescent="0.35">
      <c r="A156">
        <v>0</v>
      </c>
      <c r="B156" t="s">
        <v>59</v>
      </c>
      <c r="C156">
        <v>403</v>
      </c>
      <c r="D156">
        <v>50</v>
      </c>
      <c r="E156" s="29">
        <v>45611</v>
      </c>
      <c r="F156">
        <v>4.6728971962616797</v>
      </c>
      <c r="G156">
        <v>3.36</v>
      </c>
      <c r="H156">
        <f t="shared" si="7"/>
        <v>0.14999999999999991</v>
      </c>
      <c r="I156">
        <f t="shared" si="5"/>
        <v>0.55555555555555525</v>
      </c>
    </row>
    <row r="157" spans="1:9" x14ac:dyDescent="0.35">
      <c r="A157">
        <v>0</v>
      </c>
      <c r="B157" t="s">
        <v>59</v>
      </c>
      <c r="C157">
        <v>408</v>
      </c>
      <c r="D157">
        <v>50</v>
      </c>
      <c r="E157" s="29">
        <v>45611</v>
      </c>
      <c r="F157">
        <v>4.6734955185659377</v>
      </c>
      <c r="G157">
        <v>3.27</v>
      </c>
      <c r="H157">
        <f t="shared" si="7"/>
        <v>0.14599999999999991</v>
      </c>
      <c r="I157">
        <f t="shared" si="5"/>
        <v>0.54074074074074041</v>
      </c>
    </row>
    <row r="158" spans="1:9" x14ac:dyDescent="0.35">
      <c r="A158">
        <v>0</v>
      </c>
      <c r="B158" t="s">
        <v>60</v>
      </c>
      <c r="C158">
        <v>419</v>
      </c>
      <c r="D158">
        <v>50</v>
      </c>
      <c r="E158" s="29">
        <v>45611</v>
      </c>
      <c r="F158">
        <v>4.7666335650446916</v>
      </c>
      <c r="G158">
        <v>4.22</v>
      </c>
      <c r="H158">
        <f t="shared" si="7"/>
        <v>0.19200000000000017</v>
      </c>
      <c r="I158">
        <f t="shared" si="5"/>
        <v>0.7111111111111118</v>
      </c>
    </row>
    <row r="159" spans="1:9" x14ac:dyDescent="0.35">
      <c r="A159">
        <v>0</v>
      </c>
      <c r="B159" t="s">
        <v>60</v>
      </c>
      <c r="C159">
        <v>423</v>
      </c>
      <c r="D159">
        <v>50</v>
      </c>
      <c r="E159" s="29">
        <v>45611</v>
      </c>
      <c r="F159">
        <v>4.6966731898238789</v>
      </c>
      <c r="G159">
        <v>4.28</v>
      </c>
      <c r="H159">
        <f t="shared" si="7"/>
        <v>0.19200000000000017</v>
      </c>
      <c r="I159">
        <f t="shared" si="5"/>
        <v>0.7111111111111118</v>
      </c>
    </row>
    <row r="160" spans="1:9" x14ac:dyDescent="0.35">
      <c r="A160">
        <v>0</v>
      </c>
      <c r="B160" t="s">
        <v>60</v>
      </c>
      <c r="C160">
        <v>428</v>
      </c>
      <c r="D160">
        <v>50</v>
      </c>
      <c r="E160" s="29">
        <v>45611</v>
      </c>
      <c r="F160">
        <v>4.5087307792546154</v>
      </c>
      <c r="G160">
        <v>4.01</v>
      </c>
      <c r="H160">
        <f t="shared" si="7"/>
        <v>0.1729999999999996</v>
      </c>
      <c r="I160">
        <f t="shared" si="5"/>
        <v>0.64074074074073928</v>
      </c>
    </row>
    <row r="161" spans="1:9" x14ac:dyDescent="0.35">
      <c r="A161">
        <v>0</v>
      </c>
      <c r="B161" t="s">
        <v>61</v>
      </c>
      <c r="C161">
        <v>439</v>
      </c>
      <c r="D161">
        <v>50</v>
      </c>
      <c r="E161" s="29">
        <v>45611</v>
      </c>
      <c r="F161">
        <v>3.9277024678484684</v>
      </c>
      <c r="G161">
        <v>2.99</v>
      </c>
      <c r="H161">
        <f t="shared" si="7"/>
        <v>0.11300000000000043</v>
      </c>
      <c r="I161">
        <f t="shared" si="5"/>
        <v>0.41851851851852018</v>
      </c>
    </row>
    <row r="162" spans="1:9" x14ac:dyDescent="0.35">
      <c r="A162">
        <v>0</v>
      </c>
      <c r="B162" t="s">
        <v>61</v>
      </c>
      <c r="C162">
        <v>443</v>
      </c>
      <c r="D162">
        <v>50</v>
      </c>
      <c r="E162" s="29">
        <v>45611</v>
      </c>
      <c r="F162">
        <v>4.1237113402061736</v>
      </c>
      <c r="G162">
        <v>3.03</v>
      </c>
      <c r="H162">
        <f t="shared" si="7"/>
        <v>0.11999999999999966</v>
      </c>
      <c r="I162">
        <f t="shared" si="5"/>
        <v>0.44444444444444325</v>
      </c>
    </row>
    <row r="163" spans="1:9" x14ac:dyDescent="0.35">
      <c r="A163">
        <v>0</v>
      </c>
      <c r="B163" t="s">
        <v>61</v>
      </c>
      <c r="C163">
        <v>448</v>
      </c>
      <c r="D163">
        <v>50</v>
      </c>
      <c r="E163" s="29">
        <v>45611</v>
      </c>
      <c r="F163">
        <v>3.060147731269792</v>
      </c>
      <c r="G163">
        <v>2.93</v>
      </c>
      <c r="H163">
        <f t="shared" si="7"/>
        <v>8.7000000000000188E-2</v>
      </c>
      <c r="I163">
        <f t="shared" si="5"/>
        <v>0.32222222222222291</v>
      </c>
    </row>
    <row r="164" spans="1:9" x14ac:dyDescent="0.35">
      <c r="A164">
        <v>2</v>
      </c>
      <c r="B164" t="s">
        <v>63</v>
      </c>
      <c r="C164">
        <v>295</v>
      </c>
      <c r="D164">
        <v>50</v>
      </c>
      <c r="E164" s="29">
        <v>45611</v>
      </c>
      <c r="F164">
        <v>0.89020771513352981</v>
      </c>
      <c r="G164">
        <v>5.0999999999999996</v>
      </c>
      <c r="H164">
        <f t="shared" si="7"/>
        <v>4.4999999999999929E-2</v>
      </c>
      <c r="I164">
        <f t="shared" si="5"/>
        <v>0.16666666666666641</v>
      </c>
    </row>
    <row r="165" spans="1:9" x14ac:dyDescent="0.35">
      <c r="A165">
        <v>2</v>
      </c>
      <c r="B165" t="s">
        <v>63</v>
      </c>
      <c r="C165">
        <v>298</v>
      </c>
      <c r="D165">
        <v>50</v>
      </c>
      <c r="E165" s="29">
        <v>45611</v>
      </c>
      <c r="F165">
        <v>5.2144970414201186</v>
      </c>
      <c r="G165">
        <v>5.69</v>
      </c>
      <c r="H165">
        <f t="shared" si="7"/>
        <v>0.28200000000000003</v>
      </c>
      <c r="I165">
        <f t="shared" si="5"/>
        <v>1.0444444444444445</v>
      </c>
    </row>
    <row r="166" spans="1:9" x14ac:dyDescent="0.35">
      <c r="A166">
        <v>2</v>
      </c>
      <c r="B166" t="s">
        <v>63</v>
      </c>
      <c r="C166">
        <v>301</v>
      </c>
      <c r="D166">
        <v>50</v>
      </c>
      <c r="E166" s="29">
        <v>45611</v>
      </c>
      <c r="F166">
        <v>5.2127251820620977</v>
      </c>
      <c r="G166">
        <v>5.49</v>
      </c>
      <c r="H166">
        <f t="shared" si="7"/>
        <v>0.27200000000000024</v>
      </c>
      <c r="I166">
        <f t="shared" si="5"/>
        <v>1.0074074074074082</v>
      </c>
    </row>
    <row r="167" spans="1:9" x14ac:dyDescent="0.35">
      <c r="A167">
        <v>2</v>
      </c>
      <c r="B167" t="s">
        <v>64</v>
      </c>
      <c r="C167">
        <v>6</v>
      </c>
      <c r="D167">
        <v>50</v>
      </c>
      <c r="E167" s="29">
        <v>45611</v>
      </c>
      <c r="F167">
        <v>6.0687432867883988</v>
      </c>
      <c r="G167">
        <v>3.95</v>
      </c>
      <c r="H167">
        <f t="shared" si="7"/>
        <v>0.22599999999999998</v>
      </c>
      <c r="I167">
        <f t="shared" si="5"/>
        <v>0.83703703703703702</v>
      </c>
    </row>
    <row r="168" spans="1:9" x14ac:dyDescent="0.35">
      <c r="A168">
        <v>2</v>
      </c>
      <c r="B168" t="s">
        <v>64</v>
      </c>
      <c r="C168">
        <v>10</v>
      </c>
      <c r="D168">
        <v>50</v>
      </c>
      <c r="E168" s="29">
        <v>45611</v>
      </c>
      <c r="F168">
        <v>5.6932715881231299</v>
      </c>
      <c r="G168">
        <v>3.88</v>
      </c>
      <c r="H168">
        <f t="shared" si="7"/>
        <v>0.20900000000000007</v>
      </c>
      <c r="I168">
        <f t="shared" si="5"/>
        <v>0.77407407407407436</v>
      </c>
    </row>
    <row r="169" spans="1:9" x14ac:dyDescent="0.35">
      <c r="A169">
        <v>2</v>
      </c>
      <c r="B169" t="s">
        <v>64</v>
      </c>
      <c r="C169">
        <v>14</v>
      </c>
      <c r="D169">
        <v>50</v>
      </c>
      <c r="E169" s="29">
        <v>45611</v>
      </c>
      <c r="F169">
        <v>5.5627425614488963</v>
      </c>
      <c r="G169">
        <v>4.08</v>
      </c>
      <c r="H169">
        <f t="shared" si="7"/>
        <v>0.21499999999999986</v>
      </c>
      <c r="I169">
        <f t="shared" si="5"/>
        <v>0.79629629629629584</v>
      </c>
    </row>
    <row r="170" spans="1:9" x14ac:dyDescent="0.35">
      <c r="A170">
        <v>4</v>
      </c>
      <c r="B170" t="s">
        <v>64</v>
      </c>
      <c r="C170">
        <v>26</v>
      </c>
      <c r="D170">
        <v>50</v>
      </c>
      <c r="E170" s="29">
        <v>45611</v>
      </c>
      <c r="F170">
        <v>5.6872037914691997</v>
      </c>
      <c r="G170">
        <v>4.46</v>
      </c>
      <c r="H170">
        <f t="shared" si="7"/>
        <v>0.24000000000000021</v>
      </c>
      <c r="I170">
        <f t="shared" si="5"/>
        <v>0.88888888888888973</v>
      </c>
    </row>
    <row r="171" spans="1:9" x14ac:dyDescent="0.35">
      <c r="A171">
        <v>4</v>
      </c>
      <c r="B171" t="s">
        <v>64</v>
      </c>
      <c r="C171">
        <v>30</v>
      </c>
      <c r="D171">
        <v>50</v>
      </c>
      <c r="E171" s="29">
        <v>45611</v>
      </c>
      <c r="F171">
        <v>5.8150619637750403</v>
      </c>
      <c r="G171">
        <v>4.4400000000000004</v>
      </c>
      <c r="H171">
        <f t="shared" si="7"/>
        <v>0.24400000000000066</v>
      </c>
      <c r="I171">
        <f t="shared" si="5"/>
        <v>0.90370370370370623</v>
      </c>
    </row>
    <row r="172" spans="1:9" x14ac:dyDescent="0.35">
      <c r="A172">
        <v>4</v>
      </c>
      <c r="B172" t="s">
        <v>64</v>
      </c>
      <c r="C172">
        <v>34</v>
      </c>
      <c r="D172">
        <v>50</v>
      </c>
      <c r="E172" s="29">
        <v>45611</v>
      </c>
      <c r="F172">
        <v>5.6487827936657968</v>
      </c>
      <c r="G172">
        <v>4.47</v>
      </c>
      <c r="H172">
        <f t="shared" si="7"/>
        <v>0.23899999999999988</v>
      </c>
      <c r="I172">
        <f t="shared" si="5"/>
        <v>0.88518518518518463</v>
      </c>
    </row>
    <row r="173" spans="1:9" x14ac:dyDescent="0.35">
      <c r="A173">
        <v>2</v>
      </c>
      <c r="B173" t="s">
        <v>65</v>
      </c>
      <c r="C173">
        <v>46</v>
      </c>
      <c r="D173">
        <v>50</v>
      </c>
      <c r="E173" s="29">
        <v>45611</v>
      </c>
      <c r="F173">
        <v>6.066613798572563</v>
      </c>
      <c r="G173">
        <v>5.35</v>
      </c>
      <c r="H173">
        <f t="shared" si="7"/>
        <v>0.30600000000000005</v>
      </c>
      <c r="I173">
        <f t="shared" si="5"/>
        <v>1.1333333333333335</v>
      </c>
    </row>
    <row r="174" spans="1:9" x14ac:dyDescent="0.35">
      <c r="A174">
        <v>2</v>
      </c>
      <c r="B174" t="s">
        <v>65</v>
      </c>
      <c r="C174">
        <v>50</v>
      </c>
      <c r="D174">
        <v>50</v>
      </c>
      <c r="E174" s="29">
        <v>45611</v>
      </c>
      <c r="F174">
        <v>5.7496764651506735</v>
      </c>
      <c r="G174">
        <v>5.72</v>
      </c>
      <c r="H174">
        <f t="shared" si="7"/>
        <v>0.31099999999999994</v>
      </c>
      <c r="I174">
        <f t="shared" si="5"/>
        <v>1.1518518518518517</v>
      </c>
    </row>
    <row r="175" spans="1:9" x14ac:dyDescent="0.35">
      <c r="A175">
        <v>2</v>
      </c>
      <c r="B175" t="s">
        <v>65</v>
      </c>
      <c r="C175">
        <v>54</v>
      </c>
      <c r="D175">
        <v>50</v>
      </c>
      <c r="E175" s="29">
        <v>45611</v>
      </c>
      <c r="F175">
        <v>5.893719806763297</v>
      </c>
      <c r="G175">
        <v>5.48</v>
      </c>
      <c r="H175">
        <f t="shared" si="7"/>
        <v>0.3050000000000006</v>
      </c>
      <c r="I175">
        <f t="shared" si="5"/>
        <v>1.1296296296296318</v>
      </c>
    </row>
    <row r="176" spans="1:9" x14ac:dyDescent="0.35">
      <c r="A176">
        <v>4</v>
      </c>
      <c r="B176" t="s">
        <v>65</v>
      </c>
      <c r="C176">
        <v>67</v>
      </c>
      <c r="D176">
        <v>50</v>
      </c>
      <c r="E176" s="29">
        <v>45611</v>
      </c>
      <c r="F176">
        <v>5.6983240223463865</v>
      </c>
      <c r="G176">
        <v>4.7300000000000004</v>
      </c>
      <c r="H176">
        <f t="shared" si="7"/>
        <v>0.25500000000000078</v>
      </c>
      <c r="I176">
        <f t="shared" si="5"/>
        <v>0.94444444444444742</v>
      </c>
    </row>
    <row r="177" spans="1:9" x14ac:dyDescent="0.35">
      <c r="A177">
        <v>4</v>
      </c>
      <c r="B177" t="s">
        <v>65</v>
      </c>
      <c r="C177">
        <v>71</v>
      </c>
      <c r="D177">
        <v>50</v>
      </c>
      <c r="E177" s="29">
        <v>45611</v>
      </c>
      <c r="F177">
        <v>5.9383405752120817</v>
      </c>
      <c r="G177">
        <v>5.12</v>
      </c>
      <c r="H177">
        <f t="shared" si="7"/>
        <v>0.28699999999999992</v>
      </c>
      <c r="I177">
        <f t="shared" si="5"/>
        <v>1.0629629629629627</v>
      </c>
    </row>
    <row r="178" spans="1:9" x14ac:dyDescent="0.35">
      <c r="A178">
        <v>4</v>
      </c>
      <c r="B178" t="s">
        <v>65</v>
      </c>
      <c r="C178">
        <v>75</v>
      </c>
      <c r="D178">
        <v>50</v>
      </c>
      <c r="E178" s="29">
        <v>45611</v>
      </c>
      <c r="F178">
        <v>6.0154854079809397</v>
      </c>
      <c r="G178">
        <v>5.34</v>
      </c>
      <c r="H178">
        <f t="shared" si="7"/>
        <v>0.30299999999999994</v>
      </c>
      <c r="I178">
        <f t="shared" si="5"/>
        <v>1.122222222222222</v>
      </c>
    </row>
    <row r="179" spans="1:9" x14ac:dyDescent="0.35">
      <c r="A179">
        <v>2</v>
      </c>
      <c r="B179" t="s">
        <v>66</v>
      </c>
      <c r="C179">
        <v>87</v>
      </c>
      <c r="D179">
        <v>50</v>
      </c>
      <c r="E179" s="29">
        <v>45611</v>
      </c>
      <c r="F179">
        <v>5.1717483597066725</v>
      </c>
      <c r="G179">
        <v>5.45</v>
      </c>
      <c r="H179">
        <f t="shared" si="7"/>
        <v>0.26799999999999979</v>
      </c>
      <c r="I179">
        <f t="shared" si="5"/>
        <v>0.9925925925925918</v>
      </c>
    </row>
    <row r="180" spans="1:9" x14ac:dyDescent="0.35">
      <c r="A180">
        <v>2</v>
      </c>
      <c r="B180" t="s">
        <v>66</v>
      </c>
      <c r="C180">
        <v>91</v>
      </c>
      <c r="D180">
        <v>50</v>
      </c>
      <c r="E180" s="29">
        <v>45611</v>
      </c>
      <c r="F180">
        <v>5.8800158919348489</v>
      </c>
      <c r="G180">
        <v>5.33</v>
      </c>
      <c r="H180">
        <f t="shared" si="7"/>
        <v>0.29600000000000026</v>
      </c>
      <c r="I180">
        <f t="shared" si="5"/>
        <v>1.0962962962962972</v>
      </c>
    </row>
    <row r="181" spans="1:9" x14ac:dyDescent="0.35">
      <c r="A181">
        <v>2</v>
      </c>
      <c r="B181" t="s">
        <v>66</v>
      </c>
      <c r="C181">
        <v>95</v>
      </c>
      <c r="D181">
        <v>50</v>
      </c>
      <c r="E181" s="29">
        <v>45611</v>
      </c>
      <c r="F181">
        <v>5.9369202226345141</v>
      </c>
      <c r="G181">
        <v>5.71</v>
      </c>
      <c r="H181">
        <f t="shared" si="7"/>
        <v>0.32000000000000028</v>
      </c>
      <c r="I181">
        <f t="shared" si="5"/>
        <v>1.1851851851851862</v>
      </c>
    </row>
    <row r="182" spans="1:9" x14ac:dyDescent="0.35">
      <c r="A182">
        <v>4</v>
      </c>
      <c r="B182" t="s">
        <v>66</v>
      </c>
      <c r="C182">
        <v>107</v>
      </c>
      <c r="D182">
        <v>50</v>
      </c>
      <c r="E182" s="29">
        <v>45611</v>
      </c>
      <c r="F182">
        <v>5.8044274010807069</v>
      </c>
      <c r="G182">
        <v>6.07</v>
      </c>
      <c r="H182">
        <f t="shared" si="7"/>
        <v>0.33300000000000018</v>
      </c>
      <c r="I182">
        <f t="shared" si="5"/>
        <v>1.2333333333333341</v>
      </c>
    </row>
    <row r="183" spans="1:9" x14ac:dyDescent="0.35">
      <c r="A183">
        <v>4</v>
      </c>
      <c r="B183" t="s">
        <v>66</v>
      </c>
      <c r="C183">
        <v>111</v>
      </c>
      <c r="D183">
        <v>50</v>
      </c>
      <c r="E183" s="29">
        <v>45611</v>
      </c>
      <c r="F183">
        <v>5.7997660036770924</v>
      </c>
      <c r="G183">
        <v>6.33</v>
      </c>
      <c r="H183">
        <f t="shared" si="7"/>
        <v>0.34700000000000042</v>
      </c>
      <c r="I183">
        <f t="shared" si="5"/>
        <v>1.2851851851851868</v>
      </c>
    </row>
    <row r="184" spans="1:9" x14ac:dyDescent="0.35">
      <c r="A184">
        <v>4</v>
      </c>
      <c r="B184" t="s">
        <v>66</v>
      </c>
      <c r="C184">
        <v>115</v>
      </c>
      <c r="D184">
        <v>50</v>
      </c>
      <c r="E184" s="29">
        <v>45611</v>
      </c>
      <c r="F184">
        <v>5.6924986699769411</v>
      </c>
      <c r="G184">
        <v>5.96</v>
      </c>
      <c r="H184">
        <f t="shared" si="7"/>
        <v>0.32099999999999973</v>
      </c>
      <c r="I184">
        <f t="shared" si="5"/>
        <v>1.188888888888888</v>
      </c>
    </row>
    <row r="185" spans="1:9" x14ac:dyDescent="0.35">
      <c r="A185">
        <v>2</v>
      </c>
      <c r="B185" t="s">
        <v>58</v>
      </c>
      <c r="C185">
        <v>128</v>
      </c>
      <c r="D185">
        <v>50</v>
      </c>
      <c r="E185" s="29">
        <v>45611</v>
      </c>
      <c r="F185">
        <v>5.0488599348534242</v>
      </c>
      <c r="G185">
        <v>2.58</v>
      </c>
      <c r="H185">
        <f t="shared" si="7"/>
        <v>0.12400000000000011</v>
      </c>
      <c r="I185">
        <f t="shared" si="5"/>
        <v>0.4592592592592597</v>
      </c>
    </row>
    <row r="186" spans="1:9" x14ac:dyDescent="0.35">
      <c r="A186">
        <v>2</v>
      </c>
      <c r="B186" t="s">
        <v>58</v>
      </c>
      <c r="C186">
        <v>133</v>
      </c>
      <c r="D186">
        <v>50</v>
      </c>
      <c r="E186" s="29">
        <v>45611</v>
      </c>
      <c r="F186">
        <v>5.7287278854254282</v>
      </c>
      <c r="G186">
        <v>2.5099999999999998</v>
      </c>
      <c r="H186">
        <f t="shared" si="7"/>
        <v>0.13599999999999968</v>
      </c>
      <c r="I186">
        <f t="shared" si="5"/>
        <v>0.50370370370370243</v>
      </c>
    </row>
    <row r="187" spans="1:9" x14ac:dyDescent="0.35">
      <c r="A187">
        <v>2</v>
      </c>
      <c r="B187" t="s">
        <v>58</v>
      </c>
      <c r="C187">
        <v>139</v>
      </c>
      <c r="D187">
        <v>50</v>
      </c>
      <c r="E187" s="29">
        <v>45611</v>
      </c>
      <c r="F187">
        <v>5.595288178376105</v>
      </c>
      <c r="G187">
        <v>2.5099999999999998</v>
      </c>
      <c r="H187">
        <f t="shared" si="7"/>
        <v>0.13300000000000001</v>
      </c>
      <c r="I187">
        <f t="shared" si="5"/>
        <v>0.49259259259259264</v>
      </c>
    </row>
    <row r="188" spans="1:9" x14ac:dyDescent="0.35">
      <c r="A188">
        <v>4</v>
      </c>
      <c r="B188" t="s">
        <v>58</v>
      </c>
      <c r="C188">
        <v>150</v>
      </c>
      <c r="D188">
        <v>50</v>
      </c>
      <c r="E188" s="29">
        <v>45611</v>
      </c>
      <c r="F188">
        <v>6.3333333333333313</v>
      </c>
      <c r="G188">
        <v>3.19</v>
      </c>
      <c r="H188">
        <f t="shared" si="7"/>
        <v>0.18999999999999995</v>
      </c>
      <c r="I188">
        <f t="shared" si="5"/>
        <v>0.7037037037037035</v>
      </c>
    </row>
    <row r="189" spans="1:9" x14ac:dyDescent="0.35">
      <c r="A189">
        <v>4</v>
      </c>
      <c r="B189" t="s">
        <v>58</v>
      </c>
      <c r="C189">
        <v>156</v>
      </c>
      <c r="D189">
        <v>50</v>
      </c>
      <c r="E189" s="29">
        <v>45611</v>
      </c>
      <c r="F189">
        <v>6.4139941690962026</v>
      </c>
      <c r="G189">
        <v>3.65</v>
      </c>
      <c r="H189">
        <f t="shared" si="7"/>
        <v>0.21999999999999975</v>
      </c>
      <c r="I189">
        <f t="shared" si="5"/>
        <v>0.81481481481481388</v>
      </c>
    </row>
    <row r="190" spans="1:9" x14ac:dyDescent="0.35">
      <c r="A190">
        <v>4</v>
      </c>
      <c r="B190" t="s">
        <v>58</v>
      </c>
      <c r="C190">
        <v>158</v>
      </c>
      <c r="D190">
        <v>50</v>
      </c>
      <c r="E190" s="29">
        <v>45611</v>
      </c>
      <c r="F190">
        <v>6.2477938581009385</v>
      </c>
      <c r="G190">
        <v>3.01</v>
      </c>
      <c r="H190">
        <f t="shared" si="7"/>
        <v>0.1769999999999996</v>
      </c>
      <c r="I190">
        <f t="shared" si="5"/>
        <v>0.65555555555555411</v>
      </c>
    </row>
    <row r="191" spans="1:9" x14ac:dyDescent="0.35">
      <c r="A191">
        <v>2</v>
      </c>
      <c r="B191" t="s">
        <v>59</v>
      </c>
      <c r="C191">
        <v>191</v>
      </c>
      <c r="D191">
        <v>50</v>
      </c>
      <c r="E191" s="29">
        <v>45611</v>
      </c>
      <c r="F191">
        <v>6.2318372618663247</v>
      </c>
      <c r="G191">
        <v>3.29</v>
      </c>
      <c r="H191">
        <f t="shared" si="7"/>
        <v>0.19300000000000006</v>
      </c>
      <c r="I191">
        <f t="shared" si="5"/>
        <v>0.71481481481481501</v>
      </c>
    </row>
    <row r="192" spans="1:9" x14ac:dyDescent="0.35">
      <c r="A192">
        <v>2</v>
      </c>
      <c r="B192" t="s">
        <v>59</v>
      </c>
      <c r="C192">
        <v>197</v>
      </c>
      <c r="D192">
        <v>50</v>
      </c>
      <c r="E192" s="29">
        <v>45611</v>
      </c>
      <c r="F192">
        <v>6.2340966921119501</v>
      </c>
      <c r="G192">
        <v>3.34</v>
      </c>
      <c r="H192">
        <f t="shared" si="7"/>
        <v>0.19599999999999973</v>
      </c>
      <c r="I192">
        <f t="shared" si="5"/>
        <v>0.72592592592592486</v>
      </c>
    </row>
    <row r="193" spans="1:9" x14ac:dyDescent="0.35">
      <c r="A193">
        <v>2</v>
      </c>
      <c r="B193" t="s">
        <v>59</v>
      </c>
      <c r="C193">
        <v>204</v>
      </c>
      <c r="D193">
        <v>50</v>
      </c>
      <c r="E193" s="29">
        <v>45611</v>
      </c>
      <c r="F193">
        <v>6.3111711103611148</v>
      </c>
      <c r="G193">
        <v>3.15</v>
      </c>
      <c r="H193">
        <f t="shared" si="7"/>
        <v>0.18699999999999983</v>
      </c>
      <c r="I193">
        <f t="shared" si="5"/>
        <v>0.69259259259259198</v>
      </c>
    </row>
    <row r="194" spans="1:9" x14ac:dyDescent="0.35">
      <c r="A194">
        <v>4</v>
      </c>
      <c r="B194" t="s">
        <v>59</v>
      </c>
      <c r="C194">
        <v>233</v>
      </c>
      <c r="D194">
        <v>50</v>
      </c>
      <c r="E194" s="29">
        <v>45611</v>
      </c>
      <c r="F194">
        <v>6.9435833849969066</v>
      </c>
      <c r="G194">
        <v>3.45</v>
      </c>
      <c r="H194">
        <f t="shared" si="7"/>
        <v>0.2240000000000002</v>
      </c>
      <c r="I194">
        <f t="shared" si="5"/>
        <v>0.82962962962963038</v>
      </c>
    </row>
    <row r="195" spans="1:9" x14ac:dyDescent="0.35">
      <c r="A195">
        <v>4</v>
      </c>
      <c r="B195" t="s">
        <v>59</v>
      </c>
      <c r="C195">
        <v>239</v>
      </c>
      <c r="D195">
        <v>50</v>
      </c>
      <c r="E195" s="29">
        <v>45611</v>
      </c>
      <c r="F195">
        <v>6.7027351968740572</v>
      </c>
      <c r="G195">
        <v>3.55</v>
      </c>
      <c r="H195">
        <f t="shared" si="7"/>
        <v>0.22299999999999986</v>
      </c>
      <c r="I195">
        <f t="shared" ref="I195:I258" si="8">H195/27*100</f>
        <v>0.8259259259259254</v>
      </c>
    </row>
    <row r="196" spans="1:9" x14ac:dyDescent="0.35">
      <c r="A196">
        <v>4</v>
      </c>
      <c r="B196" t="s">
        <v>59</v>
      </c>
      <c r="C196">
        <v>242</v>
      </c>
      <c r="D196">
        <v>50</v>
      </c>
      <c r="E196" s="29">
        <v>45611</v>
      </c>
      <c r="F196">
        <v>7.1209330877839232</v>
      </c>
      <c r="G196">
        <v>3.49</v>
      </c>
      <c r="H196">
        <f t="shared" si="7"/>
        <v>0.23200000000000021</v>
      </c>
      <c r="I196">
        <f t="shared" si="8"/>
        <v>0.85925925925925994</v>
      </c>
    </row>
    <row r="197" spans="1:9" x14ac:dyDescent="0.35">
      <c r="A197">
        <v>2</v>
      </c>
      <c r="B197" t="s">
        <v>62</v>
      </c>
      <c r="C197">
        <v>255</v>
      </c>
      <c r="D197">
        <v>50</v>
      </c>
      <c r="E197" s="29">
        <v>45611</v>
      </c>
      <c r="F197">
        <v>4.5788581119276532</v>
      </c>
      <c r="G197">
        <v>3.7</v>
      </c>
      <c r="H197">
        <f t="shared" si="7"/>
        <v>0.16200000000000037</v>
      </c>
      <c r="I197">
        <f t="shared" si="8"/>
        <v>0.60000000000000131</v>
      </c>
    </row>
    <row r="198" spans="1:9" x14ac:dyDescent="0.35">
      <c r="A198">
        <v>2</v>
      </c>
      <c r="B198" t="s">
        <v>62</v>
      </c>
      <c r="C198">
        <v>264</v>
      </c>
      <c r="D198">
        <v>50</v>
      </c>
      <c r="E198" s="29">
        <v>45611</v>
      </c>
      <c r="F198">
        <v>4.7398077560490641</v>
      </c>
      <c r="G198">
        <v>3.16</v>
      </c>
      <c r="H198">
        <f t="shared" si="7"/>
        <v>0.14300000000000024</v>
      </c>
      <c r="I198">
        <f t="shared" si="8"/>
        <v>0.52962962962963045</v>
      </c>
    </row>
    <row r="199" spans="1:9" x14ac:dyDescent="0.35">
      <c r="A199">
        <v>2</v>
      </c>
      <c r="B199" t="s">
        <v>62</v>
      </c>
      <c r="C199">
        <v>270</v>
      </c>
      <c r="D199">
        <v>50</v>
      </c>
      <c r="E199" s="29">
        <v>45611</v>
      </c>
      <c r="F199">
        <v>5.0165380374862165</v>
      </c>
      <c r="G199">
        <v>3.81</v>
      </c>
      <c r="H199">
        <f t="shared" si="7"/>
        <v>0.18199999999999994</v>
      </c>
      <c r="I199">
        <f t="shared" si="8"/>
        <v>0.67407407407407383</v>
      </c>
    </row>
    <row r="200" spans="1:9" x14ac:dyDescent="0.35">
      <c r="A200">
        <v>4</v>
      </c>
      <c r="B200" t="s">
        <v>62</v>
      </c>
      <c r="C200">
        <v>274</v>
      </c>
      <c r="D200">
        <v>50</v>
      </c>
      <c r="E200" s="29">
        <v>45611</v>
      </c>
      <c r="F200">
        <v>5.5711015008903662</v>
      </c>
      <c r="G200">
        <v>4.1500000000000004</v>
      </c>
      <c r="H200">
        <f t="shared" si="7"/>
        <v>0.21900000000000031</v>
      </c>
      <c r="I200">
        <f t="shared" si="8"/>
        <v>0.81111111111111223</v>
      </c>
    </row>
    <row r="201" spans="1:9" x14ac:dyDescent="0.35">
      <c r="A201">
        <v>4</v>
      </c>
      <c r="B201" t="s">
        <v>62</v>
      </c>
      <c r="C201">
        <v>277</v>
      </c>
      <c r="D201">
        <v>50</v>
      </c>
      <c r="E201" s="29">
        <v>45611</v>
      </c>
      <c r="F201">
        <v>5.830978679681488</v>
      </c>
      <c r="G201">
        <v>4.12</v>
      </c>
      <c r="H201">
        <f t="shared" si="7"/>
        <v>0.22700000000000031</v>
      </c>
      <c r="I201">
        <f t="shared" si="8"/>
        <v>0.8407407407407419</v>
      </c>
    </row>
    <row r="202" spans="1:9" x14ac:dyDescent="0.35">
      <c r="A202">
        <v>4</v>
      </c>
      <c r="B202" t="s">
        <v>62</v>
      </c>
      <c r="C202">
        <v>282</v>
      </c>
      <c r="D202">
        <v>50</v>
      </c>
      <c r="E202" s="29">
        <v>45611</v>
      </c>
      <c r="F202">
        <v>5.7352541451481462</v>
      </c>
      <c r="G202">
        <v>3.89</v>
      </c>
      <c r="H202">
        <f t="shared" si="7"/>
        <v>0.2110000000000003</v>
      </c>
      <c r="I202">
        <f t="shared" si="8"/>
        <v>0.78148148148148266</v>
      </c>
    </row>
    <row r="203" spans="1:9" x14ac:dyDescent="0.35">
      <c r="A203">
        <v>2</v>
      </c>
      <c r="B203" t="s">
        <v>61</v>
      </c>
      <c r="C203">
        <v>166</v>
      </c>
      <c r="D203">
        <v>50</v>
      </c>
      <c r="E203" s="29">
        <v>45611</v>
      </c>
      <c r="F203">
        <v>5.062809288161402</v>
      </c>
      <c r="G203">
        <v>2.76</v>
      </c>
      <c r="H203">
        <f t="shared" si="7"/>
        <v>0.13300000000000001</v>
      </c>
      <c r="I203">
        <f t="shared" si="8"/>
        <v>0.49259259259259264</v>
      </c>
    </row>
    <row r="204" spans="1:9" x14ac:dyDescent="0.35">
      <c r="A204">
        <v>2</v>
      </c>
      <c r="B204" t="s">
        <v>61</v>
      </c>
      <c r="C204">
        <v>172</v>
      </c>
      <c r="D204">
        <v>50</v>
      </c>
      <c r="E204" s="29">
        <v>45611</v>
      </c>
      <c r="F204">
        <v>5.2198931360460428</v>
      </c>
      <c r="G204">
        <v>2.56</v>
      </c>
      <c r="H204">
        <f t="shared" si="7"/>
        <v>0.12700000000000022</v>
      </c>
      <c r="I204">
        <f t="shared" si="8"/>
        <v>0.47037037037037116</v>
      </c>
    </row>
    <row r="205" spans="1:9" x14ac:dyDescent="0.35">
      <c r="A205">
        <v>2</v>
      </c>
      <c r="B205" t="s">
        <v>61</v>
      </c>
      <c r="C205">
        <v>175</v>
      </c>
      <c r="D205">
        <v>50</v>
      </c>
      <c r="E205" s="29">
        <v>45611</v>
      </c>
      <c r="F205">
        <v>5.5853098699311365</v>
      </c>
      <c r="G205">
        <v>2.76</v>
      </c>
      <c r="H205">
        <f t="shared" ref="H205:H211" si="9">G205-G67</f>
        <v>0.14599999999999991</v>
      </c>
      <c r="I205">
        <f t="shared" si="8"/>
        <v>0.54074074074074041</v>
      </c>
    </row>
    <row r="206" spans="1:9" x14ac:dyDescent="0.35">
      <c r="A206">
        <v>4</v>
      </c>
      <c r="B206" t="s">
        <v>61</v>
      </c>
      <c r="C206">
        <v>211</v>
      </c>
      <c r="D206">
        <v>50</v>
      </c>
      <c r="E206" s="29">
        <v>45611</v>
      </c>
      <c r="F206">
        <v>6.3209076175040471</v>
      </c>
      <c r="G206">
        <v>3.28</v>
      </c>
      <c r="H206">
        <f t="shared" si="9"/>
        <v>0.19499999999999984</v>
      </c>
      <c r="I206">
        <f t="shared" si="8"/>
        <v>0.72222222222222165</v>
      </c>
    </row>
    <row r="207" spans="1:9" x14ac:dyDescent="0.35">
      <c r="A207">
        <v>4</v>
      </c>
      <c r="B207" t="s">
        <v>61</v>
      </c>
      <c r="C207">
        <v>217</v>
      </c>
      <c r="D207">
        <v>50</v>
      </c>
      <c r="E207" s="29">
        <v>45611</v>
      </c>
      <c r="F207">
        <v>6.2318372618663247</v>
      </c>
      <c r="G207">
        <v>3.29</v>
      </c>
      <c r="H207">
        <f t="shared" si="9"/>
        <v>0.19300000000000006</v>
      </c>
      <c r="I207">
        <f t="shared" si="8"/>
        <v>0.71481481481481501</v>
      </c>
    </row>
    <row r="208" spans="1:9" x14ac:dyDescent="0.35">
      <c r="A208">
        <v>4</v>
      </c>
      <c r="B208" t="s">
        <v>61</v>
      </c>
      <c r="C208">
        <v>223</v>
      </c>
      <c r="D208">
        <v>50</v>
      </c>
      <c r="E208" s="29">
        <v>45611</v>
      </c>
      <c r="F208">
        <v>6.4814814814814952</v>
      </c>
      <c r="G208">
        <v>2.99</v>
      </c>
      <c r="H208">
        <f t="shared" si="9"/>
        <v>0.18200000000000038</v>
      </c>
      <c r="I208">
        <f t="shared" si="8"/>
        <v>0.67407407407407549</v>
      </c>
    </row>
    <row r="209" spans="1:9" x14ac:dyDescent="0.35">
      <c r="A209">
        <v>0</v>
      </c>
      <c r="B209" t="s">
        <v>63</v>
      </c>
      <c r="C209">
        <v>316</v>
      </c>
      <c r="D209">
        <v>50</v>
      </c>
      <c r="E209" s="5">
        <v>45615</v>
      </c>
      <c r="F209">
        <v>5.1836179537554781</v>
      </c>
      <c r="G209">
        <v>6.96</v>
      </c>
      <c r="H209">
        <f>G209-G2</f>
        <v>0.34299999999999997</v>
      </c>
      <c r="I209">
        <f t="shared" si="8"/>
        <v>1.2703703703703704</v>
      </c>
    </row>
    <row r="210" spans="1:9" x14ac:dyDescent="0.35">
      <c r="A210">
        <v>0</v>
      </c>
      <c r="B210" t="s">
        <v>63</v>
      </c>
      <c r="C210">
        <v>320</v>
      </c>
      <c r="D210">
        <v>50</v>
      </c>
      <c r="E210" s="5">
        <v>45615</v>
      </c>
      <c r="F210">
        <v>5.5152170554611493</v>
      </c>
      <c r="G210">
        <v>6.83</v>
      </c>
      <c r="H210">
        <f t="shared" ref="H210:H273" si="10">G210-G3</f>
        <v>0.35700000000000021</v>
      </c>
      <c r="I210">
        <f t="shared" si="8"/>
        <v>1.3222222222222231</v>
      </c>
    </row>
    <row r="211" spans="1:9" x14ac:dyDescent="0.35">
      <c r="A211">
        <v>0</v>
      </c>
      <c r="B211" t="s">
        <v>63</v>
      </c>
      <c r="C211">
        <v>325</v>
      </c>
      <c r="D211">
        <v>50</v>
      </c>
      <c r="E211" s="5">
        <v>45615</v>
      </c>
      <c r="F211">
        <v>5.5809399477806725</v>
      </c>
      <c r="G211">
        <v>6.47</v>
      </c>
      <c r="H211">
        <f t="shared" si="10"/>
        <v>0.34199999999999964</v>
      </c>
      <c r="I211">
        <f t="shared" si="8"/>
        <v>1.2666666666666653</v>
      </c>
    </row>
    <row r="212" spans="1:9" x14ac:dyDescent="0.35">
      <c r="A212">
        <v>0</v>
      </c>
      <c r="B212" t="s">
        <v>64</v>
      </c>
      <c r="C212">
        <v>332</v>
      </c>
      <c r="D212">
        <v>50</v>
      </c>
      <c r="E212" s="5">
        <v>45615</v>
      </c>
      <c r="F212">
        <v>4.5454545454545432</v>
      </c>
      <c r="G212">
        <v>3.91</v>
      </c>
      <c r="H212">
        <f t="shared" si="10"/>
        <v>0.16999999999999993</v>
      </c>
      <c r="I212">
        <f t="shared" si="8"/>
        <v>0.62962962962962943</v>
      </c>
    </row>
    <row r="213" spans="1:9" x14ac:dyDescent="0.35">
      <c r="A213">
        <v>0</v>
      </c>
      <c r="B213" t="s">
        <v>64</v>
      </c>
      <c r="C213">
        <v>336</v>
      </c>
      <c r="D213">
        <v>50</v>
      </c>
      <c r="E213" s="5">
        <v>45615</v>
      </c>
      <c r="F213">
        <v>5.043114711262076</v>
      </c>
      <c r="G213">
        <v>4.0199999999999996</v>
      </c>
      <c r="H213">
        <f t="shared" si="10"/>
        <v>0.19299999999999962</v>
      </c>
      <c r="I213">
        <f t="shared" si="8"/>
        <v>0.71481481481481335</v>
      </c>
    </row>
    <row r="214" spans="1:9" x14ac:dyDescent="0.35">
      <c r="A214">
        <v>0</v>
      </c>
      <c r="B214" t="s">
        <v>64</v>
      </c>
      <c r="C214">
        <v>341</v>
      </c>
      <c r="D214">
        <v>50</v>
      </c>
      <c r="E214" s="5">
        <v>45615</v>
      </c>
      <c r="F214">
        <v>5.3935057787561957</v>
      </c>
      <c r="G214">
        <v>3.83</v>
      </c>
      <c r="H214">
        <f t="shared" si="10"/>
        <v>0.19600000000000017</v>
      </c>
      <c r="I214">
        <f t="shared" si="8"/>
        <v>0.72592592592592653</v>
      </c>
    </row>
    <row r="215" spans="1:9" x14ac:dyDescent="0.35">
      <c r="A215">
        <v>0</v>
      </c>
      <c r="B215" t="s">
        <v>65</v>
      </c>
      <c r="C215">
        <v>348</v>
      </c>
      <c r="D215">
        <v>50</v>
      </c>
      <c r="E215" s="5">
        <v>45615</v>
      </c>
      <c r="F215">
        <v>5.1814477003687243</v>
      </c>
      <c r="G215">
        <v>5.42</v>
      </c>
      <c r="H215">
        <f t="shared" si="10"/>
        <v>0.26700000000000035</v>
      </c>
      <c r="I215">
        <f t="shared" si="8"/>
        <v>0.98888888888889015</v>
      </c>
    </row>
    <row r="216" spans="1:9" x14ac:dyDescent="0.35">
      <c r="A216">
        <v>0</v>
      </c>
      <c r="B216" t="s">
        <v>65</v>
      </c>
      <c r="C216">
        <v>352</v>
      </c>
      <c r="D216">
        <v>50</v>
      </c>
      <c r="E216" s="5">
        <v>45615</v>
      </c>
      <c r="F216">
        <v>5.3234115626788769</v>
      </c>
      <c r="G216">
        <v>5.52</v>
      </c>
      <c r="H216">
        <f t="shared" si="10"/>
        <v>0.27899999999999991</v>
      </c>
      <c r="I216">
        <f t="shared" si="8"/>
        <v>1.033333333333333</v>
      </c>
    </row>
    <row r="217" spans="1:9" x14ac:dyDescent="0.35">
      <c r="A217">
        <v>0</v>
      </c>
      <c r="B217" t="s">
        <v>65</v>
      </c>
      <c r="C217">
        <v>357</v>
      </c>
      <c r="D217">
        <v>50</v>
      </c>
      <c r="E217" s="5">
        <v>45615</v>
      </c>
      <c r="F217">
        <v>5.3346265761396596</v>
      </c>
      <c r="G217">
        <v>5.43</v>
      </c>
      <c r="H217">
        <f t="shared" si="10"/>
        <v>0.27499999999999947</v>
      </c>
      <c r="I217">
        <f t="shared" si="8"/>
        <v>1.0185185185185166</v>
      </c>
    </row>
    <row r="218" spans="1:9" x14ac:dyDescent="0.35">
      <c r="A218">
        <v>0</v>
      </c>
      <c r="B218" t="s">
        <v>66</v>
      </c>
      <c r="C218">
        <v>368</v>
      </c>
      <c r="D218">
        <v>50</v>
      </c>
      <c r="E218" s="5">
        <v>45615</v>
      </c>
      <c r="F218">
        <v>5.2815060135959548</v>
      </c>
      <c r="G218">
        <v>6.04</v>
      </c>
      <c r="H218">
        <f t="shared" si="10"/>
        <v>0.30299999999999994</v>
      </c>
      <c r="I218">
        <f t="shared" si="8"/>
        <v>1.122222222222222</v>
      </c>
    </row>
    <row r="219" spans="1:9" x14ac:dyDescent="0.35">
      <c r="A219">
        <v>0</v>
      </c>
      <c r="B219" t="s">
        <v>66</v>
      </c>
      <c r="C219">
        <v>372</v>
      </c>
      <c r="D219">
        <v>50</v>
      </c>
      <c r="E219" s="5">
        <v>45615</v>
      </c>
      <c r="F219">
        <v>5.3909664885866961</v>
      </c>
      <c r="G219">
        <v>6.51</v>
      </c>
      <c r="H219">
        <f t="shared" si="10"/>
        <v>0.33300000000000018</v>
      </c>
      <c r="I219">
        <f t="shared" si="8"/>
        <v>1.2333333333333341</v>
      </c>
    </row>
    <row r="220" spans="1:9" x14ac:dyDescent="0.35">
      <c r="A220">
        <v>0</v>
      </c>
      <c r="B220" t="s">
        <v>66</v>
      </c>
      <c r="C220">
        <v>377</v>
      </c>
      <c r="D220">
        <v>50</v>
      </c>
      <c r="E220" s="5">
        <v>45615</v>
      </c>
      <c r="F220">
        <v>5.2544339466268735</v>
      </c>
      <c r="G220">
        <v>6.35</v>
      </c>
      <c r="H220">
        <f t="shared" si="10"/>
        <v>0.31699999999999928</v>
      </c>
      <c r="I220">
        <f t="shared" si="8"/>
        <v>1.1740740740740714</v>
      </c>
    </row>
    <row r="221" spans="1:9" x14ac:dyDescent="0.35">
      <c r="A221">
        <v>0</v>
      </c>
      <c r="B221" t="s">
        <v>58</v>
      </c>
      <c r="C221">
        <v>384</v>
      </c>
      <c r="D221">
        <v>50</v>
      </c>
      <c r="E221" s="5">
        <v>45615</v>
      </c>
      <c r="F221">
        <v>4.2752867570385895</v>
      </c>
      <c r="G221">
        <v>3</v>
      </c>
      <c r="H221">
        <f t="shared" si="10"/>
        <v>0.12300000000000022</v>
      </c>
      <c r="I221">
        <f t="shared" si="8"/>
        <v>0.45555555555555638</v>
      </c>
    </row>
    <row r="222" spans="1:9" x14ac:dyDescent="0.35">
      <c r="A222">
        <v>0</v>
      </c>
      <c r="B222" t="s">
        <v>58</v>
      </c>
      <c r="C222">
        <v>387</v>
      </c>
      <c r="D222">
        <v>50</v>
      </c>
      <c r="E222" s="5">
        <v>45615</v>
      </c>
      <c r="F222">
        <v>4.2763157894736805</v>
      </c>
      <c r="G222">
        <v>3.17</v>
      </c>
      <c r="H222">
        <f t="shared" si="10"/>
        <v>0.12999999999999989</v>
      </c>
      <c r="I222">
        <f t="shared" si="8"/>
        <v>0.48148148148148107</v>
      </c>
    </row>
    <row r="223" spans="1:9" x14ac:dyDescent="0.35">
      <c r="A223">
        <v>0</v>
      </c>
      <c r="B223" t="s">
        <v>58</v>
      </c>
      <c r="C223">
        <v>392</v>
      </c>
      <c r="D223">
        <v>50</v>
      </c>
      <c r="E223" s="5">
        <v>45615</v>
      </c>
      <c r="F223">
        <v>5.0300537804492187</v>
      </c>
      <c r="G223">
        <v>3.32</v>
      </c>
      <c r="H223">
        <f t="shared" si="10"/>
        <v>0.15899999999999981</v>
      </c>
      <c r="I223">
        <f t="shared" si="8"/>
        <v>0.58888888888888824</v>
      </c>
    </row>
    <row r="224" spans="1:9" x14ac:dyDescent="0.35">
      <c r="A224">
        <v>0</v>
      </c>
      <c r="B224" t="s">
        <v>59</v>
      </c>
      <c r="C224">
        <v>399</v>
      </c>
      <c r="D224">
        <v>50</v>
      </c>
      <c r="E224" s="5">
        <v>45615</v>
      </c>
      <c r="F224">
        <v>4.8104491876393842</v>
      </c>
      <c r="G224">
        <v>3.29</v>
      </c>
      <c r="H224">
        <f t="shared" si="10"/>
        <v>0.15100000000000025</v>
      </c>
      <c r="I224">
        <f t="shared" si="8"/>
        <v>0.55925925925926012</v>
      </c>
    </row>
    <row r="225" spans="1:9" x14ac:dyDescent="0.35">
      <c r="A225">
        <v>0</v>
      </c>
      <c r="B225" t="s">
        <v>59</v>
      </c>
      <c r="C225">
        <v>403</v>
      </c>
      <c r="D225">
        <v>50</v>
      </c>
      <c r="E225" s="5">
        <v>45615</v>
      </c>
      <c r="F225">
        <v>4.9844236760124661</v>
      </c>
      <c r="G225">
        <v>3.37</v>
      </c>
      <c r="H225">
        <f t="shared" si="10"/>
        <v>0.16000000000000014</v>
      </c>
      <c r="I225">
        <f t="shared" si="8"/>
        <v>0.59259259259259311</v>
      </c>
    </row>
    <row r="226" spans="1:9" x14ac:dyDescent="0.35">
      <c r="A226">
        <v>0</v>
      </c>
      <c r="B226" t="s">
        <v>59</v>
      </c>
      <c r="C226">
        <v>408</v>
      </c>
      <c r="D226">
        <v>50</v>
      </c>
      <c r="E226" s="5">
        <v>45615</v>
      </c>
      <c r="F226">
        <v>4.0332906530089589</v>
      </c>
      <c r="G226">
        <v>3.25</v>
      </c>
      <c r="H226">
        <f t="shared" si="10"/>
        <v>0.12599999999999989</v>
      </c>
      <c r="I226">
        <f t="shared" si="8"/>
        <v>0.46666666666666629</v>
      </c>
    </row>
    <row r="227" spans="1:9" x14ac:dyDescent="0.35">
      <c r="A227">
        <v>0</v>
      </c>
      <c r="B227" t="s">
        <v>60</v>
      </c>
      <c r="C227">
        <v>419</v>
      </c>
      <c r="D227">
        <v>50</v>
      </c>
      <c r="E227" s="5">
        <v>45615</v>
      </c>
      <c r="F227">
        <v>5.2631578947368585</v>
      </c>
      <c r="G227">
        <v>4.24</v>
      </c>
      <c r="H227">
        <f t="shared" si="10"/>
        <v>0.21200000000000063</v>
      </c>
      <c r="I227">
        <f t="shared" si="8"/>
        <v>0.78518518518518754</v>
      </c>
    </row>
    <row r="228" spans="1:9" x14ac:dyDescent="0.35">
      <c r="A228">
        <v>0</v>
      </c>
      <c r="B228" t="s">
        <v>60</v>
      </c>
      <c r="C228">
        <v>423</v>
      </c>
      <c r="D228">
        <v>50</v>
      </c>
      <c r="E228" s="5">
        <v>45615</v>
      </c>
      <c r="F228">
        <v>4.9412915851272006</v>
      </c>
      <c r="G228">
        <v>4.29</v>
      </c>
      <c r="H228">
        <f t="shared" si="10"/>
        <v>0.20199999999999996</v>
      </c>
      <c r="I228">
        <f t="shared" si="8"/>
        <v>0.74814814814814801</v>
      </c>
    </row>
    <row r="229" spans="1:9" x14ac:dyDescent="0.35">
      <c r="A229">
        <v>0</v>
      </c>
      <c r="B229" t="s">
        <v>60</v>
      </c>
      <c r="C229">
        <v>428</v>
      </c>
      <c r="D229">
        <v>50</v>
      </c>
      <c r="E229" s="5">
        <v>45615</v>
      </c>
      <c r="F229">
        <v>4.7693510555121028</v>
      </c>
      <c r="G229">
        <v>4.0199999999999996</v>
      </c>
      <c r="H229">
        <f t="shared" si="10"/>
        <v>0.18299999999999939</v>
      </c>
      <c r="I229">
        <f t="shared" si="8"/>
        <v>0.67777777777777548</v>
      </c>
    </row>
    <row r="230" spans="1:9" x14ac:dyDescent="0.35">
      <c r="A230">
        <v>0</v>
      </c>
      <c r="B230" t="s">
        <v>61</v>
      </c>
      <c r="C230">
        <v>439</v>
      </c>
      <c r="D230">
        <v>50</v>
      </c>
      <c r="E230" s="5">
        <v>45615</v>
      </c>
      <c r="F230">
        <v>4.2752867570385895</v>
      </c>
      <c r="G230">
        <v>3</v>
      </c>
      <c r="H230">
        <f t="shared" si="10"/>
        <v>0.12300000000000022</v>
      </c>
      <c r="I230">
        <f t="shared" si="8"/>
        <v>0.45555555555555638</v>
      </c>
    </row>
    <row r="231" spans="1:9" x14ac:dyDescent="0.35">
      <c r="A231">
        <v>0</v>
      </c>
      <c r="B231" t="s">
        <v>61</v>
      </c>
      <c r="C231">
        <v>443</v>
      </c>
      <c r="D231">
        <v>50</v>
      </c>
      <c r="E231" s="5">
        <v>45615</v>
      </c>
      <c r="F231">
        <v>4.46735395189003</v>
      </c>
      <c r="G231">
        <v>3.04</v>
      </c>
      <c r="H231">
        <f t="shared" si="10"/>
        <v>0.12999999999999989</v>
      </c>
      <c r="I231">
        <f t="shared" si="8"/>
        <v>0.48148148148148107</v>
      </c>
    </row>
    <row r="232" spans="1:9" x14ac:dyDescent="0.35">
      <c r="A232">
        <v>0</v>
      </c>
      <c r="B232" t="s">
        <v>61</v>
      </c>
      <c r="C232">
        <v>448</v>
      </c>
      <c r="D232">
        <v>50</v>
      </c>
      <c r="E232" s="5">
        <v>45615</v>
      </c>
      <c r="F232">
        <v>3.7636299683433063</v>
      </c>
      <c r="G232">
        <v>2.95</v>
      </c>
      <c r="H232">
        <f t="shared" si="10"/>
        <v>0.10700000000000021</v>
      </c>
      <c r="I232">
        <f t="shared" si="8"/>
        <v>0.39629629629629703</v>
      </c>
    </row>
    <row r="233" spans="1:9" x14ac:dyDescent="0.35">
      <c r="A233">
        <v>2</v>
      </c>
      <c r="B233" t="s">
        <v>63</v>
      </c>
      <c r="C233">
        <v>295</v>
      </c>
      <c r="D233">
        <v>50</v>
      </c>
      <c r="E233" s="5">
        <v>45615</v>
      </c>
      <c r="F233">
        <v>0.89020771513352981</v>
      </c>
      <c r="G233">
        <v>5.0999999999999996</v>
      </c>
      <c r="H233">
        <f t="shared" si="10"/>
        <v>4.4999999999999929E-2</v>
      </c>
      <c r="I233">
        <f t="shared" si="8"/>
        <v>0.16666666666666641</v>
      </c>
    </row>
    <row r="234" spans="1:9" x14ac:dyDescent="0.35">
      <c r="A234">
        <v>2</v>
      </c>
      <c r="B234" t="s">
        <v>63</v>
      </c>
      <c r="C234">
        <v>298</v>
      </c>
      <c r="D234">
        <v>50</v>
      </c>
      <c r="E234" s="5">
        <v>45615</v>
      </c>
      <c r="F234">
        <v>5.029585798816556</v>
      </c>
      <c r="G234">
        <v>5.68</v>
      </c>
      <c r="H234">
        <f t="shared" si="10"/>
        <v>0.27199999999999935</v>
      </c>
      <c r="I234">
        <f t="shared" si="8"/>
        <v>1.0074074074074049</v>
      </c>
    </row>
    <row r="235" spans="1:9" x14ac:dyDescent="0.35">
      <c r="A235">
        <v>2</v>
      </c>
      <c r="B235" t="s">
        <v>63</v>
      </c>
      <c r="C235">
        <v>301</v>
      </c>
      <c r="D235">
        <v>50</v>
      </c>
      <c r="E235" s="5">
        <v>45615</v>
      </c>
      <c r="F235">
        <v>5.0210808738980539</v>
      </c>
      <c r="G235">
        <v>5.48</v>
      </c>
      <c r="H235">
        <f t="shared" si="10"/>
        <v>0.26200000000000045</v>
      </c>
      <c r="I235">
        <f t="shared" si="8"/>
        <v>0.9703703703703721</v>
      </c>
    </row>
    <row r="236" spans="1:9" x14ac:dyDescent="0.35">
      <c r="A236">
        <v>2</v>
      </c>
      <c r="B236" t="s">
        <v>64</v>
      </c>
      <c r="C236">
        <v>6</v>
      </c>
      <c r="D236">
        <v>50</v>
      </c>
      <c r="E236" s="5">
        <v>45615</v>
      </c>
      <c r="F236">
        <v>6.0687432867883988</v>
      </c>
      <c r="G236">
        <v>3.95</v>
      </c>
      <c r="H236">
        <f t="shared" si="10"/>
        <v>0.22599999999999998</v>
      </c>
      <c r="I236">
        <f t="shared" si="8"/>
        <v>0.83703703703703702</v>
      </c>
    </row>
    <row r="237" spans="1:9" x14ac:dyDescent="0.35">
      <c r="A237">
        <v>2</v>
      </c>
      <c r="B237" t="s">
        <v>64</v>
      </c>
      <c r="C237">
        <v>10</v>
      </c>
      <c r="D237">
        <v>50</v>
      </c>
      <c r="E237" s="5">
        <v>45615</v>
      </c>
      <c r="F237">
        <v>5.4208662489784887</v>
      </c>
      <c r="G237">
        <v>3.87</v>
      </c>
      <c r="H237">
        <f t="shared" si="10"/>
        <v>0.19900000000000029</v>
      </c>
      <c r="I237">
        <f t="shared" si="8"/>
        <v>0.73703703703703816</v>
      </c>
    </row>
    <row r="238" spans="1:9" x14ac:dyDescent="0.35">
      <c r="A238">
        <v>2</v>
      </c>
      <c r="B238" t="s">
        <v>64</v>
      </c>
      <c r="C238">
        <v>14</v>
      </c>
      <c r="D238">
        <v>50</v>
      </c>
      <c r="E238" s="5">
        <v>45615</v>
      </c>
      <c r="F238">
        <v>5.3040103492884878</v>
      </c>
      <c r="G238">
        <v>4.07</v>
      </c>
      <c r="H238">
        <f t="shared" si="10"/>
        <v>0.20500000000000007</v>
      </c>
      <c r="I238">
        <f t="shared" si="8"/>
        <v>0.75925925925925952</v>
      </c>
    </row>
    <row r="239" spans="1:9" x14ac:dyDescent="0.35">
      <c r="A239">
        <v>4</v>
      </c>
      <c r="B239" t="s">
        <v>64</v>
      </c>
      <c r="C239">
        <v>26</v>
      </c>
      <c r="D239">
        <v>50</v>
      </c>
      <c r="E239" s="5">
        <v>45615</v>
      </c>
      <c r="F239">
        <v>5.6872037914691997</v>
      </c>
      <c r="G239">
        <v>4.46</v>
      </c>
      <c r="H239">
        <f t="shared" si="10"/>
        <v>0.24000000000000021</v>
      </c>
      <c r="I239">
        <f t="shared" si="8"/>
        <v>0.88888888888888973</v>
      </c>
    </row>
    <row r="240" spans="1:9" x14ac:dyDescent="0.35">
      <c r="A240">
        <v>4</v>
      </c>
      <c r="B240" t="s">
        <v>64</v>
      </c>
      <c r="C240">
        <v>30</v>
      </c>
      <c r="D240">
        <v>50</v>
      </c>
      <c r="E240" s="5">
        <v>45615</v>
      </c>
      <c r="F240">
        <v>6.0533841754051592</v>
      </c>
      <c r="G240">
        <v>4.45</v>
      </c>
      <c r="H240">
        <f t="shared" si="10"/>
        <v>0.25400000000000045</v>
      </c>
      <c r="I240">
        <f t="shared" si="8"/>
        <v>0.94074074074074232</v>
      </c>
    </row>
    <row r="241" spans="1:9" x14ac:dyDescent="0.35">
      <c r="A241">
        <v>4</v>
      </c>
      <c r="B241" t="s">
        <v>64</v>
      </c>
      <c r="C241">
        <v>34</v>
      </c>
      <c r="D241">
        <v>50</v>
      </c>
      <c r="E241" s="5">
        <v>45615</v>
      </c>
      <c r="F241">
        <v>5.8851335381706589</v>
      </c>
      <c r="G241">
        <v>4.4800000000000004</v>
      </c>
      <c r="H241">
        <f t="shared" si="10"/>
        <v>0.24900000000000055</v>
      </c>
      <c r="I241">
        <f t="shared" si="8"/>
        <v>0.92222222222222427</v>
      </c>
    </row>
    <row r="242" spans="1:9" x14ac:dyDescent="0.35">
      <c r="A242">
        <v>2</v>
      </c>
      <c r="B242" t="s">
        <v>65</v>
      </c>
      <c r="C242">
        <v>46</v>
      </c>
      <c r="D242">
        <v>50</v>
      </c>
      <c r="E242" s="5">
        <v>45615</v>
      </c>
      <c r="F242">
        <v>5.4718477398889913</v>
      </c>
      <c r="G242">
        <v>5.32</v>
      </c>
      <c r="H242">
        <f t="shared" si="10"/>
        <v>0.27600000000000069</v>
      </c>
      <c r="I242">
        <f t="shared" si="8"/>
        <v>1.0222222222222248</v>
      </c>
    </row>
    <row r="243" spans="1:9" x14ac:dyDescent="0.35">
      <c r="A243">
        <v>2</v>
      </c>
      <c r="B243" t="s">
        <v>65</v>
      </c>
      <c r="C243">
        <v>50</v>
      </c>
      <c r="D243">
        <v>50</v>
      </c>
      <c r="E243" s="5">
        <v>45615</v>
      </c>
      <c r="F243">
        <v>5.7496764651506735</v>
      </c>
      <c r="G243">
        <v>5.72</v>
      </c>
      <c r="H243">
        <f t="shared" si="10"/>
        <v>0.31099999999999994</v>
      </c>
      <c r="I243">
        <f t="shared" si="8"/>
        <v>1.1518518518518517</v>
      </c>
    </row>
    <row r="244" spans="1:9" x14ac:dyDescent="0.35">
      <c r="A244">
        <v>2</v>
      </c>
      <c r="B244" t="s">
        <v>65</v>
      </c>
      <c r="C244">
        <v>54</v>
      </c>
      <c r="D244">
        <v>50</v>
      </c>
      <c r="E244" s="5">
        <v>45615</v>
      </c>
      <c r="F244">
        <v>5.1207729468599146</v>
      </c>
      <c r="G244">
        <v>5.44</v>
      </c>
      <c r="H244">
        <f t="shared" si="10"/>
        <v>0.26500000000000057</v>
      </c>
      <c r="I244">
        <f t="shared" si="8"/>
        <v>0.98148148148148351</v>
      </c>
    </row>
    <row r="245" spans="1:9" x14ac:dyDescent="0.35">
      <c r="A245">
        <v>4</v>
      </c>
      <c r="B245" t="s">
        <v>65</v>
      </c>
      <c r="C245">
        <v>67</v>
      </c>
      <c r="D245">
        <v>50</v>
      </c>
      <c r="E245" s="5">
        <v>45615</v>
      </c>
      <c r="F245">
        <v>5.4748603351955332</v>
      </c>
      <c r="G245">
        <v>4.72</v>
      </c>
      <c r="H245">
        <f t="shared" si="10"/>
        <v>0.24500000000000011</v>
      </c>
      <c r="I245">
        <f t="shared" si="8"/>
        <v>0.90740740740740777</v>
      </c>
    </row>
    <row r="246" spans="1:9" x14ac:dyDescent="0.35">
      <c r="A246">
        <v>4</v>
      </c>
      <c r="B246" t="s">
        <v>65</v>
      </c>
      <c r="C246">
        <v>71</v>
      </c>
      <c r="D246">
        <v>50</v>
      </c>
      <c r="E246" s="5">
        <v>45615</v>
      </c>
      <c r="F246">
        <v>5.5245189323401505</v>
      </c>
      <c r="G246">
        <v>5.0999999999999996</v>
      </c>
      <c r="H246">
        <f t="shared" si="10"/>
        <v>0.26699999999999946</v>
      </c>
      <c r="I246">
        <f t="shared" si="8"/>
        <v>0.98888888888888693</v>
      </c>
    </row>
    <row r="247" spans="1:9" x14ac:dyDescent="0.35">
      <c r="A247">
        <v>4</v>
      </c>
      <c r="B247" t="s">
        <v>65</v>
      </c>
      <c r="C247">
        <v>75</v>
      </c>
      <c r="D247">
        <v>50</v>
      </c>
      <c r="E247" s="5">
        <v>45615</v>
      </c>
      <c r="F247">
        <v>4.8243001786777908</v>
      </c>
      <c r="G247">
        <v>5.28</v>
      </c>
      <c r="H247">
        <f t="shared" si="10"/>
        <v>0.24300000000000033</v>
      </c>
      <c r="I247">
        <f t="shared" si="8"/>
        <v>0.90000000000000113</v>
      </c>
    </row>
    <row r="248" spans="1:9" x14ac:dyDescent="0.35">
      <c r="A248">
        <v>2</v>
      </c>
      <c r="B248" t="s">
        <v>66</v>
      </c>
      <c r="C248">
        <v>87</v>
      </c>
      <c r="D248">
        <v>50</v>
      </c>
      <c r="E248" s="5">
        <v>45615</v>
      </c>
      <c r="F248">
        <v>5.1717483597066725</v>
      </c>
      <c r="G248">
        <v>5.45</v>
      </c>
      <c r="H248">
        <f t="shared" si="10"/>
        <v>0.26799999999999979</v>
      </c>
      <c r="I248">
        <f t="shared" si="8"/>
        <v>0.9925925925925918</v>
      </c>
    </row>
    <row r="249" spans="1:9" x14ac:dyDescent="0.35">
      <c r="A249">
        <v>2</v>
      </c>
      <c r="B249" t="s">
        <v>66</v>
      </c>
      <c r="C249">
        <v>91</v>
      </c>
      <c r="D249">
        <v>50</v>
      </c>
      <c r="E249" s="5">
        <v>45615</v>
      </c>
      <c r="F249">
        <v>5.4827175208581611</v>
      </c>
      <c r="G249">
        <v>5.31</v>
      </c>
      <c r="H249">
        <f t="shared" si="10"/>
        <v>0.2759999999999998</v>
      </c>
      <c r="I249">
        <f t="shared" si="8"/>
        <v>1.0222222222222215</v>
      </c>
    </row>
    <row r="250" spans="1:9" x14ac:dyDescent="0.35">
      <c r="A250">
        <v>2</v>
      </c>
      <c r="B250" t="s">
        <v>66</v>
      </c>
      <c r="C250">
        <v>95</v>
      </c>
      <c r="D250">
        <v>50</v>
      </c>
      <c r="E250" s="5">
        <v>45615</v>
      </c>
      <c r="F250">
        <v>5.3803339517625242</v>
      </c>
      <c r="G250">
        <v>5.68</v>
      </c>
      <c r="H250">
        <f t="shared" si="10"/>
        <v>0.29000000000000004</v>
      </c>
      <c r="I250">
        <f t="shared" si="8"/>
        <v>1.0740740740740742</v>
      </c>
    </row>
    <row r="251" spans="1:9" x14ac:dyDescent="0.35">
      <c r="A251">
        <v>4</v>
      </c>
      <c r="B251" t="s">
        <v>66</v>
      </c>
      <c r="C251">
        <v>107</v>
      </c>
      <c r="D251">
        <v>50</v>
      </c>
      <c r="E251" s="5">
        <v>45615</v>
      </c>
      <c r="F251">
        <v>5.4558131427575338</v>
      </c>
      <c r="G251">
        <v>6.05</v>
      </c>
      <c r="H251">
        <f t="shared" si="10"/>
        <v>0.31299999999999972</v>
      </c>
      <c r="I251">
        <f t="shared" si="8"/>
        <v>1.1592592592592583</v>
      </c>
    </row>
    <row r="252" spans="1:9" x14ac:dyDescent="0.35">
      <c r="A252">
        <v>4</v>
      </c>
      <c r="B252" t="s">
        <v>66</v>
      </c>
      <c r="C252">
        <v>111</v>
      </c>
      <c r="D252">
        <v>50</v>
      </c>
      <c r="E252" s="5">
        <v>45615</v>
      </c>
      <c r="F252">
        <v>5.2983453117165329</v>
      </c>
      <c r="G252">
        <v>6.3</v>
      </c>
      <c r="H252">
        <f t="shared" si="10"/>
        <v>0.31700000000000017</v>
      </c>
      <c r="I252">
        <f t="shared" si="8"/>
        <v>1.1740740740740747</v>
      </c>
    </row>
    <row r="253" spans="1:9" x14ac:dyDescent="0.35">
      <c r="A253">
        <v>4</v>
      </c>
      <c r="B253" t="s">
        <v>66</v>
      </c>
      <c r="C253">
        <v>115</v>
      </c>
      <c r="D253">
        <v>50</v>
      </c>
      <c r="E253" s="5">
        <v>45615</v>
      </c>
      <c r="F253">
        <v>5.337825855648167</v>
      </c>
      <c r="G253">
        <v>5.94</v>
      </c>
      <c r="H253">
        <f t="shared" si="10"/>
        <v>0.30100000000000016</v>
      </c>
      <c r="I253">
        <f t="shared" si="8"/>
        <v>1.1148148148148154</v>
      </c>
    </row>
    <row r="254" spans="1:9" x14ac:dyDescent="0.35">
      <c r="A254">
        <v>2</v>
      </c>
      <c r="B254" t="s">
        <v>58</v>
      </c>
      <c r="C254">
        <v>128</v>
      </c>
      <c r="D254">
        <v>50</v>
      </c>
      <c r="E254" s="5">
        <v>45615</v>
      </c>
      <c r="F254">
        <v>4.2345276872964206</v>
      </c>
      <c r="G254">
        <v>2.56</v>
      </c>
      <c r="H254">
        <f t="shared" si="10"/>
        <v>0.10400000000000009</v>
      </c>
      <c r="I254">
        <f t="shared" si="8"/>
        <v>0.38518518518518552</v>
      </c>
    </row>
    <row r="255" spans="1:9" x14ac:dyDescent="0.35">
      <c r="A255">
        <v>2</v>
      </c>
      <c r="B255" t="s">
        <v>58</v>
      </c>
      <c r="C255">
        <v>133</v>
      </c>
      <c r="D255">
        <v>50</v>
      </c>
      <c r="E255" s="5">
        <v>45615</v>
      </c>
      <c r="F255">
        <v>3.6225779275484351</v>
      </c>
      <c r="G255">
        <v>2.46</v>
      </c>
      <c r="H255">
        <f t="shared" si="10"/>
        <v>8.5999999999999854E-2</v>
      </c>
      <c r="I255">
        <f t="shared" si="8"/>
        <v>0.31851851851851798</v>
      </c>
    </row>
    <row r="256" spans="1:9" x14ac:dyDescent="0.35">
      <c r="A256">
        <v>2</v>
      </c>
      <c r="B256" t="s">
        <v>58</v>
      </c>
      <c r="C256">
        <v>139</v>
      </c>
      <c r="D256">
        <v>50</v>
      </c>
      <c r="E256" s="5">
        <v>45615</v>
      </c>
      <c r="F256">
        <v>4.3331931005469171</v>
      </c>
      <c r="G256">
        <v>2.48</v>
      </c>
      <c r="H256">
        <f t="shared" si="10"/>
        <v>0.1030000000000002</v>
      </c>
      <c r="I256">
        <f t="shared" si="8"/>
        <v>0.38148148148148225</v>
      </c>
    </row>
    <row r="257" spans="1:9" x14ac:dyDescent="0.35">
      <c r="A257">
        <v>4</v>
      </c>
      <c r="B257" t="s">
        <v>58</v>
      </c>
      <c r="C257">
        <v>150</v>
      </c>
      <c r="D257">
        <v>50</v>
      </c>
      <c r="E257" s="5">
        <v>45615</v>
      </c>
      <c r="F257">
        <v>6.3333333333333313</v>
      </c>
      <c r="G257">
        <v>3.19</v>
      </c>
      <c r="H257">
        <f t="shared" si="10"/>
        <v>0.18999999999999995</v>
      </c>
      <c r="I257">
        <f t="shared" si="8"/>
        <v>0.7037037037037035</v>
      </c>
    </row>
    <row r="258" spans="1:9" x14ac:dyDescent="0.35">
      <c r="A258">
        <v>4</v>
      </c>
      <c r="B258" t="s">
        <v>58</v>
      </c>
      <c r="C258">
        <v>156</v>
      </c>
      <c r="D258">
        <v>50</v>
      </c>
      <c r="E258" s="5">
        <v>45615</v>
      </c>
      <c r="F258">
        <v>4.9562682215743417</v>
      </c>
      <c r="G258">
        <v>3.6</v>
      </c>
      <c r="H258">
        <f t="shared" si="10"/>
        <v>0.16999999999999993</v>
      </c>
      <c r="I258">
        <f t="shared" si="8"/>
        <v>0.62962962962962943</v>
      </c>
    </row>
    <row r="259" spans="1:9" x14ac:dyDescent="0.35">
      <c r="A259">
        <v>4</v>
      </c>
      <c r="B259" t="s">
        <v>58</v>
      </c>
      <c r="C259">
        <v>158</v>
      </c>
      <c r="D259">
        <v>50</v>
      </c>
      <c r="E259" s="5">
        <v>45615</v>
      </c>
      <c r="F259">
        <v>3.4239322273208606</v>
      </c>
      <c r="G259">
        <v>2.93</v>
      </c>
      <c r="H259">
        <f t="shared" si="10"/>
        <v>9.6999999999999975E-2</v>
      </c>
      <c r="I259">
        <f t="shared" ref="I259:I322" si="11">H259/27*100</f>
        <v>0.35925925925925917</v>
      </c>
    </row>
    <row r="260" spans="1:9" x14ac:dyDescent="0.35">
      <c r="A260">
        <v>2</v>
      </c>
      <c r="B260" t="s">
        <v>59</v>
      </c>
      <c r="C260">
        <v>191</v>
      </c>
      <c r="D260">
        <v>50</v>
      </c>
      <c r="E260" s="5">
        <v>45615</v>
      </c>
      <c r="F260">
        <v>5.9089441394898232</v>
      </c>
      <c r="G260">
        <v>3.28</v>
      </c>
      <c r="H260">
        <f t="shared" si="10"/>
        <v>0.18299999999999983</v>
      </c>
      <c r="I260">
        <f t="shared" si="11"/>
        <v>0.67777777777777715</v>
      </c>
    </row>
    <row r="261" spans="1:9" x14ac:dyDescent="0.35">
      <c r="A261">
        <v>2</v>
      </c>
      <c r="B261" t="s">
        <v>59</v>
      </c>
      <c r="C261">
        <v>197</v>
      </c>
      <c r="D261">
        <v>50</v>
      </c>
      <c r="E261" s="5">
        <v>45615</v>
      </c>
      <c r="F261">
        <v>5.5979643765903209</v>
      </c>
      <c r="G261">
        <v>3.32</v>
      </c>
      <c r="H261">
        <f t="shared" si="10"/>
        <v>0.17599999999999971</v>
      </c>
      <c r="I261">
        <f t="shared" si="11"/>
        <v>0.65185185185185079</v>
      </c>
    </row>
    <row r="262" spans="1:9" x14ac:dyDescent="0.35">
      <c r="A262">
        <v>2</v>
      </c>
      <c r="B262" t="s">
        <v>59</v>
      </c>
      <c r="C262">
        <v>204</v>
      </c>
      <c r="D262">
        <v>50</v>
      </c>
      <c r="E262" s="5">
        <v>45615</v>
      </c>
      <c r="F262">
        <v>6.3111711103611148</v>
      </c>
      <c r="G262">
        <v>3.15</v>
      </c>
      <c r="H262">
        <f t="shared" si="10"/>
        <v>0.18699999999999983</v>
      </c>
      <c r="I262">
        <f t="shared" si="11"/>
        <v>0.69259259259259198</v>
      </c>
    </row>
    <row r="263" spans="1:9" x14ac:dyDescent="0.35">
      <c r="A263">
        <v>4</v>
      </c>
      <c r="B263" t="s">
        <v>59</v>
      </c>
      <c r="C263">
        <v>233</v>
      </c>
      <c r="D263">
        <v>50</v>
      </c>
      <c r="E263" s="5">
        <v>45615</v>
      </c>
      <c r="F263">
        <v>5.703657780533173</v>
      </c>
      <c r="G263">
        <v>3.41</v>
      </c>
      <c r="H263">
        <f t="shared" si="10"/>
        <v>0.18400000000000016</v>
      </c>
      <c r="I263">
        <f t="shared" si="11"/>
        <v>0.68148148148148213</v>
      </c>
    </row>
    <row r="264" spans="1:9" x14ac:dyDescent="0.35">
      <c r="A264">
        <v>4</v>
      </c>
      <c r="B264" t="s">
        <v>59</v>
      </c>
      <c r="C264">
        <v>239</v>
      </c>
      <c r="D264">
        <v>50</v>
      </c>
      <c r="E264" s="5">
        <v>45615</v>
      </c>
      <c r="F264">
        <v>6.4021641118124455</v>
      </c>
      <c r="G264">
        <v>3.54</v>
      </c>
      <c r="H264">
        <f t="shared" si="10"/>
        <v>0.21300000000000008</v>
      </c>
      <c r="I264">
        <f t="shared" si="11"/>
        <v>0.78888888888888919</v>
      </c>
    </row>
    <row r="265" spans="1:9" x14ac:dyDescent="0.35">
      <c r="A265">
        <v>4</v>
      </c>
      <c r="B265" t="s">
        <v>59</v>
      </c>
      <c r="C265">
        <v>242</v>
      </c>
      <c r="D265">
        <v>50</v>
      </c>
      <c r="E265" s="5">
        <v>45615</v>
      </c>
      <c r="F265">
        <v>6.2001227747084089</v>
      </c>
      <c r="G265">
        <v>3.46</v>
      </c>
      <c r="H265">
        <f t="shared" si="10"/>
        <v>0.20199999999999996</v>
      </c>
      <c r="I265">
        <f t="shared" si="11"/>
        <v>0.74814814814814801</v>
      </c>
    </row>
    <row r="266" spans="1:9" x14ac:dyDescent="0.35">
      <c r="A266">
        <v>2</v>
      </c>
      <c r="B266" t="s">
        <v>62</v>
      </c>
      <c r="C266">
        <v>255</v>
      </c>
      <c r="D266">
        <v>50</v>
      </c>
      <c r="E266" s="5">
        <v>45615</v>
      </c>
      <c r="F266">
        <v>5.1441492368569923</v>
      </c>
      <c r="G266">
        <v>3.72</v>
      </c>
      <c r="H266">
        <f t="shared" si="10"/>
        <v>0.18200000000000038</v>
      </c>
      <c r="I266">
        <f t="shared" si="11"/>
        <v>0.67407407407407549</v>
      </c>
    </row>
    <row r="267" spans="1:9" x14ac:dyDescent="0.35">
      <c r="A267">
        <v>2</v>
      </c>
      <c r="B267" t="s">
        <v>62</v>
      </c>
      <c r="C267">
        <v>264</v>
      </c>
      <c r="D267">
        <v>50</v>
      </c>
      <c r="E267" s="5">
        <v>45615</v>
      </c>
      <c r="F267">
        <v>4.4083526682134577</v>
      </c>
      <c r="G267">
        <v>3.15</v>
      </c>
      <c r="H267">
        <f t="shared" si="10"/>
        <v>0.13300000000000001</v>
      </c>
      <c r="I267">
        <f t="shared" si="11"/>
        <v>0.49259259259259264</v>
      </c>
    </row>
    <row r="268" spans="1:9" x14ac:dyDescent="0.35">
      <c r="A268">
        <v>2</v>
      </c>
      <c r="B268" t="s">
        <v>62</v>
      </c>
      <c r="C268">
        <v>270</v>
      </c>
      <c r="D268">
        <v>50</v>
      </c>
      <c r="E268" s="5">
        <v>45615</v>
      </c>
      <c r="F268">
        <v>5.8434399117971259</v>
      </c>
      <c r="G268">
        <v>3.84</v>
      </c>
      <c r="H268">
        <f t="shared" si="10"/>
        <v>0.21199999999999974</v>
      </c>
      <c r="I268">
        <f t="shared" si="11"/>
        <v>0.78518518518518421</v>
      </c>
    </row>
    <row r="269" spans="1:9" x14ac:dyDescent="0.35">
      <c r="A269">
        <v>4</v>
      </c>
      <c r="B269" t="s">
        <v>62</v>
      </c>
      <c r="C269">
        <v>274</v>
      </c>
      <c r="D269">
        <v>50</v>
      </c>
      <c r="E269" s="5">
        <v>45615</v>
      </c>
      <c r="F269">
        <v>5.8254896972780488</v>
      </c>
      <c r="G269">
        <v>4.16</v>
      </c>
      <c r="H269">
        <f t="shared" si="10"/>
        <v>0.22900000000000009</v>
      </c>
      <c r="I269">
        <f t="shared" si="11"/>
        <v>0.84814814814814854</v>
      </c>
    </row>
    <row r="270" spans="1:9" x14ac:dyDescent="0.35">
      <c r="A270">
        <v>4</v>
      </c>
      <c r="B270" t="s">
        <v>62</v>
      </c>
      <c r="C270">
        <v>277</v>
      </c>
      <c r="D270">
        <v>50</v>
      </c>
      <c r="E270" s="5">
        <v>45615</v>
      </c>
      <c r="F270">
        <v>5.830978679681488</v>
      </c>
      <c r="G270">
        <v>4.12</v>
      </c>
      <c r="H270">
        <f t="shared" si="10"/>
        <v>0.22700000000000031</v>
      </c>
      <c r="I270">
        <f t="shared" si="11"/>
        <v>0.8407407407407419</v>
      </c>
    </row>
    <row r="271" spans="1:9" x14ac:dyDescent="0.35">
      <c r="A271">
        <v>4</v>
      </c>
      <c r="B271" t="s">
        <v>62</v>
      </c>
      <c r="C271">
        <v>282</v>
      </c>
      <c r="D271">
        <v>50</v>
      </c>
      <c r="E271" s="5">
        <v>45615</v>
      </c>
      <c r="F271">
        <v>6.00706713780919</v>
      </c>
      <c r="G271">
        <v>3.9</v>
      </c>
      <c r="H271">
        <f t="shared" si="10"/>
        <v>0.22100000000000009</v>
      </c>
      <c r="I271">
        <f t="shared" si="11"/>
        <v>0.81851851851851876</v>
      </c>
    </row>
    <row r="272" spans="1:9" x14ac:dyDescent="0.35">
      <c r="A272">
        <v>2</v>
      </c>
      <c r="B272" t="s">
        <v>61</v>
      </c>
      <c r="C272">
        <v>166</v>
      </c>
      <c r="D272">
        <v>50</v>
      </c>
      <c r="E272" s="5">
        <v>45615</v>
      </c>
      <c r="F272">
        <v>5.8241339931480791</v>
      </c>
      <c r="G272">
        <v>2.78</v>
      </c>
      <c r="H272">
        <f t="shared" si="10"/>
        <v>0.15300000000000002</v>
      </c>
      <c r="I272">
        <f t="shared" si="11"/>
        <v>0.56666666666666676</v>
      </c>
    </row>
    <row r="273" spans="1:9" x14ac:dyDescent="0.35">
      <c r="A273">
        <v>2</v>
      </c>
      <c r="B273" t="s">
        <v>61</v>
      </c>
      <c r="C273">
        <v>172</v>
      </c>
      <c r="D273">
        <v>50</v>
      </c>
      <c r="E273" s="5">
        <v>45615</v>
      </c>
      <c r="F273">
        <v>5.6309083436087137</v>
      </c>
      <c r="G273">
        <v>2.57</v>
      </c>
      <c r="H273">
        <f t="shared" si="10"/>
        <v>0.13700000000000001</v>
      </c>
      <c r="I273">
        <f t="shared" si="11"/>
        <v>0.50740740740740742</v>
      </c>
    </row>
    <row r="274" spans="1:9" x14ac:dyDescent="0.35">
      <c r="A274">
        <v>2</v>
      </c>
      <c r="B274" t="s">
        <v>61</v>
      </c>
      <c r="C274">
        <v>175</v>
      </c>
      <c r="D274">
        <v>50</v>
      </c>
      <c r="E274" s="5">
        <v>45615</v>
      </c>
      <c r="F274">
        <v>4.0550879877582373</v>
      </c>
      <c r="G274">
        <v>2.72</v>
      </c>
      <c r="H274">
        <f t="shared" ref="H274:H279" si="12">G274-G67</f>
        <v>0.10600000000000032</v>
      </c>
      <c r="I274">
        <f t="shared" si="11"/>
        <v>0.39259259259259377</v>
      </c>
    </row>
    <row r="275" spans="1:9" x14ac:dyDescent="0.35">
      <c r="A275">
        <v>4</v>
      </c>
      <c r="B275" t="s">
        <v>61</v>
      </c>
      <c r="C275">
        <v>211</v>
      </c>
      <c r="D275">
        <v>50</v>
      </c>
      <c r="E275" s="5">
        <v>45615</v>
      </c>
      <c r="F275">
        <v>5.9967585089141027</v>
      </c>
      <c r="G275">
        <v>3.27</v>
      </c>
      <c r="H275">
        <f t="shared" si="12"/>
        <v>0.18500000000000005</v>
      </c>
      <c r="I275">
        <f t="shared" si="11"/>
        <v>0.68518518518518534</v>
      </c>
    </row>
    <row r="276" spans="1:9" x14ac:dyDescent="0.35">
      <c r="A276">
        <v>4</v>
      </c>
      <c r="B276" t="s">
        <v>61</v>
      </c>
      <c r="C276">
        <v>217</v>
      </c>
      <c r="D276">
        <v>50</v>
      </c>
      <c r="E276" s="5">
        <v>45615</v>
      </c>
      <c r="F276">
        <v>6.2318372618663247</v>
      </c>
      <c r="G276">
        <v>3.29</v>
      </c>
      <c r="H276">
        <f t="shared" si="12"/>
        <v>0.19300000000000006</v>
      </c>
      <c r="I276">
        <f t="shared" si="11"/>
        <v>0.71481481481481501</v>
      </c>
    </row>
    <row r="277" spans="1:9" x14ac:dyDescent="0.35">
      <c r="A277">
        <v>4</v>
      </c>
      <c r="B277" t="s">
        <v>61</v>
      </c>
      <c r="C277">
        <v>223</v>
      </c>
      <c r="D277">
        <v>50</v>
      </c>
      <c r="E277" s="5">
        <v>45615</v>
      </c>
      <c r="F277">
        <v>6.1253561253561308</v>
      </c>
      <c r="G277">
        <v>2.98</v>
      </c>
      <c r="H277">
        <f t="shared" si="12"/>
        <v>0.17200000000000015</v>
      </c>
      <c r="I277">
        <f t="shared" si="11"/>
        <v>0.63703703703703762</v>
      </c>
    </row>
    <row r="278" spans="1:9" x14ac:dyDescent="0.35">
      <c r="A278">
        <v>0</v>
      </c>
      <c r="B278" t="s">
        <v>63</v>
      </c>
      <c r="C278">
        <v>316</v>
      </c>
      <c r="D278">
        <v>60</v>
      </c>
      <c r="E278" s="29">
        <v>45616</v>
      </c>
      <c r="F278">
        <v>6.3926250566722089</v>
      </c>
      <c r="G278">
        <v>7.04</v>
      </c>
      <c r="H278">
        <f>G278-G2</f>
        <v>0.42300000000000004</v>
      </c>
      <c r="I278">
        <f t="shared" si="11"/>
        <v>1.5666666666666669</v>
      </c>
    </row>
    <row r="279" spans="1:9" x14ac:dyDescent="0.35">
      <c r="A279">
        <v>0</v>
      </c>
      <c r="B279" t="s">
        <v>63</v>
      </c>
      <c r="C279">
        <v>320</v>
      </c>
      <c r="D279">
        <v>60</v>
      </c>
      <c r="E279" s="29">
        <v>45616</v>
      </c>
      <c r="F279">
        <v>6.4421442916731007</v>
      </c>
      <c r="G279">
        <v>6.89</v>
      </c>
      <c r="H279">
        <f t="shared" ref="H279:H342" si="13">G279-G3</f>
        <v>0.41699999999999982</v>
      </c>
      <c r="I279">
        <f t="shared" si="11"/>
        <v>1.5444444444444438</v>
      </c>
    </row>
    <row r="280" spans="1:9" x14ac:dyDescent="0.35">
      <c r="A280">
        <v>0</v>
      </c>
      <c r="B280" t="s">
        <v>63</v>
      </c>
      <c r="C280">
        <v>325</v>
      </c>
      <c r="D280">
        <v>60</v>
      </c>
      <c r="E280" s="29">
        <v>45616</v>
      </c>
      <c r="F280">
        <v>5.2545691906005239</v>
      </c>
      <c r="G280">
        <v>6.45</v>
      </c>
      <c r="H280">
        <f t="shared" si="13"/>
        <v>0.32200000000000006</v>
      </c>
      <c r="I280">
        <f t="shared" si="11"/>
        <v>1.1925925925925929</v>
      </c>
    </row>
    <row r="281" spans="1:9" x14ac:dyDescent="0.35">
      <c r="A281">
        <v>0</v>
      </c>
      <c r="B281" t="s">
        <v>64</v>
      </c>
      <c r="C281">
        <v>332</v>
      </c>
      <c r="D281">
        <v>60</v>
      </c>
      <c r="E281" s="29">
        <v>45616</v>
      </c>
      <c r="F281">
        <v>5.3475935828876926</v>
      </c>
      <c r="G281">
        <v>3.94</v>
      </c>
      <c r="H281">
        <f t="shared" si="13"/>
        <v>0.19999999999999973</v>
      </c>
      <c r="I281">
        <f t="shared" si="11"/>
        <v>0.7407407407407397</v>
      </c>
    </row>
    <row r="282" spans="1:9" x14ac:dyDescent="0.35">
      <c r="A282">
        <v>0</v>
      </c>
      <c r="B282" t="s">
        <v>64</v>
      </c>
      <c r="C282">
        <v>336</v>
      </c>
      <c r="D282">
        <v>60</v>
      </c>
      <c r="E282" s="29">
        <v>45616</v>
      </c>
      <c r="F282">
        <v>6.3496211131434626</v>
      </c>
      <c r="G282">
        <v>4.07</v>
      </c>
      <c r="H282">
        <f t="shared" si="13"/>
        <v>0.24300000000000033</v>
      </c>
      <c r="I282">
        <f t="shared" si="11"/>
        <v>0.90000000000000113</v>
      </c>
    </row>
    <row r="283" spans="1:9" x14ac:dyDescent="0.35">
      <c r="A283">
        <v>0</v>
      </c>
      <c r="B283" t="s">
        <v>64</v>
      </c>
      <c r="C283">
        <v>341</v>
      </c>
      <c r="D283">
        <v>60</v>
      </c>
      <c r="E283" s="29">
        <v>45616</v>
      </c>
      <c r="F283">
        <v>6.2190423775454047</v>
      </c>
      <c r="G283">
        <v>3.86</v>
      </c>
      <c r="H283">
        <f t="shared" si="13"/>
        <v>0.22599999999999998</v>
      </c>
      <c r="I283">
        <f t="shared" si="11"/>
        <v>0.83703703703703702</v>
      </c>
    </row>
    <row r="284" spans="1:9" x14ac:dyDescent="0.35">
      <c r="A284">
        <v>0</v>
      </c>
      <c r="B284" t="s">
        <v>65</v>
      </c>
      <c r="C284">
        <v>348</v>
      </c>
      <c r="D284">
        <v>60</v>
      </c>
      <c r="E284" s="29">
        <v>45616</v>
      </c>
      <c r="F284">
        <v>5.569571123617326</v>
      </c>
      <c r="G284">
        <v>5.44</v>
      </c>
      <c r="H284">
        <f t="shared" si="13"/>
        <v>0.28700000000000081</v>
      </c>
      <c r="I284">
        <f t="shared" si="11"/>
        <v>1.062962962962966</v>
      </c>
    </row>
    <row r="285" spans="1:9" x14ac:dyDescent="0.35">
      <c r="A285">
        <v>0</v>
      </c>
      <c r="B285" t="s">
        <v>65</v>
      </c>
      <c r="C285">
        <v>352</v>
      </c>
      <c r="D285">
        <v>60</v>
      </c>
      <c r="E285" s="29">
        <v>45616</v>
      </c>
      <c r="F285">
        <v>6.0866246899446663</v>
      </c>
      <c r="G285">
        <v>5.56</v>
      </c>
      <c r="H285">
        <f t="shared" si="13"/>
        <v>0.31899999999999995</v>
      </c>
      <c r="I285">
        <f t="shared" si="11"/>
        <v>1.1814814814814814</v>
      </c>
    </row>
    <row r="286" spans="1:9" x14ac:dyDescent="0.35">
      <c r="A286">
        <v>0</v>
      </c>
      <c r="B286" t="s">
        <v>65</v>
      </c>
      <c r="C286">
        <v>357</v>
      </c>
      <c r="D286">
        <v>60</v>
      </c>
      <c r="E286" s="29">
        <v>45616</v>
      </c>
      <c r="F286">
        <v>6.30455868089234</v>
      </c>
      <c r="G286">
        <v>5.48</v>
      </c>
      <c r="H286">
        <f t="shared" si="13"/>
        <v>0.32500000000000018</v>
      </c>
      <c r="I286">
        <f t="shared" si="11"/>
        <v>1.2037037037037044</v>
      </c>
    </row>
    <row r="287" spans="1:9" x14ac:dyDescent="0.35">
      <c r="A287">
        <v>0</v>
      </c>
      <c r="B287" t="s">
        <v>66</v>
      </c>
      <c r="C287">
        <v>368</v>
      </c>
      <c r="D287">
        <v>60</v>
      </c>
      <c r="E287" s="29">
        <v>45616</v>
      </c>
      <c r="F287">
        <v>6.3273487885654438</v>
      </c>
      <c r="G287">
        <v>6.1</v>
      </c>
      <c r="H287">
        <f t="shared" si="13"/>
        <v>0.36299999999999955</v>
      </c>
      <c r="I287">
        <f t="shared" si="11"/>
        <v>1.3444444444444428</v>
      </c>
    </row>
    <row r="288" spans="1:9" x14ac:dyDescent="0.35">
      <c r="A288">
        <v>0</v>
      </c>
      <c r="B288" t="s">
        <v>66</v>
      </c>
      <c r="C288">
        <v>372</v>
      </c>
      <c r="D288">
        <v>60</v>
      </c>
      <c r="E288" s="29">
        <v>45616</v>
      </c>
      <c r="F288">
        <v>6.5242026873887085</v>
      </c>
      <c r="G288">
        <v>6.58</v>
      </c>
      <c r="H288">
        <f t="shared" si="13"/>
        <v>0.40300000000000047</v>
      </c>
      <c r="I288">
        <f t="shared" si="11"/>
        <v>1.4925925925925942</v>
      </c>
    </row>
    <row r="289" spans="1:9" x14ac:dyDescent="0.35">
      <c r="A289">
        <v>0</v>
      </c>
      <c r="B289" t="s">
        <v>66</v>
      </c>
      <c r="C289">
        <v>377</v>
      </c>
      <c r="D289">
        <v>60</v>
      </c>
      <c r="E289" s="29">
        <v>45616</v>
      </c>
      <c r="F289">
        <v>6.414719045251112</v>
      </c>
      <c r="G289">
        <v>6.42</v>
      </c>
      <c r="H289">
        <f t="shared" si="13"/>
        <v>0.38699999999999957</v>
      </c>
      <c r="I289">
        <f t="shared" si="11"/>
        <v>1.4333333333333318</v>
      </c>
    </row>
    <row r="290" spans="1:9" x14ac:dyDescent="0.35">
      <c r="A290">
        <v>0</v>
      </c>
      <c r="B290" t="s">
        <v>58</v>
      </c>
      <c r="C290">
        <v>384</v>
      </c>
      <c r="D290">
        <v>60</v>
      </c>
      <c r="E290" s="29">
        <v>45616</v>
      </c>
      <c r="F290">
        <v>5.6656239137991049</v>
      </c>
      <c r="G290">
        <v>3.04</v>
      </c>
      <c r="H290">
        <f t="shared" si="13"/>
        <v>0.16300000000000026</v>
      </c>
      <c r="I290">
        <f t="shared" si="11"/>
        <v>0.60370370370370463</v>
      </c>
    </row>
    <row r="291" spans="1:9" x14ac:dyDescent="0.35">
      <c r="A291">
        <v>0</v>
      </c>
      <c r="B291" t="s">
        <v>58</v>
      </c>
      <c r="C291">
        <v>387</v>
      </c>
      <c r="D291">
        <v>60</v>
      </c>
      <c r="E291" s="29">
        <v>45616</v>
      </c>
      <c r="F291">
        <v>5.592105263157892</v>
      </c>
      <c r="G291">
        <v>3.21</v>
      </c>
      <c r="H291">
        <f t="shared" si="13"/>
        <v>0.16999999999999993</v>
      </c>
      <c r="I291">
        <f t="shared" si="11"/>
        <v>0.62962962962962943</v>
      </c>
    </row>
    <row r="292" spans="1:9" x14ac:dyDescent="0.35">
      <c r="A292">
        <v>0</v>
      </c>
      <c r="B292" t="s">
        <v>58</v>
      </c>
      <c r="C292">
        <v>392</v>
      </c>
      <c r="D292">
        <v>60</v>
      </c>
      <c r="E292" s="29">
        <v>45616</v>
      </c>
      <c r="F292">
        <v>5.6627649478013229</v>
      </c>
      <c r="G292">
        <v>3.34</v>
      </c>
      <c r="H292">
        <f t="shared" si="13"/>
        <v>0.17899999999999983</v>
      </c>
      <c r="I292">
        <f t="shared" si="11"/>
        <v>0.66296296296296231</v>
      </c>
    </row>
    <row r="293" spans="1:9" x14ac:dyDescent="0.35">
      <c r="A293">
        <v>0</v>
      </c>
      <c r="B293" t="s">
        <v>59</v>
      </c>
      <c r="C293">
        <v>399</v>
      </c>
      <c r="D293">
        <v>60</v>
      </c>
      <c r="E293" s="29">
        <v>45616</v>
      </c>
      <c r="F293">
        <v>6.0847403631729939</v>
      </c>
      <c r="G293">
        <v>3.33</v>
      </c>
      <c r="H293">
        <f t="shared" si="13"/>
        <v>0.19100000000000028</v>
      </c>
      <c r="I293">
        <f t="shared" si="11"/>
        <v>0.70740740740740837</v>
      </c>
    </row>
    <row r="294" spans="1:9" x14ac:dyDescent="0.35">
      <c r="A294">
        <v>0</v>
      </c>
      <c r="B294" t="s">
        <v>59</v>
      </c>
      <c r="C294">
        <v>403</v>
      </c>
      <c r="D294">
        <v>60</v>
      </c>
      <c r="E294" s="29">
        <v>45616</v>
      </c>
      <c r="F294">
        <v>6.2305295950155815</v>
      </c>
      <c r="G294">
        <v>3.41</v>
      </c>
      <c r="H294">
        <f t="shared" si="13"/>
        <v>0.20000000000000018</v>
      </c>
      <c r="I294">
        <f t="shared" si="11"/>
        <v>0.74074074074074137</v>
      </c>
    </row>
    <row r="295" spans="1:9" x14ac:dyDescent="0.35">
      <c r="A295">
        <v>0</v>
      </c>
      <c r="B295" t="s">
        <v>59</v>
      </c>
      <c r="C295">
        <v>408</v>
      </c>
      <c r="D295">
        <v>60</v>
      </c>
      <c r="E295" s="29">
        <v>45616</v>
      </c>
      <c r="F295">
        <v>5.6338028169013992</v>
      </c>
      <c r="G295">
        <v>3.3</v>
      </c>
      <c r="H295">
        <f t="shared" si="13"/>
        <v>0.17599999999999971</v>
      </c>
      <c r="I295">
        <f t="shared" si="11"/>
        <v>0.65185185185185079</v>
      </c>
    </row>
    <row r="296" spans="1:9" x14ac:dyDescent="0.35">
      <c r="A296">
        <v>0</v>
      </c>
      <c r="B296" t="s">
        <v>60</v>
      </c>
      <c r="C296">
        <v>419</v>
      </c>
      <c r="D296">
        <v>60</v>
      </c>
      <c r="E296" s="29">
        <v>45616</v>
      </c>
      <c r="F296">
        <v>5.7596822244290022</v>
      </c>
      <c r="G296">
        <v>4.26</v>
      </c>
      <c r="H296">
        <f t="shared" si="13"/>
        <v>0.23200000000000021</v>
      </c>
      <c r="I296">
        <f t="shared" si="11"/>
        <v>0.85925925925925994</v>
      </c>
    </row>
    <row r="297" spans="1:9" x14ac:dyDescent="0.35">
      <c r="A297">
        <v>0</v>
      </c>
      <c r="B297" t="s">
        <v>60</v>
      </c>
      <c r="C297">
        <v>423</v>
      </c>
      <c r="D297">
        <v>60</v>
      </c>
      <c r="E297" s="29">
        <v>45616</v>
      </c>
      <c r="F297">
        <v>5.4305283757338438</v>
      </c>
      <c r="G297">
        <v>4.3099999999999996</v>
      </c>
      <c r="H297">
        <f t="shared" si="13"/>
        <v>0.22199999999999953</v>
      </c>
      <c r="I297">
        <f t="shared" si="11"/>
        <v>0.82222222222222052</v>
      </c>
    </row>
    <row r="298" spans="1:9" x14ac:dyDescent="0.35">
      <c r="A298">
        <v>0</v>
      </c>
      <c r="B298" t="s">
        <v>60</v>
      </c>
      <c r="C298">
        <v>428</v>
      </c>
      <c r="D298">
        <v>60</v>
      </c>
      <c r="E298" s="29">
        <v>45616</v>
      </c>
      <c r="F298">
        <v>6.0724524367995851</v>
      </c>
      <c r="G298">
        <v>4.07</v>
      </c>
      <c r="H298">
        <f t="shared" si="13"/>
        <v>0.2330000000000001</v>
      </c>
      <c r="I298">
        <f t="shared" si="11"/>
        <v>0.86296296296296326</v>
      </c>
    </row>
    <row r="299" spans="1:9" x14ac:dyDescent="0.35">
      <c r="A299">
        <v>0</v>
      </c>
      <c r="B299" t="s">
        <v>61</v>
      </c>
      <c r="C299">
        <v>439</v>
      </c>
      <c r="D299">
        <v>60</v>
      </c>
      <c r="E299" s="29">
        <v>45616</v>
      </c>
      <c r="F299">
        <v>5.3180396246089687</v>
      </c>
      <c r="G299">
        <v>3.03</v>
      </c>
      <c r="H299">
        <f t="shared" si="13"/>
        <v>0.15300000000000002</v>
      </c>
      <c r="I299">
        <f t="shared" si="11"/>
        <v>0.56666666666666676</v>
      </c>
    </row>
    <row r="300" spans="1:9" x14ac:dyDescent="0.35">
      <c r="A300">
        <v>0</v>
      </c>
      <c r="B300" t="s">
        <v>61</v>
      </c>
      <c r="C300">
        <v>443</v>
      </c>
      <c r="D300">
        <v>60</v>
      </c>
      <c r="E300" s="29">
        <v>45616</v>
      </c>
      <c r="F300">
        <v>4.8109965635738714</v>
      </c>
      <c r="G300">
        <v>3.05</v>
      </c>
      <c r="H300">
        <f t="shared" si="13"/>
        <v>0.13999999999999968</v>
      </c>
      <c r="I300">
        <f t="shared" si="11"/>
        <v>0.51851851851851738</v>
      </c>
    </row>
    <row r="301" spans="1:9" x14ac:dyDescent="0.35">
      <c r="A301">
        <v>0</v>
      </c>
      <c r="B301" t="s">
        <v>61</v>
      </c>
      <c r="C301">
        <v>448</v>
      </c>
      <c r="D301">
        <v>60</v>
      </c>
      <c r="E301" s="29">
        <v>45616</v>
      </c>
      <c r="F301">
        <v>4.8188533239535714</v>
      </c>
      <c r="G301">
        <v>2.98</v>
      </c>
      <c r="H301">
        <f t="shared" si="13"/>
        <v>0.13700000000000001</v>
      </c>
      <c r="I301">
        <f t="shared" si="11"/>
        <v>0.50740740740740742</v>
      </c>
    </row>
    <row r="302" spans="1:9" x14ac:dyDescent="0.35">
      <c r="A302">
        <v>2</v>
      </c>
      <c r="B302" t="s">
        <v>63</v>
      </c>
      <c r="C302">
        <v>295</v>
      </c>
      <c r="D302">
        <v>60</v>
      </c>
      <c r="E302" s="29">
        <v>45616</v>
      </c>
      <c r="F302">
        <v>1.879327398615245</v>
      </c>
      <c r="G302">
        <v>5.15</v>
      </c>
      <c r="H302">
        <f t="shared" si="13"/>
        <v>9.5000000000000639E-2</v>
      </c>
      <c r="I302">
        <f t="shared" si="11"/>
        <v>0.35185185185185425</v>
      </c>
    </row>
    <row r="303" spans="1:9" x14ac:dyDescent="0.35">
      <c r="A303">
        <v>2</v>
      </c>
      <c r="B303" t="s">
        <v>63</v>
      </c>
      <c r="C303">
        <v>298</v>
      </c>
      <c r="D303">
        <v>60</v>
      </c>
      <c r="E303" s="29">
        <v>45616</v>
      </c>
      <c r="F303">
        <v>5.9541420118343202</v>
      </c>
      <c r="G303">
        <v>5.73</v>
      </c>
      <c r="H303">
        <f t="shared" si="13"/>
        <v>0.32200000000000006</v>
      </c>
      <c r="I303">
        <f t="shared" si="11"/>
        <v>1.1925925925925929</v>
      </c>
    </row>
    <row r="304" spans="1:9" x14ac:dyDescent="0.35">
      <c r="A304">
        <v>2</v>
      </c>
      <c r="B304" t="s">
        <v>63</v>
      </c>
      <c r="C304">
        <v>301</v>
      </c>
      <c r="D304">
        <v>60</v>
      </c>
      <c r="E304" s="29">
        <v>45616</v>
      </c>
      <c r="F304">
        <v>5.9793024147182887</v>
      </c>
      <c r="G304">
        <v>5.53</v>
      </c>
      <c r="H304">
        <f t="shared" si="13"/>
        <v>0.31200000000000028</v>
      </c>
      <c r="I304">
        <f t="shared" si="11"/>
        <v>1.1555555555555566</v>
      </c>
    </row>
    <row r="305" spans="1:9" x14ac:dyDescent="0.35">
      <c r="A305">
        <v>2</v>
      </c>
      <c r="B305" t="s">
        <v>64</v>
      </c>
      <c r="C305">
        <v>6</v>
      </c>
      <c r="D305">
        <v>60</v>
      </c>
      <c r="E305" s="29">
        <v>45616</v>
      </c>
      <c r="F305">
        <v>7.1428571428571423</v>
      </c>
      <c r="G305">
        <v>3.99</v>
      </c>
      <c r="H305">
        <f t="shared" si="13"/>
        <v>0.26600000000000001</v>
      </c>
      <c r="I305">
        <f t="shared" si="11"/>
        <v>0.98518518518518527</v>
      </c>
    </row>
    <row r="306" spans="1:9" x14ac:dyDescent="0.35">
      <c r="A306">
        <v>2</v>
      </c>
      <c r="B306" t="s">
        <v>64</v>
      </c>
      <c r="C306">
        <v>10</v>
      </c>
      <c r="D306">
        <v>60</v>
      </c>
      <c r="E306" s="29">
        <v>45616</v>
      </c>
      <c r="F306">
        <v>6.7828929447017199</v>
      </c>
      <c r="G306">
        <v>3.92</v>
      </c>
      <c r="H306">
        <f t="shared" si="13"/>
        <v>0.24900000000000011</v>
      </c>
      <c r="I306">
        <f t="shared" si="11"/>
        <v>0.92222222222222272</v>
      </c>
    </row>
    <row r="307" spans="1:9" x14ac:dyDescent="0.35">
      <c r="A307">
        <v>2</v>
      </c>
      <c r="B307" t="s">
        <v>64</v>
      </c>
      <c r="C307">
        <v>14</v>
      </c>
      <c r="D307">
        <v>60</v>
      </c>
      <c r="E307" s="29">
        <v>45616</v>
      </c>
      <c r="F307">
        <v>6.5976714100905527</v>
      </c>
      <c r="G307">
        <v>4.12</v>
      </c>
      <c r="H307">
        <f t="shared" si="13"/>
        <v>0.25499999999999989</v>
      </c>
      <c r="I307">
        <f t="shared" si="11"/>
        <v>0.94444444444444409</v>
      </c>
    </row>
    <row r="308" spans="1:9" x14ac:dyDescent="0.35">
      <c r="A308">
        <v>4</v>
      </c>
      <c r="B308" t="s">
        <v>64</v>
      </c>
      <c r="C308">
        <v>26</v>
      </c>
      <c r="D308">
        <v>60</v>
      </c>
      <c r="E308" s="29">
        <v>45616</v>
      </c>
      <c r="F308">
        <v>6.872037914691945</v>
      </c>
      <c r="G308">
        <v>4.51</v>
      </c>
      <c r="H308">
        <f t="shared" si="13"/>
        <v>0.29000000000000004</v>
      </c>
      <c r="I308">
        <f t="shared" si="11"/>
        <v>1.0740740740740742</v>
      </c>
    </row>
    <row r="309" spans="1:9" x14ac:dyDescent="0.35">
      <c r="A309">
        <v>4</v>
      </c>
      <c r="B309" t="s">
        <v>64</v>
      </c>
      <c r="C309">
        <v>30</v>
      </c>
      <c r="D309">
        <v>60</v>
      </c>
      <c r="E309" s="29">
        <v>45616</v>
      </c>
      <c r="F309">
        <v>7.0066730219256552</v>
      </c>
      <c r="G309">
        <v>4.49</v>
      </c>
      <c r="H309">
        <f t="shared" si="13"/>
        <v>0.29400000000000048</v>
      </c>
      <c r="I309">
        <f t="shared" si="11"/>
        <v>1.0888888888888906</v>
      </c>
    </row>
    <row r="310" spans="1:9" x14ac:dyDescent="0.35">
      <c r="A310">
        <v>4</v>
      </c>
      <c r="B310" t="s">
        <v>64</v>
      </c>
      <c r="C310">
        <v>34</v>
      </c>
      <c r="D310">
        <v>60</v>
      </c>
      <c r="E310" s="29">
        <v>45616</v>
      </c>
      <c r="F310">
        <v>6.5941857716851793</v>
      </c>
      <c r="G310">
        <v>4.51</v>
      </c>
      <c r="H310">
        <f t="shared" si="13"/>
        <v>0.27899999999999991</v>
      </c>
      <c r="I310">
        <f t="shared" si="11"/>
        <v>1.033333333333333</v>
      </c>
    </row>
    <row r="311" spans="1:9" x14ac:dyDescent="0.35">
      <c r="A311">
        <v>2</v>
      </c>
      <c r="B311" t="s">
        <v>65</v>
      </c>
      <c r="C311">
        <v>46</v>
      </c>
      <c r="D311">
        <v>60</v>
      </c>
      <c r="E311" s="29">
        <v>45616</v>
      </c>
      <c r="F311">
        <v>6.066613798572563</v>
      </c>
      <c r="G311">
        <v>5.35</v>
      </c>
      <c r="H311">
        <f t="shared" si="13"/>
        <v>0.30600000000000005</v>
      </c>
      <c r="I311">
        <f t="shared" si="11"/>
        <v>1.1333333333333335</v>
      </c>
    </row>
    <row r="312" spans="1:9" x14ac:dyDescent="0.35">
      <c r="A312">
        <v>2</v>
      </c>
      <c r="B312" t="s">
        <v>65</v>
      </c>
      <c r="C312">
        <v>50</v>
      </c>
      <c r="D312">
        <v>60</v>
      </c>
      <c r="E312" s="29">
        <v>45616</v>
      </c>
      <c r="F312">
        <v>6.6740617489369534</v>
      </c>
      <c r="G312">
        <v>5.77</v>
      </c>
      <c r="H312">
        <f t="shared" si="13"/>
        <v>0.36099999999999977</v>
      </c>
      <c r="I312">
        <f t="shared" si="11"/>
        <v>1.3370370370370361</v>
      </c>
    </row>
    <row r="313" spans="1:9" x14ac:dyDescent="0.35">
      <c r="A313">
        <v>2</v>
      </c>
      <c r="B313" t="s">
        <v>65</v>
      </c>
      <c r="C313">
        <v>54</v>
      </c>
      <c r="D313">
        <v>60</v>
      </c>
      <c r="E313" s="29">
        <v>45616</v>
      </c>
      <c r="F313">
        <v>6.4734299516908207</v>
      </c>
      <c r="G313">
        <v>5.51</v>
      </c>
      <c r="H313">
        <f t="shared" si="13"/>
        <v>0.33499999999999996</v>
      </c>
      <c r="I313">
        <f t="shared" si="11"/>
        <v>1.2407407407407407</v>
      </c>
    </row>
    <row r="314" spans="1:9" x14ac:dyDescent="0.35">
      <c r="A314">
        <v>4</v>
      </c>
      <c r="B314" t="s">
        <v>65</v>
      </c>
      <c r="C314">
        <v>67</v>
      </c>
      <c r="D314">
        <v>60</v>
      </c>
      <c r="E314" s="29">
        <v>45616</v>
      </c>
      <c r="F314">
        <v>6.5921787709497188</v>
      </c>
      <c r="G314">
        <v>4.7699999999999996</v>
      </c>
      <c r="H314">
        <f t="shared" si="13"/>
        <v>0.29499999999999993</v>
      </c>
      <c r="I314">
        <f t="shared" si="11"/>
        <v>1.0925925925925923</v>
      </c>
    </row>
    <row r="315" spans="1:9" x14ac:dyDescent="0.35">
      <c r="A315">
        <v>4</v>
      </c>
      <c r="B315" t="s">
        <v>65</v>
      </c>
      <c r="C315">
        <v>71</v>
      </c>
      <c r="D315">
        <v>60</v>
      </c>
      <c r="E315" s="29">
        <v>45616</v>
      </c>
      <c r="F315">
        <v>6.3521622180839952</v>
      </c>
      <c r="G315">
        <v>5.14</v>
      </c>
      <c r="H315">
        <f t="shared" si="13"/>
        <v>0.3069999999999995</v>
      </c>
      <c r="I315">
        <f t="shared" si="11"/>
        <v>1.1370370370370353</v>
      </c>
    </row>
    <row r="316" spans="1:9" x14ac:dyDescent="0.35">
      <c r="A316">
        <v>4</v>
      </c>
      <c r="B316" t="s">
        <v>65</v>
      </c>
      <c r="C316">
        <v>75</v>
      </c>
      <c r="D316">
        <v>60</v>
      </c>
      <c r="E316" s="29">
        <v>45616</v>
      </c>
      <c r="F316">
        <v>6.6110780226325234</v>
      </c>
      <c r="G316">
        <v>5.37</v>
      </c>
      <c r="H316">
        <f t="shared" si="13"/>
        <v>0.33300000000000018</v>
      </c>
      <c r="I316">
        <f t="shared" si="11"/>
        <v>1.2333333333333341</v>
      </c>
    </row>
    <row r="317" spans="1:9" x14ac:dyDescent="0.35">
      <c r="A317">
        <v>2</v>
      </c>
      <c r="B317" t="s">
        <v>66</v>
      </c>
      <c r="C317">
        <v>87</v>
      </c>
      <c r="D317">
        <v>60</v>
      </c>
      <c r="E317" s="29">
        <v>45616</v>
      </c>
      <c r="F317">
        <v>5.9436510999614018</v>
      </c>
      <c r="G317">
        <v>5.49</v>
      </c>
      <c r="H317">
        <f t="shared" si="13"/>
        <v>0.30799999999999983</v>
      </c>
      <c r="I317">
        <f t="shared" si="11"/>
        <v>1.1407407407407402</v>
      </c>
    </row>
    <row r="318" spans="1:9" x14ac:dyDescent="0.35">
      <c r="A318">
        <v>2</v>
      </c>
      <c r="B318" t="s">
        <v>66</v>
      </c>
      <c r="C318">
        <v>91</v>
      </c>
      <c r="D318">
        <v>60</v>
      </c>
      <c r="E318" s="29">
        <v>45616</v>
      </c>
      <c r="F318">
        <v>6.6746126340882057</v>
      </c>
      <c r="G318">
        <v>5.37</v>
      </c>
      <c r="H318">
        <f t="shared" si="13"/>
        <v>0.3360000000000003</v>
      </c>
      <c r="I318">
        <f t="shared" si="11"/>
        <v>1.2444444444444456</v>
      </c>
    </row>
    <row r="319" spans="1:9" x14ac:dyDescent="0.35">
      <c r="A319">
        <v>2</v>
      </c>
      <c r="B319" t="s">
        <v>66</v>
      </c>
      <c r="C319">
        <v>95</v>
      </c>
      <c r="D319">
        <v>60</v>
      </c>
      <c r="E319" s="29">
        <v>45616</v>
      </c>
      <c r="F319">
        <v>6.6790352504638291</v>
      </c>
      <c r="G319">
        <v>5.75</v>
      </c>
      <c r="H319">
        <f t="shared" si="13"/>
        <v>0.36000000000000032</v>
      </c>
      <c r="I319">
        <f t="shared" si="11"/>
        <v>1.3333333333333344</v>
      </c>
    </row>
    <row r="320" spans="1:9" x14ac:dyDescent="0.35">
      <c r="A320">
        <v>4</v>
      </c>
      <c r="B320" t="s">
        <v>66</v>
      </c>
      <c r="C320">
        <v>107</v>
      </c>
      <c r="D320">
        <v>60</v>
      </c>
      <c r="E320" s="29">
        <v>45616</v>
      </c>
      <c r="F320">
        <v>6.6759630468886177</v>
      </c>
      <c r="G320">
        <v>6.12</v>
      </c>
      <c r="H320">
        <f t="shared" si="13"/>
        <v>0.38300000000000001</v>
      </c>
      <c r="I320">
        <f t="shared" si="11"/>
        <v>1.4185185185185185</v>
      </c>
    </row>
    <row r="321" spans="1:9" x14ac:dyDescent="0.35">
      <c r="A321">
        <v>4</v>
      </c>
      <c r="B321" t="s">
        <v>66</v>
      </c>
      <c r="C321">
        <v>111</v>
      </c>
      <c r="D321">
        <v>60</v>
      </c>
      <c r="E321" s="29">
        <v>45616</v>
      </c>
      <c r="F321">
        <v>6.6354671569446815</v>
      </c>
      <c r="G321">
        <v>6.38</v>
      </c>
      <c r="H321">
        <f t="shared" si="13"/>
        <v>0.39700000000000024</v>
      </c>
      <c r="I321">
        <f t="shared" si="11"/>
        <v>1.4703703703703712</v>
      </c>
    </row>
    <row r="322" spans="1:9" x14ac:dyDescent="0.35">
      <c r="A322">
        <v>4</v>
      </c>
      <c r="B322" t="s">
        <v>66</v>
      </c>
      <c r="C322">
        <v>115</v>
      </c>
      <c r="D322">
        <v>60</v>
      </c>
      <c r="E322" s="29">
        <v>45616</v>
      </c>
      <c r="F322">
        <v>6.5791807057988922</v>
      </c>
      <c r="G322">
        <v>6.01</v>
      </c>
      <c r="H322">
        <f t="shared" si="13"/>
        <v>0.37099999999999955</v>
      </c>
      <c r="I322">
        <f t="shared" si="11"/>
        <v>1.3740740740740724</v>
      </c>
    </row>
    <row r="323" spans="1:9" x14ac:dyDescent="0.35">
      <c r="A323">
        <v>2</v>
      </c>
      <c r="B323" t="s">
        <v>58</v>
      </c>
      <c r="C323">
        <v>128</v>
      </c>
      <c r="D323">
        <v>60</v>
      </c>
      <c r="E323" s="29">
        <v>45616</v>
      </c>
      <c r="F323">
        <v>5.8631921824104287</v>
      </c>
      <c r="G323">
        <v>2.6</v>
      </c>
      <c r="H323">
        <f t="shared" si="13"/>
        <v>0.14400000000000013</v>
      </c>
      <c r="I323">
        <f t="shared" ref="I323:I386" si="14">H323/27*100</f>
        <v>0.53333333333333388</v>
      </c>
    </row>
    <row r="324" spans="1:9" x14ac:dyDescent="0.35">
      <c r="A324">
        <v>2</v>
      </c>
      <c r="B324" t="s">
        <v>58</v>
      </c>
      <c r="C324">
        <v>133</v>
      </c>
      <c r="D324">
        <v>60</v>
      </c>
      <c r="E324" s="29">
        <v>45616</v>
      </c>
      <c r="F324">
        <v>6.1499578770008378</v>
      </c>
      <c r="G324">
        <v>2.52</v>
      </c>
      <c r="H324">
        <f t="shared" si="13"/>
        <v>0.14599999999999991</v>
      </c>
      <c r="I324">
        <f t="shared" si="14"/>
        <v>0.54074074074074041</v>
      </c>
    </row>
    <row r="325" spans="1:9" x14ac:dyDescent="0.35">
      <c r="A325">
        <v>2</v>
      </c>
      <c r="B325" t="s">
        <v>58</v>
      </c>
      <c r="C325">
        <v>139</v>
      </c>
      <c r="D325">
        <v>60</v>
      </c>
      <c r="E325" s="29">
        <v>45616</v>
      </c>
      <c r="F325">
        <v>6.0159865376525135</v>
      </c>
      <c r="G325">
        <v>2.52</v>
      </c>
      <c r="H325">
        <f t="shared" si="13"/>
        <v>0.14300000000000024</v>
      </c>
      <c r="I325">
        <f t="shared" si="14"/>
        <v>0.52962962962963045</v>
      </c>
    </row>
    <row r="326" spans="1:9" x14ac:dyDescent="0.35">
      <c r="A326">
        <v>4</v>
      </c>
      <c r="B326" t="s">
        <v>58</v>
      </c>
      <c r="C326">
        <v>150</v>
      </c>
      <c r="D326">
        <v>60</v>
      </c>
      <c r="E326" s="29">
        <v>45616</v>
      </c>
      <c r="F326">
        <v>8.0000000000000071</v>
      </c>
      <c r="G326">
        <v>3.24</v>
      </c>
      <c r="H326">
        <f t="shared" si="13"/>
        <v>0.24000000000000021</v>
      </c>
      <c r="I326">
        <f t="shared" si="14"/>
        <v>0.88888888888888973</v>
      </c>
    </row>
    <row r="327" spans="1:9" x14ac:dyDescent="0.35">
      <c r="A327">
        <v>4</v>
      </c>
      <c r="B327" t="s">
        <v>58</v>
      </c>
      <c r="C327">
        <v>156</v>
      </c>
      <c r="D327">
        <v>60</v>
      </c>
      <c r="E327" s="29">
        <v>45616</v>
      </c>
      <c r="F327">
        <v>7.5801749271136964</v>
      </c>
      <c r="G327">
        <v>3.69</v>
      </c>
      <c r="H327">
        <f t="shared" si="13"/>
        <v>0.25999999999999979</v>
      </c>
      <c r="I327">
        <f t="shared" si="14"/>
        <v>0.96296296296296213</v>
      </c>
    </row>
    <row r="328" spans="1:9" x14ac:dyDescent="0.35">
      <c r="A328">
        <v>4</v>
      </c>
      <c r="B328" t="s">
        <v>58</v>
      </c>
      <c r="C328">
        <v>158</v>
      </c>
      <c r="D328">
        <v>60</v>
      </c>
      <c r="E328" s="29">
        <v>45616</v>
      </c>
      <c r="F328">
        <v>6.9537592657959628</v>
      </c>
      <c r="G328">
        <v>3.03</v>
      </c>
      <c r="H328">
        <f t="shared" si="13"/>
        <v>0.19699999999999962</v>
      </c>
      <c r="I328">
        <f t="shared" si="14"/>
        <v>0.7296296296296283</v>
      </c>
    </row>
    <row r="329" spans="1:9" x14ac:dyDescent="0.35">
      <c r="A329">
        <v>2</v>
      </c>
      <c r="B329" t="s">
        <v>59</v>
      </c>
      <c r="C329">
        <v>191</v>
      </c>
      <c r="D329">
        <v>60</v>
      </c>
      <c r="E329" s="29">
        <v>45616</v>
      </c>
      <c r="F329">
        <v>7.200516628995798</v>
      </c>
      <c r="G329">
        <v>3.32</v>
      </c>
      <c r="H329">
        <f t="shared" si="13"/>
        <v>0.22299999999999986</v>
      </c>
      <c r="I329">
        <f t="shared" si="14"/>
        <v>0.8259259259259254</v>
      </c>
    </row>
    <row r="330" spans="1:9" x14ac:dyDescent="0.35">
      <c r="A330">
        <v>2</v>
      </c>
      <c r="B330" t="s">
        <v>59</v>
      </c>
      <c r="C330">
        <v>197</v>
      </c>
      <c r="D330">
        <v>60</v>
      </c>
      <c r="E330" s="29">
        <v>45616</v>
      </c>
      <c r="F330">
        <v>7.1882951653944014</v>
      </c>
      <c r="G330">
        <v>3.37</v>
      </c>
      <c r="H330">
        <f t="shared" si="13"/>
        <v>0.22599999999999998</v>
      </c>
      <c r="I330">
        <f t="shared" si="14"/>
        <v>0.83703703703703702</v>
      </c>
    </row>
    <row r="331" spans="1:9" x14ac:dyDescent="0.35">
      <c r="A331">
        <v>2</v>
      </c>
      <c r="B331" t="s">
        <v>59</v>
      </c>
      <c r="C331">
        <v>204</v>
      </c>
      <c r="D331">
        <v>60</v>
      </c>
      <c r="E331" s="29">
        <v>45616</v>
      </c>
      <c r="F331">
        <v>7.9986500168747918</v>
      </c>
      <c r="G331">
        <v>3.2</v>
      </c>
      <c r="H331">
        <f t="shared" si="13"/>
        <v>0.2370000000000001</v>
      </c>
      <c r="I331">
        <f t="shared" si="14"/>
        <v>0.87777777777777821</v>
      </c>
    </row>
    <row r="332" spans="1:9" x14ac:dyDescent="0.35">
      <c r="A332">
        <v>4</v>
      </c>
      <c r="B332" t="s">
        <v>59</v>
      </c>
      <c r="C332">
        <v>233</v>
      </c>
      <c r="D332">
        <v>60</v>
      </c>
      <c r="E332" s="29">
        <v>45616</v>
      </c>
      <c r="F332">
        <v>8.4934903905765662</v>
      </c>
      <c r="G332">
        <v>3.5</v>
      </c>
      <c r="H332">
        <f t="shared" si="13"/>
        <v>0.27400000000000002</v>
      </c>
      <c r="I332">
        <f t="shared" si="14"/>
        <v>1.0148148148148148</v>
      </c>
    </row>
    <row r="333" spans="1:9" x14ac:dyDescent="0.35">
      <c r="A333">
        <v>4</v>
      </c>
      <c r="B333" t="s">
        <v>59</v>
      </c>
      <c r="C333">
        <v>239</v>
      </c>
      <c r="D333">
        <v>60</v>
      </c>
      <c r="E333" s="29">
        <v>45616</v>
      </c>
      <c r="F333">
        <v>7.9050195371205261</v>
      </c>
      <c r="G333">
        <v>3.59</v>
      </c>
      <c r="H333">
        <f t="shared" si="13"/>
        <v>0.2629999999999999</v>
      </c>
      <c r="I333">
        <f t="shared" si="14"/>
        <v>0.97407407407407376</v>
      </c>
    </row>
    <row r="334" spans="1:9" x14ac:dyDescent="0.35">
      <c r="A334">
        <v>4</v>
      </c>
      <c r="B334" t="s">
        <v>59</v>
      </c>
      <c r="C334">
        <v>242</v>
      </c>
      <c r="D334">
        <v>60</v>
      </c>
      <c r="E334" s="29">
        <v>45616</v>
      </c>
      <c r="F334">
        <v>7.4278698588090846</v>
      </c>
      <c r="G334">
        <v>3.5</v>
      </c>
      <c r="H334">
        <f t="shared" si="13"/>
        <v>0.24199999999999999</v>
      </c>
      <c r="I334">
        <f t="shared" si="14"/>
        <v>0.89629629629629626</v>
      </c>
    </row>
    <row r="335" spans="1:9" x14ac:dyDescent="0.35">
      <c r="A335">
        <v>2</v>
      </c>
      <c r="B335" t="s">
        <v>62</v>
      </c>
      <c r="C335">
        <v>255</v>
      </c>
      <c r="D335">
        <v>60</v>
      </c>
      <c r="E335" s="29">
        <v>45616</v>
      </c>
      <c r="F335">
        <v>5.1441492368569923</v>
      </c>
      <c r="G335">
        <v>3.72</v>
      </c>
      <c r="H335">
        <f t="shared" si="13"/>
        <v>0.18200000000000038</v>
      </c>
      <c r="I335">
        <f t="shared" si="14"/>
        <v>0.67407407407407549</v>
      </c>
    </row>
    <row r="336" spans="1:9" x14ac:dyDescent="0.35">
      <c r="A336">
        <v>2</v>
      </c>
      <c r="B336" t="s">
        <v>62</v>
      </c>
      <c r="C336">
        <v>264</v>
      </c>
      <c r="D336">
        <v>60</v>
      </c>
      <c r="E336" s="29">
        <v>45616</v>
      </c>
      <c r="F336">
        <v>5.4027179317202609</v>
      </c>
      <c r="G336">
        <v>3.18</v>
      </c>
      <c r="H336">
        <f t="shared" si="13"/>
        <v>0.16300000000000026</v>
      </c>
      <c r="I336">
        <f t="shared" si="14"/>
        <v>0.60370370370370463</v>
      </c>
    </row>
    <row r="337" spans="1:9" x14ac:dyDescent="0.35">
      <c r="A337">
        <v>2</v>
      </c>
      <c r="B337" t="s">
        <v>62</v>
      </c>
      <c r="C337">
        <v>270</v>
      </c>
      <c r="D337">
        <v>60</v>
      </c>
      <c r="E337" s="29">
        <v>45616</v>
      </c>
      <c r="F337">
        <v>5.2921719955898494</v>
      </c>
      <c r="G337">
        <v>3.82</v>
      </c>
      <c r="H337">
        <f t="shared" si="13"/>
        <v>0.19199999999999973</v>
      </c>
      <c r="I337">
        <f t="shared" si="14"/>
        <v>0.71111111111111014</v>
      </c>
    </row>
    <row r="338" spans="1:9" x14ac:dyDescent="0.35">
      <c r="A338">
        <v>4</v>
      </c>
      <c r="B338" t="s">
        <v>62</v>
      </c>
      <c r="C338">
        <v>274</v>
      </c>
      <c r="D338">
        <v>60</v>
      </c>
      <c r="E338" s="29">
        <v>45616</v>
      </c>
      <c r="F338">
        <v>6.5886542864411171</v>
      </c>
      <c r="G338">
        <v>4.1900000000000004</v>
      </c>
      <c r="H338">
        <f t="shared" si="13"/>
        <v>0.25900000000000034</v>
      </c>
      <c r="I338">
        <f t="shared" si="14"/>
        <v>0.95925925925926059</v>
      </c>
    </row>
    <row r="339" spans="1:9" x14ac:dyDescent="0.35">
      <c r="A339">
        <v>4</v>
      </c>
      <c r="B339" t="s">
        <v>62</v>
      </c>
      <c r="C339">
        <v>277</v>
      </c>
      <c r="D339">
        <v>60</v>
      </c>
      <c r="E339" s="29">
        <v>45616</v>
      </c>
      <c r="F339">
        <v>6.0878499871564369</v>
      </c>
      <c r="G339">
        <v>4.13</v>
      </c>
      <c r="H339">
        <f t="shared" si="13"/>
        <v>0.2370000000000001</v>
      </c>
      <c r="I339">
        <f t="shared" si="14"/>
        <v>0.87777777777777821</v>
      </c>
    </row>
    <row r="340" spans="1:9" x14ac:dyDescent="0.35">
      <c r="A340">
        <v>4</v>
      </c>
      <c r="B340" t="s">
        <v>62</v>
      </c>
      <c r="C340">
        <v>282</v>
      </c>
      <c r="D340">
        <v>60</v>
      </c>
      <c r="E340" s="29">
        <v>45616</v>
      </c>
      <c r="F340">
        <v>6.2788801304702453</v>
      </c>
      <c r="G340">
        <v>3.91</v>
      </c>
      <c r="H340">
        <f t="shared" si="13"/>
        <v>0.23100000000000032</v>
      </c>
      <c r="I340">
        <f t="shared" si="14"/>
        <v>0.85555555555555685</v>
      </c>
    </row>
    <row r="341" spans="1:9" x14ac:dyDescent="0.35">
      <c r="A341">
        <v>2</v>
      </c>
      <c r="B341" t="s">
        <v>61</v>
      </c>
      <c r="C341">
        <v>166</v>
      </c>
      <c r="D341">
        <v>60</v>
      </c>
      <c r="E341" s="29">
        <v>45616</v>
      </c>
      <c r="F341">
        <v>5.4434716406547485</v>
      </c>
      <c r="G341">
        <v>2.77</v>
      </c>
      <c r="H341">
        <f t="shared" si="13"/>
        <v>0.14300000000000024</v>
      </c>
      <c r="I341">
        <f t="shared" si="14"/>
        <v>0.52962962962963045</v>
      </c>
    </row>
    <row r="342" spans="1:9" x14ac:dyDescent="0.35">
      <c r="A342">
        <v>2</v>
      </c>
      <c r="B342" t="s">
        <v>61</v>
      </c>
      <c r="C342">
        <v>172</v>
      </c>
      <c r="D342">
        <v>60</v>
      </c>
      <c r="E342" s="29">
        <v>45616</v>
      </c>
      <c r="F342">
        <v>4.3978627209206831</v>
      </c>
      <c r="G342">
        <v>2.54</v>
      </c>
      <c r="H342">
        <f t="shared" si="13"/>
        <v>0.10700000000000021</v>
      </c>
      <c r="I342">
        <f t="shared" si="14"/>
        <v>0.39629629629629703</v>
      </c>
    </row>
    <row r="343" spans="1:9" x14ac:dyDescent="0.35">
      <c r="A343">
        <v>2</v>
      </c>
      <c r="B343" t="s">
        <v>61</v>
      </c>
      <c r="C343">
        <v>175</v>
      </c>
      <c r="D343">
        <v>60</v>
      </c>
      <c r="E343" s="29">
        <v>45616</v>
      </c>
      <c r="F343">
        <v>5.2027543993879162</v>
      </c>
      <c r="G343">
        <v>2.75</v>
      </c>
      <c r="H343">
        <f t="shared" ref="H343:H347" si="15">G343-G67</f>
        <v>0.13600000000000012</v>
      </c>
      <c r="I343">
        <f t="shared" si="14"/>
        <v>0.5037037037037041</v>
      </c>
    </row>
    <row r="344" spans="1:9" x14ac:dyDescent="0.35">
      <c r="A344">
        <v>4</v>
      </c>
      <c r="B344" t="s">
        <v>61</v>
      </c>
      <c r="C344">
        <v>211</v>
      </c>
      <c r="D344">
        <v>60</v>
      </c>
      <c r="E344" s="29">
        <v>45616</v>
      </c>
      <c r="F344">
        <v>6.9692058346839501</v>
      </c>
      <c r="G344">
        <v>3.3</v>
      </c>
      <c r="H344">
        <f t="shared" si="15"/>
        <v>0.21499999999999986</v>
      </c>
      <c r="I344">
        <f t="shared" si="14"/>
        <v>0.79629629629629584</v>
      </c>
    </row>
    <row r="345" spans="1:9" x14ac:dyDescent="0.35">
      <c r="A345">
        <v>4</v>
      </c>
      <c r="B345" t="s">
        <v>61</v>
      </c>
      <c r="C345">
        <v>217</v>
      </c>
      <c r="D345">
        <v>60</v>
      </c>
      <c r="E345" s="29">
        <v>45616</v>
      </c>
      <c r="F345">
        <v>6.8776235066193108</v>
      </c>
      <c r="G345">
        <v>3.31</v>
      </c>
      <c r="H345">
        <f t="shared" si="15"/>
        <v>0.21300000000000008</v>
      </c>
      <c r="I345">
        <f t="shared" si="14"/>
        <v>0.78888888888888919</v>
      </c>
    </row>
    <row r="346" spans="1:9" x14ac:dyDescent="0.35">
      <c r="A346">
        <v>4</v>
      </c>
      <c r="B346" t="s">
        <v>61</v>
      </c>
      <c r="C346">
        <v>223</v>
      </c>
      <c r="D346">
        <v>60</v>
      </c>
      <c r="E346" s="29">
        <v>45616</v>
      </c>
      <c r="F346">
        <v>6.1253561253561308</v>
      </c>
      <c r="G346">
        <v>2.98</v>
      </c>
      <c r="H346">
        <f t="shared" si="15"/>
        <v>0.17200000000000015</v>
      </c>
      <c r="I346">
        <f t="shared" si="14"/>
        <v>0.63703703703703762</v>
      </c>
    </row>
    <row r="347" spans="1:9" x14ac:dyDescent="0.35">
      <c r="A347">
        <v>0</v>
      </c>
      <c r="B347" t="s">
        <v>63</v>
      </c>
      <c r="C347">
        <v>316</v>
      </c>
      <c r="D347">
        <v>60</v>
      </c>
      <c r="E347" s="29">
        <v>45618</v>
      </c>
      <c r="F347">
        <v>6.5437509445367965</v>
      </c>
      <c r="G347">
        <v>7.05</v>
      </c>
      <c r="H347">
        <f>G347-G2</f>
        <v>0.43299999999999983</v>
      </c>
      <c r="I347">
        <f t="shared" si="14"/>
        <v>1.603703703703703</v>
      </c>
    </row>
    <row r="348" spans="1:9" x14ac:dyDescent="0.35">
      <c r="A348">
        <v>0</v>
      </c>
      <c r="B348" t="s">
        <v>63</v>
      </c>
      <c r="C348">
        <v>320</v>
      </c>
      <c r="D348">
        <v>60</v>
      </c>
      <c r="E348" s="29">
        <v>45618</v>
      </c>
      <c r="F348">
        <v>6.9056079097790839</v>
      </c>
      <c r="G348">
        <v>6.92</v>
      </c>
      <c r="H348">
        <f t="shared" ref="H348:H411" si="16">G348-G3</f>
        <v>0.44700000000000006</v>
      </c>
      <c r="I348">
        <f t="shared" si="14"/>
        <v>1.6555555555555559</v>
      </c>
    </row>
    <row r="349" spans="1:9" x14ac:dyDescent="0.35">
      <c r="A349">
        <v>0</v>
      </c>
      <c r="B349" t="s">
        <v>63</v>
      </c>
      <c r="C349">
        <v>325</v>
      </c>
      <c r="D349">
        <v>60</v>
      </c>
      <c r="E349" s="29">
        <v>45618</v>
      </c>
      <c r="F349">
        <v>6.7232375979112264</v>
      </c>
      <c r="G349">
        <v>6.54</v>
      </c>
      <c r="H349">
        <f t="shared" si="16"/>
        <v>0.41199999999999992</v>
      </c>
      <c r="I349">
        <f t="shared" si="14"/>
        <v>1.5259259259259257</v>
      </c>
    </row>
    <row r="350" spans="1:9" x14ac:dyDescent="0.35">
      <c r="A350">
        <v>0</v>
      </c>
      <c r="B350" t="s">
        <v>64</v>
      </c>
      <c r="C350">
        <v>332</v>
      </c>
      <c r="D350">
        <v>60</v>
      </c>
      <c r="E350" s="29">
        <v>45618</v>
      </c>
      <c r="F350">
        <v>6.9518716577540047</v>
      </c>
      <c r="G350">
        <v>4</v>
      </c>
      <c r="H350">
        <f t="shared" si="16"/>
        <v>0.25999999999999979</v>
      </c>
      <c r="I350">
        <f t="shared" si="14"/>
        <v>0.96296296296296213</v>
      </c>
    </row>
    <row r="351" spans="1:9" x14ac:dyDescent="0.35">
      <c r="A351">
        <v>0</v>
      </c>
      <c r="B351" t="s">
        <v>64</v>
      </c>
      <c r="C351">
        <v>336</v>
      </c>
      <c r="D351">
        <v>60</v>
      </c>
      <c r="E351" s="29">
        <v>45618</v>
      </c>
      <c r="F351">
        <v>6.8722236738959994</v>
      </c>
      <c r="G351">
        <v>4.09</v>
      </c>
      <c r="H351">
        <f t="shared" si="16"/>
        <v>0.2629999999999999</v>
      </c>
      <c r="I351">
        <f t="shared" si="14"/>
        <v>0.97407407407407376</v>
      </c>
    </row>
    <row r="352" spans="1:9" x14ac:dyDescent="0.35">
      <c r="A352">
        <v>0</v>
      </c>
      <c r="B352" t="s">
        <v>64</v>
      </c>
      <c r="C352">
        <v>341</v>
      </c>
      <c r="D352">
        <v>60</v>
      </c>
      <c r="E352" s="29">
        <v>45618</v>
      </c>
      <c r="F352">
        <v>6.2190423775454047</v>
      </c>
      <c r="G352">
        <v>3.86</v>
      </c>
      <c r="H352">
        <f t="shared" si="16"/>
        <v>0.22599999999999998</v>
      </c>
      <c r="I352">
        <f t="shared" si="14"/>
        <v>0.83703703703703702</v>
      </c>
    </row>
    <row r="353" spans="1:9" x14ac:dyDescent="0.35">
      <c r="A353">
        <v>0</v>
      </c>
      <c r="B353" t="s">
        <v>65</v>
      </c>
      <c r="C353">
        <v>348</v>
      </c>
      <c r="D353">
        <v>60</v>
      </c>
      <c r="E353" s="29">
        <v>45618</v>
      </c>
      <c r="F353">
        <v>6.1517562584902032</v>
      </c>
      <c r="G353">
        <v>5.47</v>
      </c>
      <c r="H353">
        <f t="shared" si="16"/>
        <v>0.31700000000000017</v>
      </c>
      <c r="I353">
        <f t="shared" si="14"/>
        <v>1.1740740740740747</v>
      </c>
    </row>
    <row r="354" spans="1:9" x14ac:dyDescent="0.35">
      <c r="A354">
        <v>0</v>
      </c>
      <c r="B354" t="s">
        <v>65</v>
      </c>
      <c r="C354">
        <v>352</v>
      </c>
      <c r="D354">
        <v>60</v>
      </c>
      <c r="E354" s="29">
        <v>45618</v>
      </c>
      <c r="F354">
        <v>6.468231253577569</v>
      </c>
      <c r="G354">
        <v>5.58</v>
      </c>
      <c r="H354">
        <f t="shared" si="16"/>
        <v>0.33900000000000041</v>
      </c>
      <c r="I354">
        <f t="shared" si="14"/>
        <v>1.2555555555555571</v>
      </c>
    </row>
    <row r="355" spans="1:9" x14ac:dyDescent="0.35">
      <c r="A355">
        <v>0</v>
      </c>
      <c r="B355" t="s">
        <v>65</v>
      </c>
      <c r="C355">
        <v>357</v>
      </c>
      <c r="D355">
        <v>60</v>
      </c>
      <c r="E355" s="29">
        <v>45618</v>
      </c>
      <c r="F355">
        <v>6.30455868089234</v>
      </c>
      <c r="G355">
        <v>5.48</v>
      </c>
      <c r="H355">
        <f t="shared" si="16"/>
        <v>0.32500000000000018</v>
      </c>
      <c r="I355">
        <f t="shared" si="14"/>
        <v>1.2037037037037044</v>
      </c>
    </row>
    <row r="356" spans="1:9" x14ac:dyDescent="0.35">
      <c r="A356">
        <v>0</v>
      </c>
      <c r="B356" t="s">
        <v>66</v>
      </c>
      <c r="C356">
        <v>368</v>
      </c>
      <c r="D356">
        <v>60</v>
      </c>
      <c r="E356" s="29">
        <v>45618</v>
      </c>
      <c r="F356">
        <v>6.8502701760501967</v>
      </c>
      <c r="G356">
        <v>6.13</v>
      </c>
      <c r="H356">
        <f t="shared" si="16"/>
        <v>0.39299999999999979</v>
      </c>
      <c r="I356">
        <f t="shared" si="14"/>
        <v>1.4555555555555548</v>
      </c>
    </row>
    <row r="357" spans="1:9" x14ac:dyDescent="0.35">
      <c r="A357">
        <v>0</v>
      </c>
      <c r="B357" t="s">
        <v>66</v>
      </c>
      <c r="C357">
        <v>372</v>
      </c>
      <c r="D357">
        <v>60</v>
      </c>
      <c r="E357" s="29">
        <v>45618</v>
      </c>
      <c r="F357">
        <v>6.8479844584749889</v>
      </c>
      <c r="G357">
        <v>6.6</v>
      </c>
      <c r="H357">
        <f t="shared" si="16"/>
        <v>0.42300000000000004</v>
      </c>
      <c r="I357">
        <f t="shared" si="14"/>
        <v>1.5666666666666669</v>
      </c>
    </row>
    <row r="358" spans="1:9" x14ac:dyDescent="0.35">
      <c r="A358">
        <v>0</v>
      </c>
      <c r="B358" t="s">
        <v>66</v>
      </c>
      <c r="C358">
        <v>377</v>
      </c>
      <c r="D358">
        <v>60</v>
      </c>
      <c r="E358" s="29">
        <v>45618</v>
      </c>
      <c r="F358">
        <v>6.7462290734294719</v>
      </c>
      <c r="G358">
        <v>6.44</v>
      </c>
      <c r="H358">
        <f t="shared" si="16"/>
        <v>0.40700000000000003</v>
      </c>
      <c r="I358">
        <f t="shared" si="14"/>
        <v>1.5074074074074075</v>
      </c>
    </row>
    <row r="359" spans="1:9" x14ac:dyDescent="0.35">
      <c r="A359">
        <v>0</v>
      </c>
      <c r="B359" t="s">
        <v>58</v>
      </c>
      <c r="C359">
        <v>384</v>
      </c>
      <c r="D359">
        <v>60</v>
      </c>
      <c r="E359" s="29">
        <v>45618</v>
      </c>
      <c r="F359">
        <v>6.0132082029892269</v>
      </c>
      <c r="G359">
        <v>3.05</v>
      </c>
      <c r="H359">
        <f t="shared" si="16"/>
        <v>0.17300000000000004</v>
      </c>
      <c r="I359">
        <f t="shared" si="14"/>
        <v>0.64074074074074094</v>
      </c>
    </row>
    <row r="360" spans="1:9" x14ac:dyDescent="0.35">
      <c r="A360">
        <v>0</v>
      </c>
      <c r="B360" t="s">
        <v>58</v>
      </c>
      <c r="C360">
        <v>387</v>
      </c>
      <c r="D360">
        <v>60</v>
      </c>
      <c r="E360" s="29">
        <v>45618</v>
      </c>
      <c r="F360">
        <v>5.9210526315789522</v>
      </c>
      <c r="G360">
        <v>3.22</v>
      </c>
      <c r="H360">
        <f t="shared" si="16"/>
        <v>0.18000000000000016</v>
      </c>
      <c r="I360">
        <f t="shared" si="14"/>
        <v>0.66666666666666718</v>
      </c>
    </row>
    <row r="361" spans="1:9" x14ac:dyDescent="0.35">
      <c r="A361">
        <v>0</v>
      </c>
      <c r="B361" t="s">
        <v>58</v>
      </c>
      <c r="C361">
        <v>392</v>
      </c>
      <c r="D361">
        <v>60</v>
      </c>
      <c r="E361" s="29">
        <v>45618</v>
      </c>
      <c r="F361">
        <v>5.9791205314773821</v>
      </c>
      <c r="G361">
        <v>3.35</v>
      </c>
      <c r="H361">
        <f t="shared" si="16"/>
        <v>0.18900000000000006</v>
      </c>
      <c r="I361">
        <f t="shared" si="14"/>
        <v>0.70000000000000018</v>
      </c>
    </row>
    <row r="362" spans="1:9" x14ac:dyDescent="0.35">
      <c r="A362">
        <v>0</v>
      </c>
      <c r="B362" t="s">
        <v>59</v>
      </c>
      <c r="C362">
        <v>399</v>
      </c>
      <c r="D362">
        <v>60</v>
      </c>
      <c r="E362" s="29">
        <v>45618</v>
      </c>
      <c r="F362">
        <v>6.4033131570563899</v>
      </c>
      <c r="G362">
        <v>3.34</v>
      </c>
      <c r="H362">
        <f t="shared" si="16"/>
        <v>0.20100000000000007</v>
      </c>
      <c r="I362">
        <f t="shared" si="14"/>
        <v>0.74444444444444469</v>
      </c>
    </row>
    <row r="363" spans="1:9" x14ac:dyDescent="0.35">
      <c r="A363">
        <v>0</v>
      </c>
      <c r="B363" t="s">
        <v>59</v>
      </c>
      <c r="C363">
        <v>403</v>
      </c>
      <c r="D363">
        <v>60</v>
      </c>
      <c r="E363" s="29">
        <v>45618</v>
      </c>
      <c r="F363">
        <v>6.2305295950155815</v>
      </c>
      <c r="G363">
        <v>3.41</v>
      </c>
      <c r="H363">
        <f t="shared" si="16"/>
        <v>0.20000000000000018</v>
      </c>
      <c r="I363">
        <f t="shared" si="14"/>
        <v>0.74074074074074137</v>
      </c>
    </row>
    <row r="364" spans="1:9" x14ac:dyDescent="0.35">
      <c r="A364">
        <v>0</v>
      </c>
      <c r="B364" t="s">
        <v>59</v>
      </c>
      <c r="C364">
        <v>408</v>
      </c>
      <c r="D364">
        <v>60</v>
      </c>
      <c r="E364" s="29">
        <v>45618</v>
      </c>
      <c r="F364">
        <v>5.9539052496798961</v>
      </c>
      <c r="G364">
        <v>3.31</v>
      </c>
      <c r="H364">
        <f t="shared" si="16"/>
        <v>0.18599999999999994</v>
      </c>
      <c r="I364">
        <f t="shared" si="14"/>
        <v>0.68888888888888866</v>
      </c>
    </row>
    <row r="365" spans="1:9" x14ac:dyDescent="0.35">
      <c r="A365">
        <v>0</v>
      </c>
      <c r="B365" t="s">
        <v>60</v>
      </c>
      <c r="C365">
        <v>419</v>
      </c>
      <c r="D365">
        <v>60</v>
      </c>
      <c r="E365" s="29">
        <v>45618</v>
      </c>
      <c r="F365">
        <v>6.2562065541211691</v>
      </c>
      <c r="G365">
        <v>4.28</v>
      </c>
      <c r="H365">
        <f t="shared" si="16"/>
        <v>0.25200000000000067</v>
      </c>
      <c r="I365">
        <f t="shared" si="14"/>
        <v>0.93333333333333579</v>
      </c>
    </row>
    <row r="366" spans="1:9" x14ac:dyDescent="0.35">
      <c r="A366">
        <v>0</v>
      </c>
      <c r="B366" t="s">
        <v>60</v>
      </c>
      <c r="C366">
        <v>423</v>
      </c>
      <c r="D366">
        <v>60</v>
      </c>
      <c r="E366" s="29">
        <v>45618</v>
      </c>
      <c r="F366">
        <v>6.1643835616438301</v>
      </c>
      <c r="G366">
        <v>4.34</v>
      </c>
      <c r="H366">
        <f t="shared" si="16"/>
        <v>0.25199999999999978</v>
      </c>
      <c r="I366">
        <f t="shared" si="14"/>
        <v>0.93333333333333257</v>
      </c>
    </row>
    <row r="367" spans="1:9" x14ac:dyDescent="0.35">
      <c r="A367">
        <v>0</v>
      </c>
      <c r="B367" t="s">
        <v>60</v>
      </c>
      <c r="C367">
        <v>428</v>
      </c>
      <c r="D367">
        <v>60</v>
      </c>
      <c r="E367" s="29">
        <v>45618</v>
      </c>
      <c r="F367">
        <v>6.3330727130570725</v>
      </c>
      <c r="G367">
        <v>4.08</v>
      </c>
      <c r="H367">
        <f t="shared" si="16"/>
        <v>0.24299999999999988</v>
      </c>
      <c r="I367">
        <f t="shared" si="14"/>
        <v>0.89999999999999958</v>
      </c>
    </row>
    <row r="368" spans="1:9" x14ac:dyDescent="0.35">
      <c r="A368">
        <v>0</v>
      </c>
      <c r="B368" t="s">
        <v>61</v>
      </c>
      <c r="C368">
        <v>439</v>
      </c>
      <c r="D368">
        <v>60</v>
      </c>
      <c r="E368" s="29">
        <v>45618</v>
      </c>
      <c r="F368">
        <v>5.6656239137991049</v>
      </c>
      <c r="G368">
        <v>3.04</v>
      </c>
      <c r="H368">
        <f t="shared" si="16"/>
        <v>0.16300000000000026</v>
      </c>
      <c r="I368">
        <f t="shared" si="14"/>
        <v>0.60370370370370463</v>
      </c>
    </row>
    <row r="369" spans="1:9" x14ac:dyDescent="0.35">
      <c r="A369">
        <v>0</v>
      </c>
      <c r="B369" t="s">
        <v>61</v>
      </c>
      <c r="C369">
        <v>443</v>
      </c>
      <c r="D369">
        <v>60</v>
      </c>
      <c r="E369" s="29">
        <v>45618</v>
      </c>
      <c r="F369">
        <v>6.1855670103092679</v>
      </c>
      <c r="G369">
        <v>3.09</v>
      </c>
      <c r="H369">
        <f t="shared" si="16"/>
        <v>0.17999999999999972</v>
      </c>
      <c r="I369">
        <f t="shared" si="14"/>
        <v>0.66666666666666563</v>
      </c>
    </row>
    <row r="370" spans="1:9" x14ac:dyDescent="0.35">
      <c r="A370">
        <v>0</v>
      </c>
      <c r="B370" t="s">
        <v>61</v>
      </c>
      <c r="C370">
        <v>448</v>
      </c>
      <c r="D370">
        <v>60</v>
      </c>
      <c r="E370" s="29">
        <v>45618</v>
      </c>
      <c r="F370">
        <v>5.5223355610270852</v>
      </c>
      <c r="G370">
        <v>3</v>
      </c>
      <c r="H370">
        <f t="shared" si="16"/>
        <v>0.15700000000000003</v>
      </c>
      <c r="I370">
        <f t="shared" si="14"/>
        <v>0.5814814814814816</v>
      </c>
    </row>
    <row r="371" spans="1:9" x14ac:dyDescent="0.35">
      <c r="A371">
        <v>2</v>
      </c>
      <c r="B371" t="s">
        <v>63</v>
      </c>
      <c r="C371">
        <v>295</v>
      </c>
      <c r="D371">
        <v>60</v>
      </c>
      <c r="E371" s="29">
        <v>45618</v>
      </c>
      <c r="F371">
        <v>2.0771513353115814</v>
      </c>
      <c r="G371">
        <v>5.16</v>
      </c>
      <c r="H371">
        <f t="shared" si="16"/>
        <v>0.10500000000000043</v>
      </c>
      <c r="I371">
        <f t="shared" si="14"/>
        <v>0.3888888888888905</v>
      </c>
    </row>
    <row r="372" spans="1:9" x14ac:dyDescent="0.35">
      <c r="A372">
        <v>2</v>
      </c>
      <c r="B372" t="s">
        <v>63</v>
      </c>
      <c r="C372">
        <v>298</v>
      </c>
      <c r="D372">
        <v>60</v>
      </c>
      <c r="E372" s="29">
        <v>45618</v>
      </c>
      <c r="F372">
        <v>6.1390532544378669</v>
      </c>
      <c r="G372">
        <v>5.74</v>
      </c>
      <c r="H372">
        <f t="shared" si="16"/>
        <v>0.33199999999999985</v>
      </c>
      <c r="I372">
        <f t="shared" si="14"/>
        <v>1.2296296296296292</v>
      </c>
    </row>
    <row r="373" spans="1:9" x14ac:dyDescent="0.35">
      <c r="A373">
        <v>2</v>
      </c>
      <c r="B373" t="s">
        <v>63</v>
      </c>
      <c r="C373">
        <v>301</v>
      </c>
      <c r="D373">
        <v>60</v>
      </c>
      <c r="E373" s="29">
        <v>45618</v>
      </c>
      <c r="F373">
        <v>6.1709467228823316</v>
      </c>
      <c r="G373">
        <v>5.54</v>
      </c>
      <c r="H373">
        <f t="shared" si="16"/>
        <v>0.32200000000000006</v>
      </c>
      <c r="I373">
        <f t="shared" si="14"/>
        <v>1.1925925925925929</v>
      </c>
    </row>
    <row r="374" spans="1:9" x14ac:dyDescent="0.35">
      <c r="A374">
        <v>2</v>
      </c>
      <c r="B374" t="s">
        <v>64</v>
      </c>
      <c r="C374">
        <v>6</v>
      </c>
      <c r="D374">
        <v>60</v>
      </c>
      <c r="E374" s="29">
        <v>45618</v>
      </c>
      <c r="F374">
        <v>7.4113856068743225</v>
      </c>
      <c r="G374">
        <v>4</v>
      </c>
      <c r="H374">
        <f t="shared" si="16"/>
        <v>0.2759999999999998</v>
      </c>
      <c r="I374">
        <f t="shared" si="14"/>
        <v>1.0222222222222215</v>
      </c>
    </row>
    <row r="375" spans="1:9" x14ac:dyDescent="0.35">
      <c r="A375">
        <v>2</v>
      </c>
      <c r="B375" t="s">
        <v>64</v>
      </c>
      <c r="C375">
        <v>10</v>
      </c>
      <c r="D375">
        <v>60</v>
      </c>
      <c r="E375" s="29">
        <v>45618</v>
      </c>
      <c r="F375">
        <v>6.7828929447017199</v>
      </c>
      <c r="G375">
        <v>3.92</v>
      </c>
      <c r="H375">
        <f t="shared" si="16"/>
        <v>0.24900000000000011</v>
      </c>
      <c r="I375">
        <f t="shared" si="14"/>
        <v>0.92222222222222272</v>
      </c>
    </row>
    <row r="376" spans="1:9" x14ac:dyDescent="0.35">
      <c r="A376">
        <v>2</v>
      </c>
      <c r="B376" t="s">
        <v>64</v>
      </c>
      <c r="C376">
        <v>14</v>
      </c>
      <c r="D376">
        <v>60</v>
      </c>
      <c r="E376" s="29">
        <v>45618</v>
      </c>
      <c r="F376">
        <v>6.8564036222509621</v>
      </c>
      <c r="G376">
        <v>4.13</v>
      </c>
      <c r="H376">
        <f t="shared" si="16"/>
        <v>0.26499999999999968</v>
      </c>
      <c r="I376">
        <f t="shared" si="14"/>
        <v>0.98148148148148018</v>
      </c>
    </row>
    <row r="377" spans="1:9" x14ac:dyDescent="0.35">
      <c r="A377">
        <v>4</v>
      </c>
      <c r="B377" t="s">
        <v>64</v>
      </c>
      <c r="C377">
        <v>26</v>
      </c>
      <c r="D377">
        <v>60</v>
      </c>
      <c r="E377" s="29">
        <v>45618</v>
      </c>
      <c r="F377">
        <v>7.1090047393364886</v>
      </c>
      <c r="G377">
        <v>4.5199999999999996</v>
      </c>
      <c r="H377">
        <f t="shared" si="16"/>
        <v>0.29999999999999982</v>
      </c>
      <c r="I377">
        <f t="shared" si="14"/>
        <v>1.1111111111111105</v>
      </c>
    </row>
    <row r="378" spans="1:9" x14ac:dyDescent="0.35">
      <c r="A378">
        <v>4</v>
      </c>
      <c r="B378" t="s">
        <v>64</v>
      </c>
      <c r="C378">
        <v>30</v>
      </c>
      <c r="D378">
        <v>60</v>
      </c>
      <c r="E378" s="29">
        <v>45618</v>
      </c>
      <c r="F378">
        <v>7.483317445185893</v>
      </c>
      <c r="G378">
        <v>4.51</v>
      </c>
      <c r="H378">
        <f t="shared" si="16"/>
        <v>0.31400000000000006</v>
      </c>
      <c r="I378">
        <f t="shared" si="14"/>
        <v>1.1629629629629632</v>
      </c>
    </row>
    <row r="379" spans="1:9" x14ac:dyDescent="0.35">
      <c r="A379">
        <v>4</v>
      </c>
      <c r="B379" t="s">
        <v>64</v>
      </c>
      <c r="C379">
        <v>34</v>
      </c>
      <c r="D379">
        <v>60</v>
      </c>
      <c r="E379" s="29">
        <v>45618</v>
      </c>
      <c r="F379">
        <v>7.303238005199721</v>
      </c>
      <c r="G379">
        <v>4.54</v>
      </c>
      <c r="H379">
        <f t="shared" si="16"/>
        <v>0.30900000000000016</v>
      </c>
      <c r="I379">
        <f t="shared" si="14"/>
        <v>1.144444444444445</v>
      </c>
    </row>
    <row r="380" spans="1:9" x14ac:dyDescent="0.35">
      <c r="A380">
        <v>2</v>
      </c>
      <c r="B380" t="s">
        <v>65</v>
      </c>
      <c r="C380">
        <v>46</v>
      </c>
      <c r="D380">
        <v>60</v>
      </c>
      <c r="E380" s="29">
        <v>45618</v>
      </c>
      <c r="F380">
        <v>7.0578905630452171</v>
      </c>
      <c r="G380">
        <v>5.4</v>
      </c>
      <c r="H380">
        <f t="shared" si="16"/>
        <v>0.35600000000000076</v>
      </c>
      <c r="I380">
        <f t="shared" si="14"/>
        <v>1.3185185185185213</v>
      </c>
    </row>
    <row r="381" spans="1:9" x14ac:dyDescent="0.35">
      <c r="A381">
        <v>2</v>
      </c>
      <c r="B381" t="s">
        <v>65</v>
      </c>
      <c r="C381">
        <v>50</v>
      </c>
      <c r="D381">
        <v>60</v>
      </c>
      <c r="E381" s="29">
        <v>45618</v>
      </c>
      <c r="F381">
        <v>7.0438158624514742</v>
      </c>
      <c r="G381">
        <v>5.79</v>
      </c>
      <c r="H381">
        <f t="shared" si="16"/>
        <v>0.38100000000000023</v>
      </c>
      <c r="I381">
        <f t="shared" si="14"/>
        <v>1.4111111111111119</v>
      </c>
    </row>
    <row r="382" spans="1:9" x14ac:dyDescent="0.35">
      <c r="A382">
        <v>2</v>
      </c>
      <c r="B382" t="s">
        <v>65</v>
      </c>
      <c r="C382">
        <v>54</v>
      </c>
      <c r="D382">
        <v>60</v>
      </c>
      <c r="E382" s="29">
        <v>45618</v>
      </c>
      <c r="F382">
        <v>6.6666666666666625</v>
      </c>
      <c r="G382">
        <v>5.52</v>
      </c>
      <c r="H382">
        <f t="shared" si="16"/>
        <v>0.34499999999999975</v>
      </c>
      <c r="I382">
        <f t="shared" si="14"/>
        <v>1.2777777777777768</v>
      </c>
    </row>
    <row r="383" spans="1:9" x14ac:dyDescent="0.35">
      <c r="A383">
        <v>4</v>
      </c>
      <c r="B383" t="s">
        <v>65</v>
      </c>
      <c r="C383">
        <v>67</v>
      </c>
      <c r="D383">
        <v>60</v>
      </c>
      <c r="E383" s="29">
        <v>45618</v>
      </c>
      <c r="F383">
        <v>6.5921787709497188</v>
      </c>
      <c r="G383">
        <v>4.7699999999999996</v>
      </c>
      <c r="H383">
        <f t="shared" si="16"/>
        <v>0.29499999999999993</v>
      </c>
      <c r="I383">
        <f t="shared" si="14"/>
        <v>1.0925925925925923</v>
      </c>
    </row>
    <row r="384" spans="1:9" x14ac:dyDescent="0.35">
      <c r="A384">
        <v>4</v>
      </c>
      <c r="B384" t="s">
        <v>65</v>
      </c>
      <c r="C384">
        <v>71</v>
      </c>
      <c r="D384">
        <v>60</v>
      </c>
      <c r="E384" s="29">
        <v>45618</v>
      </c>
      <c r="F384">
        <v>6.7659838609559264</v>
      </c>
      <c r="G384">
        <v>5.16</v>
      </c>
      <c r="H384">
        <f t="shared" si="16"/>
        <v>0.32699999999999996</v>
      </c>
      <c r="I384">
        <f t="shared" si="14"/>
        <v>1.2111111111111108</v>
      </c>
    </row>
    <row r="385" spans="1:9" x14ac:dyDescent="0.35">
      <c r="A385">
        <v>4</v>
      </c>
      <c r="B385" t="s">
        <v>65</v>
      </c>
      <c r="C385">
        <v>75</v>
      </c>
      <c r="D385">
        <v>60</v>
      </c>
      <c r="E385" s="29">
        <v>45618</v>
      </c>
      <c r="F385">
        <v>7.0081397657335671</v>
      </c>
      <c r="G385">
        <v>5.39</v>
      </c>
      <c r="H385">
        <f t="shared" si="16"/>
        <v>0.35299999999999976</v>
      </c>
      <c r="I385">
        <f t="shared" si="14"/>
        <v>1.3074074074074065</v>
      </c>
    </row>
    <row r="386" spans="1:9" x14ac:dyDescent="0.35">
      <c r="A386">
        <v>2</v>
      </c>
      <c r="B386" t="s">
        <v>66</v>
      </c>
      <c r="C386">
        <v>87</v>
      </c>
      <c r="D386">
        <v>60</v>
      </c>
      <c r="E386" s="29">
        <v>45618</v>
      </c>
      <c r="F386">
        <v>6.9085295252798078</v>
      </c>
      <c r="G386">
        <v>5.54</v>
      </c>
      <c r="H386">
        <f t="shared" si="16"/>
        <v>0.35799999999999965</v>
      </c>
      <c r="I386">
        <f t="shared" si="14"/>
        <v>1.3259259259259246</v>
      </c>
    </row>
    <row r="387" spans="1:9" x14ac:dyDescent="0.35">
      <c r="A387">
        <v>2</v>
      </c>
      <c r="B387" t="s">
        <v>66</v>
      </c>
      <c r="C387">
        <v>91</v>
      </c>
      <c r="D387">
        <v>60</v>
      </c>
      <c r="E387" s="29">
        <v>45618</v>
      </c>
      <c r="F387">
        <v>6.873261819626542</v>
      </c>
      <c r="G387">
        <v>5.38</v>
      </c>
      <c r="H387">
        <f t="shared" si="16"/>
        <v>0.34600000000000009</v>
      </c>
      <c r="I387">
        <f t="shared" ref="I387:I450" si="17">H387/27*100</f>
        <v>1.2814814814814819</v>
      </c>
    </row>
    <row r="388" spans="1:9" x14ac:dyDescent="0.35">
      <c r="A388">
        <v>2</v>
      </c>
      <c r="B388" t="s">
        <v>66</v>
      </c>
      <c r="C388">
        <v>95</v>
      </c>
      <c r="D388">
        <v>60</v>
      </c>
      <c r="E388" s="29">
        <v>45618</v>
      </c>
      <c r="F388">
        <v>7.0500927643784763</v>
      </c>
      <c r="G388">
        <v>5.77</v>
      </c>
      <c r="H388">
        <f t="shared" si="16"/>
        <v>0.37999999999999989</v>
      </c>
      <c r="I388">
        <f t="shared" si="17"/>
        <v>1.407407407407407</v>
      </c>
    </row>
    <row r="389" spans="1:9" x14ac:dyDescent="0.35">
      <c r="A389">
        <v>4</v>
      </c>
      <c r="B389" t="s">
        <v>66</v>
      </c>
      <c r="C389">
        <v>107</v>
      </c>
      <c r="D389">
        <v>60</v>
      </c>
      <c r="E389" s="29">
        <v>45618</v>
      </c>
      <c r="F389">
        <v>6.6759630468886177</v>
      </c>
      <c r="G389">
        <v>6.12</v>
      </c>
      <c r="H389">
        <f t="shared" si="16"/>
        <v>0.38300000000000001</v>
      </c>
      <c r="I389">
        <f t="shared" si="17"/>
        <v>1.4185185185185185</v>
      </c>
    </row>
    <row r="390" spans="1:9" x14ac:dyDescent="0.35">
      <c r="A390">
        <v>4</v>
      </c>
      <c r="B390" t="s">
        <v>66</v>
      </c>
      <c r="C390">
        <v>111</v>
      </c>
      <c r="D390">
        <v>60</v>
      </c>
      <c r="E390" s="29">
        <v>45618</v>
      </c>
      <c r="F390">
        <v>6.3011866956376519</v>
      </c>
      <c r="G390">
        <v>6.36</v>
      </c>
      <c r="H390">
        <f t="shared" si="16"/>
        <v>0.37700000000000067</v>
      </c>
      <c r="I390">
        <f t="shared" si="17"/>
        <v>1.3962962962962988</v>
      </c>
    </row>
    <row r="391" spans="1:9" x14ac:dyDescent="0.35">
      <c r="A391">
        <v>4</v>
      </c>
      <c r="B391" t="s">
        <v>66</v>
      </c>
      <c r="C391">
        <v>115</v>
      </c>
      <c r="D391">
        <v>60</v>
      </c>
      <c r="E391" s="29">
        <v>45618</v>
      </c>
      <c r="F391">
        <v>6.5791807057988922</v>
      </c>
      <c r="G391">
        <v>6.01</v>
      </c>
      <c r="H391">
        <f t="shared" si="16"/>
        <v>0.37099999999999955</v>
      </c>
      <c r="I391">
        <f t="shared" si="17"/>
        <v>1.3740740740740724</v>
      </c>
    </row>
    <row r="392" spans="1:9" x14ac:dyDescent="0.35">
      <c r="A392">
        <v>2</v>
      </c>
      <c r="B392" t="s">
        <v>58</v>
      </c>
      <c r="C392">
        <v>128</v>
      </c>
      <c r="D392">
        <v>60</v>
      </c>
      <c r="E392" s="29">
        <v>45618</v>
      </c>
      <c r="F392">
        <v>5.8631921824104287</v>
      </c>
      <c r="G392">
        <v>2.6</v>
      </c>
      <c r="H392">
        <f t="shared" si="16"/>
        <v>0.14400000000000013</v>
      </c>
      <c r="I392">
        <f t="shared" si="17"/>
        <v>0.53333333333333388</v>
      </c>
    </row>
    <row r="393" spans="1:9" x14ac:dyDescent="0.35">
      <c r="A393">
        <v>2</v>
      </c>
      <c r="B393" t="s">
        <v>58</v>
      </c>
      <c r="C393">
        <v>133</v>
      </c>
      <c r="D393">
        <v>60</v>
      </c>
      <c r="E393" s="29">
        <v>45618</v>
      </c>
      <c r="F393">
        <v>6.1499578770008378</v>
      </c>
      <c r="G393">
        <v>2.52</v>
      </c>
      <c r="H393">
        <f t="shared" si="16"/>
        <v>0.14599999999999991</v>
      </c>
      <c r="I393">
        <f t="shared" si="17"/>
        <v>0.54074074074074041</v>
      </c>
    </row>
    <row r="394" spans="1:9" x14ac:dyDescent="0.35">
      <c r="A394">
        <v>2</v>
      </c>
      <c r="B394" t="s">
        <v>58</v>
      </c>
      <c r="C394">
        <v>139</v>
      </c>
      <c r="D394">
        <v>60</v>
      </c>
      <c r="E394" s="29">
        <v>45618</v>
      </c>
      <c r="F394">
        <v>6.4366848969289041</v>
      </c>
      <c r="G394">
        <v>2.5299999999999998</v>
      </c>
      <c r="H394">
        <f t="shared" si="16"/>
        <v>0.15300000000000002</v>
      </c>
      <c r="I394">
        <f t="shared" si="17"/>
        <v>0.56666666666666676</v>
      </c>
    </row>
    <row r="395" spans="1:9" x14ac:dyDescent="0.35">
      <c r="A395">
        <v>4</v>
      </c>
      <c r="B395" t="s">
        <v>58</v>
      </c>
      <c r="C395">
        <v>150</v>
      </c>
      <c r="D395">
        <v>60</v>
      </c>
      <c r="E395" s="29">
        <v>45618</v>
      </c>
      <c r="F395">
        <v>8.0000000000000071</v>
      </c>
      <c r="G395">
        <v>3.24</v>
      </c>
      <c r="H395">
        <f t="shared" si="16"/>
        <v>0.24000000000000021</v>
      </c>
      <c r="I395">
        <f t="shared" si="17"/>
        <v>0.88888888888888973</v>
      </c>
    </row>
    <row r="396" spans="1:9" x14ac:dyDescent="0.35">
      <c r="A396">
        <v>4</v>
      </c>
      <c r="B396" t="s">
        <v>58</v>
      </c>
      <c r="C396">
        <v>156</v>
      </c>
      <c r="D396">
        <v>60</v>
      </c>
      <c r="E396" s="29">
        <v>45618</v>
      </c>
      <c r="F396">
        <v>8.1632653061224421</v>
      </c>
      <c r="G396">
        <v>3.71</v>
      </c>
      <c r="H396">
        <f t="shared" si="16"/>
        <v>0.2799999999999998</v>
      </c>
      <c r="I396">
        <f t="shared" si="17"/>
        <v>1.0370370370370363</v>
      </c>
    </row>
    <row r="397" spans="1:9" x14ac:dyDescent="0.35">
      <c r="A397">
        <v>4</v>
      </c>
      <c r="B397" t="s">
        <v>58</v>
      </c>
      <c r="C397">
        <v>158</v>
      </c>
      <c r="D397">
        <v>60</v>
      </c>
      <c r="E397" s="29">
        <v>45618</v>
      </c>
      <c r="F397">
        <v>6.9537592657959628</v>
      </c>
      <c r="G397">
        <v>3.03</v>
      </c>
      <c r="H397">
        <f t="shared" si="16"/>
        <v>0.19699999999999962</v>
      </c>
      <c r="I397">
        <f t="shared" si="17"/>
        <v>0.7296296296296283</v>
      </c>
    </row>
    <row r="398" spans="1:9" x14ac:dyDescent="0.35">
      <c r="A398">
        <v>2</v>
      </c>
      <c r="B398" t="s">
        <v>59</v>
      </c>
      <c r="C398">
        <v>191</v>
      </c>
      <c r="D398">
        <v>60</v>
      </c>
      <c r="E398" s="29">
        <v>45618</v>
      </c>
      <c r="F398">
        <v>7.200516628995798</v>
      </c>
      <c r="G398">
        <v>3.32</v>
      </c>
      <c r="H398">
        <f t="shared" si="16"/>
        <v>0.22299999999999986</v>
      </c>
      <c r="I398">
        <f t="shared" si="17"/>
        <v>0.8259259259259254</v>
      </c>
    </row>
    <row r="399" spans="1:9" x14ac:dyDescent="0.35">
      <c r="A399">
        <v>2</v>
      </c>
      <c r="B399" t="s">
        <v>59</v>
      </c>
      <c r="C399">
        <v>197</v>
      </c>
      <c r="D399">
        <v>60</v>
      </c>
      <c r="E399" s="29">
        <v>45618</v>
      </c>
      <c r="F399">
        <v>7.8244274809160297</v>
      </c>
      <c r="G399">
        <v>3.39</v>
      </c>
      <c r="H399">
        <f t="shared" si="16"/>
        <v>0.246</v>
      </c>
      <c r="I399">
        <f t="shared" si="17"/>
        <v>0.9111111111111112</v>
      </c>
    </row>
    <row r="400" spans="1:9" x14ac:dyDescent="0.35">
      <c r="A400">
        <v>2</v>
      </c>
      <c r="B400" t="s">
        <v>59</v>
      </c>
      <c r="C400">
        <v>204</v>
      </c>
      <c r="D400">
        <v>60</v>
      </c>
      <c r="E400" s="29">
        <v>45618</v>
      </c>
      <c r="F400">
        <v>7.6611542355720514</v>
      </c>
      <c r="G400">
        <v>3.19</v>
      </c>
      <c r="H400">
        <f t="shared" si="16"/>
        <v>0.22699999999999987</v>
      </c>
      <c r="I400">
        <f t="shared" si="17"/>
        <v>0.84074074074074034</v>
      </c>
    </row>
    <row r="401" spans="1:9" x14ac:dyDescent="0.35">
      <c r="A401">
        <v>4</v>
      </c>
      <c r="B401" t="s">
        <v>59</v>
      </c>
      <c r="C401">
        <v>233</v>
      </c>
      <c r="D401">
        <v>60</v>
      </c>
      <c r="E401" s="29">
        <v>45618</v>
      </c>
      <c r="F401">
        <v>8.1835089894606394</v>
      </c>
      <c r="G401">
        <v>3.49</v>
      </c>
      <c r="H401">
        <f t="shared" si="16"/>
        <v>0.26400000000000023</v>
      </c>
      <c r="I401">
        <f t="shared" si="17"/>
        <v>0.97777777777777863</v>
      </c>
    </row>
    <row r="402" spans="1:9" x14ac:dyDescent="0.35">
      <c r="A402">
        <v>4</v>
      </c>
      <c r="B402" t="s">
        <v>59</v>
      </c>
      <c r="C402">
        <v>239</v>
      </c>
      <c r="D402">
        <v>60</v>
      </c>
      <c r="E402" s="29">
        <v>45618</v>
      </c>
      <c r="F402">
        <v>8.2055906221821502</v>
      </c>
      <c r="G402">
        <v>3.6</v>
      </c>
      <c r="H402">
        <f t="shared" si="16"/>
        <v>0.27300000000000013</v>
      </c>
      <c r="I402">
        <f t="shared" si="17"/>
        <v>1.0111111111111115</v>
      </c>
    </row>
    <row r="403" spans="1:9" x14ac:dyDescent="0.35">
      <c r="A403">
        <v>4</v>
      </c>
      <c r="B403" t="s">
        <v>59</v>
      </c>
      <c r="C403">
        <v>242</v>
      </c>
      <c r="D403">
        <v>60</v>
      </c>
      <c r="E403" s="29">
        <v>45618</v>
      </c>
      <c r="F403">
        <v>8.3486801718845864</v>
      </c>
      <c r="G403">
        <v>3.53</v>
      </c>
      <c r="H403">
        <f t="shared" si="16"/>
        <v>0.2719999999999998</v>
      </c>
      <c r="I403">
        <f t="shared" si="17"/>
        <v>1.0074074074074066</v>
      </c>
    </row>
    <row r="404" spans="1:9" x14ac:dyDescent="0.35">
      <c r="A404">
        <v>2</v>
      </c>
      <c r="B404" t="s">
        <v>62</v>
      </c>
      <c r="C404">
        <v>255</v>
      </c>
      <c r="D404">
        <v>60</v>
      </c>
      <c r="E404" s="29">
        <v>45618</v>
      </c>
      <c r="F404">
        <v>5.9920859242509952</v>
      </c>
      <c r="G404">
        <v>3.75</v>
      </c>
      <c r="H404">
        <f t="shared" si="16"/>
        <v>0.21200000000000019</v>
      </c>
      <c r="I404">
        <f t="shared" si="17"/>
        <v>0.78518518518518576</v>
      </c>
    </row>
    <row r="405" spans="1:9" x14ac:dyDescent="0.35">
      <c r="A405">
        <v>2</v>
      </c>
      <c r="B405" t="s">
        <v>62</v>
      </c>
      <c r="C405">
        <v>264</v>
      </c>
      <c r="D405">
        <v>60</v>
      </c>
      <c r="E405" s="29">
        <v>45618</v>
      </c>
      <c r="F405">
        <v>6.0656281073914577</v>
      </c>
      <c r="G405">
        <v>3.2</v>
      </c>
      <c r="H405">
        <f t="shared" si="16"/>
        <v>0.18300000000000027</v>
      </c>
      <c r="I405">
        <f t="shared" si="17"/>
        <v>0.67777777777777881</v>
      </c>
    </row>
    <row r="406" spans="1:9" x14ac:dyDescent="0.35">
      <c r="A406">
        <v>2</v>
      </c>
      <c r="B406" t="s">
        <v>62</v>
      </c>
      <c r="C406">
        <v>270</v>
      </c>
      <c r="D406">
        <v>60</v>
      </c>
      <c r="E406" s="29">
        <v>45618</v>
      </c>
      <c r="F406">
        <v>6.3947078280044032</v>
      </c>
      <c r="G406">
        <v>3.86</v>
      </c>
      <c r="H406">
        <f t="shared" si="16"/>
        <v>0.23199999999999976</v>
      </c>
      <c r="I406">
        <f t="shared" si="17"/>
        <v>0.85925925925925839</v>
      </c>
    </row>
    <row r="407" spans="1:9" x14ac:dyDescent="0.35">
      <c r="A407">
        <v>4</v>
      </c>
      <c r="B407" t="s">
        <v>62</v>
      </c>
      <c r="C407">
        <v>274</v>
      </c>
      <c r="D407">
        <v>60</v>
      </c>
      <c r="E407" s="29">
        <v>45618</v>
      </c>
      <c r="F407">
        <v>6.8430424828287997</v>
      </c>
      <c r="G407">
        <v>4.2</v>
      </c>
      <c r="H407">
        <f t="shared" si="16"/>
        <v>0.26900000000000013</v>
      </c>
      <c r="I407">
        <f t="shared" si="17"/>
        <v>0.99629629629629668</v>
      </c>
    </row>
    <row r="408" spans="1:9" x14ac:dyDescent="0.35">
      <c r="A408">
        <v>4</v>
      </c>
      <c r="B408" t="s">
        <v>62</v>
      </c>
      <c r="C408">
        <v>277</v>
      </c>
      <c r="D408">
        <v>60</v>
      </c>
      <c r="E408" s="29">
        <v>45618</v>
      </c>
      <c r="F408">
        <v>6.8584639095813094</v>
      </c>
      <c r="G408">
        <v>4.16</v>
      </c>
      <c r="H408">
        <f t="shared" si="16"/>
        <v>0.26700000000000035</v>
      </c>
      <c r="I408">
        <f t="shared" si="17"/>
        <v>0.98888888888889015</v>
      </c>
    </row>
    <row r="409" spans="1:9" x14ac:dyDescent="0.35">
      <c r="A409">
        <v>4</v>
      </c>
      <c r="B409" t="s">
        <v>62</v>
      </c>
      <c r="C409">
        <v>282</v>
      </c>
      <c r="D409">
        <v>60</v>
      </c>
      <c r="E409" s="29">
        <v>45618</v>
      </c>
      <c r="F409">
        <v>7.0943191084533881</v>
      </c>
      <c r="G409">
        <v>3.94</v>
      </c>
      <c r="H409">
        <f t="shared" si="16"/>
        <v>0.26100000000000012</v>
      </c>
      <c r="I409">
        <f t="shared" si="17"/>
        <v>0.96666666666666701</v>
      </c>
    </row>
    <row r="410" spans="1:9" x14ac:dyDescent="0.35">
      <c r="A410">
        <v>2</v>
      </c>
      <c r="B410" t="s">
        <v>61</v>
      </c>
      <c r="C410">
        <v>166</v>
      </c>
      <c r="D410">
        <v>60</v>
      </c>
      <c r="E410" s="29">
        <v>45618</v>
      </c>
      <c r="F410">
        <v>5.8241339931480791</v>
      </c>
      <c r="G410">
        <v>2.78</v>
      </c>
      <c r="H410">
        <f t="shared" si="16"/>
        <v>0.15300000000000002</v>
      </c>
      <c r="I410">
        <f t="shared" si="17"/>
        <v>0.56666666666666676</v>
      </c>
    </row>
    <row r="411" spans="1:9" x14ac:dyDescent="0.35">
      <c r="A411">
        <v>2</v>
      </c>
      <c r="B411" t="s">
        <v>61</v>
      </c>
      <c r="C411">
        <v>172</v>
      </c>
      <c r="D411">
        <v>60</v>
      </c>
      <c r="E411" s="29">
        <v>45618</v>
      </c>
      <c r="F411">
        <v>6.4529387587340752</v>
      </c>
      <c r="G411">
        <v>2.59</v>
      </c>
      <c r="H411">
        <f t="shared" si="16"/>
        <v>0.15700000000000003</v>
      </c>
      <c r="I411">
        <f t="shared" si="17"/>
        <v>0.5814814814814816</v>
      </c>
    </row>
    <row r="412" spans="1:9" x14ac:dyDescent="0.35">
      <c r="A412">
        <v>2</v>
      </c>
      <c r="B412" t="s">
        <v>61</v>
      </c>
      <c r="C412">
        <v>175</v>
      </c>
      <c r="D412">
        <v>60</v>
      </c>
      <c r="E412" s="29">
        <v>45618</v>
      </c>
      <c r="F412">
        <v>6.7329762815608332</v>
      </c>
      <c r="G412">
        <v>2.79</v>
      </c>
      <c r="H412">
        <f t="shared" ref="H412:H416" si="18">G412-G67</f>
        <v>0.17600000000000016</v>
      </c>
      <c r="I412">
        <f t="shared" si="17"/>
        <v>0.65185185185185246</v>
      </c>
    </row>
    <row r="413" spans="1:9" x14ac:dyDescent="0.35">
      <c r="A413">
        <v>4</v>
      </c>
      <c r="B413" t="s">
        <v>61</v>
      </c>
      <c r="C413">
        <v>211</v>
      </c>
      <c r="D413">
        <v>60</v>
      </c>
      <c r="E413" s="29">
        <v>45618</v>
      </c>
      <c r="F413">
        <v>7.9416531604538125</v>
      </c>
      <c r="G413">
        <v>3.33</v>
      </c>
      <c r="H413">
        <f t="shared" si="18"/>
        <v>0.24500000000000011</v>
      </c>
      <c r="I413">
        <f t="shared" si="17"/>
        <v>0.90740740740740777</v>
      </c>
    </row>
    <row r="414" spans="1:9" x14ac:dyDescent="0.35">
      <c r="A414">
        <v>4</v>
      </c>
      <c r="B414" t="s">
        <v>61</v>
      </c>
      <c r="C414">
        <v>217</v>
      </c>
      <c r="D414">
        <v>60</v>
      </c>
      <c r="E414" s="29">
        <v>45618</v>
      </c>
      <c r="F414">
        <v>7.5234097513722995</v>
      </c>
      <c r="G414">
        <v>3.33</v>
      </c>
      <c r="H414">
        <f t="shared" si="18"/>
        <v>0.2330000000000001</v>
      </c>
      <c r="I414">
        <f t="shared" si="17"/>
        <v>0.86296296296296326</v>
      </c>
    </row>
    <row r="415" spans="1:9" x14ac:dyDescent="0.35">
      <c r="A415">
        <v>4</v>
      </c>
      <c r="B415" t="s">
        <v>61</v>
      </c>
      <c r="C415">
        <v>223</v>
      </c>
      <c r="D415">
        <v>60</v>
      </c>
      <c r="E415" s="29">
        <v>45618</v>
      </c>
      <c r="F415">
        <v>7.5498575498575571</v>
      </c>
      <c r="G415">
        <v>3.02</v>
      </c>
      <c r="H415">
        <f t="shared" si="18"/>
        <v>0.21200000000000019</v>
      </c>
      <c r="I415">
        <f t="shared" si="17"/>
        <v>0.78518518518518576</v>
      </c>
    </row>
    <row r="416" spans="1:9" x14ac:dyDescent="0.35">
      <c r="A416">
        <v>0</v>
      </c>
      <c r="B416" t="s">
        <v>63</v>
      </c>
      <c r="C416">
        <v>316</v>
      </c>
      <c r="D416">
        <v>60</v>
      </c>
      <c r="E416" s="29">
        <v>45621</v>
      </c>
      <c r="F416">
        <v>6.5437509445367965</v>
      </c>
      <c r="G416">
        <v>7.05</v>
      </c>
      <c r="H416">
        <f>G416-G2</f>
        <v>0.43299999999999983</v>
      </c>
      <c r="I416">
        <f t="shared" si="17"/>
        <v>1.603703703703703</v>
      </c>
    </row>
    <row r="417" spans="1:9" x14ac:dyDescent="0.35">
      <c r="A417">
        <v>0</v>
      </c>
      <c r="B417" t="s">
        <v>63</v>
      </c>
      <c r="C417">
        <v>320</v>
      </c>
      <c r="D417">
        <v>60</v>
      </c>
      <c r="E417" s="29">
        <v>45621</v>
      </c>
      <c r="F417">
        <v>6.9056079097790839</v>
      </c>
      <c r="G417">
        <v>6.92</v>
      </c>
      <c r="H417">
        <f t="shared" ref="H417:H480" si="19">G417-G3</f>
        <v>0.44700000000000006</v>
      </c>
      <c r="I417">
        <f t="shared" si="17"/>
        <v>1.6555555555555559</v>
      </c>
    </row>
    <row r="418" spans="1:9" x14ac:dyDescent="0.35">
      <c r="A418">
        <v>0</v>
      </c>
      <c r="B418" t="s">
        <v>63</v>
      </c>
      <c r="C418">
        <v>325</v>
      </c>
      <c r="D418">
        <v>60</v>
      </c>
      <c r="E418" s="29">
        <v>45621</v>
      </c>
      <c r="F418">
        <v>6.7232375979112264</v>
      </c>
      <c r="G418">
        <v>6.54</v>
      </c>
      <c r="H418">
        <f t="shared" si="19"/>
        <v>0.41199999999999992</v>
      </c>
      <c r="I418">
        <f t="shared" si="17"/>
        <v>1.5259259259259257</v>
      </c>
    </row>
    <row r="419" spans="1:9" x14ac:dyDescent="0.35">
      <c r="A419">
        <v>0</v>
      </c>
      <c r="B419" t="s">
        <v>64</v>
      </c>
      <c r="C419">
        <v>332</v>
      </c>
      <c r="D419">
        <v>60</v>
      </c>
      <c r="E419" s="29">
        <v>45621</v>
      </c>
      <c r="F419">
        <v>6.1497326203208544</v>
      </c>
      <c r="G419">
        <v>3.97</v>
      </c>
      <c r="H419">
        <f t="shared" si="19"/>
        <v>0.22999999999999998</v>
      </c>
      <c r="I419">
        <f t="shared" si="17"/>
        <v>0.85185185185185175</v>
      </c>
    </row>
    <row r="420" spans="1:9" x14ac:dyDescent="0.35">
      <c r="A420">
        <v>0</v>
      </c>
      <c r="B420" t="s">
        <v>64</v>
      </c>
      <c r="C420">
        <v>336</v>
      </c>
      <c r="D420">
        <v>60</v>
      </c>
      <c r="E420" s="29">
        <v>45621</v>
      </c>
      <c r="F420">
        <v>6.3496211131434626</v>
      </c>
      <c r="G420">
        <v>4.07</v>
      </c>
      <c r="H420">
        <f t="shared" si="19"/>
        <v>0.24300000000000033</v>
      </c>
      <c r="I420">
        <f t="shared" si="17"/>
        <v>0.90000000000000113</v>
      </c>
    </row>
    <row r="421" spans="1:9" x14ac:dyDescent="0.35">
      <c r="A421">
        <v>0</v>
      </c>
      <c r="B421" t="s">
        <v>64</v>
      </c>
      <c r="C421">
        <v>341</v>
      </c>
      <c r="D421">
        <v>60</v>
      </c>
      <c r="E421" s="29">
        <v>45621</v>
      </c>
      <c r="F421">
        <v>5.9438635112823395</v>
      </c>
      <c r="G421">
        <v>3.85</v>
      </c>
      <c r="H421">
        <f t="shared" si="19"/>
        <v>0.21600000000000019</v>
      </c>
      <c r="I421">
        <f t="shared" si="17"/>
        <v>0.80000000000000071</v>
      </c>
    </row>
    <row r="422" spans="1:9" x14ac:dyDescent="0.35">
      <c r="A422">
        <v>0</v>
      </c>
      <c r="B422" t="s">
        <v>65</v>
      </c>
      <c r="C422">
        <v>348</v>
      </c>
      <c r="D422">
        <v>60</v>
      </c>
      <c r="E422" s="29">
        <v>45621</v>
      </c>
      <c r="F422">
        <v>5.9576945468659108</v>
      </c>
      <c r="G422">
        <v>5.46</v>
      </c>
      <c r="H422">
        <f t="shared" si="19"/>
        <v>0.30700000000000038</v>
      </c>
      <c r="I422">
        <f t="shared" si="17"/>
        <v>1.1370370370370384</v>
      </c>
    </row>
    <row r="423" spans="1:9" x14ac:dyDescent="0.35">
      <c r="A423">
        <v>0</v>
      </c>
      <c r="B423" t="s">
        <v>65</v>
      </c>
      <c r="C423">
        <v>352</v>
      </c>
      <c r="D423">
        <v>60</v>
      </c>
      <c r="E423" s="29">
        <v>45621</v>
      </c>
      <c r="F423">
        <v>6.2774279717611261</v>
      </c>
      <c r="G423">
        <v>5.57</v>
      </c>
      <c r="H423">
        <f t="shared" si="19"/>
        <v>0.32900000000000063</v>
      </c>
      <c r="I423">
        <f t="shared" si="17"/>
        <v>1.2185185185185208</v>
      </c>
    </row>
    <row r="424" spans="1:9" x14ac:dyDescent="0.35">
      <c r="A424">
        <v>0</v>
      </c>
      <c r="B424" t="s">
        <v>65</v>
      </c>
      <c r="C424">
        <v>357</v>
      </c>
      <c r="D424">
        <v>60</v>
      </c>
      <c r="E424" s="29">
        <v>45621</v>
      </c>
      <c r="F424">
        <v>6.4985451018428702</v>
      </c>
      <c r="G424">
        <v>5.49</v>
      </c>
      <c r="H424">
        <f t="shared" si="19"/>
        <v>0.33499999999999996</v>
      </c>
      <c r="I424">
        <f t="shared" si="17"/>
        <v>1.2407407407407407</v>
      </c>
    </row>
    <row r="425" spans="1:9" x14ac:dyDescent="0.35">
      <c r="A425">
        <v>0</v>
      </c>
      <c r="B425" t="s">
        <v>66</v>
      </c>
      <c r="C425">
        <v>368</v>
      </c>
      <c r="D425">
        <v>60</v>
      </c>
      <c r="E425" s="29">
        <v>45621</v>
      </c>
      <c r="F425">
        <v>6.6759630468886177</v>
      </c>
      <c r="G425">
        <v>6.12</v>
      </c>
      <c r="H425">
        <f t="shared" si="19"/>
        <v>0.38300000000000001</v>
      </c>
      <c r="I425">
        <f t="shared" si="17"/>
        <v>1.4185185185185185</v>
      </c>
    </row>
    <row r="426" spans="1:9" x14ac:dyDescent="0.35">
      <c r="A426">
        <v>0</v>
      </c>
      <c r="B426" t="s">
        <v>66</v>
      </c>
      <c r="C426">
        <v>372</v>
      </c>
      <c r="D426">
        <v>60</v>
      </c>
      <c r="E426" s="29">
        <v>45621</v>
      </c>
      <c r="F426">
        <v>6.5242026873887085</v>
      </c>
      <c r="G426">
        <v>6.58</v>
      </c>
      <c r="H426">
        <f t="shared" si="19"/>
        <v>0.40300000000000047</v>
      </c>
      <c r="I426">
        <f t="shared" si="17"/>
        <v>1.4925925925925942</v>
      </c>
    </row>
    <row r="427" spans="1:9" x14ac:dyDescent="0.35">
      <c r="A427">
        <v>0</v>
      </c>
      <c r="B427" t="s">
        <v>66</v>
      </c>
      <c r="C427">
        <v>377</v>
      </c>
      <c r="D427">
        <v>60</v>
      </c>
      <c r="E427" s="29">
        <v>45621</v>
      </c>
      <c r="F427">
        <v>6.7462290734294719</v>
      </c>
      <c r="G427">
        <v>6.44</v>
      </c>
      <c r="H427">
        <f t="shared" si="19"/>
        <v>0.40700000000000003</v>
      </c>
      <c r="I427">
        <f t="shared" si="17"/>
        <v>1.5074074074074075</v>
      </c>
    </row>
    <row r="428" spans="1:9" x14ac:dyDescent="0.35">
      <c r="A428">
        <v>0</v>
      </c>
      <c r="B428" t="s">
        <v>58</v>
      </c>
      <c r="C428">
        <v>384</v>
      </c>
      <c r="D428">
        <v>60</v>
      </c>
      <c r="E428" s="29">
        <v>45621</v>
      </c>
      <c r="F428">
        <v>4.9704553354188477</v>
      </c>
      <c r="G428">
        <v>3.02</v>
      </c>
      <c r="H428">
        <f t="shared" si="19"/>
        <v>0.14300000000000024</v>
      </c>
      <c r="I428">
        <f t="shared" si="17"/>
        <v>0.52962962962963045</v>
      </c>
    </row>
    <row r="429" spans="1:9" x14ac:dyDescent="0.35">
      <c r="A429">
        <v>0</v>
      </c>
      <c r="B429" t="s">
        <v>58</v>
      </c>
      <c r="C429">
        <v>387</v>
      </c>
      <c r="D429">
        <v>60</v>
      </c>
      <c r="E429" s="29">
        <v>45621</v>
      </c>
      <c r="F429">
        <v>5.2631578947368469</v>
      </c>
      <c r="G429">
        <v>3.2</v>
      </c>
      <c r="H429">
        <f t="shared" si="19"/>
        <v>0.16000000000000014</v>
      </c>
      <c r="I429">
        <f t="shared" si="17"/>
        <v>0.59259259259259311</v>
      </c>
    </row>
    <row r="430" spans="1:9" x14ac:dyDescent="0.35">
      <c r="A430">
        <v>0</v>
      </c>
      <c r="B430" t="s">
        <v>58</v>
      </c>
      <c r="C430">
        <v>392</v>
      </c>
      <c r="D430">
        <v>60</v>
      </c>
      <c r="E430" s="29">
        <v>45621</v>
      </c>
      <c r="F430">
        <v>5.3464093641252779</v>
      </c>
      <c r="G430">
        <v>3.33</v>
      </c>
      <c r="H430">
        <f t="shared" si="19"/>
        <v>0.16900000000000004</v>
      </c>
      <c r="I430">
        <f t="shared" si="17"/>
        <v>0.625925925925926</v>
      </c>
    </row>
    <row r="431" spans="1:9" x14ac:dyDescent="0.35">
      <c r="A431">
        <v>0</v>
      </c>
      <c r="B431" t="s">
        <v>59</v>
      </c>
      <c r="C431">
        <v>399</v>
      </c>
      <c r="D431">
        <v>60</v>
      </c>
      <c r="E431" s="29">
        <v>45621</v>
      </c>
      <c r="F431">
        <v>5.7661675692895846</v>
      </c>
      <c r="G431">
        <v>3.32</v>
      </c>
      <c r="H431">
        <f t="shared" si="19"/>
        <v>0.18100000000000005</v>
      </c>
      <c r="I431">
        <f t="shared" si="17"/>
        <v>0.67037037037037062</v>
      </c>
    </row>
    <row r="432" spans="1:9" x14ac:dyDescent="0.35">
      <c r="A432">
        <v>0</v>
      </c>
      <c r="B432" t="s">
        <v>59</v>
      </c>
      <c r="C432">
        <v>403</v>
      </c>
      <c r="D432">
        <v>60</v>
      </c>
      <c r="E432" s="29">
        <v>45621</v>
      </c>
      <c r="F432">
        <v>5.6074766355140238</v>
      </c>
      <c r="G432">
        <v>3.39</v>
      </c>
      <c r="H432">
        <f t="shared" si="19"/>
        <v>0.18000000000000016</v>
      </c>
      <c r="I432">
        <f t="shared" si="17"/>
        <v>0.66666666666666718</v>
      </c>
    </row>
    <row r="433" spans="1:9" x14ac:dyDescent="0.35">
      <c r="A433">
        <v>0</v>
      </c>
      <c r="B433" t="s">
        <v>59</v>
      </c>
      <c r="C433">
        <v>408</v>
      </c>
      <c r="D433">
        <v>60</v>
      </c>
      <c r="E433" s="29">
        <v>45621</v>
      </c>
      <c r="F433">
        <v>5.6338028169013992</v>
      </c>
      <c r="G433">
        <v>3.3</v>
      </c>
      <c r="H433">
        <f t="shared" si="19"/>
        <v>0.17599999999999971</v>
      </c>
      <c r="I433">
        <f t="shared" si="17"/>
        <v>0.65185185185185079</v>
      </c>
    </row>
    <row r="434" spans="1:9" x14ac:dyDescent="0.35">
      <c r="A434">
        <v>0</v>
      </c>
      <c r="B434" t="s">
        <v>60</v>
      </c>
      <c r="C434">
        <v>419</v>
      </c>
      <c r="D434">
        <v>60</v>
      </c>
      <c r="E434" s="29">
        <v>45621</v>
      </c>
      <c r="F434">
        <v>5.7596822244290022</v>
      </c>
      <c r="G434">
        <v>4.26</v>
      </c>
      <c r="H434">
        <f t="shared" si="19"/>
        <v>0.23200000000000021</v>
      </c>
      <c r="I434">
        <f t="shared" si="17"/>
        <v>0.85925925925925994</v>
      </c>
    </row>
    <row r="435" spans="1:9" x14ac:dyDescent="0.35">
      <c r="A435">
        <v>0</v>
      </c>
      <c r="B435" t="s">
        <v>60</v>
      </c>
      <c r="C435">
        <v>423</v>
      </c>
      <c r="D435">
        <v>60</v>
      </c>
      <c r="E435" s="29">
        <v>45621</v>
      </c>
      <c r="F435">
        <v>5.9197651663405084</v>
      </c>
      <c r="G435">
        <v>4.33</v>
      </c>
      <c r="H435">
        <f t="shared" si="19"/>
        <v>0.24199999999999999</v>
      </c>
      <c r="I435">
        <f t="shared" si="17"/>
        <v>0.89629629629629626</v>
      </c>
    </row>
    <row r="436" spans="1:9" x14ac:dyDescent="0.35">
      <c r="A436">
        <v>0</v>
      </c>
      <c r="B436" t="s">
        <v>60</v>
      </c>
      <c r="C436">
        <v>428</v>
      </c>
      <c r="D436">
        <v>60</v>
      </c>
      <c r="E436" s="29">
        <v>45621</v>
      </c>
      <c r="F436">
        <v>5.8118321605420746</v>
      </c>
      <c r="G436">
        <v>4.0599999999999996</v>
      </c>
      <c r="H436">
        <f t="shared" si="19"/>
        <v>0.22299999999999942</v>
      </c>
      <c r="I436">
        <f t="shared" si="17"/>
        <v>0.82592592592592373</v>
      </c>
    </row>
    <row r="437" spans="1:9" x14ac:dyDescent="0.35">
      <c r="A437">
        <v>0</v>
      </c>
      <c r="B437" t="s">
        <v>61</v>
      </c>
      <c r="C437">
        <v>439</v>
      </c>
      <c r="D437">
        <v>60</v>
      </c>
      <c r="E437" s="29">
        <v>45621</v>
      </c>
      <c r="F437">
        <v>4.9704553354188477</v>
      </c>
      <c r="G437">
        <v>3.02</v>
      </c>
      <c r="H437">
        <f t="shared" si="19"/>
        <v>0.14300000000000024</v>
      </c>
      <c r="I437">
        <f t="shared" si="17"/>
        <v>0.52962962962963045</v>
      </c>
    </row>
    <row r="438" spans="1:9" x14ac:dyDescent="0.35">
      <c r="A438">
        <v>0</v>
      </c>
      <c r="B438" t="s">
        <v>61</v>
      </c>
      <c r="C438">
        <v>443</v>
      </c>
      <c r="D438">
        <v>60</v>
      </c>
      <c r="E438" s="29">
        <v>45621</v>
      </c>
      <c r="F438">
        <v>4.8109965635738714</v>
      </c>
      <c r="G438">
        <v>3.05</v>
      </c>
      <c r="H438">
        <f t="shared" si="19"/>
        <v>0.13999999999999968</v>
      </c>
      <c r="I438">
        <f t="shared" si="17"/>
        <v>0.51851851851851738</v>
      </c>
    </row>
    <row r="439" spans="1:9" x14ac:dyDescent="0.35">
      <c r="A439">
        <v>0</v>
      </c>
      <c r="B439" t="s">
        <v>61</v>
      </c>
      <c r="C439">
        <v>448</v>
      </c>
      <c r="D439">
        <v>60</v>
      </c>
      <c r="E439" s="29">
        <v>45621</v>
      </c>
      <c r="F439">
        <v>4.1153710868800566</v>
      </c>
      <c r="G439">
        <v>2.96</v>
      </c>
      <c r="H439">
        <f t="shared" si="19"/>
        <v>0.11699999999999999</v>
      </c>
      <c r="I439">
        <f t="shared" si="17"/>
        <v>0.43333333333333329</v>
      </c>
    </row>
    <row r="440" spans="1:9" x14ac:dyDescent="0.35">
      <c r="A440">
        <v>2</v>
      </c>
      <c r="B440" t="s">
        <v>63</v>
      </c>
      <c r="C440">
        <v>295</v>
      </c>
      <c r="D440">
        <v>60</v>
      </c>
      <c r="E440" s="29">
        <v>45621</v>
      </c>
      <c r="F440">
        <v>1.6815034619188916</v>
      </c>
      <c r="G440">
        <v>5.14</v>
      </c>
      <c r="H440">
        <f t="shared" si="19"/>
        <v>8.4999999999999964E-2</v>
      </c>
      <c r="I440">
        <f t="shared" si="17"/>
        <v>0.31481481481481471</v>
      </c>
    </row>
    <row r="441" spans="1:9" x14ac:dyDescent="0.35">
      <c r="A441">
        <v>2</v>
      </c>
      <c r="B441" t="s">
        <v>63</v>
      </c>
      <c r="C441">
        <v>298</v>
      </c>
      <c r="D441">
        <v>60</v>
      </c>
      <c r="E441" s="29">
        <v>45621</v>
      </c>
      <c r="F441">
        <v>5.9541420118343202</v>
      </c>
      <c r="G441">
        <v>5.73</v>
      </c>
      <c r="H441">
        <f t="shared" si="19"/>
        <v>0.32200000000000006</v>
      </c>
      <c r="I441">
        <f t="shared" si="17"/>
        <v>1.1925925925925929</v>
      </c>
    </row>
    <row r="442" spans="1:9" x14ac:dyDescent="0.35">
      <c r="A442">
        <v>2</v>
      </c>
      <c r="B442" t="s">
        <v>63</v>
      </c>
      <c r="C442">
        <v>301</v>
      </c>
      <c r="D442">
        <v>60</v>
      </c>
      <c r="E442" s="29">
        <v>45621</v>
      </c>
      <c r="F442">
        <v>6.1709467228823316</v>
      </c>
      <c r="G442">
        <v>5.54</v>
      </c>
      <c r="H442">
        <f t="shared" si="19"/>
        <v>0.32200000000000006</v>
      </c>
      <c r="I442">
        <f t="shared" si="17"/>
        <v>1.1925925925925929</v>
      </c>
    </row>
    <row r="443" spans="1:9" x14ac:dyDescent="0.35">
      <c r="A443">
        <v>2</v>
      </c>
      <c r="B443" t="s">
        <v>64</v>
      </c>
      <c r="C443">
        <v>6</v>
      </c>
      <c r="D443">
        <v>60</v>
      </c>
      <c r="E443" s="29">
        <v>45621</v>
      </c>
      <c r="F443">
        <v>6.8743286788399516</v>
      </c>
      <c r="G443">
        <v>3.98</v>
      </c>
      <c r="H443">
        <f t="shared" si="19"/>
        <v>0.25599999999999978</v>
      </c>
      <c r="I443">
        <f t="shared" si="17"/>
        <v>0.9481481481481473</v>
      </c>
    </row>
    <row r="444" spans="1:9" x14ac:dyDescent="0.35">
      <c r="A444">
        <v>2</v>
      </c>
      <c r="B444" t="s">
        <v>64</v>
      </c>
      <c r="C444">
        <v>10</v>
      </c>
      <c r="D444">
        <v>60</v>
      </c>
      <c r="E444" s="29">
        <v>45621</v>
      </c>
      <c r="F444">
        <v>6.238082266412424</v>
      </c>
      <c r="G444">
        <v>3.9</v>
      </c>
      <c r="H444">
        <f t="shared" si="19"/>
        <v>0.22900000000000009</v>
      </c>
      <c r="I444">
        <f t="shared" si="17"/>
        <v>0.84814814814814854</v>
      </c>
    </row>
    <row r="445" spans="1:9" x14ac:dyDescent="0.35">
      <c r="A445">
        <v>2</v>
      </c>
      <c r="B445" t="s">
        <v>64</v>
      </c>
      <c r="C445">
        <v>14</v>
      </c>
      <c r="D445">
        <v>60</v>
      </c>
      <c r="E445" s="29">
        <v>45621</v>
      </c>
      <c r="F445">
        <v>6.338939197930145</v>
      </c>
      <c r="G445">
        <v>4.1100000000000003</v>
      </c>
      <c r="H445">
        <f t="shared" si="19"/>
        <v>0.24500000000000011</v>
      </c>
      <c r="I445">
        <f t="shared" si="17"/>
        <v>0.90740740740740777</v>
      </c>
    </row>
    <row r="446" spans="1:9" x14ac:dyDescent="0.35">
      <c r="A446">
        <v>4</v>
      </c>
      <c r="B446" t="s">
        <v>64</v>
      </c>
      <c r="C446">
        <v>26</v>
      </c>
      <c r="D446">
        <v>60</v>
      </c>
      <c r="E446" s="29">
        <v>45621</v>
      </c>
      <c r="F446">
        <v>6.3981042654028553</v>
      </c>
      <c r="G446">
        <v>4.49</v>
      </c>
      <c r="H446">
        <f t="shared" si="19"/>
        <v>0.27000000000000046</v>
      </c>
      <c r="I446">
        <f t="shared" si="17"/>
        <v>1.0000000000000018</v>
      </c>
    </row>
    <row r="447" spans="1:9" x14ac:dyDescent="0.35">
      <c r="A447">
        <v>4</v>
      </c>
      <c r="B447" t="s">
        <v>64</v>
      </c>
      <c r="C447">
        <v>30</v>
      </c>
      <c r="D447">
        <v>60</v>
      </c>
      <c r="E447" s="29">
        <v>45621</v>
      </c>
      <c r="F447">
        <v>6.530028598665397</v>
      </c>
      <c r="G447">
        <v>4.47</v>
      </c>
      <c r="H447">
        <f t="shared" si="19"/>
        <v>0.27400000000000002</v>
      </c>
      <c r="I447">
        <f t="shared" si="17"/>
        <v>1.0148148148148148</v>
      </c>
    </row>
    <row r="448" spans="1:9" x14ac:dyDescent="0.35">
      <c r="A448">
        <v>4</v>
      </c>
      <c r="B448" t="s">
        <v>64</v>
      </c>
      <c r="C448">
        <v>34</v>
      </c>
      <c r="D448">
        <v>60</v>
      </c>
      <c r="E448" s="29">
        <v>45621</v>
      </c>
      <c r="F448">
        <v>6.3578350271803394</v>
      </c>
      <c r="G448">
        <v>4.5</v>
      </c>
      <c r="H448">
        <f t="shared" si="19"/>
        <v>0.26900000000000013</v>
      </c>
      <c r="I448">
        <f t="shared" si="17"/>
        <v>0.99629629629629668</v>
      </c>
    </row>
    <row r="449" spans="1:9" x14ac:dyDescent="0.35">
      <c r="A449">
        <v>2</v>
      </c>
      <c r="B449" t="s">
        <v>65</v>
      </c>
      <c r="C449">
        <v>46</v>
      </c>
      <c r="D449">
        <v>60</v>
      </c>
      <c r="E449" s="29">
        <v>45621</v>
      </c>
      <c r="F449">
        <v>6.4631245043616286</v>
      </c>
      <c r="G449">
        <v>5.37</v>
      </c>
      <c r="H449">
        <f t="shared" si="19"/>
        <v>0.32600000000000051</v>
      </c>
      <c r="I449">
        <f t="shared" si="17"/>
        <v>1.2074074074074093</v>
      </c>
    </row>
    <row r="450" spans="1:9" x14ac:dyDescent="0.35">
      <c r="A450">
        <v>2</v>
      </c>
      <c r="B450" t="s">
        <v>65</v>
      </c>
      <c r="C450">
        <v>50</v>
      </c>
      <c r="D450">
        <v>60</v>
      </c>
      <c r="E450" s="29">
        <v>45621</v>
      </c>
      <c r="F450">
        <v>6.4891846921797001</v>
      </c>
      <c r="G450">
        <v>5.76</v>
      </c>
      <c r="H450">
        <f t="shared" si="19"/>
        <v>0.35099999999999998</v>
      </c>
      <c r="I450">
        <f t="shared" si="17"/>
        <v>1.3</v>
      </c>
    </row>
    <row r="451" spans="1:9" x14ac:dyDescent="0.35">
      <c r="A451">
        <v>2</v>
      </c>
      <c r="B451" t="s">
        <v>65</v>
      </c>
      <c r="C451">
        <v>54</v>
      </c>
      <c r="D451">
        <v>60</v>
      </c>
      <c r="E451" s="29">
        <v>45621</v>
      </c>
      <c r="F451">
        <v>6.2801932367149798</v>
      </c>
      <c r="G451">
        <v>5.5</v>
      </c>
      <c r="H451">
        <f t="shared" si="19"/>
        <v>0.32500000000000018</v>
      </c>
      <c r="I451">
        <f t="shared" ref="I451:I514" si="20">H451/27*100</f>
        <v>1.2037037037037044</v>
      </c>
    </row>
    <row r="452" spans="1:9" x14ac:dyDescent="0.35">
      <c r="A452">
        <v>4</v>
      </c>
      <c r="B452" t="s">
        <v>65</v>
      </c>
      <c r="C452">
        <v>67</v>
      </c>
      <c r="D452">
        <v>60</v>
      </c>
      <c r="E452" s="29">
        <v>45621</v>
      </c>
      <c r="F452">
        <v>6.1452513966480531</v>
      </c>
      <c r="G452">
        <v>4.75</v>
      </c>
      <c r="H452">
        <f t="shared" si="19"/>
        <v>0.27500000000000036</v>
      </c>
      <c r="I452">
        <f t="shared" si="20"/>
        <v>1.0185185185185197</v>
      </c>
    </row>
    <row r="453" spans="1:9" x14ac:dyDescent="0.35">
      <c r="A453">
        <v>4</v>
      </c>
      <c r="B453" t="s">
        <v>65</v>
      </c>
      <c r="C453">
        <v>71</v>
      </c>
      <c r="D453">
        <v>60</v>
      </c>
      <c r="E453" s="29">
        <v>45621</v>
      </c>
      <c r="F453">
        <v>6.3521622180839952</v>
      </c>
      <c r="G453">
        <v>5.14</v>
      </c>
      <c r="H453">
        <f t="shared" si="19"/>
        <v>0.3069999999999995</v>
      </c>
      <c r="I453">
        <f t="shared" si="20"/>
        <v>1.1370370370370353</v>
      </c>
    </row>
    <row r="454" spans="1:9" x14ac:dyDescent="0.35">
      <c r="A454">
        <v>4</v>
      </c>
      <c r="B454" t="s">
        <v>65</v>
      </c>
      <c r="C454">
        <v>75</v>
      </c>
      <c r="D454">
        <v>60</v>
      </c>
      <c r="E454" s="29">
        <v>45621</v>
      </c>
      <c r="F454">
        <v>6.4125471510820011</v>
      </c>
      <c r="G454">
        <v>5.36</v>
      </c>
      <c r="H454">
        <f t="shared" si="19"/>
        <v>0.3230000000000004</v>
      </c>
      <c r="I454">
        <f t="shared" si="20"/>
        <v>1.1962962962962977</v>
      </c>
    </row>
    <row r="455" spans="1:9" x14ac:dyDescent="0.35">
      <c r="A455">
        <v>2</v>
      </c>
      <c r="B455" t="s">
        <v>66</v>
      </c>
      <c r="C455">
        <v>87</v>
      </c>
      <c r="D455">
        <v>60</v>
      </c>
      <c r="E455" s="29">
        <v>45621</v>
      </c>
      <c r="F455">
        <v>6.3296024700887559</v>
      </c>
      <c r="G455">
        <v>5.51</v>
      </c>
      <c r="H455">
        <f t="shared" si="19"/>
        <v>0.3279999999999994</v>
      </c>
      <c r="I455">
        <f t="shared" si="20"/>
        <v>1.2148148148148126</v>
      </c>
    </row>
    <row r="456" spans="1:9" x14ac:dyDescent="0.35">
      <c r="A456">
        <v>2</v>
      </c>
      <c r="B456" t="s">
        <v>66</v>
      </c>
      <c r="C456">
        <v>91</v>
      </c>
      <c r="D456">
        <v>60</v>
      </c>
      <c r="E456" s="29">
        <v>45621</v>
      </c>
      <c r="F456">
        <v>6.4759634485498712</v>
      </c>
      <c r="G456">
        <v>5.36</v>
      </c>
      <c r="H456">
        <f t="shared" si="19"/>
        <v>0.32600000000000051</v>
      </c>
      <c r="I456">
        <f t="shared" si="20"/>
        <v>1.2074074074074093</v>
      </c>
    </row>
    <row r="457" spans="1:9" x14ac:dyDescent="0.35">
      <c r="A457">
        <v>2</v>
      </c>
      <c r="B457" t="s">
        <v>66</v>
      </c>
      <c r="C457">
        <v>95</v>
      </c>
      <c r="D457">
        <v>60</v>
      </c>
      <c r="E457" s="29">
        <v>45621</v>
      </c>
      <c r="F457">
        <v>6.6790352504638291</v>
      </c>
      <c r="G457">
        <v>5.75</v>
      </c>
      <c r="H457">
        <f t="shared" si="19"/>
        <v>0.36000000000000032</v>
      </c>
      <c r="I457">
        <f t="shared" si="20"/>
        <v>1.3333333333333344</v>
      </c>
    </row>
    <row r="458" spans="1:9" x14ac:dyDescent="0.35">
      <c r="A458">
        <v>4</v>
      </c>
      <c r="B458" t="s">
        <v>66</v>
      </c>
      <c r="C458">
        <v>107</v>
      </c>
      <c r="D458">
        <v>60</v>
      </c>
      <c r="E458" s="29">
        <v>45621</v>
      </c>
      <c r="F458">
        <v>6.5016559177270397</v>
      </c>
      <c r="G458">
        <v>6.11</v>
      </c>
      <c r="H458">
        <f t="shared" si="19"/>
        <v>0.37300000000000022</v>
      </c>
      <c r="I458">
        <f t="shared" si="20"/>
        <v>1.3814814814814824</v>
      </c>
    </row>
    <row r="459" spans="1:9" x14ac:dyDescent="0.35">
      <c r="A459">
        <v>4</v>
      </c>
      <c r="B459" t="s">
        <v>66</v>
      </c>
      <c r="C459">
        <v>111</v>
      </c>
      <c r="D459">
        <v>60</v>
      </c>
      <c r="E459" s="29">
        <v>45621</v>
      </c>
      <c r="F459">
        <v>6.6354671569446815</v>
      </c>
      <c r="G459">
        <v>6.38</v>
      </c>
      <c r="H459">
        <f t="shared" si="19"/>
        <v>0.39700000000000024</v>
      </c>
      <c r="I459">
        <f t="shared" si="20"/>
        <v>1.4703703703703712</v>
      </c>
    </row>
    <row r="460" spans="1:9" x14ac:dyDescent="0.35">
      <c r="A460">
        <v>4</v>
      </c>
      <c r="B460" t="s">
        <v>66</v>
      </c>
      <c r="C460">
        <v>115</v>
      </c>
      <c r="D460">
        <v>60</v>
      </c>
      <c r="E460" s="29">
        <v>45621</v>
      </c>
      <c r="F460">
        <v>6.5791807057988922</v>
      </c>
      <c r="G460">
        <v>6.01</v>
      </c>
      <c r="H460">
        <f t="shared" si="19"/>
        <v>0.37099999999999955</v>
      </c>
      <c r="I460">
        <f t="shared" si="20"/>
        <v>1.3740740740740724</v>
      </c>
    </row>
    <row r="461" spans="1:9" x14ac:dyDescent="0.35">
      <c r="A461">
        <v>2</v>
      </c>
      <c r="B461" t="s">
        <v>58</v>
      </c>
      <c r="C461">
        <v>128</v>
      </c>
      <c r="D461">
        <v>60</v>
      </c>
      <c r="E461" s="29">
        <v>45621</v>
      </c>
      <c r="F461">
        <v>5.4560260586319176</v>
      </c>
      <c r="G461">
        <v>2.59</v>
      </c>
      <c r="H461">
        <f t="shared" si="19"/>
        <v>0.1339999999999999</v>
      </c>
      <c r="I461">
        <f t="shared" si="20"/>
        <v>0.4962962962962959</v>
      </c>
    </row>
    <row r="462" spans="1:9" x14ac:dyDescent="0.35">
      <c r="A462">
        <v>2</v>
      </c>
      <c r="B462" t="s">
        <v>58</v>
      </c>
      <c r="C462">
        <v>133</v>
      </c>
      <c r="D462">
        <v>60</v>
      </c>
      <c r="E462" s="29">
        <v>45621</v>
      </c>
      <c r="F462">
        <v>5.7287278854254282</v>
      </c>
      <c r="G462">
        <v>2.5099999999999998</v>
      </c>
      <c r="H462">
        <f t="shared" si="19"/>
        <v>0.13599999999999968</v>
      </c>
      <c r="I462">
        <f t="shared" si="20"/>
        <v>0.50370370370370243</v>
      </c>
    </row>
    <row r="463" spans="1:9" x14ac:dyDescent="0.35">
      <c r="A463">
        <v>2</v>
      </c>
      <c r="B463" t="s">
        <v>58</v>
      </c>
      <c r="C463">
        <v>139</v>
      </c>
      <c r="D463">
        <v>60</v>
      </c>
      <c r="E463" s="29">
        <v>45621</v>
      </c>
      <c r="F463">
        <v>6.4366848969289041</v>
      </c>
      <c r="G463">
        <v>2.5299999999999998</v>
      </c>
      <c r="H463">
        <f t="shared" si="19"/>
        <v>0.15300000000000002</v>
      </c>
      <c r="I463">
        <f t="shared" si="20"/>
        <v>0.56666666666666676</v>
      </c>
    </row>
    <row r="464" spans="1:9" x14ac:dyDescent="0.35">
      <c r="A464">
        <v>4</v>
      </c>
      <c r="B464" t="s">
        <v>58</v>
      </c>
      <c r="C464">
        <v>150</v>
      </c>
      <c r="D464">
        <v>60</v>
      </c>
      <c r="E464" s="29">
        <v>45621</v>
      </c>
      <c r="F464">
        <v>8.0000000000000071</v>
      </c>
      <c r="G464">
        <v>3.24</v>
      </c>
      <c r="H464">
        <f t="shared" si="19"/>
        <v>0.24000000000000021</v>
      </c>
      <c r="I464">
        <f t="shared" si="20"/>
        <v>0.88888888888888973</v>
      </c>
    </row>
    <row r="465" spans="1:9" x14ac:dyDescent="0.35">
      <c r="A465">
        <v>4</v>
      </c>
      <c r="B465" t="s">
        <v>58</v>
      </c>
      <c r="C465">
        <v>156</v>
      </c>
      <c r="D465">
        <v>60</v>
      </c>
      <c r="E465" s="29">
        <v>45621</v>
      </c>
      <c r="F465">
        <v>7.2886297376093285</v>
      </c>
      <c r="G465">
        <v>3.68</v>
      </c>
      <c r="H465">
        <f t="shared" si="19"/>
        <v>0.25</v>
      </c>
      <c r="I465">
        <f t="shared" si="20"/>
        <v>0.92592592592592582</v>
      </c>
    </row>
    <row r="466" spans="1:9" x14ac:dyDescent="0.35">
      <c r="A466">
        <v>4</v>
      </c>
      <c r="B466" t="s">
        <v>58</v>
      </c>
      <c r="C466">
        <v>158</v>
      </c>
      <c r="D466">
        <v>60</v>
      </c>
      <c r="E466" s="29">
        <v>45621</v>
      </c>
      <c r="F466">
        <v>6.9537592657959628</v>
      </c>
      <c r="G466">
        <v>3.03</v>
      </c>
      <c r="H466">
        <f t="shared" si="19"/>
        <v>0.19699999999999962</v>
      </c>
      <c r="I466">
        <f t="shared" si="20"/>
        <v>0.7296296296296283</v>
      </c>
    </row>
    <row r="467" spans="1:9" x14ac:dyDescent="0.35">
      <c r="A467">
        <v>2</v>
      </c>
      <c r="B467" t="s">
        <v>59</v>
      </c>
      <c r="C467">
        <v>191</v>
      </c>
      <c r="D467">
        <v>60</v>
      </c>
      <c r="E467" s="29">
        <v>45621</v>
      </c>
      <c r="F467">
        <v>6.8776235066193108</v>
      </c>
      <c r="G467">
        <v>3.31</v>
      </c>
      <c r="H467">
        <f t="shared" si="19"/>
        <v>0.21300000000000008</v>
      </c>
      <c r="I467">
        <f t="shared" si="20"/>
        <v>0.78888888888888919</v>
      </c>
    </row>
    <row r="468" spans="1:9" x14ac:dyDescent="0.35">
      <c r="A468">
        <v>2</v>
      </c>
      <c r="B468" t="s">
        <v>59</v>
      </c>
      <c r="C468">
        <v>197</v>
      </c>
      <c r="D468">
        <v>60</v>
      </c>
      <c r="E468" s="29">
        <v>45621</v>
      </c>
      <c r="F468">
        <v>7.5063613231552084</v>
      </c>
      <c r="G468">
        <v>3.38</v>
      </c>
      <c r="H468">
        <f t="shared" si="19"/>
        <v>0.23599999999999977</v>
      </c>
      <c r="I468">
        <f t="shared" si="20"/>
        <v>0.87407407407407312</v>
      </c>
    </row>
    <row r="469" spans="1:9" x14ac:dyDescent="0.35">
      <c r="A469">
        <v>2</v>
      </c>
      <c r="B469" t="s">
        <v>59</v>
      </c>
      <c r="C469">
        <v>204</v>
      </c>
      <c r="D469">
        <v>60</v>
      </c>
      <c r="E469" s="29">
        <v>45621</v>
      </c>
      <c r="F469">
        <v>6.9861626729665822</v>
      </c>
      <c r="G469">
        <v>3.17</v>
      </c>
      <c r="H469">
        <f t="shared" si="19"/>
        <v>0.20699999999999985</v>
      </c>
      <c r="I469">
        <f t="shared" si="20"/>
        <v>0.76666666666666605</v>
      </c>
    </row>
    <row r="470" spans="1:9" x14ac:dyDescent="0.35">
      <c r="A470">
        <v>4</v>
      </c>
      <c r="B470" t="s">
        <v>59</v>
      </c>
      <c r="C470">
        <v>233</v>
      </c>
      <c r="D470">
        <v>60</v>
      </c>
      <c r="E470" s="29">
        <v>45621</v>
      </c>
      <c r="F470">
        <v>7.8735275883446993</v>
      </c>
      <c r="G470">
        <v>3.48</v>
      </c>
      <c r="H470">
        <f t="shared" si="19"/>
        <v>0.254</v>
      </c>
      <c r="I470">
        <f t="shared" si="20"/>
        <v>0.94074074074074077</v>
      </c>
    </row>
    <row r="471" spans="1:9" x14ac:dyDescent="0.35">
      <c r="A471">
        <v>4</v>
      </c>
      <c r="B471" t="s">
        <v>59</v>
      </c>
      <c r="C471">
        <v>239</v>
      </c>
      <c r="D471">
        <v>60</v>
      </c>
      <c r="E471" s="29">
        <v>45621</v>
      </c>
      <c r="F471">
        <v>7.6044484520589153</v>
      </c>
      <c r="G471">
        <v>3.58</v>
      </c>
      <c r="H471">
        <f t="shared" si="19"/>
        <v>0.25300000000000011</v>
      </c>
      <c r="I471">
        <f t="shared" si="20"/>
        <v>0.93703703703703745</v>
      </c>
    </row>
    <row r="472" spans="1:9" x14ac:dyDescent="0.35">
      <c r="A472">
        <v>4</v>
      </c>
      <c r="B472" t="s">
        <v>59</v>
      </c>
      <c r="C472">
        <v>242</v>
      </c>
      <c r="D472">
        <v>60</v>
      </c>
      <c r="E472" s="29">
        <v>45621</v>
      </c>
      <c r="F472">
        <v>8.0417434008594224</v>
      </c>
      <c r="G472">
        <v>3.52</v>
      </c>
      <c r="H472">
        <f t="shared" si="19"/>
        <v>0.26200000000000001</v>
      </c>
      <c r="I472">
        <f t="shared" si="20"/>
        <v>0.97037037037037044</v>
      </c>
    </row>
    <row r="473" spans="1:9" x14ac:dyDescent="0.35">
      <c r="A473">
        <v>2</v>
      </c>
      <c r="B473" t="s">
        <v>62</v>
      </c>
      <c r="C473">
        <v>255</v>
      </c>
      <c r="D473">
        <v>60</v>
      </c>
      <c r="E473" s="29">
        <v>45621</v>
      </c>
      <c r="F473">
        <v>5.1441492368569923</v>
      </c>
      <c r="G473">
        <v>3.72</v>
      </c>
      <c r="H473">
        <f t="shared" si="19"/>
        <v>0.18200000000000038</v>
      </c>
      <c r="I473">
        <f t="shared" si="20"/>
        <v>0.67407407407407549</v>
      </c>
    </row>
    <row r="474" spans="1:9" x14ac:dyDescent="0.35">
      <c r="A474">
        <v>2</v>
      </c>
      <c r="B474" t="s">
        <v>62</v>
      </c>
      <c r="C474">
        <v>264</v>
      </c>
      <c r="D474">
        <v>60</v>
      </c>
      <c r="E474" s="29">
        <v>45621</v>
      </c>
      <c r="F474">
        <v>5.7341730195558522</v>
      </c>
      <c r="G474">
        <v>3.19</v>
      </c>
      <c r="H474">
        <f t="shared" si="19"/>
        <v>0.17300000000000004</v>
      </c>
      <c r="I474">
        <f t="shared" si="20"/>
        <v>0.64074074074074094</v>
      </c>
    </row>
    <row r="475" spans="1:9" x14ac:dyDescent="0.35">
      <c r="A475">
        <v>2</v>
      </c>
      <c r="B475" t="s">
        <v>62</v>
      </c>
      <c r="C475">
        <v>270</v>
      </c>
      <c r="D475">
        <v>60</v>
      </c>
      <c r="E475" s="29">
        <v>45621</v>
      </c>
      <c r="F475">
        <v>6.1190738699007703</v>
      </c>
      <c r="G475">
        <v>3.85</v>
      </c>
      <c r="H475">
        <f t="shared" si="19"/>
        <v>0.22199999999999998</v>
      </c>
      <c r="I475">
        <f t="shared" si="20"/>
        <v>0.82222222222222208</v>
      </c>
    </row>
    <row r="476" spans="1:9" x14ac:dyDescent="0.35">
      <c r="A476">
        <v>4</v>
      </c>
      <c r="B476" t="s">
        <v>62</v>
      </c>
      <c r="C476">
        <v>274</v>
      </c>
      <c r="D476">
        <v>60</v>
      </c>
      <c r="E476" s="29">
        <v>45621</v>
      </c>
      <c r="F476">
        <v>6.5886542864411171</v>
      </c>
      <c r="G476">
        <v>4.1900000000000004</v>
      </c>
      <c r="H476">
        <f t="shared" si="19"/>
        <v>0.25900000000000034</v>
      </c>
      <c r="I476">
        <f t="shared" si="20"/>
        <v>0.95925925925926059</v>
      </c>
    </row>
    <row r="477" spans="1:9" x14ac:dyDescent="0.35">
      <c r="A477">
        <v>4</v>
      </c>
      <c r="B477" t="s">
        <v>62</v>
      </c>
      <c r="C477">
        <v>277</v>
      </c>
      <c r="D477">
        <v>60</v>
      </c>
      <c r="E477" s="29">
        <v>45621</v>
      </c>
      <c r="F477">
        <v>6.6015926021063596</v>
      </c>
      <c r="G477">
        <v>4.1500000000000004</v>
      </c>
      <c r="H477">
        <f t="shared" si="19"/>
        <v>0.25700000000000056</v>
      </c>
      <c r="I477">
        <f t="shared" si="20"/>
        <v>0.95185185185185395</v>
      </c>
    </row>
    <row r="478" spans="1:9" x14ac:dyDescent="0.35">
      <c r="A478">
        <v>4</v>
      </c>
      <c r="B478" t="s">
        <v>62</v>
      </c>
      <c r="C478">
        <v>282</v>
      </c>
      <c r="D478">
        <v>60</v>
      </c>
      <c r="E478" s="29">
        <v>45621</v>
      </c>
      <c r="F478">
        <v>6.2788801304702453</v>
      </c>
      <c r="G478">
        <v>3.91</v>
      </c>
      <c r="H478">
        <f t="shared" si="19"/>
        <v>0.23100000000000032</v>
      </c>
      <c r="I478">
        <f t="shared" si="20"/>
        <v>0.85555555555555685</v>
      </c>
    </row>
    <row r="479" spans="1:9" x14ac:dyDescent="0.35">
      <c r="A479">
        <v>2</v>
      </c>
      <c r="B479" t="s">
        <v>61</v>
      </c>
      <c r="C479">
        <v>166</v>
      </c>
      <c r="D479">
        <v>60</v>
      </c>
      <c r="E479" s="29">
        <v>45621</v>
      </c>
      <c r="F479">
        <v>5.062809288161402</v>
      </c>
      <c r="G479">
        <v>2.76</v>
      </c>
      <c r="H479">
        <f t="shared" si="19"/>
        <v>0.13300000000000001</v>
      </c>
      <c r="I479">
        <f t="shared" si="20"/>
        <v>0.49259259259259264</v>
      </c>
    </row>
    <row r="480" spans="1:9" x14ac:dyDescent="0.35">
      <c r="A480">
        <v>2</v>
      </c>
      <c r="B480" t="s">
        <v>61</v>
      </c>
      <c r="C480">
        <v>172</v>
      </c>
      <c r="D480">
        <v>60</v>
      </c>
      <c r="E480" s="29">
        <v>45621</v>
      </c>
      <c r="F480">
        <v>5.2198931360460428</v>
      </c>
      <c r="G480">
        <v>2.56</v>
      </c>
      <c r="H480">
        <f t="shared" si="19"/>
        <v>0.12700000000000022</v>
      </c>
      <c r="I480">
        <f t="shared" si="20"/>
        <v>0.47037037037037116</v>
      </c>
    </row>
    <row r="481" spans="1:9" x14ac:dyDescent="0.35">
      <c r="A481">
        <v>2</v>
      </c>
      <c r="B481" t="s">
        <v>61</v>
      </c>
      <c r="C481">
        <v>175</v>
      </c>
      <c r="D481">
        <v>60</v>
      </c>
      <c r="E481" s="29">
        <v>45621</v>
      </c>
      <c r="F481">
        <v>6.3504208110175941</v>
      </c>
      <c r="G481">
        <v>2.78</v>
      </c>
      <c r="H481">
        <f t="shared" ref="H481:H485" si="21">G481-G67</f>
        <v>0.16599999999999993</v>
      </c>
      <c r="I481">
        <f t="shared" si="20"/>
        <v>0.61481481481481459</v>
      </c>
    </row>
    <row r="482" spans="1:9" x14ac:dyDescent="0.35">
      <c r="A482">
        <v>4</v>
      </c>
      <c r="B482" t="s">
        <v>61</v>
      </c>
      <c r="C482">
        <v>211</v>
      </c>
      <c r="D482">
        <v>60</v>
      </c>
      <c r="E482" s="29">
        <v>45621</v>
      </c>
      <c r="F482">
        <v>6.6450567260940048</v>
      </c>
      <c r="G482">
        <v>3.29</v>
      </c>
      <c r="H482">
        <f t="shared" si="21"/>
        <v>0.20500000000000007</v>
      </c>
      <c r="I482">
        <f t="shared" si="20"/>
        <v>0.75925925925925952</v>
      </c>
    </row>
    <row r="483" spans="1:9" x14ac:dyDescent="0.35">
      <c r="A483">
        <v>4</v>
      </c>
      <c r="B483" t="s">
        <v>61</v>
      </c>
      <c r="C483">
        <v>217</v>
      </c>
      <c r="D483">
        <v>60</v>
      </c>
      <c r="E483" s="29">
        <v>45621</v>
      </c>
      <c r="F483">
        <v>7.200516628995798</v>
      </c>
      <c r="G483">
        <v>3.32</v>
      </c>
      <c r="H483">
        <f t="shared" si="21"/>
        <v>0.22299999999999986</v>
      </c>
      <c r="I483">
        <f t="shared" si="20"/>
        <v>0.8259259259259254</v>
      </c>
    </row>
    <row r="484" spans="1:9" x14ac:dyDescent="0.35">
      <c r="A484">
        <v>4</v>
      </c>
      <c r="B484" t="s">
        <v>61</v>
      </c>
      <c r="C484">
        <v>223</v>
      </c>
      <c r="D484">
        <v>60</v>
      </c>
      <c r="E484" s="29">
        <v>45621</v>
      </c>
      <c r="F484">
        <v>6.1253561253561308</v>
      </c>
      <c r="G484">
        <v>2.98</v>
      </c>
      <c r="H484">
        <f t="shared" si="21"/>
        <v>0.17200000000000015</v>
      </c>
      <c r="I484">
        <f t="shared" si="20"/>
        <v>0.63703703703703762</v>
      </c>
    </row>
    <row r="485" spans="1:9" x14ac:dyDescent="0.35">
      <c r="A485">
        <v>0</v>
      </c>
      <c r="B485" t="s">
        <v>63</v>
      </c>
      <c r="C485">
        <v>316</v>
      </c>
      <c r="D485">
        <v>70</v>
      </c>
      <c r="E485" s="29">
        <v>45622</v>
      </c>
      <c r="F485">
        <v>8.0550098231827167</v>
      </c>
      <c r="G485">
        <v>7.15</v>
      </c>
      <c r="H485">
        <f>G485-G2</f>
        <v>0.53300000000000036</v>
      </c>
      <c r="I485">
        <f t="shared" si="20"/>
        <v>1.9740740740740752</v>
      </c>
    </row>
    <row r="486" spans="1:9" x14ac:dyDescent="0.35">
      <c r="A486">
        <v>0</v>
      </c>
      <c r="B486" t="s">
        <v>63</v>
      </c>
      <c r="C486">
        <v>320</v>
      </c>
      <c r="D486">
        <v>70</v>
      </c>
      <c r="E486" s="29">
        <v>45622</v>
      </c>
      <c r="F486">
        <v>7.9870230186930389</v>
      </c>
      <c r="G486">
        <v>6.99</v>
      </c>
      <c r="H486">
        <f t="shared" ref="H486:H549" si="22">G486-G3</f>
        <v>0.51700000000000035</v>
      </c>
      <c r="I486">
        <f t="shared" si="20"/>
        <v>1.9148148148148161</v>
      </c>
    </row>
    <row r="487" spans="1:9" x14ac:dyDescent="0.35">
      <c r="A487">
        <v>0</v>
      </c>
      <c r="B487" t="s">
        <v>63</v>
      </c>
      <c r="C487">
        <v>325</v>
      </c>
      <c r="D487">
        <v>70</v>
      </c>
      <c r="E487" s="29">
        <v>45622</v>
      </c>
      <c r="F487">
        <v>7.8655352480417786</v>
      </c>
      <c r="G487">
        <v>6.61</v>
      </c>
      <c r="H487">
        <f t="shared" si="22"/>
        <v>0.48200000000000021</v>
      </c>
      <c r="I487">
        <f t="shared" si="20"/>
        <v>1.7851851851851859</v>
      </c>
    </row>
    <row r="488" spans="1:9" x14ac:dyDescent="0.35">
      <c r="A488">
        <v>0</v>
      </c>
      <c r="B488" t="s">
        <v>64</v>
      </c>
      <c r="C488">
        <v>332</v>
      </c>
      <c r="D488">
        <v>70</v>
      </c>
      <c r="E488" s="29">
        <v>45622</v>
      </c>
      <c r="F488">
        <v>7.4866310160427636</v>
      </c>
      <c r="G488">
        <v>4.0199999999999996</v>
      </c>
      <c r="H488">
        <f t="shared" si="22"/>
        <v>0.27999999999999936</v>
      </c>
      <c r="I488">
        <f t="shared" si="20"/>
        <v>1.0370370370370348</v>
      </c>
    </row>
    <row r="489" spans="1:9" x14ac:dyDescent="0.35">
      <c r="A489">
        <v>0</v>
      </c>
      <c r="B489" t="s">
        <v>64</v>
      </c>
      <c r="C489">
        <v>336</v>
      </c>
      <c r="D489">
        <v>70</v>
      </c>
      <c r="E489" s="29">
        <v>45622</v>
      </c>
      <c r="F489">
        <v>8.1787300757773647</v>
      </c>
      <c r="G489">
        <v>4.1399999999999997</v>
      </c>
      <c r="H489">
        <f t="shared" si="22"/>
        <v>0.31299999999999972</v>
      </c>
      <c r="I489">
        <f t="shared" si="20"/>
        <v>1.1592592592592583</v>
      </c>
    </row>
    <row r="490" spans="1:9" x14ac:dyDescent="0.35">
      <c r="A490">
        <v>0</v>
      </c>
      <c r="B490" t="s">
        <v>64</v>
      </c>
      <c r="C490">
        <v>341</v>
      </c>
      <c r="D490">
        <v>70</v>
      </c>
      <c r="E490" s="29">
        <v>45622</v>
      </c>
      <c r="F490">
        <v>7.8701155751238314</v>
      </c>
      <c r="G490">
        <v>3.92</v>
      </c>
      <c r="H490">
        <f t="shared" si="22"/>
        <v>0.28600000000000003</v>
      </c>
      <c r="I490">
        <f t="shared" si="20"/>
        <v>1.0592592592592593</v>
      </c>
    </row>
    <row r="491" spans="1:9" x14ac:dyDescent="0.35">
      <c r="A491">
        <v>0</v>
      </c>
      <c r="B491" t="s">
        <v>65</v>
      </c>
      <c r="C491">
        <v>348</v>
      </c>
      <c r="D491">
        <v>70</v>
      </c>
      <c r="E491" s="29">
        <v>45622</v>
      </c>
      <c r="F491">
        <v>7.5101882398602857</v>
      </c>
      <c r="G491">
        <v>5.54</v>
      </c>
      <c r="H491">
        <f t="shared" si="22"/>
        <v>0.38700000000000045</v>
      </c>
      <c r="I491">
        <f t="shared" si="20"/>
        <v>1.4333333333333351</v>
      </c>
    </row>
    <row r="492" spans="1:9" x14ac:dyDescent="0.35">
      <c r="A492">
        <v>0</v>
      </c>
      <c r="B492" t="s">
        <v>65</v>
      </c>
      <c r="C492">
        <v>352</v>
      </c>
      <c r="D492">
        <v>70</v>
      </c>
      <c r="E492" s="29">
        <v>45622</v>
      </c>
      <c r="F492">
        <v>7.8038542262927058</v>
      </c>
      <c r="G492">
        <v>5.65</v>
      </c>
      <c r="H492">
        <f t="shared" si="22"/>
        <v>0.4090000000000007</v>
      </c>
      <c r="I492">
        <f t="shared" si="20"/>
        <v>1.5148148148148175</v>
      </c>
    </row>
    <row r="493" spans="1:9" x14ac:dyDescent="0.35">
      <c r="A493">
        <v>0</v>
      </c>
      <c r="B493" t="s">
        <v>65</v>
      </c>
      <c r="C493">
        <v>357</v>
      </c>
      <c r="D493">
        <v>70</v>
      </c>
      <c r="E493" s="29">
        <v>45622</v>
      </c>
      <c r="F493">
        <v>7.6624636275460638</v>
      </c>
      <c r="G493">
        <v>5.55</v>
      </c>
      <c r="H493">
        <f t="shared" si="22"/>
        <v>0.39499999999999957</v>
      </c>
      <c r="I493">
        <f t="shared" si="20"/>
        <v>1.4629629629629615</v>
      </c>
    </row>
    <row r="494" spans="1:9" x14ac:dyDescent="0.35">
      <c r="A494">
        <v>0</v>
      </c>
      <c r="B494" t="s">
        <v>66</v>
      </c>
      <c r="C494">
        <v>368</v>
      </c>
      <c r="D494">
        <v>70</v>
      </c>
      <c r="E494" s="29">
        <v>45622</v>
      </c>
      <c r="F494">
        <v>8.0704200801812807</v>
      </c>
      <c r="G494">
        <v>6.2</v>
      </c>
      <c r="H494">
        <f t="shared" si="22"/>
        <v>0.46300000000000008</v>
      </c>
      <c r="I494">
        <f t="shared" si="20"/>
        <v>1.7148148148148152</v>
      </c>
    </row>
    <row r="495" spans="1:9" x14ac:dyDescent="0.35">
      <c r="A495">
        <v>0</v>
      </c>
      <c r="B495" t="s">
        <v>66</v>
      </c>
      <c r="C495">
        <v>372</v>
      </c>
      <c r="D495">
        <v>70</v>
      </c>
      <c r="E495" s="29">
        <v>45622</v>
      </c>
      <c r="F495">
        <v>8.3050024283632968</v>
      </c>
      <c r="G495">
        <v>6.69</v>
      </c>
      <c r="H495">
        <f t="shared" si="22"/>
        <v>0.51300000000000079</v>
      </c>
      <c r="I495">
        <f t="shared" si="20"/>
        <v>1.900000000000003</v>
      </c>
    </row>
    <row r="496" spans="1:9" x14ac:dyDescent="0.35">
      <c r="A496">
        <v>0</v>
      </c>
      <c r="B496" t="s">
        <v>66</v>
      </c>
      <c r="C496">
        <v>377</v>
      </c>
      <c r="D496">
        <v>70</v>
      </c>
      <c r="E496" s="29">
        <v>45622</v>
      </c>
      <c r="F496">
        <v>8.0722691861428686</v>
      </c>
      <c r="G496">
        <v>6.52</v>
      </c>
      <c r="H496">
        <f t="shared" si="22"/>
        <v>0.48699999999999921</v>
      </c>
      <c r="I496">
        <f t="shared" si="20"/>
        <v>1.8037037037037007</v>
      </c>
    </row>
    <row r="497" spans="1:9" x14ac:dyDescent="0.35">
      <c r="A497">
        <v>0</v>
      </c>
      <c r="B497" t="s">
        <v>58</v>
      </c>
      <c r="C497">
        <v>384</v>
      </c>
      <c r="D497">
        <v>70</v>
      </c>
      <c r="E497" s="29">
        <v>45622</v>
      </c>
      <c r="F497">
        <v>6.708376781369485</v>
      </c>
      <c r="G497">
        <v>3.07</v>
      </c>
      <c r="H497">
        <f t="shared" si="22"/>
        <v>0.19300000000000006</v>
      </c>
      <c r="I497">
        <f t="shared" si="20"/>
        <v>0.71481481481481501</v>
      </c>
    </row>
    <row r="498" spans="1:9" x14ac:dyDescent="0.35">
      <c r="A498">
        <v>0</v>
      </c>
      <c r="B498" t="s">
        <v>58</v>
      </c>
      <c r="C498">
        <v>387</v>
      </c>
      <c r="D498">
        <v>70</v>
      </c>
      <c r="E498" s="29">
        <v>45622</v>
      </c>
      <c r="F498">
        <v>6.9078947368421044</v>
      </c>
      <c r="G498">
        <v>3.25</v>
      </c>
      <c r="H498">
        <f t="shared" si="22"/>
        <v>0.20999999999999996</v>
      </c>
      <c r="I498">
        <f t="shared" si="20"/>
        <v>0.77777777777777768</v>
      </c>
    </row>
    <row r="499" spans="1:9" x14ac:dyDescent="0.35">
      <c r="A499">
        <v>0</v>
      </c>
      <c r="B499" t="s">
        <v>58</v>
      </c>
      <c r="C499">
        <v>392</v>
      </c>
      <c r="D499">
        <v>70</v>
      </c>
      <c r="E499" s="29">
        <v>45622</v>
      </c>
      <c r="F499">
        <v>6.9281872825055322</v>
      </c>
      <c r="G499">
        <v>3.38</v>
      </c>
      <c r="H499">
        <f t="shared" si="22"/>
        <v>0.21899999999999986</v>
      </c>
      <c r="I499">
        <f t="shared" si="20"/>
        <v>0.81111111111111056</v>
      </c>
    </row>
    <row r="500" spans="1:9" x14ac:dyDescent="0.35">
      <c r="A500">
        <v>0</v>
      </c>
      <c r="B500" t="s">
        <v>59</v>
      </c>
      <c r="C500">
        <v>399</v>
      </c>
      <c r="D500">
        <v>70</v>
      </c>
      <c r="E500" s="29">
        <v>45622</v>
      </c>
      <c r="F500">
        <v>7.0404587448231952</v>
      </c>
      <c r="G500">
        <v>3.36</v>
      </c>
      <c r="H500">
        <f t="shared" si="22"/>
        <v>0.22100000000000009</v>
      </c>
      <c r="I500">
        <f t="shared" si="20"/>
        <v>0.81851851851851876</v>
      </c>
    </row>
    <row r="501" spans="1:9" x14ac:dyDescent="0.35">
      <c r="A501">
        <v>0</v>
      </c>
      <c r="B501" t="s">
        <v>59</v>
      </c>
      <c r="C501">
        <v>403</v>
      </c>
      <c r="D501">
        <v>70</v>
      </c>
      <c r="E501" s="29">
        <v>45622</v>
      </c>
      <c r="F501">
        <v>7.4766355140186977</v>
      </c>
      <c r="G501">
        <v>3.45</v>
      </c>
      <c r="H501">
        <f t="shared" si="22"/>
        <v>0.24000000000000021</v>
      </c>
      <c r="I501">
        <f t="shared" si="20"/>
        <v>0.88888888888888973</v>
      </c>
    </row>
    <row r="502" spans="1:9" x14ac:dyDescent="0.35">
      <c r="A502">
        <v>0</v>
      </c>
      <c r="B502" t="s">
        <v>59</v>
      </c>
      <c r="C502">
        <v>408</v>
      </c>
      <c r="D502">
        <v>70</v>
      </c>
      <c r="E502" s="29">
        <v>45622</v>
      </c>
      <c r="F502">
        <v>6.9142125480153567</v>
      </c>
      <c r="G502">
        <v>3.34</v>
      </c>
      <c r="H502">
        <f t="shared" si="22"/>
        <v>0.21599999999999975</v>
      </c>
      <c r="I502">
        <f t="shared" si="20"/>
        <v>0.79999999999999916</v>
      </c>
    </row>
    <row r="503" spans="1:9" x14ac:dyDescent="0.35">
      <c r="A503">
        <v>0</v>
      </c>
      <c r="B503" t="s">
        <v>60</v>
      </c>
      <c r="C503">
        <v>419</v>
      </c>
      <c r="D503">
        <v>70</v>
      </c>
      <c r="E503" s="29">
        <v>45622</v>
      </c>
      <c r="F503">
        <v>7.0009930486593861</v>
      </c>
      <c r="G503">
        <v>4.3099999999999996</v>
      </c>
      <c r="H503">
        <f t="shared" si="22"/>
        <v>0.28200000000000003</v>
      </c>
      <c r="I503">
        <f t="shared" si="20"/>
        <v>1.0444444444444445</v>
      </c>
    </row>
    <row r="504" spans="1:9" x14ac:dyDescent="0.35">
      <c r="A504">
        <v>0</v>
      </c>
      <c r="B504" t="s">
        <v>60</v>
      </c>
      <c r="C504">
        <v>423</v>
      </c>
      <c r="D504">
        <v>70</v>
      </c>
      <c r="E504" s="29">
        <v>45622</v>
      </c>
      <c r="F504">
        <v>7.1428571428571379</v>
      </c>
      <c r="G504">
        <v>4.38</v>
      </c>
      <c r="H504">
        <f t="shared" si="22"/>
        <v>0.29199999999999982</v>
      </c>
      <c r="I504">
        <f t="shared" si="20"/>
        <v>1.0814814814814808</v>
      </c>
    </row>
    <row r="505" spans="1:9" x14ac:dyDescent="0.35">
      <c r="A505">
        <v>0</v>
      </c>
      <c r="B505" t="s">
        <v>60</v>
      </c>
      <c r="C505">
        <v>428</v>
      </c>
      <c r="D505">
        <v>70</v>
      </c>
      <c r="E505" s="29">
        <v>45622</v>
      </c>
      <c r="F505">
        <v>6.8543132655720473</v>
      </c>
      <c r="G505">
        <v>4.0999999999999996</v>
      </c>
      <c r="H505">
        <f t="shared" si="22"/>
        <v>0.26299999999999946</v>
      </c>
      <c r="I505">
        <f t="shared" si="20"/>
        <v>0.97407407407407198</v>
      </c>
    </row>
    <row r="506" spans="1:9" x14ac:dyDescent="0.35">
      <c r="A506">
        <v>0</v>
      </c>
      <c r="B506" t="s">
        <v>61</v>
      </c>
      <c r="C506">
        <v>439</v>
      </c>
      <c r="D506">
        <v>70</v>
      </c>
      <c r="E506" s="29">
        <v>45622</v>
      </c>
      <c r="F506">
        <v>6.3607924921793639</v>
      </c>
      <c r="G506">
        <v>3.06</v>
      </c>
      <c r="H506">
        <f t="shared" si="22"/>
        <v>0.18300000000000027</v>
      </c>
      <c r="I506">
        <f t="shared" si="20"/>
        <v>0.67777777777777881</v>
      </c>
    </row>
    <row r="507" spans="1:9" x14ac:dyDescent="0.35">
      <c r="A507">
        <v>0</v>
      </c>
      <c r="B507" t="s">
        <v>61</v>
      </c>
      <c r="C507">
        <v>443</v>
      </c>
      <c r="D507">
        <v>70</v>
      </c>
      <c r="E507" s="29">
        <v>45622</v>
      </c>
      <c r="F507">
        <v>5.8419243986254266</v>
      </c>
      <c r="G507">
        <v>3.08</v>
      </c>
      <c r="H507">
        <f t="shared" si="22"/>
        <v>0.16999999999999993</v>
      </c>
      <c r="I507">
        <f t="shared" si="20"/>
        <v>0.62962962962962943</v>
      </c>
    </row>
    <row r="508" spans="1:9" x14ac:dyDescent="0.35">
      <c r="A508">
        <v>0</v>
      </c>
      <c r="B508" t="s">
        <v>61</v>
      </c>
      <c r="C508">
        <v>448</v>
      </c>
      <c r="D508">
        <v>70</v>
      </c>
      <c r="E508" s="29">
        <v>45622</v>
      </c>
      <c r="F508">
        <v>5.5223355610270852</v>
      </c>
      <c r="G508">
        <v>3</v>
      </c>
      <c r="H508">
        <f t="shared" si="22"/>
        <v>0.15700000000000003</v>
      </c>
      <c r="I508">
        <f t="shared" si="20"/>
        <v>0.5814814814814816</v>
      </c>
    </row>
    <row r="509" spans="1:9" x14ac:dyDescent="0.35">
      <c r="A509">
        <v>2</v>
      </c>
      <c r="B509" t="s">
        <v>63</v>
      </c>
      <c r="C509">
        <v>295</v>
      </c>
      <c r="D509">
        <v>70</v>
      </c>
      <c r="E509" s="29">
        <v>45622</v>
      </c>
      <c r="F509">
        <v>3.6597428288823051</v>
      </c>
      <c r="G509">
        <v>5.24</v>
      </c>
      <c r="H509">
        <f t="shared" si="22"/>
        <v>0.1850000000000005</v>
      </c>
      <c r="I509">
        <f t="shared" si="20"/>
        <v>0.68518518518518701</v>
      </c>
    </row>
    <row r="510" spans="1:9" x14ac:dyDescent="0.35">
      <c r="A510">
        <v>2</v>
      </c>
      <c r="B510" t="s">
        <v>63</v>
      </c>
      <c r="C510">
        <v>298</v>
      </c>
      <c r="D510">
        <v>70</v>
      </c>
      <c r="E510" s="29">
        <v>45622</v>
      </c>
      <c r="F510">
        <v>7.9881656804733625</v>
      </c>
      <c r="G510">
        <v>5.84</v>
      </c>
      <c r="H510">
        <f t="shared" si="22"/>
        <v>0.4319999999999995</v>
      </c>
      <c r="I510">
        <f t="shared" si="20"/>
        <v>1.5999999999999983</v>
      </c>
    </row>
    <row r="511" spans="1:9" x14ac:dyDescent="0.35">
      <c r="A511">
        <v>2</v>
      </c>
      <c r="B511" t="s">
        <v>63</v>
      </c>
      <c r="C511">
        <v>301</v>
      </c>
      <c r="D511">
        <v>70</v>
      </c>
      <c r="E511" s="29">
        <v>45622</v>
      </c>
      <c r="F511">
        <v>8.0873898045228003</v>
      </c>
      <c r="G511">
        <v>5.64</v>
      </c>
      <c r="H511">
        <f t="shared" si="22"/>
        <v>0.42199999999999971</v>
      </c>
      <c r="I511">
        <f t="shared" si="20"/>
        <v>1.5629629629629618</v>
      </c>
    </row>
    <row r="512" spans="1:9" x14ac:dyDescent="0.35">
      <c r="A512">
        <v>2</v>
      </c>
      <c r="B512" t="s">
        <v>64</v>
      </c>
      <c r="C512">
        <v>6</v>
      </c>
      <c r="D512">
        <v>70</v>
      </c>
      <c r="E512" s="29">
        <v>45622</v>
      </c>
      <c r="F512">
        <v>9.5596133190118113</v>
      </c>
      <c r="G512">
        <v>4.08</v>
      </c>
      <c r="H512">
        <f t="shared" si="22"/>
        <v>0.35599999999999987</v>
      </c>
      <c r="I512">
        <f t="shared" si="20"/>
        <v>1.318518518518518</v>
      </c>
    </row>
    <row r="513" spans="1:9" x14ac:dyDescent="0.35">
      <c r="A513">
        <v>2</v>
      </c>
      <c r="B513" t="s">
        <v>64</v>
      </c>
      <c r="C513">
        <v>10</v>
      </c>
      <c r="D513">
        <v>70</v>
      </c>
      <c r="E513" s="29">
        <v>45622</v>
      </c>
      <c r="F513">
        <v>8.9621356578588998</v>
      </c>
      <c r="G513">
        <v>4</v>
      </c>
      <c r="H513">
        <f t="shared" si="22"/>
        <v>0.32900000000000018</v>
      </c>
      <c r="I513">
        <f t="shared" si="20"/>
        <v>1.2185185185185192</v>
      </c>
    </row>
    <row r="514" spans="1:9" x14ac:dyDescent="0.35">
      <c r="A514">
        <v>2</v>
      </c>
      <c r="B514" t="s">
        <v>64</v>
      </c>
      <c r="C514">
        <v>14</v>
      </c>
      <c r="D514">
        <v>70</v>
      </c>
      <c r="E514" s="29">
        <v>45622</v>
      </c>
      <c r="F514">
        <v>9.1849935316946834</v>
      </c>
      <c r="G514">
        <v>4.22</v>
      </c>
      <c r="H514">
        <f t="shared" si="22"/>
        <v>0.35499999999999954</v>
      </c>
      <c r="I514">
        <f t="shared" si="20"/>
        <v>1.3148148148148131</v>
      </c>
    </row>
    <row r="515" spans="1:9" x14ac:dyDescent="0.35">
      <c r="A515">
        <v>4</v>
      </c>
      <c r="B515" t="s">
        <v>64</v>
      </c>
      <c r="C515">
        <v>26</v>
      </c>
      <c r="D515">
        <v>70</v>
      </c>
      <c r="E515" s="29">
        <v>45622</v>
      </c>
      <c r="F515">
        <v>9.0047393364928894</v>
      </c>
      <c r="G515">
        <v>4.5999999999999996</v>
      </c>
      <c r="H515">
        <f t="shared" si="22"/>
        <v>0.37999999999999989</v>
      </c>
      <c r="I515">
        <f t="shared" ref="I515:I578" si="23">H515/27*100</f>
        <v>1.407407407407407</v>
      </c>
    </row>
    <row r="516" spans="1:9" x14ac:dyDescent="0.35">
      <c r="A516">
        <v>4</v>
      </c>
      <c r="B516" t="s">
        <v>64</v>
      </c>
      <c r="C516">
        <v>30</v>
      </c>
      <c r="D516">
        <v>70</v>
      </c>
      <c r="E516" s="29">
        <v>45622</v>
      </c>
      <c r="F516">
        <v>9.1515729265967671</v>
      </c>
      <c r="G516">
        <v>4.58</v>
      </c>
      <c r="H516">
        <f t="shared" si="22"/>
        <v>0.38400000000000034</v>
      </c>
      <c r="I516">
        <f t="shared" si="23"/>
        <v>1.4222222222222236</v>
      </c>
    </row>
    <row r="517" spans="1:9" x14ac:dyDescent="0.35">
      <c r="A517">
        <v>4</v>
      </c>
      <c r="B517" t="s">
        <v>64</v>
      </c>
      <c r="C517">
        <v>34</v>
      </c>
      <c r="D517">
        <v>70</v>
      </c>
      <c r="E517" s="29">
        <v>45622</v>
      </c>
      <c r="F517">
        <v>9.4303947057433231</v>
      </c>
      <c r="G517">
        <v>4.63</v>
      </c>
      <c r="H517">
        <f t="shared" si="22"/>
        <v>0.39900000000000002</v>
      </c>
      <c r="I517">
        <f t="shared" si="23"/>
        <v>1.4777777777777779</v>
      </c>
    </row>
    <row r="518" spans="1:9" x14ac:dyDescent="0.35">
      <c r="A518">
        <v>2</v>
      </c>
      <c r="B518" t="s">
        <v>65</v>
      </c>
      <c r="C518">
        <v>46</v>
      </c>
      <c r="D518">
        <v>70</v>
      </c>
      <c r="E518" s="29">
        <v>45622</v>
      </c>
      <c r="F518">
        <v>8.6439333862014447</v>
      </c>
      <c r="G518">
        <v>5.48</v>
      </c>
      <c r="H518">
        <f t="shared" si="22"/>
        <v>0.43600000000000083</v>
      </c>
      <c r="I518">
        <f t="shared" si="23"/>
        <v>1.6148148148148178</v>
      </c>
    </row>
    <row r="519" spans="1:9" x14ac:dyDescent="0.35">
      <c r="A519">
        <v>2</v>
      </c>
      <c r="B519" t="s">
        <v>65</v>
      </c>
      <c r="C519">
        <v>50</v>
      </c>
      <c r="D519">
        <v>70</v>
      </c>
      <c r="E519" s="29">
        <v>45622</v>
      </c>
      <c r="F519">
        <v>8.892586430024032</v>
      </c>
      <c r="G519">
        <v>5.89</v>
      </c>
      <c r="H519">
        <f t="shared" si="22"/>
        <v>0.48099999999999987</v>
      </c>
      <c r="I519">
        <f t="shared" si="23"/>
        <v>1.7814814814814812</v>
      </c>
    </row>
    <row r="520" spans="1:9" x14ac:dyDescent="0.35">
      <c r="A520">
        <v>2</v>
      </c>
      <c r="B520" t="s">
        <v>65</v>
      </c>
      <c r="C520">
        <v>54</v>
      </c>
      <c r="D520">
        <v>70</v>
      </c>
      <c r="E520" s="29">
        <v>45622</v>
      </c>
      <c r="F520">
        <v>8.4057971014492843</v>
      </c>
      <c r="G520">
        <v>5.61</v>
      </c>
      <c r="H520">
        <f t="shared" si="22"/>
        <v>0.4350000000000005</v>
      </c>
      <c r="I520">
        <f t="shared" si="23"/>
        <v>1.6111111111111127</v>
      </c>
    </row>
    <row r="521" spans="1:9" x14ac:dyDescent="0.35">
      <c r="A521">
        <v>4</v>
      </c>
      <c r="B521" t="s">
        <v>65</v>
      </c>
      <c r="C521">
        <v>67</v>
      </c>
      <c r="D521">
        <v>70</v>
      </c>
      <c r="E521" s="29">
        <v>45622</v>
      </c>
      <c r="F521">
        <v>7.9329608938547587</v>
      </c>
      <c r="G521">
        <v>4.83</v>
      </c>
      <c r="H521">
        <f t="shared" si="22"/>
        <v>0.35500000000000043</v>
      </c>
      <c r="I521">
        <f t="shared" si="23"/>
        <v>1.3148148148148164</v>
      </c>
    </row>
    <row r="522" spans="1:9" x14ac:dyDescent="0.35">
      <c r="A522">
        <v>4</v>
      </c>
      <c r="B522" t="s">
        <v>65</v>
      </c>
      <c r="C522">
        <v>71</v>
      </c>
      <c r="D522">
        <v>70</v>
      </c>
      <c r="E522" s="29">
        <v>45622</v>
      </c>
      <c r="F522">
        <v>8.4212704324436167</v>
      </c>
      <c r="G522">
        <v>5.24</v>
      </c>
      <c r="H522">
        <f t="shared" si="22"/>
        <v>0.40700000000000003</v>
      </c>
      <c r="I522">
        <f t="shared" si="23"/>
        <v>1.5074074074074075</v>
      </c>
    </row>
    <row r="523" spans="1:9" x14ac:dyDescent="0.35">
      <c r="A523">
        <v>4</v>
      </c>
      <c r="B523" t="s">
        <v>65</v>
      </c>
      <c r="C523">
        <v>75</v>
      </c>
      <c r="D523">
        <v>70</v>
      </c>
      <c r="E523" s="29">
        <v>45622</v>
      </c>
      <c r="F523">
        <v>8.5963867381377774</v>
      </c>
      <c r="G523">
        <v>5.47</v>
      </c>
      <c r="H523">
        <f t="shared" si="22"/>
        <v>0.43299999999999983</v>
      </c>
      <c r="I523">
        <f t="shared" si="23"/>
        <v>1.603703703703703</v>
      </c>
    </row>
    <row r="524" spans="1:9" x14ac:dyDescent="0.35">
      <c r="A524">
        <v>2</v>
      </c>
      <c r="B524" t="s">
        <v>66</v>
      </c>
      <c r="C524">
        <v>87</v>
      </c>
      <c r="D524">
        <v>70</v>
      </c>
      <c r="E524" s="29">
        <v>45622</v>
      </c>
      <c r="F524">
        <v>8.6453106908529413</v>
      </c>
      <c r="G524">
        <v>5.63</v>
      </c>
      <c r="H524">
        <f t="shared" si="22"/>
        <v>0.44799999999999951</v>
      </c>
      <c r="I524">
        <f t="shared" si="23"/>
        <v>1.6592592592592577</v>
      </c>
    </row>
    <row r="525" spans="1:9" x14ac:dyDescent="0.35">
      <c r="A525">
        <v>2</v>
      </c>
      <c r="B525" t="s">
        <v>66</v>
      </c>
      <c r="C525">
        <v>91</v>
      </c>
      <c r="D525">
        <v>70</v>
      </c>
      <c r="E525" s="29">
        <v>45622</v>
      </c>
      <c r="F525">
        <v>8.0651569328565884</v>
      </c>
      <c r="G525">
        <v>5.44</v>
      </c>
      <c r="H525">
        <f t="shared" si="22"/>
        <v>0.40600000000000058</v>
      </c>
      <c r="I525">
        <f t="shared" si="23"/>
        <v>1.503703703703706</v>
      </c>
    </row>
    <row r="526" spans="1:9" x14ac:dyDescent="0.35">
      <c r="A526">
        <v>2</v>
      </c>
      <c r="B526" t="s">
        <v>66</v>
      </c>
      <c r="C526">
        <v>95</v>
      </c>
      <c r="D526">
        <v>70</v>
      </c>
      <c r="E526" s="29">
        <v>45622</v>
      </c>
      <c r="F526">
        <v>8.7198515769944454</v>
      </c>
      <c r="G526">
        <v>5.86</v>
      </c>
      <c r="H526">
        <f t="shared" si="22"/>
        <v>0.47000000000000064</v>
      </c>
      <c r="I526">
        <f t="shared" si="23"/>
        <v>1.7407407407407431</v>
      </c>
    </row>
    <row r="527" spans="1:9" x14ac:dyDescent="0.35">
      <c r="A527">
        <v>4</v>
      </c>
      <c r="B527" t="s">
        <v>66</v>
      </c>
      <c r="C527">
        <v>107</v>
      </c>
      <c r="D527">
        <v>70</v>
      </c>
      <c r="E527" s="29">
        <v>45622</v>
      </c>
      <c r="F527">
        <v>8.0704200801812807</v>
      </c>
      <c r="G527">
        <v>6.2</v>
      </c>
      <c r="H527">
        <f t="shared" si="22"/>
        <v>0.46300000000000008</v>
      </c>
      <c r="I527">
        <f t="shared" si="23"/>
        <v>1.7148148148148152</v>
      </c>
    </row>
    <row r="528" spans="1:9" x14ac:dyDescent="0.35">
      <c r="A528">
        <v>4</v>
      </c>
      <c r="B528" t="s">
        <v>66</v>
      </c>
      <c r="C528">
        <v>111</v>
      </c>
      <c r="D528">
        <v>70</v>
      </c>
      <c r="E528" s="29">
        <v>45622</v>
      </c>
      <c r="F528">
        <v>8.3068694634798721</v>
      </c>
      <c r="G528">
        <v>6.48</v>
      </c>
      <c r="H528">
        <f t="shared" si="22"/>
        <v>0.49700000000000077</v>
      </c>
      <c r="I528">
        <f t="shared" si="23"/>
        <v>1.8407407407407435</v>
      </c>
    </row>
    <row r="529" spans="1:9" x14ac:dyDescent="0.35">
      <c r="A529">
        <v>4</v>
      </c>
      <c r="B529" t="s">
        <v>66</v>
      </c>
      <c r="C529">
        <v>115</v>
      </c>
      <c r="D529">
        <v>70</v>
      </c>
      <c r="E529" s="29">
        <v>45622</v>
      </c>
      <c r="F529">
        <v>8.1752083702784066</v>
      </c>
      <c r="G529">
        <v>6.1</v>
      </c>
      <c r="H529">
        <f t="shared" si="22"/>
        <v>0.46099999999999941</v>
      </c>
      <c r="I529">
        <f t="shared" si="23"/>
        <v>1.707407407407405</v>
      </c>
    </row>
    <row r="530" spans="1:9" x14ac:dyDescent="0.35">
      <c r="A530">
        <v>2</v>
      </c>
      <c r="B530" t="s">
        <v>58</v>
      </c>
      <c r="C530">
        <v>128</v>
      </c>
      <c r="D530">
        <v>70</v>
      </c>
      <c r="E530" s="29">
        <v>45622</v>
      </c>
      <c r="F530">
        <v>7.8990228013029293</v>
      </c>
      <c r="G530">
        <v>2.65</v>
      </c>
      <c r="H530">
        <f t="shared" si="22"/>
        <v>0.19399999999999995</v>
      </c>
      <c r="I530">
        <f t="shared" si="23"/>
        <v>0.71851851851851833</v>
      </c>
    </row>
    <row r="531" spans="1:9" x14ac:dyDescent="0.35">
      <c r="A531">
        <v>2</v>
      </c>
      <c r="B531" t="s">
        <v>58</v>
      </c>
      <c r="C531">
        <v>133</v>
      </c>
      <c r="D531">
        <v>70</v>
      </c>
      <c r="E531" s="29">
        <v>45622</v>
      </c>
      <c r="F531">
        <v>7.83487784330244</v>
      </c>
      <c r="G531">
        <v>2.56</v>
      </c>
      <c r="H531">
        <f t="shared" si="22"/>
        <v>0.18599999999999994</v>
      </c>
      <c r="I531">
        <f t="shared" si="23"/>
        <v>0.68888888888888866</v>
      </c>
    </row>
    <row r="532" spans="1:9" x14ac:dyDescent="0.35">
      <c r="A532">
        <v>2</v>
      </c>
      <c r="B532" t="s">
        <v>58</v>
      </c>
      <c r="C532">
        <v>139</v>
      </c>
      <c r="D532">
        <v>70</v>
      </c>
      <c r="E532" s="29">
        <v>45622</v>
      </c>
      <c r="F532">
        <v>7.6987799747581107</v>
      </c>
      <c r="G532">
        <v>2.56</v>
      </c>
      <c r="H532">
        <f t="shared" si="22"/>
        <v>0.18300000000000027</v>
      </c>
      <c r="I532">
        <f t="shared" si="23"/>
        <v>0.67777777777777881</v>
      </c>
    </row>
    <row r="533" spans="1:9" x14ac:dyDescent="0.35">
      <c r="A533">
        <v>4</v>
      </c>
      <c r="B533" t="s">
        <v>58</v>
      </c>
      <c r="C533">
        <v>150</v>
      </c>
      <c r="D533">
        <v>70</v>
      </c>
      <c r="E533" s="29">
        <v>45622</v>
      </c>
      <c r="F533">
        <v>9.9999999999999929</v>
      </c>
      <c r="G533">
        <v>3.3</v>
      </c>
      <c r="H533">
        <f t="shared" si="22"/>
        <v>0.29999999999999982</v>
      </c>
      <c r="I533">
        <f t="shared" si="23"/>
        <v>1.1111111111111105</v>
      </c>
    </row>
    <row r="534" spans="1:9" x14ac:dyDescent="0.35">
      <c r="A534">
        <v>4</v>
      </c>
      <c r="B534" t="s">
        <v>58</v>
      </c>
      <c r="C534">
        <v>156</v>
      </c>
      <c r="D534">
        <v>70</v>
      </c>
      <c r="E534" s="29">
        <v>45622</v>
      </c>
      <c r="F534">
        <v>10.20408163265305</v>
      </c>
      <c r="G534">
        <v>3.78</v>
      </c>
      <c r="H534">
        <f t="shared" si="22"/>
        <v>0.34999999999999964</v>
      </c>
      <c r="I534">
        <f t="shared" si="23"/>
        <v>1.2962962962962949</v>
      </c>
    </row>
    <row r="535" spans="1:9" x14ac:dyDescent="0.35">
      <c r="A535">
        <v>4</v>
      </c>
      <c r="B535" t="s">
        <v>58</v>
      </c>
      <c r="C535">
        <v>158</v>
      </c>
      <c r="D535">
        <v>70</v>
      </c>
      <c r="E535" s="29">
        <v>45622</v>
      </c>
      <c r="F535">
        <v>8.7186727850335295</v>
      </c>
      <c r="G535">
        <v>3.08</v>
      </c>
      <c r="H535">
        <f t="shared" si="22"/>
        <v>0.24699999999999989</v>
      </c>
      <c r="I535">
        <f t="shared" si="23"/>
        <v>0.9148148148148143</v>
      </c>
    </row>
    <row r="536" spans="1:9" x14ac:dyDescent="0.35">
      <c r="A536">
        <v>2</v>
      </c>
      <c r="B536" t="s">
        <v>59</v>
      </c>
      <c r="C536">
        <v>191</v>
      </c>
      <c r="D536">
        <v>70</v>
      </c>
      <c r="E536" s="29">
        <v>45622</v>
      </c>
      <c r="F536">
        <v>8.8149822408782725</v>
      </c>
      <c r="G536">
        <v>3.37</v>
      </c>
      <c r="H536">
        <f t="shared" si="22"/>
        <v>0.27300000000000013</v>
      </c>
      <c r="I536">
        <f t="shared" si="23"/>
        <v>1.0111111111111115</v>
      </c>
    </row>
    <row r="537" spans="1:9" x14ac:dyDescent="0.35">
      <c r="A537">
        <v>2</v>
      </c>
      <c r="B537" t="s">
        <v>59</v>
      </c>
      <c r="C537">
        <v>197</v>
      </c>
      <c r="D537">
        <v>70</v>
      </c>
      <c r="E537" s="29">
        <v>45622</v>
      </c>
      <c r="F537">
        <v>8.7786259541984677</v>
      </c>
      <c r="G537">
        <v>3.42</v>
      </c>
      <c r="H537">
        <f t="shared" si="22"/>
        <v>0.2759999999999998</v>
      </c>
      <c r="I537">
        <f t="shared" si="23"/>
        <v>1.0222222222222215</v>
      </c>
    </row>
    <row r="538" spans="1:9" x14ac:dyDescent="0.35">
      <c r="A538">
        <v>2</v>
      </c>
      <c r="B538" t="s">
        <v>59</v>
      </c>
      <c r="C538">
        <v>204</v>
      </c>
      <c r="D538">
        <v>70</v>
      </c>
      <c r="E538" s="29">
        <v>45622</v>
      </c>
      <c r="F538">
        <v>9.3486331420857294</v>
      </c>
      <c r="G538">
        <v>3.24</v>
      </c>
      <c r="H538">
        <f t="shared" si="22"/>
        <v>0.27700000000000014</v>
      </c>
      <c r="I538">
        <f t="shared" si="23"/>
        <v>1.0259259259259266</v>
      </c>
    </row>
    <row r="539" spans="1:9" x14ac:dyDescent="0.35">
      <c r="A539">
        <v>4</v>
      </c>
      <c r="B539" t="s">
        <v>59</v>
      </c>
      <c r="C539">
        <v>233</v>
      </c>
      <c r="D539">
        <v>70</v>
      </c>
      <c r="E539" s="29">
        <v>45622</v>
      </c>
      <c r="F539">
        <v>10.043397396156225</v>
      </c>
      <c r="G539">
        <v>3.55</v>
      </c>
      <c r="H539">
        <f t="shared" si="22"/>
        <v>0.32399999999999984</v>
      </c>
      <c r="I539">
        <f t="shared" si="23"/>
        <v>1.1999999999999995</v>
      </c>
    </row>
    <row r="540" spans="1:9" x14ac:dyDescent="0.35">
      <c r="A540">
        <v>4</v>
      </c>
      <c r="B540" t="s">
        <v>59</v>
      </c>
      <c r="C540">
        <v>239</v>
      </c>
      <c r="D540">
        <v>70</v>
      </c>
      <c r="E540" s="29">
        <v>45622</v>
      </c>
      <c r="F540">
        <v>10.309588217613465</v>
      </c>
      <c r="G540">
        <v>3.67</v>
      </c>
      <c r="H540">
        <f t="shared" si="22"/>
        <v>0.34299999999999997</v>
      </c>
      <c r="I540">
        <f t="shared" si="23"/>
        <v>1.2703703703703704</v>
      </c>
    </row>
    <row r="541" spans="1:9" x14ac:dyDescent="0.35">
      <c r="A541">
        <v>4</v>
      </c>
      <c r="B541" t="s">
        <v>59</v>
      </c>
      <c r="C541">
        <v>242</v>
      </c>
      <c r="D541">
        <v>70</v>
      </c>
      <c r="E541" s="29">
        <v>45622</v>
      </c>
      <c r="F541">
        <v>10.497237569060776</v>
      </c>
      <c r="G541">
        <v>3.6</v>
      </c>
      <c r="H541">
        <f t="shared" si="22"/>
        <v>0.34200000000000008</v>
      </c>
      <c r="I541">
        <f t="shared" si="23"/>
        <v>1.2666666666666671</v>
      </c>
    </row>
    <row r="542" spans="1:9" x14ac:dyDescent="0.35">
      <c r="A542">
        <v>2</v>
      </c>
      <c r="B542" t="s">
        <v>62</v>
      </c>
      <c r="C542">
        <v>255</v>
      </c>
      <c r="D542">
        <v>70</v>
      </c>
      <c r="E542" s="29">
        <v>45622</v>
      </c>
      <c r="F542">
        <v>6.5573770491803334</v>
      </c>
      <c r="G542">
        <v>3.77</v>
      </c>
      <c r="H542">
        <f t="shared" si="22"/>
        <v>0.23200000000000021</v>
      </c>
      <c r="I542">
        <f t="shared" si="23"/>
        <v>0.85925925925925994</v>
      </c>
    </row>
    <row r="543" spans="1:9" x14ac:dyDescent="0.35">
      <c r="A543">
        <v>2</v>
      </c>
      <c r="B543" t="s">
        <v>62</v>
      </c>
      <c r="C543">
        <v>264</v>
      </c>
      <c r="D543">
        <v>70</v>
      </c>
      <c r="E543" s="29">
        <v>45622</v>
      </c>
      <c r="F543">
        <v>7.0599933708982459</v>
      </c>
      <c r="G543">
        <v>3.23</v>
      </c>
      <c r="H543">
        <f t="shared" si="22"/>
        <v>0.21300000000000008</v>
      </c>
      <c r="I543">
        <f t="shared" si="23"/>
        <v>0.78888888888888919</v>
      </c>
    </row>
    <row r="544" spans="1:9" x14ac:dyDescent="0.35">
      <c r="A544">
        <v>2</v>
      </c>
      <c r="B544" t="s">
        <v>62</v>
      </c>
      <c r="C544">
        <v>270</v>
      </c>
      <c r="D544">
        <v>70</v>
      </c>
      <c r="E544" s="29">
        <v>45622</v>
      </c>
      <c r="F544">
        <v>8.0485115766262361</v>
      </c>
      <c r="G544">
        <v>3.92</v>
      </c>
      <c r="H544">
        <f t="shared" si="22"/>
        <v>0.29199999999999982</v>
      </c>
      <c r="I544">
        <f t="shared" si="23"/>
        <v>1.0814814814814808</v>
      </c>
    </row>
    <row r="545" spans="1:9" x14ac:dyDescent="0.35">
      <c r="A545">
        <v>4</v>
      </c>
      <c r="B545" t="s">
        <v>62</v>
      </c>
      <c r="C545">
        <v>274</v>
      </c>
      <c r="D545">
        <v>70</v>
      </c>
      <c r="E545" s="29">
        <v>45622</v>
      </c>
      <c r="F545">
        <v>8.1149834647672332</v>
      </c>
      <c r="G545">
        <v>4.25</v>
      </c>
      <c r="H545">
        <f t="shared" si="22"/>
        <v>0.31899999999999995</v>
      </c>
      <c r="I545">
        <f t="shared" si="23"/>
        <v>1.1814814814814814</v>
      </c>
    </row>
    <row r="546" spans="1:9" x14ac:dyDescent="0.35">
      <c r="A546">
        <v>4</v>
      </c>
      <c r="B546" t="s">
        <v>62</v>
      </c>
      <c r="C546">
        <v>277</v>
      </c>
      <c r="D546">
        <v>70</v>
      </c>
      <c r="E546" s="29">
        <v>45622</v>
      </c>
      <c r="F546">
        <v>8.1428204469560796</v>
      </c>
      <c r="G546">
        <v>4.21</v>
      </c>
      <c r="H546">
        <f t="shared" si="22"/>
        <v>0.31700000000000017</v>
      </c>
      <c r="I546">
        <f t="shared" si="23"/>
        <v>1.1740740740740747</v>
      </c>
    </row>
    <row r="547" spans="1:9" x14ac:dyDescent="0.35">
      <c r="A547">
        <v>4</v>
      </c>
      <c r="B547" t="s">
        <v>62</v>
      </c>
      <c r="C547">
        <v>282</v>
      </c>
      <c r="D547">
        <v>70</v>
      </c>
      <c r="E547" s="29">
        <v>45622</v>
      </c>
      <c r="F547">
        <v>8.4533840717586415</v>
      </c>
      <c r="G547">
        <v>3.99</v>
      </c>
      <c r="H547">
        <f t="shared" si="22"/>
        <v>0.31100000000000039</v>
      </c>
      <c r="I547">
        <f t="shared" si="23"/>
        <v>1.1518518518518532</v>
      </c>
    </row>
    <row r="548" spans="1:9" x14ac:dyDescent="0.35">
      <c r="A548">
        <v>2</v>
      </c>
      <c r="B548" t="s">
        <v>61</v>
      </c>
      <c r="C548">
        <v>166</v>
      </c>
      <c r="D548">
        <v>70</v>
      </c>
      <c r="E548" s="29">
        <v>45622</v>
      </c>
      <c r="F548">
        <v>7.7274457556147809</v>
      </c>
      <c r="G548">
        <v>2.83</v>
      </c>
      <c r="H548">
        <f t="shared" si="22"/>
        <v>0.20300000000000029</v>
      </c>
      <c r="I548">
        <f t="shared" si="23"/>
        <v>0.75185185185185299</v>
      </c>
    </row>
    <row r="549" spans="1:9" x14ac:dyDescent="0.35">
      <c r="A549">
        <v>2</v>
      </c>
      <c r="B549" t="s">
        <v>61</v>
      </c>
      <c r="C549">
        <v>172</v>
      </c>
      <c r="D549">
        <v>70</v>
      </c>
      <c r="E549" s="29">
        <v>45622</v>
      </c>
      <c r="F549">
        <v>7.6859843814221245</v>
      </c>
      <c r="G549">
        <v>2.62</v>
      </c>
      <c r="H549">
        <f t="shared" si="22"/>
        <v>0.18700000000000028</v>
      </c>
      <c r="I549">
        <f t="shared" si="23"/>
        <v>0.69259259259259365</v>
      </c>
    </row>
    <row r="550" spans="1:9" x14ac:dyDescent="0.35">
      <c r="A550">
        <v>2</v>
      </c>
      <c r="B550" t="s">
        <v>61</v>
      </c>
      <c r="C550">
        <v>175</v>
      </c>
      <c r="D550">
        <v>70</v>
      </c>
      <c r="E550" s="29">
        <v>45622</v>
      </c>
      <c r="F550">
        <v>7.880642693190512</v>
      </c>
      <c r="G550">
        <v>2.82</v>
      </c>
      <c r="H550">
        <f t="shared" ref="H550:H554" si="24">G550-G67</f>
        <v>0.20599999999999996</v>
      </c>
      <c r="I550">
        <f t="shared" si="23"/>
        <v>0.76296296296296284</v>
      </c>
    </row>
    <row r="551" spans="1:9" x14ac:dyDescent="0.35">
      <c r="A551">
        <v>4</v>
      </c>
      <c r="B551" t="s">
        <v>61</v>
      </c>
      <c r="C551">
        <v>211</v>
      </c>
      <c r="D551">
        <v>70</v>
      </c>
      <c r="E551" s="29">
        <v>45622</v>
      </c>
      <c r="F551">
        <v>8.5899513776337155</v>
      </c>
      <c r="G551">
        <v>3.35</v>
      </c>
      <c r="H551">
        <f t="shared" si="24"/>
        <v>0.26500000000000012</v>
      </c>
      <c r="I551">
        <f t="shared" si="23"/>
        <v>0.98148148148148195</v>
      </c>
    </row>
    <row r="552" spans="1:9" x14ac:dyDescent="0.35">
      <c r="A552">
        <v>4</v>
      </c>
      <c r="B552" t="s">
        <v>61</v>
      </c>
      <c r="C552">
        <v>217</v>
      </c>
      <c r="D552">
        <v>70</v>
      </c>
      <c r="E552" s="29">
        <v>45622</v>
      </c>
      <c r="F552">
        <v>9.4607684856312613</v>
      </c>
      <c r="G552">
        <v>3.39</v>
      </c>
      <c r="H552">
        <f t="shared" si="24"/>
        <v>0.29300000000000015</v>
      </c>
      <c r="I552">
        <f t="shared" si="23"/>
        <v>1.0851851851851857</v>
      </c>
    </row>
    <row r="553" spans="1:9" x14ac:dyDescent="0.35">
      <c r="A553">
        <v>4</v>
      </c>
      <c r="B553" t="s">
        <v>61</v>
      </c>
      <c r="C553">
        <v>223</v>
      </c>
      <c r="D553">
        <v>70</v>
      </c>
      <c r="E553" s="29">
        <v>45622</v>
      </c>
      <c r="F553">
        <v>7.9059829059829054</v>
      </c>
      <c r="G553">
        <v>3.03</v>
      </c>
      <c r="H553">
        <f t="shared" si="24"/>
        <v>0.22199999999999998</v>
      </c>
      <c r="I553">
        <f t="shared" si="23"/>
        <v>0.82222222222222208</v>
      </c>
    </row>
    <row r="554" spans="1:9" x14ac:dyDescent="0.35">
      <c r="A554">
        <v>0</v>
      </c>
      <c r="B554" t="s">
        <v>63</v>
      </c>
      <c r="C554">
        <v>316</v>
      </c>
      <c r="D554">
        <v>70</v>
      </c>
      <c r="E554" s="29">
        <v>45623</v>
      </c>
      <c r="F554">
        <v>8.0550098231827167</v>
      </c>
      <c r="G554">
        <v>7.15</v>
      </c>
      <c r="H554">
        <f>G554-G2</f>
        <v>0.53300000000000036</v>
      </c>
      <c r="I554">
        <f t="shared" si="23"/>
        <v>1.9740740740740752</v>
      </c>
    </row>
    <row r="555" spans="1:9" x14ac:dyDescent="0.35">
      <c r="A555">
        <v>0</v>
      </c>
      <c r="B555" t="s">
        <v>63</v>
      </c>
      <c r="C555">
        <v>320</v>
      </c>
      <c r="D555">
        <v>70</v>
      </c>
      <c r="E555" s="29">
        <v>45623</v>
      </c>
      <c r="F555">
        <v>7.8325351459910486</v>
      </c>
      <c r="G555">
        <v>6.98</v>
      </c>
      <c r="H555">
        <f t="shared" ref="H555:H618" si="25">G555-G3</f>
        <v>0.50700000000000056</v>
      </c>
      <c r="I555">
        <f t="shared" si="23"/>
        <v>1.87777777777778</v>
      </c>
    </row>
    <row r="556" spans="1:9" x14ac:dyDescent="0.35">
      <c r="A556">
        <v>0</v>
      </c>
      <c r="B556" t="s">
        <v>63</v>
      </c>
      <c r="C556">
        <v>325</v>
      </c>
      <c r="D556">
        <v>70</v>
      </c>
      <c r="E556" s="29">
        <v>45623</v>
      </c>
      <c r="F556">
        <v>6.2336814621409866</v>
      </c>
      <c r="G556">
        <v>6.51</v>
      </c>
      <c r="H556">
        <f t="shared" si="25"/>
        <v>0.38199999999999967</v>
      </c>
      <c r="I556">
        <f t="shared" si="23"/>
        <v>1.4148148148148136</v>
      </c>
    </row>
    <row r="557" spans="1:9" x14ac:dyDescent="0.35">
      <c r="A557">
        <v>0</v>
      </c>
      <c r="B557" t="s">
        <v>64</v>
      </c>
      <c r="C557">
        <v>332</v>
      </c>
      <c r="D557">
        <v>70</v>
      </c>
      <c r="E557" s="29">
        <v>45623</v>
      </c>
      <c r="F557">
        <v>7.2192513368983846</v>
      </c>
      <c r="G557">
        <v>4.01</v>
      </c>
      <c r="H557">
        <f t="shared" si="25"/>
        <v>0.26999999999999957</v>
      </c>
      <c r="I557">
        <f t="shared" si="23"/>
        <v>0.99999999999999845</v>
      </c>
    </row>
    <row r="558" spans="1:9" x14ac:dyDescent="0.35">
      <c r="A558">
        <v>0</v>
      </c>
      <c r="B558" t="s">
        <v>64</v>
      </c>
      <c r="C558">
        <v>336</v>
      </c>
      <c r="D558">
        <v>70</v>
      </c>
      <c r="E558" s="29">
        <v>45623</v>
      </c>
      <c r="F558">
        <v>7.6561275150248269</v>
      </c>
      <c r="G558">
        <v>4.12</v>
      </c>
      <c r="H558">
        <f t="shared" si="25"/>
        <v>0.29300000000000015</v>
      </c>
      <c r="I558">
        <f t="shared" si="23"/>
        <v>1.0851851851851857</v>
      </c>
    </row>
    <row r="559" spans="1:9" x14ac:dyDescent="0.35">
      <c r="A559">
        <v>0</v>
      </c>
      <c r="B559" t="s">
        <v>64</v>
      </c>
      <c r="C559">
        <v>341</v>
      </c>
      <c r="D559">
        <v>70</v>
      </c>
      <c r="E559" s="29">
        <v>45623</v>
      </c>
      <c r="F559">
        <v>7.3197578425976895</v>
      </c>
      <c r="G559">
        <v>3.9</v>
      </c>
      <c r="H559">
        <f t="shared" si="25"/>
        <v>0.26600000000000001</v>
      </c>
      <c r="I559">
        <f t="shared" si="23"/>
        <v>0.98518518518518527</v>
      </c>
    </row>
    <row r="560" spans="1:9" x14ac:dyDescent="0.35">
      <c r="A560">
        <v>0</v>
      </c>
      <c r="B560" t="s">
        <v>65</v>
      </c>
      <c r="C560">
        <v>348</v>
      </c>
      <c r="D560">
        <v>70</v>
      </c>
      <c r="E560" s="29">
        <v>45623</v>
      </c>
      <c r="F560">
        <v>7.3161265282359933</v>
      </c>
      <c r="G560">
        <v>5.53</v>
      </c>
      <c r="H560">
        <f t="shared" si="25"/>
        <v>0.37700000000000067</v>
      </c>
      <c r="I560">
        <f t="shared" si="23"/>
        <v>1.3962962962962988</v>
      </c>
    </row>
    <row r="561" spans="1:9" x14ac:dyDescent="0.35">
      <c r="A561">
        <v>0</v>
      </c>
      <c r="B561" t="s">
        <v>65</v>
      </c>
      <c r="C561">
        <v>352</v>
      </c>
      <c r="D561">
        <v>70</v>
      </c>
      <c r="E561" s="29">
        <v>45623</v>
      </c>
      <c r="F561">
        <v>7.613050944476246</v>
      </c>
      <c r="G561">
        <v>5.64</v>
      </c>
      <c r="H561">
        <f t="shared" si="25"/>
        <v>0.39900000000000002</v>
      </c>
      <c r="I561">
        <f t="shared" si="23"/>
        <v>1.4777777777777779</v>
      </c>
    </row>
    <row r="562" spans="1:9" x14ac:dyDescent="0.35">
      <c r="A562">
        <v>0</v>
      </c>
      <c r="B562" t="s">
        <v>65</v>
      </c>
      <c r="C562">
        <v>357</v>
      </c>
      <c r="D562">
        <v>70</v>
      </c>
      <c r="E562" s="29">
        <v>45623</v>
      </c>
      <c r="F562">
        <v>8.0504364694471384</v>
      </c>
      <c r="G562">
        <v>5.57</v>
      </c>
      <c r="H562">
        <f t="shared" si="25"/>
        <v>0.41500000000000004</v>
      </c>
      <c r="I562">
        <f t="shared" si="23"/>
        <v>1.5370370370370372</v>
      </c>
    </row>
    <row r="563" spans="1:9" x14ac:dyDescent="0.35">
      <c r="A563">
        <v>0</v>
      </c>
      <c r="B563" t="s">
        <v>66</v>
      </c>
      <c r="C563">
        <v>368</v>
      </c>
      <c r="D563">
        <v>70</v>
      </c>
      <c r="E563" s="29">
        <v>45623</v>
      </c>
      <c r="F563">
        <v>7.8961129510197017</v>
      </c>
      <c r="G563">
        <v>6.19</v>
      </c>
      <c r="H563">
        <f t="shared" si="25"/>
        <v>0.45300000000000029</v>
      </c>
      <c r="I563">
        <f t="shared" si="23"/>
        <v>1.6777777777777787</v>
      </c>
    </row>
    <row r="564" spans="1:9" x14ac:dyDescent="0.35">
      <c r="A564">
        <v>0</v>
      </c>
      <c r="B564" t="s">
        <v>66</v>
      </c>
      <c r="C564">
        <v>372</v>
      </c>
      <c r="D564">
        <v>70</v>
      </c>
      <c r="E564" s="29">
        <v>45623</v>
      </c>
      <c r="F564">
        <v>8.1431115428201419</v>
      </c>
      <c r="G564">
        <v>6.68</v>
      </c>
      <c r="H564">
        <f t="shared" si="25"/>
        <v>0.50300000000000011</v>
      </c>
      <c r="I564">
        <f t="shared" si="23"/>
        <v>1.8629629629629636</v>
      </c>
    </row>
    <row r="565" spans="1:9" x14ac:dyDescent="0.35">
      <c r="A565">
        <v>0</v>
      </c>
      <c r="B565" t="s">
        <v>66</v>
      </c>
      <c r="C565">
        <v>377</v>
      </c>
      <c r="D565">
        <v>70</v>
      </c>
      <c r="E565" s="29">
        <v>45623</v>
      </c>
      <c r="F565">
        <v>7.7407591579645221</v>
      </c>
      <c r="G565">
        <v>6.5</v>
      </c>
      <c r="H565">
        <f t="shared" si="25"/>
        <v>0.46699999999999964</v>
      </c>
      <c r="I565">
        <f t="shared" si="23"/>
        <v>1.7296296296296281</v>
      </c>
    </row>
    <row r="566" spans="1:9" x14ac:dyDescent="0.35">
      <c r="A566">
        <v>0</v>
      </c>
      <c r="B566" t="s">
        <v>58</v>
      </c>
      <c r="C566">
        <v>384</v>
      </c>
      <c r="D566">
        <v>70</v>
      </c>
      <c r="E566" s="29">
        <v>45623</v>
      </c>
      <c r="F566">
        <v>6.3607924921793639</v>
      </c>
      <c r="G566">
        <v>3.06</v>
      </c>
      <c r="H566">
        <f t="shared" si="25"/>
        <v>0.18300000000000027</v>
      </c>
      <c r="I566">
        <f t="shared" si="23"/>
        <v>0.67777777777777881</v>
      </c>
    </row>
    <row r="567" spans="1:9" x14ac:dyDescent="0.35">
      <c r="A567">
        <v>0</v>
      </c>
      <c r="B567" t="s">
        <v>58</v>
      </c>
      <c r="C567">
        <v>387</v>
      </c>
      <c r="D567">
        <v>70</v>
      </c>
      <c r="E567" s="29">
        <v>45623</v>
      </c>
      <c r="F567">
        <v>6.9078947368421044</v>
      </c>
      <c r="G567">
        <v>3.25</v>
      </c>
      <c r="H567">
        <f t="shared" si="25"/>
        <v>0.20999999999999996</v>
      </c>
      <c r="I567">
        <f t="shared" si="23"/>
        <v>0.77777777777777768</v>
      </c>
    </row>
    <row r="568" spans="1:9" x14ac:dyDescent="0.35">
      <c r="A568">
        <v>0</v>
      </c>
      <c r="B568" t="s">
        <v>58</v>
      </c>
      <c r="C568">
        <v>392</v>
      </c>
      <c r="D568">
        <v>70</v>
      </c>
      <c r="E568" s="29">
        <v>45623</v>
      </c>
      <c r="F568">
        <v>6.6118316988294872</v>
      </c>
      <c r="G568">
        <v>3.37</v>
      </c>
      <c r="H568">
        <f t="shared" si="25"/>
        <v>0.20900000000000007</v>
      </c>
      <c r="I568">
        <f t="shared" si="23"/>
        <v>0.77407407407407436</v>
      </c>
    </row>
    <row r="569" spans="1:9" x14ac:dyDescent="0.35">
      <c r="A569">
        <v>0</v>
      </c>
      <c r="B569" t="s">
        <v>59</v>
      </c>
      <c r="C569">
        <v>399</v>
      </c>
      <c r="D569">
        <v>70</v>
      </c>
      <c r="E569" s="29">
        <v>45623</v>
      </c>
      <c r="F569">
        <v>7.0404587448231952</v>
      </c>
      <c r="G569">
        <v>3.36</v>
      </c>
      <c r="H569">
        <f t="shared" si="25"/>
        <v>0.22100000000000009</v>
      </c>
      <c r="I569">
        <f t="shared" si="23"/>
        <v>0.81851851851851876</v>
      </c>
    </row>
    <row r="570" spans="1:9" x14ac:dyDescent="0.35">
      <c r="A570">
        <v>0</v>
      </c>
      <c r="B570" t="s">
        <v>59</v>
      </c>
      <c r="C570">
        <v>403</v>
      </c>
      <c r="D570">
        <v>70</v>
      </c>
      <c r="E570" s="29">
        <v>45623</v>
      </c>
      <c r="F570">
        <v>7.1651090342679122</v>
      </c>
      <c r="G570">
        <v>3.44</v>
      </c>
      <c r="H570">
        <f t="shared" si="25"/>
        <v>0.22999999999999998</v>
      </c>
      <c r="I570">
        <f t="shared" si="23"/>
        <v>0.85185185185185175</v>
      </c>
    </row>
    <row r="571" spans="1:9" x14ac:dyDescent="0.35">
      <c r="A571">
        <v>0</v>
      </c>
      <c r="B571" t="s">
        <v>59</v>
      </c>
      <c r="C571">
        <v>408</v>
      </c>
      <c r="D571">
        <v>70</v>
      </c>
      <c r="E571" s="29">
        <v>45623</v>
      </c>
      <c r="F571">
        <v>6.5941101152368748</v>
      </c>
      <c r="G571">
        <v>3.33</v>
      </c>
      <c r="H571">
        <f t="shared" si="25"/>
        <v>0.20599999999999996</v>
      </c>
      <c r="I571">
        <f t="shared" si="23"/>
        <v>0.76296296296296284</v>
      </c>
    </row>
    <row r="572" spans="1:9" x14ac:dyDescent="0.35">
      <c r="A572">
        <v>0</v>
      </c>
      <c r="B572" t="s">
        <v>60</v>
      </c>
      <c r="C572">
        <v>419</v>
      </c>
      <c r="D572">
        <v>70</v>
      </c>
      <c r="E572" s="29">
        <v>45623</v>
      </c>
      <c r="F572">
        <v>6.5044687189672423</v>
      </c>
      <c r="G572">
        <v>4.29</v>
      </c>
      <c r="H572">
        <f t="shared" si="25"/>
        <v>0.26200000000000045</v>
      </c>
      <c r="I572">
        <f t="shared" si="23"/>
        <v>0.9703703703703721</v>
      </c>
    </row>
    <row r="573" spans="1:9" x14ac:dyDescent="0.35">
      <c r="A573">
        <v>0</v>
      </c>
      <c r="B573" t="s">
        <v>60</v>
      </c>
      <c r="C573">
        <v>423</v>
      </c>
      <c r="D573">
        <v>70</v>
      </c>
      <c r="E573" s="29">
        <v>45623</v>
      </c>
      <c r="F573">
        <v>6.8982387475538172</v>
      </c>
      <c r="G573">
        <v>4.37</v>
      </c>
      <c r="H573">
        <f t="shared" si="25"/>
        <v>0.28200000000000003</v>
      </c>
      <c r="I573">
        <f t="shared" si="23"/>
        <v>1.0444444444444445</v>
      </c>
    </row>
    <row r="574" spans="1:9" x14ac:dyDescent="0.35">
      <c r="A574">
        <v>0</v>
      </c>
      <c r="B574" t="s">
        <v>60</v>
      </c>
      <c r="C574">
        <v>428</v>
      </c>
      <c r="D574">
        <v>70</v>
      </c>
      <c r="E574" s="29">
        <v>45623</v>
      </c>
      <c r="F574">
        <v>6.593692989314559</v>
      </c>
      <c r="G574">
        <v>4.09</v>
      </c>
      <c r="H574">
        <f t="shared" si="25"/>
        <v>0.25299999999999967</v>
      </c>
      <c r="I574">
        <f t="shared" si="23"/>
        <v>0.93703703703703589</v>
      </c>
    </row>
    <row r="575" spans="1:9" x14ac:dyDescent="0.35">
      <c r="A575">
        <v>0</v>
      </c>
      <c r="B575" t="s">
        <v>61</v>
      </c>
      <c r="C575">
        <v>439</v>
      </c>
      <c r="D575">
        <v>70</v>
      </c>
      <c r="E575" s="29">
        <v>45623</v>
      </c>
      <c r="F575">
        <v>5.6656239137991049</v>
      </c>
      <c r="G575">
        <v>3.04</v>
      </c>
      <c r="H575">
        <f t="shared" si="25"/>
        <v>0.16300000000000026</v>
      </c>
      <c r="I575">
        <f t="shared" si="23"/>
        <v>0.60370370370370463</v>
      </c>
    </row>
    <row r="576" spans="1:9" x14ac:dyDescent="0.35">
      <c r="A576">
        <v>0</v>
      </c>
      <c r="B576" t="s">
        <v>61</v>
      </c>
      <c r="C576">
        <v>443</v>
      </c>
      <c r="D576">
        <v>70</v>
      </c>
      <c r="E576" s="29">
        <v>45623</v>
      </c>
      <c r="F576">
        <v>5.4982817869415701</v>
      </c>
      <c r="G576">
        <v>3.07</v>
      </c>
      <c r="H576">
        <f t="shared" si="25"/>
        <v>0.1599999999999997</v>
      </c>
      <c r="I576">
        <f t="shared" si="23"/>
        <v>0.59259259259259145</v>
      </c>
    </row>
    <row r="577" spans="1:9" x14ac:dyDescent="0.35">
      <c r="A577">
        <v>0</v>
      </c>
      <c r="B577" t="s">
        <v>61</v>
      </c>
      <c r="C577">
        <v>448</v>
      </c>
      <c r="D577">
        <v>70</v>
      </c>
      <c r="E577" s="29">
        <v>45623</v>
      </c>
      <c r="F577">
        <v>5.5223355610270852</v>
      </c>
      <c r="G577">
        <v>3</v>
      </c>
      <c r="H577">
        <f t="shared" si="25"/>
        <v>0.15700000000000003</v>
      </c>
      <c r="I577">
        <f t="shared" si="23"/>
        <v>0.5814814814814816</v>
      </c>
    </row>
    <row r="578" spans="1:9" x14ac:dyDescent="0.35">
      <c r="A578">
        <v>2</v>
      </c>
      <c r="B578" t="s">
        <v>63</v>
      </c>
      <c r="C578">
        <v>295</v>
      </c>
      <c r="D578">
        <v>70</v>
      </c>
      <c r="E578" s="29">
        <v>45623</v>
      </c>
      <c r="F578">
        <v>3.8575667655786408</v>
      </c>
      <c r="G578">
        <v>5.25</v>
      </c>
      <c r="H578">
        <f t="shared" si="25"/>
        <v>0.19500000000000028</v>
      </c>
      <c r="I578">
        <f t="shared" si="23"/>
        <v>0.72222222222222332</v>
      </c>
    </row>
    <row r="579" spans="1:9" x14ac:dyDescent="0.35">
      <c r="A579">
        <v>2</v>
      </c>
      <c r="B579" t="s">
        <v>63</v>
      </c>
      <c r="C579">
        <v>298</v>
      </c>
      <c r="D579">
        <v>70</v>
      </c>
      <c r="E579" s="29">
        <v>45623</v>
      </c>
      <c r="F579">
        <v>7.8032544378698168</v>
      </c>
      <c r="G579">
        <v>5.83</v>
      </c>
      <c r="H579">
        <f t="shared" si="25"/>
        <v>0.42199999999999971</v>
      </c>
      <c r="I579">
        <f t="shared" ref="I579:I642" si="26">H579/27*100</f>
        <v>1.5629629629629618</v>
      </c>
    </row>
    <row r="580" spans="1:9" x14ac:dyDescent="0.35">
      <c r="A580">
        <v>2</v>
      </c>
      <c r="B580" t="s">
        <v>63</v>
      </c>
      <c r="C580">
        <v>301</v>
      </c>
      <c r="D580">
        <v>70</v>
      </c>
      <c r="E580" s="29">
        <v>45623</v>
      </c>
      <c r="F580">
        <v>8.2790341126868601</v>
      </c>
      <c r="G580">
        <v>5.65</v>
      </c>
      <c r="H580">
        <f t="shared" si="25"/>
        <v>0.43200000000000038</v>
      </c>
      <c r="I580">
        <f t="shared" si="26"/>
        <v>1.6000000000000014</v>
      </c>
    </row>
    <row r="581" spans="1:9" x14ac:dyDescent="0.35">
      <c r="A581">
        <v>2</v>
      </c>
      <c r="B581" t="s">
        <v>64</v>
      </c>
      <c r="C581">
        <v>6</v>
      </c>
      <c r="D581">
        <v>70</v>
      </c>
      <c r="E581" s="29">
        <v>45623</v>
      </c>
      <c r="F581">
        <v>9.5596133190118113</v>
      </c>
      <c r="G581">
        <v>4.08</v>
      </c>
      <c r="H581">
        <f t="shared" si="25"/>
        <v>0.35599999999999987</v>
      </c>
      <c r="I581">
        <f t="shared" si="26"/>
        <v>1.318518518518518</v>
      </c>
    </row>
    <row r="582" spans="1:9" x14ac:dyDescent="0.35">
      <c r="A582">
        <v>2</v>
      </c>
      <c r="B582" t="s">
        <v>64</v>
      </c>
      <c r="C582">
        <v>10</v>
      </c>
      <c r="D582">
        <v>70</v>
      </c>
      <c r="E582" s="29">
        <v>45623</v>
      </c>
      <c r="F582">
        <v>8.6897303187142576</v>
      </c>
      <c r="G582">
        <v>3.99</v>
      </c>
      <c r="H582">
        <f t="shared" si="25"/>
        <v>0.31900000000000039</v>
      </c>
      <c r="I582">
        <f t="shared" si="26"/>
        <v>1.1814814814814829</v>
      </c>
    </row>
    <row r="583" spans="1:9" x14ac:dyDescent="0.35">
      <c r="A583">
        <v>2</v>
      </c>
      <c r="B583" t="s">
        <v>64</v>
      </c>
      <c r="C583">
        <v>14</v>
      </c>
      <c r="D583">
        <v>70</v>
      </c>
      <c r="E583" s="29">
        <v>45623</v>
      </c>
      <c r="F583">
        <v>8.9262613195342748</v>
      </c>
      <c r="G583">
        <v>4.21</v>
      </c>
      <c r="H583">
        <f t="shared" si="25"/>
        <v>0.34499999999999975</v>
      </c>
      <c r="I583">
        <f t="shared" si="26"/>
        <v>1.2777777777777768</v>
      </c>
    </row>
    <row r="584" spans="1:9" x14ac:dyDescent="0.35">
      <c r="A584">
        <v>4</v>
      </c>
      <c r="B584" t="s">
        <v>64</v>
      </c>
      <c r="C584">
        <v>26</v>
      </c>
      <c r="D584">
        <v>70</v>
      </c>
      <c r="E584" s="29">
        <v>45623</v>
      </c>
      <c r="F584">
        <v>9.0047393364928894</v>
      </c>
      <c r="G584">
        <v>4.5999999999999996</v>
      </c>
      <c r="H584">
        <f t="shared" si="25"/>
        <v>0.37999999999999989</v>
      </c>
      <c r="I584">
        <f t="shared" si="26"/>
        <v>1.407407407407407</v>
      </c>
    </row>
    <row r="585" spans="1:9" x14ac:dyDescent="0.35">
      <c r="A585">
        <v>4</v>
      </c>
      <c r="B585" t="s">
        <v>64</v>
      </c>
      <c r="C585">
        <v>30</v>
      </c>
      <c r="D585">
        <v>70</v>
      </c>
      <c r="E585" s="29">
        <v>45623</v>
      </c>
      <c r="F585">
        <v>9.3898951382268869</v>
      </c>
      <c r="G585">
        <v>4.59</v>
      </c>
      <c r="H585">
        <f t="shared" si="25"/>
        <v>0.39400000000000013</v>
      </c>
      <c r="I585">
        <f t="shared" si="26"/>
        <v>1.4592592592592597</v>
      </c>
    </row>
    <row r="586" spans="1:9" x14ac:dyDescent="0.35">
      <c r="A586">
        <v>4</v>
      </c>
      <c r="B586" t="s">
        <v>64</v>
      </c>
      <c r="C586">
        <v>34</v>
      </c>
      <c r="D586">
        <v>70</v>
      </c>
      <c r="E586" s="29">
        <v>45623</v>
      </c>
      <c r="F586">
        <v>9.1940439612384832</v>
      </c>
      <c r="G586">
        <v>4.62</v>
      </c>
      <c r="H586">
        <f t="shared" si="25"/>
        <v>0.38900000000000023</v>
      </c>
      <c r="I586">
        <f t="shared" si="26"/>
        <v>1.4407407407407415</v>
      </c>
    </row>
    <row r="587" spans="1:9" x14ac:dyDescent="0.35">
      <c r="A587">
        <v>2</v>
      </c>
      <c r="B587" t="s">
        <v>65</v>
      </c>
      <c r="C587">
        <v>46</v>
      </c>
      <c r="D587">
        <v>70</v>
      </c>
      <c r="E587" s="29">
        <v>45623</v>
      </c>
      <c r="F587">
        <v>8.445678033306903</v>
      </c>
      <c r="G587">
        <v>5.47</v>
      </c>
      <c r="H587">
        <f t="shared" si="25"/>
        <v>0.42600000000000016</v>
      </c>
      <c r="I587">
        <f t="shared" si="26"/>
        <v>1.5777777777777784</v>
      </c>
    </row>
    <row r="588" spans="1:9" x14ac:dyDescent="0.35">
      <c r="A588">
        <v>2</v>
      </c>
      <c r="B588" t="s">
        <v>65</v>
      </c>
      <c r="C588">
        <v>50</v>
      </c>
      <c r="D588">
        <v>70</v>
      </c>
      <c r="E588" s="29">
        <v>45623</v>
      </c>
      <c r="F588">
        <v>8.7077093732667787</v>
      </c>
      <c r="G588">
        <v>5.88</v>
      </c>
      <c r="H588">
        <f t="shared" si="25"/>
        <v>0.47100000000000009</v>
      </c>
      <c r="I588">
        <f t="shared" si="26"/>
        <v>1.7444444444444447</v>
      </c>
    </row>
    <row r="589" spans="1:9" x14ac:dyDescent="0.35">
      <c r="A589">
        <v>2</v>
      </c>
      <c r="B589" t="s">
        <v>65</v>
      </c>
      <c r="C589">
        <v>54</v>
      </c>
      <c r="D589">
        <v>70</v>
      </c>
      <c r="E589" s="29">
        <v>45623</v>
      </c>
      <c r="F589">
        <v>8.0193236714975864</v>
      </c>
      <c r="G589">
        <v>5.59</v>
      </c>
      <c r="H589">
        <f t="shared" si="25"/>
        <v>0.41500000000000004</v>
      </c>
      <c r="I589">
        <f t="shared" si="26"/>
        <v>1.5370370370370372</v>
      </c>
    </row>
    <row r="590" spans="1:9" x14ac:dyDescent="0.35">
      <c r="A590">
        <v>4</v>
      </c>
      <c r="B590" t="s">
        <v>65</v>
      </c>
      <c r="C590">
        <v>67</v>
      </c>
      <c r="D590">
        <v>70</v>
      </c>
      <c r="E590" s="29">
        <v>45623</v>
      </c>
      <c r="F590">
        <v>8.1564245810055915</v>
      </c>
      <c r="G590">
        <v>4.84</v>
      </c>
      <c r="H590">
        <f t="shared" si="25"/>
        <v>0.36500000000000021</v>
      </c>
      <c r="I590">
        <f t="shared" si="26"/>
        <v>1.3518518518518527</v>
      </c>
    </row>
    <row r="591" spans="1:9" x14ac:dyDescent="0.35">
      <c r="A591">
        <v>4</v>
      </c>
      <c r="B591" t="s">
        <v>65</v>
      </c>
      <c r="C591">
        <v>71</v>
      </c>
      <c r="D591">
        <v>70</v>
      </c>
      <c r="E591" s="29">
        <v>45623</v>
      </c>
      <c r="F591">
        <v>8.6281812538795748</v>
      </c>
      <c r="G591">
        <v>5.25</v>
      </c>
      <c r="H591">
        <f t="shared" si="25"/>
        <v>0.41699999999999982</v>
      </c>
      <c r="I591">
        <f t="shared" si="26"/>
        <v>1.5444444444444438</v>
      </c>
    </row>
    <row r="592" spans="1:9" x14ac:dyDescent="0.35">
      <c r="A592">
        <v>4</v>
      </c>
      <c r="B592" t="s">
        <v>65</v>
      </c>
      <c r="C592">
        <v>75</v>
      </c>
      <c r="D592">
        <v>70</v>
      </c>
      <c r="E592" s="29">
        <v>45623</v>
      </c>
      <c r="F592">
        <v>8.3978558665872551</v>
      </c>
      <c r="G592">
        <v>5.46</v>
      </c>
      <c r="H592">
        <f t="shared" si="25"/>
        <v>0.42300000000000004</v>
      </c>
      <c r="I592">
        <f t="shared" si="26"/>
        <v>1.5666666666666669</v>
      </c>
    </row>
    <row r="593" spans="1:9" x14ac:dyDescent="0.35">
      <c r="A593">
        <v>2</v>
      </c>
      <c r="B593" t="s">
        <v>66</v>
      </c>
      <c r="C593">
        <v>87</v>
      </c>
      <c r="D593">
        <v>70</v>
      </c>
      <c r="E593" s="29">
        <v>45623</v>
      </c>
      <c r="F593">
        <v>8.0663836356618912</v>
      </c>
      <c r="G593">
        <v>5.6</v>
      </c>
      <c r="H593">
        <f t="shared" si="25"/>
        <v>0.41799999999999926</v>
      </c>
      <c r="I593">
        <f t="shared" si="26"/>
        <v>1.5481481481481454</v>
      </c>
    </row>
    <row r="594" spans="1:9" x14ac:dyDescent="0.35">
      <c r="A594">
        <v>2</v>
      </c>
      <c r="B594" t="s">
        <v>66</v>
      </c>
      <c r="C594">
        <v>91</v>
      </c>
      <c r="D594">
        <v>70</v>
      </c>
      <c r="E594" s="29">
        <v>45623</v>
      </c>
      <c r="F594">
        <v>8.4624553039332575</v>
      </c>
      <c r="G594">
        <v>5.46</v>
      </c>
      <c r="H594">
        <f t="shared" si="25"/>
        <v>0.42600000000000016</v>
      </c>
      <c r="I594">
        <f t="shared" si="26"/>
        <v>1.5777777777777784</v>
      </c>
    </row>
    <row r="595" spans="1:9" x14ac:dyDescent="0.35">
      <c r="A595">
        <v>2</v>
      </c>
      <c r="B595" t="s">
        <v>66</v>
      </c>
      <c r="C595">
        <v>95</v>
      </c>
      <c r="D595">
        <v>70</v>
      </c>
      <c r="E595" s="29">
        <v>45623</v>
      </c>
      <c r="F595">
        <v>8.3487940630797812</v>
      </c>
      <c r="G595">
        <v>5.84</v>
      </c>
      <c r="H595">
        <f t="shared" si="25"/>
        <v>0.45000000000000018</v>
      </c>
      <c r="I595">
        <f t="shared" si="26"/>
        <v>1.6666666666666674</v>
      </c>
    </row>
    <row r="596" spans="1:9" x14ac:dyDescent="0.35">
      <c r="A596">
        <v>4</v>
      </c>
      <c r="B596" t="s">
        <v>66</v>
      </c>
      <c r="C596">
        <v>107</v>
      </c>
      <c r="D596">
        <v>70</v>
      </c>
      <c r="E596" s="29">
        <v>45623</v>
      </c>
      <c r="F596">
        <v>8.2447272093428605</v>
      </c>
      <c r="G596">
        <v>6.21</v>
      </c>
      <c r="H596">
        <f t="shared" si="25"/>
        <v>0.47299999999999986</v>
      </c>
      <c r="I596">
        <f t="shared" si="26"/>
        <v>1.7518518518518513</v>
      </c>
    </row>
    <row r="597" spans="1:9" x14ac:dyDescent="0.35">
      <c r="A597">
        <v>4</v>
      </c>
      <c r="B597" t="s">
        <v>66</v>
      </c>
      <c r="C597">
        <v>111</v>
      </c>
      <c r="D597">
        <v>70</v>
      </c>
      <c r="E597" s="29">
        <v>45623</v>
      </c>
      <c r="F597">
        <v>8.3068694634798721</v>
      </c>
      <c r="G597">
        <v>6.48</v>
      </c>
      <c r="H597">
        <f t="shared" si="25"/>
        <v>0.49700000000000077</v>
      </c>
      <c r="I597">
        <f t="shared" si="26"/>
        <v>1.8407407407407435</v>
      </c>
    </row>
    <row r="598" spans="1:9" x14ac:dyDescent="0.35">
      <c r="A598">
        <v>4</v>
      </c>
      <c r="B598" t="s">
        <v>66</v>
      </c>
      <c r="C598">
        <v>115</v>
      </c>
      <c r="D598">
        <v>70</v>
      </c>
      <c r="E598" s="29">
        <v>45623</v>
      </c>
      <c r="F598">
        <v>8.3525447774428105</v>
      </c>
      <c r="G598">
        <v>6.11</v>
      </c>
      <c r="H598">
        <f t="shared" si="25"/>
        <v>0.47100000000000009</v>
      </c>
      <c r="I598">
        <f t="shared" si="26"/>
        <v>1.7444444444444447</v>
      </c>
    </row>
    <row r="599" spans="1:9" x14ac:dyDescent="0.35">
      <c r="A599">
        <v>2</v>
      </c>
      <c r="B599" t="s">
        <v>58</v>
      </c>
      <c r="C599">
        <v>128</v>
      </c>
      <c r="D599">
        <v>70</v>
      </c>
      <c r="E599" s="29">
        <v>45623</v>
      </c>
      <c r="F599">
        <v>7.8990228013029293</v>
      </c>
      <c r="G599">
        <v>2.65</v>
      </c>
      <c r="H599">
        <f t="shared" si="25"/>
        <v>0.19399999999999995</v>
      </c>
      <c r="I599">
        <f t="shared" si="26"/>
        <v>0.71851851851851833</v>
      </c>
    </row>
    <row r="600" spans="1:9" x14ac:dyDescent="0.35">
      <c r="A600">
        <v>2</v>
      </c>
      <c r="B600" t="s">
        <v>58</v>
      </c>
      <c r="C600">
        <v>133</v>
      </c>
      <c r="D600">
        <v>70</v>
      </c>
      <c r="E600" s="29">
        <v>45623</v>
      </c>
      <c r="F600">
        <v>7.83487784330244</v>
      </c>
      <c r="G600">
        <v>2.56</v>
      </c>
      <c r="H600">
        <f t="shared" si="25"/>
        <v>0.18599999999999994</v>
      </c>
      <c r="I600">
        <f t="shared" si="26"/>
        <v>0.68888888888888866</v>
      </c>
    </row>
    <row r="601" spans="1:9" x14ac:dyDescent="0.35">
      <c r="A601">
        <v>2</v>
      </c>
      <c r="B601" t="s">
        <v>58</v>
      </c>
      <c r="C601">
        <v>139</v>
      </c>
      <c r="D601">
        <v>70</v>
      </c>
      <c r="E601" s="29">
        <v>45623</v>
      </c>
      <c r="F601">
        <v>7.6987799747581107</v>
      </c>
      <c r="G601">
        <v>2.56</v>
      </c>
      <c r="H601">
        <f t="shared" si="25"/>
        <v>0.18300000000000027</v>
      </c>
      <c r="I601">
        <f t="shared" si="26"/>
        <v>0.67777777777777881</v>
      </c>
    </row>
    <row r="602" spans="1:9" x14ac:dyDescent="0.35">
      <c r="A602">
        <v>4</v>
      </c>
      <c r="B602" t="s">
        <v>58</v>
      </c>
      <c r="C602">
        <v>150</v>
      </c>
      <c r="D602">
        <v>70</v>
      </c>
      <c r="E602" s="29">
        <v>45623</v>
      </c>
      <c r="F602">
        <v>9.9999999999999929</v>
      </c>
      <c r="G602">
        <v>3.3</v>
      </c>
      <c r="H602">
        <f t="shared" si="25"/>
        <v>0.29999999999999982</v>
      </c>
      <c r="I602">
        <f t="shared" si="26"/>
        <v>1.1111111111111105</v>
      </c>
    </row>
    <row r="603" spans="1:9" x14ac:dyDescent="0.35">
      <c r="A603">
        <v>4</v>
      </c>
      <c r="B603" t="s">
        <v>58</v>
      </c>
      <c r="C603">
        <v>156</v>
      </c>
      <c r="D603">
        <v>70</v>
      </c>
      <c r="E603" s="29">
        <v>45623</v>
      </c>
      <c r="F603">
        <v>10.466472303206995</v>
      </c>
      <c r="G603">
        <v>3.7890000000000001</v>
      </c>
      <c r="H603">
        <f t="shared" si="25"/>
        <v>0.35899999999999999</v>
      </c>
      <c r="I603">
        <f t="shared" si="26"/>
        <v>1.3296296296296295</v>
      </c>
    </row>
    <row r="604" spans="1:9" x14ac:dyDescent="0.35">
      <c r="A604">
        <v>4</v>
      </c>
      <c r="B604" t="s">
        <v>58</v>
      </c>
      <c r="C604">
        <v>158</v>
      </c>
      <c r="D604">
        <v>70</v>
      </c>
      <c r="E604" s="29">
        <v>45623</v>
      </c>
      <c r="F604">
        <v>8.7186727850335295</v>
      </c>
      <c r="G604">
        <v>3.08</v>
      </c>
      <c r="H604">
        <f t="shared" si="25"/>
        <v>0.24699999999999989</v>
      </c>
      <c r="I604">
        <f t="shared" si="26"/>
        <v>0.9148148148148143</v>
      </c>
    </row>
    <row r="605" spans="1:9" x14ac:dyDescent="0.35">
      <c r="A605">
        <v>2</v>
      </c>
      <c r="B605" t="s">
        <v>59</v>
      </c>
      <c r="C605">
        <v>191</v>
      </c>
      <c r="D605">
        <v>70</v>
      </c>
      <c r="E605" s="29">
        <v>45623</v>
      </c>
      <c r="F605">
        <v>8.8149822408782725</v>
      </c>
      <c r="G605">
        <v>3.37</v>
      </c>
      <c r="H605">
        <f t="shared" si="25"/>
        <v>0.27300000000000013</v>
      </c>
      <c r="I605">
        <f t="shared" si="26"/>
        <v>1.0111111111111115</v>
      </c>
    </row>
    <row r="606" spans="1:9" x14ac:dyDescent="0.35">
      <c r="A606">
        <v>2</v>
      </c>
      <c r="B606" t="s">
        <v>59</v>
      </c>
      <c r="C606">
        <v>197</v>
      </c>
      <c r="D606">
        <v>70</v>
      </c>
      <c r="E606" s="29">
        <v>45623</v>
      </c>
      <c r="F606">
        <v>8.7786259541984677</v>
      </c>
      <c r="G606">
        <v>3.42</v>
      </c>
      <c r="H606">
        <f t="shared" si="25"/>
        <v>0.2759999999999998</v>
      </c>
      <c r="I606">
        <f t="shared" si="26"/>
        <v>1.0222222222222215</v>
      </c>
    </row>
    <row r="607" spans="1:9" x14ac:dyDescent="0.35">
      <c r="A607">
        <v>2</v>
      </c>
      <c r="B607" t="s">
        <v>59</v>
      </c>
      <c r="C607">
        <v>204</v>
      </c>
      <c r="D607">
        <v>70</v>
      </c>
      <c r="E607" s="29">
        <v>45623</v>
      </c>
      <c r="F607">
        <v>9.3486331420857294</v>
      </c>
      <c r="G607">
        <v>3.24</v>
      </c>
      <c r="H607">
        <f t="shared" si="25"/>
        <v>0.27700000000000014</v>
      </c>
      <c r="I607">
        <f t="shared" si="26"/>
        <v>1.0259259259259266</v>
      </c>
    </row>
    <row r="608" spans="1:9" x14ac:dyDescent="0.35">
      <c r="A608">
        <v>4</v>
      </c>
      <c r="B608" t="s">
        <v>59</v>
      </c>
      <c r="C608">
        <v>233</v>
      </c>
      <c r="D608">
        <v>70</v>
      </c>
      <c r="E608" s="29">
        <v>45623</v>
      </c>
      <c r="F608">
        <v>10.043397396156225</v>
      </c>
      <c r="G608">
        <v>3.55</v>
      </c>
      <c r="H608">
        <f t="shared" si="25"/>
        <v>0.32399999999999984</v>
      </c>
      <c r="I608">
        <f t="shared" si="26"/>
        <v>1.1999999999999995</v>
      </c>
    </row>
    <row r="609" spans="1:9" x14ac:dyDescent="0.35">
      <c r="A609">
        <v>4</v>
      </c>
      <c r="B609" t="s">
        <v>59</v>
      </c>
      <c r="C609">
        <v>239</v>
      </c>
      <c r="D609">
        <v>70</v>
      </c>
      <c r="E609" s="29">
        <v>45623</v>
      </c>
      <c r="F609">
        <v>10.309588217613465</v>
      </c>
      <c r="G609">
        <v>3.67</v>
      </c>
      <c r="H609">
        <f t="shared" si="25"/>
        <v>0.34299999999999997</v>
      </c>
      <c r="I609">
        <f t="shared" si="26"/>
        <v>1.2703703703703704</v>
      </c>
    </row>
    <row r="610" spans="1:9" x14ac:dyDescent="0.35">
      <c r="A610">
        <v>4</v>
      </c>
      <c r="B610" t="s">
        <v>59</v>
      </c>
      <c r="C610">
        <v>242</v>
      </c>
      <c r="D610">
        <v>70</v>
      </c>
      <c r="E610" s="29">
        <v>45623</v>
      </c>
      <c r="F610">
        <v>10.497237569060776</v>
      </c>
      <c r="G610">
        <v>3.6</v>
      </c>
      <c r="H610">
        <f t="shared" si="25"/>
        <v>0.34200000000000008</v>
      </c>
      <c r="I610">
        <f t="shared" si="26"/>
        <v>1.2666666666666671</v>
      </c>
    </row>
    <row r="611" spans="1:9" x14ac:dyDescent="0.35">
      <c r="A611">
        <v>2</v>
      </c>
      <c r="B611" t="s">
        <v>62</v>
      </c>
      <c r="C611">
        <v>255</v>
      </c>
      <c r="D611">
        <v>70</v>
      </c>
      <c r="E611" s="29">
        <v>45623</v>
      </c>
      <c r="F611">
        <v>6.8400226116449971</v>
      </c>
      <c r="G611">
        <v>3.78</v>
      </c>
      <c r="H611">
        <f t="shared" si="25"/>
        <v>0.24199999999999999</v>
      </c>
      <c r="I611">
        <f t="shared" si="26"/>
        <v>0.89629629629629626</v>
      </c>
    </row>
    <row r="612" spans="1:9" x14ac:dyDescent="0.35">
      <c r="A612">
        <v>2</v>
      </c>
      <c r="B612" t="s">
        <v>62</v>
      </c>
      <c r="C612">
        <v>264</v>
      </c>
      <c r="D612">
        <v>70</v>
      </c>
      <c r="E612" s="29">
        <v>45623</v>
      </c>
      <c r="F612">
        <v>7.0599933708982459</v>
      </c>
      <c r="G612">
        <v>3.23</v>
      </c>
      <c r="H612">
        <f t="shared" si="25"/>
        <v>0.21300000000000008</v>
      </c>
      <c r="I612">
        <f t="shared" si="26"/>
        <v>0.78888888888888919</v>
      </c>
    </row>
    <row r="613" spans="1:9" x14ac:dyDescent="0.35">
      <c r="A613">
        <v>2</v>
      </c>
      <c r="B613" t="s">
        <v>62</v>
      </c>
      <c r="C613">
        <v>270</v>
      </c>
      <c r="D613">
        <v>70</v>
      </c>
      <c r="E613" s="29">
        <v>45623</v>
      </c>
      <c r="F613">
        <v>7.4972436604189578</v>
      </c>
      <c r="G613">
        <v>3.9</v>
      </c>
      <c r="H613">
        <f t="shared" si="25"/>
        <v>0.2719999999999998</v>
      </c>
      <c r="I613">
        <f t="shared" si="26"/>
        <v>1.0074074074074066</v>
      </c>
    </row>
    <row r="614" spans="1:9" x14ac:dyDescent="0.35">
      <c r="A614">
        <v>4</v>
      </c>
      <c r="B614" t="s">
        <v>62</v>
      </c>
      <c r="C614">
        <v>274</v>
      </c>
      <c r="D614">
        <v>70</v>
      </c>
      <c r="E614" s="29">
        <v>45623</v>
      </c>
      <c r="F614">
        <v>8.1149834647672332</v>
      </c>
      <c r="G614">
        <v>4.25</v>
      </c>
      <c r="H614">
        <f t="shared" si="25"/>
        <v>0.31899999999999995</v>
      </c>
      <c r="I614">
        <f t="shared" si="26"/>
        <v>1.1814814814814814</v>
      </c>
    </row>
    <row r="615" spans="1:9" x14ac:dyDescent="0.35">
      <c r="A615">
        <v>4</v>
      </c>
      <c r="B615" t="s">
        <v>62</v>
      </c>
      <c r="C615">
        <v>277</v>
      </c>
      <c r="D615">
        <v>70</v>
      </c>
      <c r="E615" s="29">
        <v>45623</v>
      </c>
      <c r="F615">
        <v>8.3996917544310303</v>
      </c>
      <c r="G615">
        <v>4.22</v>
      </c>
      <c r="H615">
        <f t="shared" si="25"/>
        <v>0.32699999999999996</v>
      </c>
      <c r="I615">
        <f t="shared" si="26"/>
        <v>1.2111111111111108</v>
      </c>
    </row>
    <row r="616" spans="1:9" x14ac:dyDescent="0.35">
      <c r="A616">
        <v>4</v>
      </c>
      <c r="B616" t="s">
        <v>62</v>
      </c>
      <c r="C616">
        <v>282</v>
      </c>
      <c r="D616">
        <v>70</v>
      </c>
      <c r="E616" s="29">
        <v>45623</v>
      </c>
      <c r="F616">
        <v>8.4533840717586415</v>
      </c>
      <c r="G616">
        <v>3.99</v>
      </c>
      <c r="H616">
        <f t="shared" si="25"/>
        <v>0.31100000000000039</v>
      </c>
      <c r="I616">
        <f t="shared" si="26"/>
        <v>1.1518518518518532</v>
      </c>
    </row>
    <row r="617" spans="1:9" x14ac:dyDescent="0.35">
      <c r="A617">
        <v>2</v>
      </c>
      <c r="B617" t="s">
        <v>61</v>
      </c>
      <c r="C617">
        <v>166</v>
      </c>
      <c r="D617">
        <v>70</v>
      </c>
      <c r="E617" s="29">
        <v>45623</v>
      </c>
      <c r="F617">
        <v>8.1081081081081106</v>
      </c>
      <c r="G617">
        <v>2.84</v>
      </c>
      <c r="H617">
        <f t="shared" si="25"/>
        <v>0.21300000000000008</v>
      </c>
      <c r="I617">
        <f t="shared" si="26"/>
        <v>0.78888888888888919</v>
      </c>
    </row>
    <row r="618" spans="1:9" x14ac:dyDescent="0.35">
      <c r="A618">
        <v>2</v>
      </c>
      <c r="B618" t="s">
        <v>61</v>
      </c>
      <c r="C618">
        <v>172</v>
      </c>
      <c r="D618">
        <v>70</v>
      </c>
      <c r="E618" s="29">
        <v>45623</v>
      </c>
      <c r="F618">
        <v>7.6859843814221245</v>
      </c>
      <c r="G618">
        <v>2.62</v>
      </c>
      <c r="H618">
        <f t="shared" si="25"/>
        <v>0.18700000000000028</v>
      </c>
      <c r="I618">
        <f t="shared" si="26"/>
        <v>0.69259259259259365</v>
      </c>
    </row>
    <row r="619" spans="1:9" x14ac:dyDescent="0.35">
      <c r="A619">
        <v>2</v>
      </c>
      <c r="B619" t="s">
        <v>61</v>
      </c>
      <c r="C619">
        <v>175</v>
      </c>
      <c r="D619">
        <v>70</v>
      </c>
      <c r="E619" s="29">
        <v>45623</v>
      </c>
      <c r="F619">
        <v>8.2631981637337493</v>
      </c>
      <c r="G619">
        <v>2.83</v>
      </c>
      <c r="H619">
        <f t="shared" ref="H619:H623" si="27">G619-G67</f>
        <v>0.21600000000000019</v>
      </c>
      <c r="I619">
        <f t="shared" si="26"/>
        <v>0.80000000000000071</v>
      </c>
    </row>
    <row r="620" spans="1:9" x14ac:dyDescent="0.35">
      <c r="A620">
        <v>4</v>
      </c>
      <c r="B620" t="s">
        <v>61</v>
      </c>
      <c r="C620">
        <v>211</v>
      </c>
      <c r="D620">
        <v>70</v>
      </c>
      <c r="E620" s="29">
        <v>45623</v>
      </c>
      <c r="F620">
        <v>8.5899513776337155</v>
      </c>
      <c r="G620">
        <v>3.35</v>
      </c>
      <c r="H620">
        <f t="shared" si="27"/>
        <v>0.26500000000000012</v>
      </c>
      <c r="I620">
        <f t="shared" si="26"/>
        <v>0.98148148148148195</v>
      </c>
    </row>
    <row r="621" spans="1:9" x14ac:dyDescent="0.35">
      <c r="A621">
        <v>4</v>
      </c>
      <c r="B621" t="s">
        <v>61</v>
      </c>
      <c r="C621">
        <v>217</v>
      </c>
      <c r="D621">
        <v>70</v>
      </c>
      <c r="E621" s="29">
        <v>45623</v>
      </c>
      <c r="F621">
        <v>9.4607684856312613</v>
      </c>
      <c r="G621">
        <v>3.39</v>
      </c>
      <c r="H621">
        <f t="shared" si="27"/>
        <v>0.29300000000000015</v>
      </c>
      <c r="I621">
        <f t="shared" si="26"/>
        <v>1.0851851851851857</v>
      </c>
    </row>
    <row r="622" spans="1:9" x14ac:dyDescent="0.35">
      <c r="A622">
        <v>4</v>
      </c>
      <c r="B622" t="s">
        <v>61</v>
      </c>
      <c r="C622">
        <v>223</v>
      </c>
      <c r="D622">
        <v>70</v>
      </c>
      <c r="E622" s="29">
        <v>45623</v>
      </c>
      <c r="F622">
        <v>7.9059829059829054</v>
      </c>
      <c r="G622">
        <v>3.03</v>
      </c>
      <c r="H622">
        <f t="shared" si="27"/>
        <v>0.22199999999999998</v>
      </c>
      <c r="I622">
        <f t="shared" si="26"/>
        <v>0.82222222222222208</v>
      </c>
    </row>
    <row r="623" spans="1:9" x14ac:dyDescent="0.35">
      <c r="A623">
        <v>0</v>
      </c>
      <c r="B623" t="s">
        <v>63</v>
      </c>
      <c r="C623">
        <v>316</v>
      </c>
      <c r="D623">
        <v>80</v>
      </c>
      <c r="E623" s="5">
        <v>45625</v>
      </c>
      <c r="F623">
        <v>11.077527580474531</v>
      </c>
      <c r="G623">
        <v>7.35</v>
      </c>
      <c r="H623">
        <f>G623-G2</f>
        <v>0.73299999999999965</v>
      </c>
      <c r="I623">
        <f t="shared" si="26"/>
        <v>2.7148148148148135</v>
      </c>
    </row>
    <row r="624" spans="1:9" x14ac:dyDescent="0.35">
      <c r="A624">
        <v>0</v>
      </c>
      <c r="B624" t="s">
        <v>63</v>
      </c>
      <c r="C624">
        <v>320</v>
      </c>
      <c r="D624">
        <v>80</v>
      </c>
      <c r="E624" s="29">
        <v>45625</v>
      </c>
      <c r="F624">
        <v>11.076780472732899</v>
      </c>
      <c r="G624">
        <v>7.19</v>
      </c>
      <c r="H624">
        <f t="shared" ref="H624:H687" si="28">G624-G3</f>
        <v>0.71700000000000053</v>
      </c>
      <c r="I624">
        <f t="shared" si="26"/>
        <v>2.6555555555555577</v>
      </c>
    </row>
    <row r="625" spans="1:9" x14ac:dyDescent="0.35">
      <c r="A625">
        <v>0</v>
      </c>
      <c r="B625" t="s">
        <v>63</v>
      </c>
      <c r="C625">
        <v>325</v>
      </c>
      <c r="D625">
        <v>80</v>
      </c>
      <c r="E625" s="5">
        <v>45625</v>
      </c>
      <c r="F625">
        <v>11.129242819843334</v>
      </c>
      <c r="G625">
        <v>6.81</v>
      </c>
      <c r="H625">
        <f t="shared" si="28"/>
        <v>0.6819999999999995</v>
      </c>
      <c r="I625">
        <f t="shared" si="26"/>
        <v>2.5259259259259244</v>
      </c>
    </row>
    <row r="626" spans="1:9" x14ac:dyDescent="0.35">
      <c r="A626">
        <v>0</v>
      </c>
      <c r="B626" t="s">
        <v>64</v>
      </c>
      <c r="C626">
        <v>332</v>
      </c>
      <c r="D626">
        <v>80</v>
      </c>
      <c r="E626" s="29">
        <v>45625</v>
      </c>
      <c r="F626">
        <v>10.96256684491979</v>
      </c>
      <c r="G626">
        <v>4.1500000000000004</v>
      </c>
      <c r="H626">
        <f t="shared" si="28"/>
        <v>0.41000000000000014</v>
      </c>
      <c r="I626">
        <f t="shared" si="26"/>
        <v>1.518518518518519</v>
      </c>
    </row>
    <row r="627" spans="1:9" x14ac:dyDescent="0.35">
      <c r="A627">
        <v>0</v>
      </c>
      <c r="B627" t="s">
        <v>64</v>
      </c>
      <c r="C627">
        <v>336</v>
      </c>
      <c r="D627">
        <v>80</v>
      </c>
      <c r="E627" s="5">
        <v>45625</v>
      </c>
      <c r="F627">
        <v>11.053044159916386</v>
      </c>
      <c r="G627">
        <v>4.25</v>
      </c>
      <c r="H627">
        <f t="shared" si="28"/>
        <v>0.42300000000000004</v>
      </c>
      <c r="I627">
        <f t="shared" si="26"/>
        <v>1.5666666666666669</v>
      </c>
    </row>
    <row r="628" spans="1:9" x14ac:dyDescent="0.35">
      <c r="A628">
        <v>0</v>
      </c>
      <c r="B628" t="s">
        <v>64</v>
      </c>
      <c r="C628">
        <v>341</v>
      </c>
      <c r="D628">
        <v>80</v>
      </c>
      <c r="E628" s="29">
        <v>45625</v>
      </c>
      <c r="F628">
        <v>11.172261970280687</v>
      </c>
      <c r="G628">
        <v>4.04</v>
      </c>
      <c r="H628">
        <f t="shared" si="28"/>
        <v>0.40600000000000014</v>
      </c>
      <c r="I628">
        <f t="shared" si="26"/>
        <v>1.5037037037037042</v>
      </c>
    </row>
    <row r="629" spans="1:9" x14ac:dyDescent="0.35">
      <c r="A629">
        <v>0</v>
      </c>
      <c r="B629" t="s">
        <v>65</v>
      </c>
      <c r="C629">
        <v>348</v>
      </c>
      <c r="D629">
        <v>80</v>
      </c>
      <c r="E629" s="5">
        <v>45625</v>
      </c>
      <c r="F629">
        <v>10.615175625849032</v>
      </c>
      <c r="G629">
        <v>5.7</v>
      </c>
      <c r="H629">
        <f t="shared" si="28"/>
        <v>0.5470000000000006</v>
      </c>
      <c r="I629">
        <f t="shared" si="26"/>
        <v>2.0259259259259284</v>
      </c>
    </row>
    <row r="630" spans="1:9" x14ac:dyDescent="0.35">
      <c r="A630">
        <v>0</v>
      </c>
      <c r="B630" t="s">
        <v>65</v>
      </c>
      <c r="C630">
        <v>352</v>
      </c>
      <c r="D630">
        <v>80</v>
      </c>
      <c r="E630" s="29">
        <v>45625</v>
      </c>
      <c r="F630">
        <v>10.856706735355848</v>
      </c>
      <c r="G630">
        <v>5.81</v>
      </c>
      <c r="H630">
        <f t="shared" si="28"/>
        <v>0.56899999999999995</v>
      </c>
      <c r="I630">
        <f t="shared" si="26"/>
        <v>2.1074074074074072</v>
      </c>
    </row>
    <row r="631" spans="1:9" x14ac:dyDescent="0.35">
      <c r="A631">
        <v>0</v>
      </c>
      <c r="B631" t="s">
        <v>65</v>
      </c>
      <c r="C631">
        <v>357</v>
      </c>
      <c r="D631">
        <v>80</v>
      </c>
      <c r="E631" s="5">
        <v>45625</v>
      </c>
      <c r="F631">
        <v>10.960232783705131</v>
      </c>
      <c r="G631">
        <v>5.72</v>
      </c>
      <c r="H631">
        <f t="shared" si="28"/>
        <v>0.5649999999999995</v>
      </c>
      <c r="I631">
        <f t="shared" si="26"/>
        <v>2.0925925925925908</v>
      </c>
    </row>
    <row r="632" spans="1:9" x14ac:dyDescent="0.35">
      <c r="A632">
        <v>0</v>
      </c>
      <c r="B632" t="s">
        <v>66</v>
      </c>
      <c r="C632">
        <v>368</v>
      </c>
      <c r="D632">
        <v>80</v>
      </c>
      <c r="E632" s="29">
        <v>45625</v>
      </c>
      <c r="F632">
        <v>10.859334146766606</v>
      </c>
      <c r="G632">
        <v>6.36</v>
      </c>
      <c r="H632">
        <f t="shared" si="28"/>
        <v>0.62300000000000022</v>
      </c>
      <c r="I632">
        <f t="shared" si="26"/>
        <v>2.3074074074074082</v>
      </c>
    </row>
    <row r="633" spans="1:9" x14ac:dyDescent="0.35">
      <c r="A633">
        <v>0</v>
      </c>
      <c r="B633" t="s">
        <v>66</v>
      </c>
      <c r="C633">
        <v>372</v>
      </c>
      <c r="D633">
        <v>80</v>
      </c>
      <c r="E633" s="5">
        <v>45625</v>
      </c>
      <c r="F633">
        <v>11.057147482596742</v>
      </c>
      <c r="G633">
        <v>6.86</v>
      </c>
      <c r="H633">
        <f t="shared" si="28"/>
        <v>0.68300000000000072</v>
      </c>
      <c r="I633">
        <f t="shared" si="26"/>
        <v>2.5296296296296323</v>
      </c>
    </row>
    <row r="634" spans="1:9" x14ac:dyDescent="0.35">
      <c r="A634">
        <v>0</v>
      </c>
      <c r="B634" t="s">
        <v>66</v>
      </c>
      <c r="C634">
        <v>377</v>
      </c>
      <c r="D634">
        <v>80</v>
      </c>
      <c r="E634" s="29">
        <v>45625</v>
      </c>
      <c r="F634">
        <v>11.055859439748049</v>
      </c>
      <c r="G634">
        <v>6.7</v>
      </c>
      <c r="H634">
        <f t="shared" si="28"/>
        <v>0.66699999999999982</v>
      </c>
      <c r="I634">
        <f t="shared" si="26"/>
        <v>2.4703703703703694</v>
      </c>
    </row>
    <row r="635" spans="1:9" x14ac:dyDescent="0.35">
      <c r="A635">
        <v>0</v>
      </c>
      <c r="B635" t="s">
        <v>58</v>
      </c>
      <c r="C635">
        <v>384</v>
      </c>
      <c r="D635">
        <v>80</v>
      </c>
      <c r="E635" s="5">
        <v>45625</v>
      </c>
      <c r="F635">
        <v>10.531803962460911</v>
      </c>
      <c r="G635">
        <v>3.18</v>
      </c>
      <c r="H635">
        <f t="shared" si="28"/>
        <v>0.30300000000000038</v>
      </c>
      <c r="I635">
        <f t="shared" si="26"/>
        <v>1.1222222222222236</v>
      </c>
    </row>
    <row r="636" spans="1:9" x14ac:dyDescent="0.35">
      <c r="A636">
        <v>0</v>
      </c>
      <c r="B636" t="s">
        <v>58</v>
      </c>
      <c r="C636">
        <v>387</v>
      </c>
      <c r="D636">
        <v>80</v>
      </c>
      <c r="E636" s="29">
        <v>45625</v>
      </c>
      <c r="F636">
        <v>9.8684210526315734</v>
      </c>
      <c r="G636">
        <v>3.34</v>
      </c>
      <c r="H636">
        <f t="shared" si="28"/>
        <v>0.29999999999999982</v>
      </c>
      <c r="I636">
        <f t="shared" si="26"/>
        <v>1.1111111111111105</v>
      </c>
    </row>
    <row r="637" spans="1:9" x14ac:dyDescent="0.35">
      <c r="A637">
        <v>0</v>
      </c>
      <c r="B637" t="s">
        <v>58</v>
      </c>
      <c r="C637">
        <v>392</v>
      </c>
      <c r="D637">
        <v>80</v>
      </c>
      <c r="E637" s="5">
        <v>45625</v>
      </c>
      <c r="F637">
        <v>10.091743119266052</v>
      </c>
      <c r="G637">
        <v>3.48</v>
      </c>
      <c r="H637">
        <f t="shared" si="28"/>
        <v>0.31899999999999995</v>
      </c>
      <c r="I637">
        <f t="shared" si="26"/>
        <v>1.1814814814814814</v>
      </c>
    </row>
    <row r="638" spans="1:9" x14ac:dyDescent="0.35">
      <c r="A638">
        <v>0</v>
      </c>
      <c r="B638" t="s">
        <v>59</v>
      </c>
      <c r="C638">
        <v>399</v>
      </c>
      <c r="D638">
        <v>80</v>
      </c>
      <c r="E638" s="29">
        <v>45625</v>
      </c>
      <c r="F638">
        <v>10.863332271424026</v>
      </c>
      <c r="G638">
        <v>3.48</v>
      </c>
      <c r="H638">
        <f t="shared" si="28"/>
        <v>0.34100000000000019</v>
      </c>
      <c r="I638">
        <f t="shared" si="26"/>
        <v>1.2629629629629637</v>
      </c>
    </row>
    <row r="639" spans="1:9" x14ac:dyDescent="0.35">
      <c r="A639">
        <v>0</v>
      </c>
      <c r="B639" t="s">
        <v>59</v>
      </c>
      <c r="C639">
        <v>403</v>
      </c>
      <c r="D639">
        <v>80</v>
      </c>
      <c r="E639" s="5">
        <v>45625</v>
      </c>
      <c r="F639">
        <v>10.903426791277262</v>
      </c>
      <c r="G639">
        <v>3.56</v>
      </c>
      <c r="H639">
        <f t="shared" si="28"/>
        <v>0.35000000000000009</v>
      </c>
      <c r="I639">
        <f t="shared" si="26"/>
        <v>1.2962962962962965</v>
      </c>
    </row>
    <row r="640" spans="1:9" x14ac:dyDescent="0.35">
      <c r="A640">
        <v>0</v>
      </c>
      <c r="B640" t="s">
        <v>59</v>
      </c>
      <c r="C640">
        <v>408</v>
      </c>
      <c r="D640">
        <v>80</v>
      </c>
      <c r="E640" s="29">
        <v>45625</v>
      </c>
      <c r="F640">
        <v>9.4750320102432717</v>
      </c>
      <c r="G640">
        <v>3.42</v>
      </c>
      <c r="H640">
        <f t="shared" si="28"/>
        <v>0.29599999999999982</v>
      </c>
      <c r="I640">
        <f t="shared" si="26"/>
        <v>1.0962962962962957</v>
      </c>
    </row>
    <row r="641" spans="1:9" x14ac:dyDescent="0.35">
      <c r="A641">
        <v>0</v>
      </c>
      <c r="B641" t="s">
        <v>60</v>
      </c>
      <c r="C641">
        <v>419</v>
      </c>
      <c r="D641">
        <v>80</v>
      </c>
      <c r="E641" s="5">
        <v>45625</v>
      </c>
      <c r="F641">
        <v>9.2353525322741028</v>
      </c>
      <c r="G641">
        <v>4.4000000000000004</v>
      </c>
      <c r="H641">
        <f t="shared" si="28"/>
        <v>0.37200000000000077</v>
      </c>
      <c r="I641">
        <f t="shared" si="26"/>
        <v>1.3777777777777807</v>
      </c>
    </row>
    <row r="642" spans="1:9" x14ac:dyDescent="0.35">
      <c r="A642">
        <v>0</v>
      </c>
      <c r="B642" t="s">
        <v>60</v>
      </c>
      <c r="C642">
        <v>423</v>
      </c>
      <c r="D642">
        <v>80</v>
      </c>
      <c r="E642" s="29">
        <v>45625</v>
      </c>
      <c r="F642">
        <v>9.3444227005870761</v>
      </c>
      <c r="G642">
        <v>4.47</v>
      </c>
      <c r="H642">
        <f t="shared" si="28"/>
        <v>0.38199999999999967</v>
      </c>
      <c r="I642">
        <f t="shared" si="26"/>
        <v>1.4148148148148136</v>
      </c>
    </row>
    <row r="643" spans="1:9" x14ac:dyDescent="0.35">
      <c r="A643">
        <v>0</v>
      </c>
      <c r="B643" t="s">
        <v>60</v>
      </c>
      <c r="C643">
        <v>428</v>
      </c>
      <c r="D643">
        <v>80</v>
      </c>
      <c r="E643" s="5">
        <v>45625</v>
      </c>
      <c r="F643">
        <v>9.1998957518895015</v>
      </c>
      <c r="G643">
        <v>4.1900000000000004</v>
      </c>
      <c r="H643">
        <f t="shared" si="28"/>
        <v>0.3530000000000002</v>
      </c>
      <c r="I643">
        <f t="shared" ref="I643:I706" si="29">H643/27*100</f>
        <v>1.3074074074074082</v>
      </c>
    </row>
    <row r="644" spans="1:9" x14ac:dyDescent="0.35">
      <c r="A644">
        <v>0</v>
      </c>
      <c r="B644" t="s">
        <v>61</v>
      </c>
      <c r="C644">
        <v>439</v>
      </c>
      <c r="D644">
        <v>80</v>
      </c>
      <c r="E644" s="29">
        <v>45625</v>
      </c>
      <c r="F644">
        <v>8.4462982273201366</v>
      </c>
      <c r="G644">
        <v>3.12</v>
      </c>
      <c r="H644">
        <f t="shared" si="28"/>
        <v>0.24300000000000033</v>
      </c>
      <c r="I644">
        <f t="shared" si="29"/>
        <v>0.90000000000000113</v>
      </c>
    </row>
    <row r="645" spans="1:9" x14ac:dyDescent="0.35">
      <c r="A645">
        <v>0</v>
      </c>
      <c r="B645" t="s">
        <v>61</v>
      </c>
      <c r="C645">
        <v>443</v>
      </c>
      <c r="D645">
        <v>80</v>
      </c>
      <c r="E645" s="5">
        <v>45625</v>
      </c>
      <c r="F645">
        <v>8.5910652920962196</v>
      </c>
      <c r="G645">
        <v>3.16</v>
      </c>
      <c r="H645">
        <f t="shared" si="28"/>
        <v>0.25</v>
      </c>
      <c r="I645">
        <f t="shared" si="29"/>
        <v>0.92592592592592582</v>
      </c>
    </row>
    <row r="646" spans="1:9" x14ac:dyDescent="0.35">
      <c r="A646">
        <v>0</v>
      </c>
      <c r="B646" t="s">
        <v>61</v>
      </c>
      <c r="C646">
        <v>448</v>
      </c>
      <c r="D646">
        <v>80</v>
      </c>
      <c r="E646" s="29">
        <v>45625</v>
      </c>
      <c r="F646">
        <v>7.6327822722476295</v>
      </c>
      <c r="G646">
        <v>3.06</v>
      </c>
      <c r="H646">
        <f t="shared" si="28"/>
        <v>0.21700000000000008</v>
      </c>
      <c r="I646">
        <f t="shared" si="29"/>
        <v>0.80370370370370403</v>
      </c>
    </row>
    <row r="647" spans="1:9" x14ac:dyDescent="0.35">
      <c r="A647">
        <v>2</v>
      </c>
      <c r="B647" t="s">
        <v>63</v>
      </c>
      <c r="C647">
        <v>295</v>
      </c>
      <c r="D647">
        <v>80</v>
      </c>
      <c r="E647" s="5">
        <v>45625</v>
      </c>
      <c r="F647">
        <v>6.2314540059347268</v>
      </c>
      <c r="G647">
        <v>5.37</v>
      </c>
      <c r="H647">
        <f t="shared" si="28"/>
        <v>0.31500000000000039</v>
      </c>
      <c r="I647">
        <f t="shared" si="29"/>
        <v>1.1666666666666681</v>
      </c>
    </row>
    <row r="648" spans="1:9" x14ac:dyDescent="0.35">
      <c r="A648">
        <v>2</v>
      </c>
      <c r="B648" t="s">
        <v>63</v>
      </c>
      <c r="C648">
        <v>298</v>
      </c>
      <c r="D648">
        <v>80</v>
      </c>
      <c r="E648" s="29">
        <v>45625</v>
      </c>
      <c r="F648">
        <v>10.94674556213017</v>
      </c>
      <c r="G648">
        <v>6</v>
      </c>
      <c r="H648">
        <f t="shared" si="28"/>
        <v>0.59199999999999964</v>
      </c>
      <c r="I648">
        <f t="shared" si="29"/>
        <v>2.1925925925925913</v>
      </c>
    </row>
    <row r="649" spans="1:9" x14ac:dyDescent="0.35">
      <c r="A649">
        <v>2</v>
      </c>
      <c r="B649" t="s">
        <v>63</v>
      </c>
      <c r="C649">
        <v>301</v>
      </c>
      <c r="D649">
        <v>80</v>
      </c>
      <c r="E649" s="5">
        <v>45625</v>
      </c>
      <c r="F649">
        <v>10.962054426983519</v>
      </c>
      <c r="G649">
        <v>5.79</v>
      </c>
      <c r="H649">
        <f t="shared" si="28"/>
        <v>0.57200000000000006</v>
      </c>
      <c r="I649">
        <f t="shared" si="29"/>
        <v>2.1185185185185187</v>
      </c>
    </row>
    <row r="650" spans="1:9" x14ac:dyDescent="0.35">
      <c r="A650">
        <v>2</v>
      </c>
      <c r="B650" t="s">
        <v>64</v>
      </c>
      <c r="C650">
        <v>6</v>
      </c>
      <c r="D650">
        <v>80</v>
      </c>
      <c r="E650" s="29">
        <v>45625</v>
      </c>
      <c r="F650">
        <v>13.319011815252404</v>
      </c>
      <c r="G650">
        <v>4.22</v>
      </c>
      <c r="H650">
        <f t="shared" si="28"/>
        <v>0.49599999999999955</v>
      </c>
      <c r="I650">
        <f t="shared" si="29"/>
        <v>1.8370370370370352</v>
      </c>
    </row>
    <row r="651" spans="1:9" x14ac:dyDescent="0.35">
      <c r="A651">
        <v>2</v>
      </c>
      <c r="B651" t="s">
        <v>64</v>
      </c>
      <c r="C651">
        <v>10</v>
      </c>
      <c r="D651">
        <v>80</v>
      </c>
      <c r="E651" s="5">
        <v>45625</v>
      </c>
      <c r="F651">
        <v>11.958594388450027</v>
      </c>
      <c r="G651">
        <v>4.1100000000000003</v>
      </c>
      <c r="H651">
        <f t="shared" si="28"/>
        <v>0.4390000000000005</v>
      </c>
      <c r="I651">
        <f t="shared" si="29"/>
        <v>1.625925925925928</v>
      </c>
    </row>
    <row r="652" spans="1:9" x14ac:dyDescent="0.35">
      <c r="A652">
        <v>2</v>
      </c>
      <c r="B652" t="s">
        <v>64</v>
      </c>
      <c r="C652">
        <v>14</v>
      </c>
      <c r="D652">
        <v>80</v>
      </c>
      <c r="E652" s="29">
        <v>45625</v>
      </c>
      <c r="F652">
        <v>12.548512289780062</v>
      </c>
      <c r="G652">
        <v>4.3499999999999996</v>
      </c>
      <c r="H652">
        <f t="shared" si="28"/>
        <v>0.48499999999999943</v>
      </c>
      <c r="I652">
        <f t="shared" si="29"/>
        <v>1.7962962962962941</v>
      </c>
    </row>
    <row r="653" spans="1:9" x14ac:dyDescent="0.35">
      <c r="A653">
        <v>4</v>
      </c>
      <c r="B653" t="s">
        <v>64</v>
      </c>
      <c r="C653">
        <v>26</v>
      </c>
      <c r="D653">
        <v>80</v>
      </c>
      <c r="E653" s="5">
        <v>45625</v>
      </c>
      <c r="F653">
        <v>13.033175355450233</v>
      </c>
      <c r="G653">
        <v>4.7699999999999996</v>
      </c>
      <c r="H653">
        <f t="shared" si="28"/>
        <v>0.54999999999999982</v>
      </c>
      <c r="I653">
        <f t="shared" si="29"/>
        <v>2.0370370370370363</v>
      </c>
    </row>
    <row r="654" spans="1:9" x14ac:dyDescent="0.35">
      <c r="A654">
        <v>4</v>
      </c>
      <c r="B654" t="s">
        <v>64</v>
      </c>
      <c r="C654">
        <v>30</v>
      </c>
      <c r="D654">
        <v>80</v>
      </c>
      <c r="E654" s="29">
        <v>45625</v>
      </c>
      <c r="F654">
        <v>12.726406101048635</v>
      </c>
      <c r="G654">
        <v>4.7300000000000004</v>
      </c>
      <c r="H654">
        <f t="shared" si="28"/>
        <v>0.5340000000000007</v>
      </c>
      <c r="I654">
        <f t="shared" si="29"/>
        <v>1.9777777777777803</v>
      </c>
    </row>
    <row r="655" spans="1:9" x14ac:dyDescent="0.35">
      <c r="A655">
        <v>4</v>
      </c>
      <c r="B655" t="s">
        <v>64</v>
      </c>
      <c r="C655">
        <v>34</v>
      </c>
      <c r="D655">
        <v>80</v>
      </c>
      <c r="E655" s="5">
        <v>45625</v>
      </c>
      <c r="F655">
        <v>12.502954384306308</v>
      </c>
      <c r="G655">
        <v>4.76</v>
      </c>
      <c r="H655">
        <f t="shared" si="28"/>
        <v>0.52899999999999991</v>
      </c>
      <c r="I655">
        <f t="shared" si="29"/>
        <v>1.9592592592592588</v>
      </c>
    </row>
    <row r="656" spans="1:9" x14ac:dyDescent="0.35">
      <c r="A656">
        <v>2</v>
      </c>
      <c r="B656" t="s">
        <v>65</v>
      </c>
      <c r="C656">
        <v>46</v>
      </c>
      <c r="D656">
        <v>80</v>
      </c>
      <c r="E656" s="29">
        <v>45625</v>
      </c>
      <c r="F656">
        <v>11.617763679619356</v>
      </c>
      <c r="G656">
        <v>5.63</v>
      </c>
      <c r="H656">
        <f t="shared" si="28"/>
        <v>0.5860000000000003</v>
      </c>
      <c r="I656">
        <f t="shared" si="29"/>
        <v>2.1703703703703714</v>
      </c>
    </row>
    <row r="657" spans="1:9" x14ac:dyDescent="0.35">
      <c r="A657">
        <v>2</v>
      </c>
      <c r="B657" t="s">
        <v>65</v>
      </c>
      <c r="C657">
        <v>50</v>
      </c>
      <c r="D657">
        <v>80</v>
      </c>
      <c r="E657" s="5">
        <v>45625</v>
      </c>
      <c r="F657">
        <v>11.480865224625633</v>
      </c>
      <c r="G657">
        <v>6.03</v>
      </c>
      <c r="H657">
        <f t="shared" si="28"/>
        <v>0.62100000000000044</v>
      </c>
      <c r="I657">
        <f t="shared" si="29"/>
        <v>2.3000000000000016</v>
      </c>
    </row>
    <row r="658" spans="1:9" x14ac:dyDescent="0.35">
      <c r="A658">
        <v>2</v>
      </c>
      <c r="B658" t="s">
        <v>65</v>
      </c>
      <c r="C658">
        <v>54</v>
      </c>
      <c r="D658">
        <v>80</v>
      </c>
      <c r="E658" s="29">
        <v>45625</v>
      </c>
      <c r="F658">
        <v>11.690821256038655</v>
      </c>
      <c r="G658">
        <v>5.78</v>
      </c>
      <c r="H658">
        <f t="shared" si="28"/>
        <v>0.60500000000000043</v>
      </c>
      <c r="I658">
        <f t="shared" si="29"/>
        <v>2.2407407407407423</v>
      </c>
    </row>
    <row r="659" spans="1:9" x14ac:dyDescent="0.35">
      <c r="A659">
        <v>4</v>
      </c>
      <c r="B659" t="s">
        <v>65</v>
      </c>
      <c r="C659">
        <v>67</v>
      </c>
      <c r="D659">
        <v>80</v>
      </c>
      <c r="E659" s="5">
        <v>45625</v>
      </c>
      <c r="F659">
        <v>12.17877094972067</v>
      </c>
      <c r="G659">
        <v>5.0199999999999996</v>
      </c>
      <c r="H659">
        <f t="shared" si="28"/>
        <v>0.54499999999999993</v>
      </c>
      <c r="I659">
        <f t="shared" si="29"/>
        <v>2.0185185185185182</v>
      </c>
    </row>
    <row r="660" spans="1:9" x14ac:dyDescent="0.35">
      <c r="A660">
        <v>4</v>
      </c>
      <c r="B660" t="s">
        <v>65</v>
      </c>
      <c r="C660">
        <v>71</v>
      </c>
      <c r="D660">
        <v>80</v>
      </c>
      <c r="E660" s="29">
        <v>45625</v>
      </c>
      <c r="F660">
        <v>12.352576039726868</v>
      </c>
      <c r="G660">
        <v>5.43</v>
      </c>
      <c r="H660">
        <f t="shared" si="28"/>
        <v>0.59699999999999953</v>
      </c>
      <c r="I660">
        <f t="shared" si="29"/>
        <v>2.2111111111111095</v>
      </c>
    </row>
    <row r="661" spans="1:9" x14ac:dyDescent="0.35">
      <c r="A661">
        <v>4</v>
      </c>
      <c r="B661" t="s">
        <v>65</v>
      </c>
      <c r="C661">
        <v>75</v>
      </c>
      <c r="D661">
        <v>80</v>
      </c>
      <c r="E661" s="5">
        <v>45625</v>
      </c>
      <c r="F661">
        <v>12.567004169148301</v>
      </c>
      <c r="G661">
        <v>5.67</v>
      </c>
      <c r="H661">
        <f t="shared" si="28"/>
        <v>0.63300000000000001</v>
      </c>
      <c r="I661">
        <f t="shared" si="29"/>
        <v>2.3444444444444446</v>
      </c>
    </row>
    <row r="662" spans="1:9" x14ac:dyDescent="0.35">
      <c r="A662">
        <v>2</v>
      </c>
      <c r="B662" t="s">
        <v>66</v>
      </c>
      <c r="C662">
        <v>87</v>
      </c>
      <c r="D662">
        <v>80</v>
      </c>
      <c r="E662" s="29">
        <v>45625</v>
      </c>
      <c r="F662">
        <v>11.153994596680807</v>
      </c>
      <c r="G662">
        <v>5.76</v>
      </c>
      <c r="H662">
        <f t="shared" si="28"/>
        <v>0.5779999999999994</v>
      </c>
      <c r="I662">
        <f t="shared" si="29"/>
        <v>2.1407407407407386</v>
      </c>
    </row>
    <row r="663" spans="1:9" x14ac:dyDescent="0.35">
      <c r="A663">
        <v>2</v>
      </c>
      <c r="B663" t="s">
        <v>66</v>
      </c>
      <c r="C663">
        <v>91</v>
      </c>
      <c r="D663">
        <v>80</v>
      </c>
      <c r="E663" s="5">
        <v>45625</v>
      </c>
      <c r="F663">
        <v>11.640842272546688</v>
      </c>
      <c r="G663">
        <v>5.62</v>
      </c>
      <c r="H663">
        <f t="shared" si="28"/>
        <v>0.5860000000000003</v>
      </c>
      <c r="I663">
        <f t="shared" si="29"/>
        <v>2.1703703703703714</v>
      </c>
    </row>
    <row r="664" spans="1:9" x14ac:dyDescent="0.35">
      <c r="A664">
        <v>2</v>
      </c>
      <c r="B664" t="s">
        <v>66</v>
      </c>
      <c r="C664">
        <v>95</v>
      </c>
      <c r="D664">
        <v>80</v>
      </c>
      <c r="E664" s="29">
        <v>45625</v>
      </c>
      <c r="F664">
        <v>12.059369202226353</v>
      </c>
      <c r="G664">
        <v>6.04</v>
      </c>
      <c r="H664">
        <f t="shared" si="28"/>
        <v>0.65000000000000036</v>
      </c>
      <c r="I664">
        <f t="shared" si="29"/>
        <v>2.4074074074074088</v>
      </c>
    </row>
    <row r="665" spans="1:9" x14ac:dyDescent="0.35">
      <c r="A665">
        <v>4</v>
      </c>
      <c r="B665" t="s">
        <v>66</v>
      </c>
      <c r="C665">
        <v>107</v>
      </c>
      <c r="D665">
        <v>80</v>
      </c>
      <c r="E665" s="5">
        <v>45625</v>
      </c>
      <c r="F665">
        <v>11.730869792574516</v>
      </c>
      <c r="G665">
        <v>6.41</v>
      </c>
      <c r="H665">
        <f t="shared" si="28"/>
        <v>0.67300000000000004</v>
      </c>
      <c r="I665">
        <f t="shared" si="29"/>
        <v>2.4925925925925929</v>
      </c>
    </row>
    <row r="666" spans="1:9" x14ac:dyDescent="0.35">
      <c r="A666">
        <v>4</v>
      </c>
      <c r="B666" t="s">
        <v>66</v>
      </c>
      <c r="C666">
        <v>111</v>
      </c>
      <c r="D666">
        <v>80</v>
      </c>
      <c r="E666" s="29">
        <v>45625</v>
      </c>
      <c r="F666">
        <v>11.649674076550227</v>
      </c>
      <c r="G666">
        <v>6.68</v>
      </c>
      <c r="H666">
        <f t="shared" si="28"/>
        <v>0.69700000000000006</v>
      </c>
      <c r="I666">
        <f t="shared" si="29"/>
        <v>2.5814814814814819</v>
      </c>
    </row>
    <row r="667" spans="1:9" x14ac:dyDescent="0.35">
      <c r="A667">
        <v>4</v>
      </c>
      <c r="B667" t="s">
        <v>66</v>
      </c>
      <c r="C667">
        <v>115</v>
      </c>
      <c r="D667">
        <v>80</v>
      </c>
      <c r="E667" s="5">
        <v>45625</v>
      </c>
      <c r="F667">
        <v>11.367263699237453</v>
      </c>
      <c r="G667">
        <v>6.28</v>
      </c>
      <c r="H667">
        <f t="shared" si="28"/>
        <v>0.64100000000000001</v>
      </c>
      <c r="I667">
        <f t="shared" si="29"/>
        <v>2.3740740740740742</v>
      </c>
    </row>
    <row r="668" spans="1:9" x14ac:dyDescent="0.35">
      <c r="A668">
        <v>2</v>
      </c>
      <c r="B668" t="s">
        <v>58</v>
      </c>
      <c r="C668">
        <v>128</v>
      </c>
      <c r="D668">
        <v>80</v>
      </c>
      <c r="E668" s="29">
        <v>45625</v>
      </c>
      <c r="F668">
        <v>11.563517915309458</v>
      </c>
      <c r="G668">
        <v>2.74</v>
      </c>
      <c r="H668">
        <f t="shared" si="28"/>
        <v>0.28400000000000025</v>
      </c>
      <c r="I668">
        <f t="shared" si="29"/>
        <v>1.0518518518518527</v>
      </c>
    </row>
    <row r="669" spans="1:9" x14ac:dyDescent="0.35">
      <c r="A669">
        <v>2</v>
      </c>
      <c r="B669" t="s">
        <v>58</v>
      </c>
      <c r="C669">
        <v>133</v>
      </c>
      <c r="D669">
        <v>80</v>
      </c>
      <c r="E669" s="5">
        <v>45625</v>
      </c>
      <c r="F669">
        <v>12.047177759056446</v>
      </c>
      <c r="G669">
        <v>2.66</v>
      </c>
      <c r="H669">
        <f t="shared" si="28"/>
        <v>0.28600000000000003</v>
      </c>
      <c r="I669">
        <f t="shared" si="29"/>
        <v>1.0592592592592593</v>
      </c>
    </row>
    <row r="670" spans="1:9" x14ac:dyDescent="0.35">
      <c r="A670">
        <v>2</v>
      </c>
      <c r="B670" t="s">
        <v>58</v>
      </c>
      <c r="C670">
        <v>139</v>
      </c>
      <c r="D670">
        <v>80</v>
      </c>
      <c r="E670" s="29">
        <v>45625</v>
      </c>
      <c r="F670">
        <v>13.167858645351291</v>
      </c>
      <c r="G670">
        <v>2.69</v>
      </c>
      <c r="H670">
        <f t="shared" si="28"/>
        <v>0.31300000000000017</v>
      </c>
      <c r="I670">
        <f t="shared" si="29"/>
        <v>1.1592592592592599</v>
      </c>
    </row>
    <row r="671" spans="1:9" x14ac:dyDescent="0.35">
      <c r="A671">
        <v>4</v>
      </c>
      <c r="B671" t="s">
        <v>58</v>
      </c>
      <c r="C671">
        <v>150</v>
      </c>
      <c r="D671">
        <v>80</v>
      </c>
      <c r="E671" s="5">
        <v>45625</v>
      </c>
      <c r="F671">
        <v>16.333333333333343</v>
      </c>
      <c r="G671">
        <v>3.49</v>
      </c>
      <c r="H671">
        <f t="shared" si="28"/>
        <v>0.49000000000000021</v>
      </c>
      <c r="I671">
        <f t="shared" si="29"/>
        <v>1.8148148148148155</v>
      </c>
    </row>
    <row r="672" spans="1:9" x14ac:dyDescent="0.35">
      <c r="A672">
        <v>4</v>
      </c>
      <c r="B672" t="s">
        <v>58</v>
      </c>
      <c r="C672">
        <v>156</v>
      </c>
      <c r="D672">
        <v>80</v>
      </c>
      <c r="E672" s="29">
        <v>45625</v>
      </c>
      <c r="F672">
        <v>16.618075801749267</v>
      </c>
      <c r="G672">
        <v>4</v>
      </c>
      <c r="H672">
        <f t="shared" si="28"/>
        <v>0.56999999999999984</v>
      </c>
      <c r="I672">
        <f t="shared" si="29"/>
        <v>2.1111111111111103</v>
      </c>
    </row>
    <row r="673" spans="1:9" x14ac:dyDescent="0.35">
      <c r="A673">
        <v>4</v>
      </c>
      <c r="B673" t="s">
        <v>58</v>
      </c>
      <c r="C673">
        <v>158</v>
      </c>
      <c r="D673">
        <v>80</v>
      </c>
      <c r="E673" s="5">
        <v>45625</v>
      </c>
      <c r="F673">
        <v>14.719378750441219</v>
      </c>
      <c r="G673">
        <v>3.25</v>
      </c>
      <c r="H673">
        <f t="shared" si="28"/>
        <v>0.41699999999999982</v>
      </c>
      <c r="I673">
        <f t="shared" si="29"/>
        <v>1.5444444444444438</v>
      </c>
    </row>
    <row r="674" spans="1:9" x14ac:dyDescent="0.35">
      <c r="A674">
        <v>2</v>
      </c>
      <c r="B674" t="s">
        <v>59</v>
      </c>
      <c r="C674">
        <v>191</v>
      </c>
      <c r="D674">
        <v>80</v>
      </c>
      <c r="E674" s="29">
        <v>45625</v>
      </c>
      <c r="F674">
        <v>14.627058443655145</v>
      </c>
      <c r="G674">
        <v>3.55</v>
      </c>
      <c r="H674">
        <f t="shared" si="28"/>
        <v>0.45299999999999985</v>
      </c>
      <c r="I674">
        <f t="shared" si="29"/>
        <v>1.6777777777777774</v>
      </c>
    </row>
    <row r="675" spans="1:9" x14ac:dyDescent="0.35">
      <c r="A675">
        <v>2</v>
      </c>
      <c r="B675" t="s">
        <v>59</v>
      </c>
      <c r="C675">
        <v>197</v>
      </c>
      <c r="D675">
        <v>80</v>
      </c>
      <c r="E675" s="5">
        <v>45625</v>
      </c>
      <c r="F675">
        <v>15.458015267175565</v>
      </c>
      <c r="G675">
        <v>3.63</v>
      </c>
      <c r="H675">
        <f t="shared" si="28"/>
        <v>0.48599999999999977</v>
      </c>
      <c r="I675">
        <f t="shared" si="29"/>
        <v>1.7999999999999992</v>
      </c>
    </row>
    <row r="676" spans="1:9" x14ac:dyDescent="0.35">
      <c r="A676">
        <v>2</v>
      </c>
      <c r="B676" t="s">
        <v>59</v>
      </c>
      <c r="C676">
        <v>204</v>
      </c>
      <c r="D676">
        <v>80</v>
      </c>
      <c r="E676" s="29">
        <v>45625</v>
      </c>
      <c r="F676">
        <v>16.098548768140393</v>
      </c>
      <c r="G676">
        <v>3.44</v>
      </c>
      <c r="H676">
        <f t="shared" si="28"/>
        <v>0.47699999999999987</v>
      </c>
      <c r="I676">
        <f t="shared" si="29"/>
        <v>1.7666666666666659</v>
      </c>
    </row>
    <row r="677" spans="1:9" x14ac:dyDescent="0.35">
      <c r="A677">
        <v>4</v>
      </c>
      <c r="B677" t="s">
        <v>59</v>
      </c>
      <c r="C677">
        <v>233</v>
      </c>
      <c r="D677">
        <v>80</v>
      </c>
      <c r="E677" s="5">
        <v>45625</v>
      </c>
      <c r="F677">
        <v>17.482951022938625</v>
      </c>
      <c r="G677">
        <v>3.79</v>
      </c>
      <c r="H677">
        <f t="shared" si="28"/>
        <v>0.56400000000000006</v>
      </c>
      <c r="I677">
        <f t="shared" si="29"/>
        <v>2.088888888888889</v>
      </c>
    </row>
    <row r="678" spans="1:9" x14ac:dyDescent="0.35">
      <c r="A678">
        <v>4</v>
      </c>
      <c r="B678" t="s">
        <v>59</v>
      </c>
      <c r="C678">
        <v>239</v>
      </c>
      <c r="D678">
        <v>80</v>
      </c>
      <c r="E678" s="29">
        <v>45625</v>
      </c>
      <c r="F678">
        <v>17.523294259092282</v>
      </c>
      <c r="G678">
        <v>3.91</v>
      </c>
      <c r="H678">
        <f t="shared" si="28"/>
        <v>0.58300000000000018</v>
      </c>
      <c r="I678">
        <f t="shared" si="29"/>
        <v>2.1592592592592599</v>
      </c>
    </row>
    <row r="679" spans="1:9" x14ac:dyDescent="0.35">
      <c r="A679">
        <v>4</v>
      </c>
      <c r="B679" t="s">
        <v>59</v>
      </c>
      <c r="C679">
        <v>242</v>
      </c>
      <c r="D679">
        <v>80</v>
      </c>
      <c r="E679" s="5">
        <v>45625</v>
      </c>
      <c r="F679">
        <v>17.249846531614484</v>
      </c>
      <c r="G679">
        <v>3.82</v>
      </c>
      <c r="H679">
        <f t="shared" si="28"/>
        <v>0.56199999999999983</v>
      </c>
      <c r="I679">
        <f t="shared" si="29"/>
        <v>2.081481481481481</v>
      </c>
    </row>
    <row r="680" spans="1:9" x14ac:dyDescent="0.35">
      <c r="A680">
        <v>2</v>
      </c>
      <c r="B680" t="s">
        <v>62</v>
      </c>
      <c r="C680">
        <v>255</v>
      </c>
      <c r="D680">
        <v>80</v>
      </c>
      <c r="E680" s="29">
        <v>45625</v>
      </c>
      <c r="F680">
        <v>10.514414923685708</v>
      </c>
      <c r="G680">
        <v>3.91</v>
      </c>
      <c r="H680">
        <f t="shared" si="28"/>
        <v>0.37200000000000033</v>
      </c>
      <c r="I680">
        <f t="shared" si="29"/>
        <v>1.3777777777777789</v>
      </c>
    </row>
    <row r="681" spans="1:9" x14ac:dyDescent="0.35">
      <c r="A681">
        <v>2</v>
      </c>
      <c r="B681" t="s">
        <v>62</v>
      </c>
      <c r="C681">
        <v>264</v>
      </c>
      <c r="D681">
        <v>80</v>
      </c>
      <c r="E681" s="5">
        <v>45625</v>
      </c>
      <c r="F681">
        <v>11.037454424925428</v>
      </c>
      <c r="G681">
        <v>3.35</v>
      </c>
      <c r="H681">
        <f t="shared" si="28"/>
        <v>0.33300000000000018</v>
      </c>
      <c r="I681">
        <f t="shared" si="29"/>
        <v>1.2333333333333341</v>
      </c>
    </row>
    <row r="682" spans="1:9" x14ac:dyDescent="0.35">
      <c r="A682">
        <v>2</v>
      </c>
      <c r="B682" t="s">
        <v>62</v>
      </c>
      <c r="C682">
        <v>270</v>
      </c>
      <c r="D682">
        <v>80</v>
      </c>
      <c r="E682" s="29">
        <v>45625</v>
      </c>
      <c r="F682">
        <v>12.458654906284453</v>
      </c>
      <c r="G682">
        <v>4.08</v>
      </c>
      <c r="H682">
        <f t="shared" si="28"/>
        <v>0.45199999999999996</v>
      </c>
      <c r="I682">
        <f t="shared" si="29"/>
        <v>1.674074074074074</v>
      </c>
    </row>
    <row r="683" spans="1:9" x14ac:dyDescent="0.35">
      <c r="A683">
        <v>4</v>
      </c>
      <c r="B683" t="s">
        <v>62</v>
      </c>
      <c r="C683">
        <v>274</v>
      </c>
      <c r="D683">
        <v>80</v>
      </c>
      <c r="E683" s="5">
        <v>45625</v>
      </c>
      <c r="F683">
        <v>12.948359196133307</v>
      </c>
      <c r="G683">
        <v>4.4400000000000004</v>
      </c>
      <c r="H683">
        <f t="shared" si="28"/>
        <v>0.50900000000000034</v>
      </c>
      <c r="I683">
        <f t="shared" si="29"/>
        <v>1.8851851851851866</v>
      </c>
    </row>
    <row r="684" spans="1:9" x14ac:dyDescent="0.35">
      <c r="A684">
        <v>4</v>
      </c>
      <c r="B684" t="s">
        <v>62</v>
      </c>
      <c r="C684">
        <v>277</v>
      </c>
      <c r="D684">
        <v>80</v>
      </c>
      <c r="E684" s="29">
        <v>45625</v>
      </c>
      <c r="F684">
        <v>13.280246596455186</v>
      </c>
      <c r="G684">
        <v>4.41</v>
      </c>
      <c r="H684">
        <f t="shared" si="28"/>
        <v>0.51700000000000035</v>
      </c>
      <c r="I684">
        <f t="shared" si="29"/>
        <v>1.9148148148148161</v>
      </c>
    </row>
    <row r="685" spans="1:9" x14ac:dyDescent="0.35">
      <c r="A685">
        <v>4</v>
      </c>
      <c r="B685" t="s">
        <v>62</v>
      </c>
      <c r="C685">
        <v>282</v>
      </c>
      <c r="D685">
        <v>80</v>
      </c>
      <c r="E685" s="5">
        <v>45625</v>
      </c>
      <c r="F685">
        <v>13.34601793965752</v>
      </c>
      <c r="G685">
        <v>4.17</v>
      </c>
      <c r="H685">
        <f t="shared" si="28"/>
        <v>0.4910000000000001</v>
      </c>
      <c r="I685">
        <f t="shared" si="29"/>
        <v>1.8185185185185189</v>
      </c>
    </row>
    <row r="686" spans="1:9" x14ac:dyDescent="0.35">
      <c r="A686">
        <v>2</v>
      </c>
      <c r="B686" t="s">
        <v>61</v>
      </c>
      <c r="C686">
        <v>166</v>
      </c>
      <c r="D686">
        <v>80</v>
      </c>
      <c r="E686" s="29">
        <v>45625</v>
      </c>
      <c r="F686">
        <v>12.676056338028177</v>
      </c>
      <c r="G686">
        <v>2.96</v>
      </c>
      <c r="H686">
        <f t="shared" si="28"/>
        <v>0.33300000000000018</v>
      </c>
      <c r="I686">
        <f t="shared" si="29"/>
        <v>1.2333333333333341</v>
      </c>
    </row>
    <row r="687" spans="1:9" x14ac:dyDescent="0.35">
      <c r="A687">
        <v>2</v>
      </c>
      <c r="B687" t="s">
        <v>61</v>
      </c>
      <c r="C687">
        <v>172</v>
      </c>
      <c r="D687">
        <v>80</v>
      </c>
      <c r="E687" s="5">
        <v>45625</v>
      </c>
      <c r="F687">
        <v>12.207151664611597</v>
      </c>
      <c r="G687">
        <v>2.73</v>
      </c>
      <c r="H687">
        <f t="shared" si="28"/>
        <v>0.29700000000000015</v>
      </c>
      <c r="I687">
        <f t="shared" si="29"/>
        <v>1.1000000000000005</v>
      </c>
    </row>
    <row r="688" spans="1:9" x14ac:dyDescent="0.35">
      <c r="A688">
        <v>2</v>
      </c>
      <c r="B688" t="s">
        <v>61</v>
      </c>
      <c r="C688">
        <v>175</v>
      </c>
      <c r="D688">
        <v>80</v>
      </c>
      <c r="E688" s="29">
        <v>45625</v>
      </c>
      <c r="F688">
        <v>13.236419280795719</v>
      </c>
      <c r="G688">
        <v>2.96</v>
      </c>
      <c r="H688">
        <f t="shared" ref="H688:H692" si="30">G688-G67</f>
        <v>0.34600000000000009</v>
      </c>
      <c r="I688">
        <f t="shared" si="29"/>
        <v>1.2814814814814819</v>
      </c>
    </row>
    <row r="689" spans="1:9" x14ac:dyDescent="0.35">
      <c r="A689">
        <v>4</v>
      </c>
      <c r="B689" t="s">
        <v>61</v>
      </c>
      <c r="C689">
        <v>211</v>
      </c>
      <c r="D689">
        <v>80</v>
      </c>
      <c r="E689" s="5">
        <v>45625</v>
      </c>
      <c r="F689">
        <v>13.776337115072929</v>
      </c>
      <c r="G689">
        <v>3.51</v>
      </c>
      <c r="H689">
        <f t="shared" si="30"/>
        <v>0.42499999999999982</v>
      </c>
      <c r="I689">
        <f t="shared" si="29"/>
        <v>1.5740740740740735</v>
      </c>
    </row>
    <row r="690" spans="1:9" x14ac:dyDescent="0.35">
      <c r="A690">
        <v>4</v>
      </c>
      <c r="B690" t="s">
        <v>61</v>
      </c>
      <c r="C690">
        <v>217</v>
      </c>
      <c r="D690">
        <v>80</v>
      </c>
      <c r="E690" s="29">
        <v>45625</v>
      </c>
      <c r="F690">
        <v>14.949951566031647</v>
      </c>
      <c r="G690">
        <v>3.56</v>
      </c>
      <c r="H690">
        <f t="shared" si="30"/>
        <v>0.46300000000000008</v>
      </c>
      <c r="I690">
        <f t="shared" si="29"/>
        <v>1.7148148148148152</v>
      </c>
    </row>
    <row r="691" spans="1:9" x14ac:dyDescent="0.35">
      <c r="A691">
        <v>4</v>
      </c>
      <c r="B691" t="s">
        <v>61</v>
      </c>
      <c r="C691">
        <v>223</v>
      </c>
      <c r="D691">
        <v>80</v>
      </c>
      <c r="E691" s="5">
        <v>45625</v>
      </c>
      <c r="F691">
        <v>14.31623931623932</v>
      </c>
      <c r="G691">
        <v>3.21</v>
      </c>
      <c r="H691">
        <f t="shared" si="30"/>
        <v>0.40200000000000014</v>
      </c>
      <c r="I691">
        <f t="shared" si="29"/>
        <v>1.4888888888888894</v>
      </c>
    </row>
    <row r="692" spans="1:9" x14ac:dyDescent="0.35">
      <c r="A692">
        <v>0</v>
      </c>
      <c r="B692" t="s">
        <v>63</v>
      </c>
      <c r="C692">
        <v>316</v>
      </c>
      <c r="D692">
        <v>80</v>
      </c>
      <c r="E692" s="29">
        <v>45628</v>
      </c>
      <c r="F692">
        <v>11.077527580474531</v>
      </c>
      <c r="G692">
        <v>7.35</v>
      </c>
      <c r="H692">
        <f>G692-G2</f>
        <v>0.73299999999999965</v>
      </c>
      <c r="I692">
        <f t="shared" si="29"/>
        <v>2.7148148148148135</v>
      </c>
    </row>
    <row r="693" spans="1:9" x14ac:dyDescent="0.35">
      <c r="A693">
        <v>0</v>
      </c>
      <c r="B693" t="s">
        <v>63</v>
      </c>
      <c r="C693">
        <v>320</v>
      </c>
      <c r="D693">
        <v>80</v>
      </c>
      <c r="E693" s="29">
        <v>45628</v>
      </c>
      <c r="F693">
        <v>11.076780472732899</v>
      </c>
      <c r="G693">
        <v>7.19</v>
      </c>
      <c r="H693">
        <f t="shared" ref="H693:H756" si="31">G693-G3</f>
        <v>0.71700000000000053</v>
      </c>
      <c r="I693">
        <f t="shared" si="29"/>
        <v>2.6555555555555577</v>
      </c>
    </row>
    <row r="694" spans="1:9" x14ac:dyDescent="0.35">
      <c r="A694">
        <v>0</v>
      </c>
      <c r="B694" t="s">
        <v>63</v>
      </c>
      <c r="C694">
        <v>325</v>
      </c>
      <c r="D694">
        <v>80</v>
      </c>
      <c r="E694" s="29">
        <v>45628</v>
      </c>
      <c r="F694">
        <v>11.129242819843334</v>
      </c>
      <c r="G694">
        <v>6.81</v>
      </c>
      <c r="H694">
        <f t="shared" si="31"/>
        <v>0.6819999999999995</v>
      </c>
      <c r="I694">
        <f t="shared" si="29"/>
        <v>2.5259259259259244</v>
      </c>
    </row>
    <row r="695" spans="1:9" x14ac:dyDescent="0.35">
      <c r="A695">
        <v>0</v>
      </c>
      <c r="B695" t="s">
        <v>64</v>
      </c>
      <c r="C695">
        <v>332</v>
      </c>
      <c r="D695">
        <v>80</v>
      </c>
      <c r="E695" s="29">
        <v>45628</v>
      </c>
      <c r="F695">
        <v>10.96256684491979</v>
      </c>
      <c r="G695">
        <v>4.1500000000000004</v>
      </c>
      <c r="H695">
        <f t="shared" si="31"/>
        <v>0.41000000000000014</v>
      </c>
      <c r="I695">
        <f t="shared" si="29"/>
        <v>1.518518518518519</v>
      </c>
    </row>
    <row r="696" spans="1:9" x14ac:dyDescent="0.35">
      <c r="A696">
        <v>0</v>
      </c>
      <c r="B696" t="s">
        <v>64</v>
      </c>
      <c r="C696">
        <v>336</v>
      </c>
      <c r="D696">
        <v>80</v>
      </c>
      <c r="E696" s="29">
        <v>45628</v>
      </c>
      <c r="F696">
        <v>11.053044159916386</v>
      </c>
      <c r="G696">
        <v>4.25</v>
      </c>
      <c r="H696">
        <f t="shared" si="31"/>
        <v>0.42300000000000004</v>
      </c>
      <c r="I696">
        <f t="shared" si="29"/>
        <v>1.5666666666666669</v>
      </c>
    </row>
    <row r="697" spans="1:9" x14ac:dyDescent="0.35">
      <c r="A697">
        <v>0</v>
      </c>
      <c r="B697" t="s">
        <v>64</v>
      </c>
      <c r="C697">
        <v>341</v>
      </c>
      <c r="D697">
        <v>80</v>
      </c>
      <c r="E697" s="29">
        <v>45628</v>
      </c>
      <c r="F697">
        <v>11.172261970280687</v>
      </c>
      <c r="G697">
        <v>4.04</v>
      </c>
      <c r="H697">
        <f t="shared" si="31"/>
        <v>0.40600000000000014</v>
      </c>
      <c r="I697">
        <f t="shared" si="29"/>
        <v>1.5037037037037042</v>
      </c>
    </row>
    <row r="698" spans="1:9" x14ac:dyDescent="0.35">
      <c r="A698">
        <v>0</v>
      </c>
      <c r="B698" t="s">
        <v>65</v>
      </c>
      <c r="C698">
        <v>348</v>
      </c>
      <c r="D698">
        <v>80</v>
      </c>
      <c r="E698" s="29">
        <v>45628</v>
      </c>
      <c r="F698">
        <v>10.615175625849032</v>
      </c>
      <c r="G698">
        <v>5.7</v>
      </c>
      <c r="H698">
        <f t="shared" si="31"/>
        <v>0.5470000000000006</v>
      </c>
      <c r="I698">
        <f t="shared" si="29"/>
        <v>2.0259259259259284</v>
      </c>
    </row>
    <row r="699" spans="1:9" x14ac:dyDescent="0.35">
      <c r="A699">
        <v>0</v>
      </c>
      <c r="B699" t="s">
        <v>65</v>
      </c>
      <c r="C699">
        <v>352</v>
      </c>
      <c r="D699">
        <v>80</v>
      </c>
      <c r="E699" s="29">
        <v>45628</v>
      </c>
      <c r="F699">
        <v>10.856706735355848</v>
      </c>
      <c r="G699">
        <v>5.81</v>
      </c>
      <c r="H699">
        <f t="shared" si="31"/>
        <v>0.56899999999999995</v>
      </c>
      <c r="I699">
        <f t="shared" si="29"/>
        <v>2.1074074074074072</v>
      </c>
    </row>
    <row r="700" spans="1:9" x14ac:dyDescent="0.35">
      <c r="A700">
        <v>0</v>
      </c>
      <c r="B700" t="s">
        <v>65</v>
      </c>
      <c r="C700">
        <v>357</v>
      </c>
      <c r="D700">
        <v>80</v>
      </c>
      <c r="E700" s="29">
        <v>45628</v>
      </c>
      <c r="F700">
        <v>10.960232783705131</v>
      </c>
      <c r="G700">
        <v>5.72</v>
      </c>
      <c r="H700">
        <f t="shared" si="31"/>
        <v>0.5649999999999995</v>
      </c>
      <c r="I700">
        <f t="shared" si="29"/>
        <v>2.0925925925925908</v>
      </c>
    </row>
    <row r="701" spans="1:9" x14ac:dyDescent="0.35">
      <c r="A701">
        <v>0</v>
      </c>
      <c r="B701" t="s">
        <v>66</v>
      </c>
      <c r="C701">
        <v>368</v>
      </c>
      <c r="D701">
        <v>80</v>
      </c>
      <c r="E701" s="29">
        <v>45628</v>
      </c>
      <c r="F701">
        <v>10.859334146766606</v>
      </c>
      <c r="G701">
        <v>6.36</v>
      </c>
      <c r="H701">
        <f t="shared" si="31"/>
        <v>0.62300000000000022</v>
      </c>
      <c r="I701">
        <f t="shared" si="29"/>
        <v>2.3074074074074082</v>
      </c>
    </row>
    <row r="702" spans="1:9" x14ac:dyDescent="0.35">
      <c r="A702">
        <v>0</v>
      </c>
      <c r="B702" t="s">
        <v>66</v>
      </c>
      <c r="C702">
        <v>372</v>
      </c>
      <c r="D702">
        <v>80</v>
      </c>
      <c r="E702" s="29">
        <v>45628</v>
      </c>
      <c r="F702">
        <v>11.057147482596742</v>
      </c>
      <c r="G702">
        <v>6.86</v>
      </c>
      <c r="H702">
        <f t="shared" si="31"/>
        <v>0.68300000000000072</v>
      </c>
      <c r="I702">
        <f t="shared" si="29"/>
        <v>2.5296296296296323</v>
      </c>
    </row>
    <row r="703" spans="1:9" x14ac:dyDescent="0.35">
      <c r="A703">
        <v>0</v>
      </c>
      <c r="B703" t="s">
        <v>66</v>
      </c>
      <c r="C703">
        <v>377</v>
      </c>
      <c r="D703">
        <v>80</v>
      </c>
      <c r="E703" s="29">
        <v>45628</v>
      </c>
      <c r="F703">
        <v>11.055859439748049</v>
      </c>
      <c r="G703">
        <v>6.7</v>
      </c>
      <c r="H703">
        <f t="shared" si="31"/>
        <v>0.66699999999999982</v>
      </c>
      <c r="I703">
        <f t="shared" si="29"/>
        <v>2.4703703703703694</v>
      </c>
    </row>
    <row r="704" spans="1:9" x14ac:dyDescent="0.35">
      <c r="A704">
        <v>0</v>
      </c>
      <c r="B704" t="s">
        <v>58</v>
      </c>
      <c r="C704">
        <v>384</v>
      </c>
      <c r="D704">
        <v>80</v>
      </c>
      <c r="E704" s="29">
        <v>45628</v>
      </c>
      <c r="F704">
        <v>10.531803962460911</v>
      </c>
      <c r="G704">
        <v>3.18</v>
      </c>
      <c r="H704">
        <f t="shared" si="31"/>
        <v>0.30300000000000038</v>
      </c>
      <c r="I704">
        <f t="shared" si="29"/>
        <v>1.1222222222222236</v>
      </c>
    </row>
    <row r="705" spans="1:9" x14ac:dyDescent="0.35">
      <c r="A705">
        <v>0</v>
      </c>
      <c r="B705" t="s">
        <v>58</v>
      </c>
      <c r="C705">
        <v>387</v>
      </c>
      <c r="D705">
        <v>80</v>
      </c>
      <c r="E705" s="29">
        <v>45628</v>
      </c>
      <c r="F705">
        <v>9.8684210526315734</v>
      </c>
      <c r="G705">
        <v>3.34</v>
      </c>
      <c r="H705">
        <f t="shared" si="31"/>
        <v>0.29999999999999982</v>
      </c>
      <c r="I705">
        <f t="shared" si="29"/>
        <v>1.1111111111111105</v>
      </c>
    </row>
    <row r="706" spans="1:9" x14ac:dyDescent="0.35">
      <c r="A706">
        <v>0</v>
      </c>
      <c r="B706" t="s">
        <v>58</v>
      </c>
      <c r="C706">
        <v>392</v>
      </c>
      <c r="D706">
        <v>80</v>
      </c>
      <c r="E706" s="29">
        <v>45628</v>
      </c>
      <c r="F706">
        <v>10.091743119266052</v>
      </c>
      <c r="G706">
        <v>3.48</v>
      </c>
      <c r="H706">
        <f t="shared" si="31"/>
        <v>0.31899999999999995</v>
      </c>
      <c r="I706">
        <f t="shared" si="29"/>
        <v>1.1814814814814814</v>
      </c>
    </row>
    <row r="707" spans="1:9" x14ac:dyDescent="0.35">
      <c r="A707">
        <v>0</v>
      </c>
      <c r="B707" t="s">
        <v>59</v>
      </c>
      <c r="C707">
        <v>399</v>
      </c>
      <c r="D707">
        <v>80</v>
      </c>
      <c r="E707" s="29">
        <v>45628</v>
      </c>
      <c r="F707">
        <v>10.863332271424026</v>
      </c>
      <c r="G707">
        <v>3.48</v>
      </c>
      <c r="H707">
        <f t="shared" si="31"/>
        <v>0.34100000000000019</v>
      </c>
      <c r="I707">
        <f t="shared" ref="I707:I770" si="32">H707/27*100</f>
        <v>1.2629629629629637</v>
      </c>
    </row>
    <row r="708" spans="1:9" x14ac:dyDescent="0.35">
      <c r="A708">
        <v>0</v>
      </c>
      <c r="B708" t="s">
        <v>59</v>
      </c>
      <c r="C708">
        <v>403</v>
      </c>
      <c r="D708">
        <v>80</v>
      </c>
      <c r="E708" s="29">
        <v>45628</v>
      </c>
      <c r="F708">
        <v>10.903426791277262</v>
      </c>
      <c r="G708">
        <v>3.56</v>
      </c>
      <c r="H708">
        <f t="shared" si="31"/>
        <v>0.35000000000000009</v>
      </c>
      <c r="I708">
        <f t="shared" si="32"/>
        <v>1.2962962962962965</v>
      </c>
    </row>
    <row r="709" spans="1:9" x14ac:dyDescent="0.35">
      <c r="A709">
        <v>0</v>
      </c>
      <c r="B709" t="s">
        <v>59</v>
      </c>
      <c r="C709">
        <v>408</v>
      </c>
      <c r="D709">
        <v>80</v>
      </c>
      <c r="E709" s="29">
        <v>45628</v>
      </c>
      <c r="F709">
        <v>9.4750320102432717</v>
      </c>
      <c r="G709">
        <v>3.42</v>
      </c>
      <c r="H709">
        <f t="shared" si="31"/>
        <v>0.29599999999999982</v>
      </c>
      <c r="I709">
        <f t="shared" si="32"/>
        <v>1.0962962962962957</v>
      </c>
    </row>
    <row r="710" spans="1:9" x14ac:dyDescent="0.35">
      <c r="A710">
        <v>0</v>
      </c>
      <c r="B710" t="s">
        <v>60</v>
      </c>
      <c r="C710">
        <v>419</v>
      </c>
      <c r="D710">
        <v>80</v>
      </c>
      <c r="E710" s="29">
        <v>45628</v>
      </c>
      <c r="F710">
        <v>9.2353525322741028</v>
      </c>
      <c r="G710">
        <v>4.4000000000000004</v>
      </c>
      <c r="H710">
        <f t="shared" si="31"/>
        <v>0.37200000000000077</v>
      </c>
      <c r="I710">
        <f t="shared" si="32"/>
        <v>1.3777777777777807</v>
      </c>
    </row>
    <row r="711" spans="1:9" x14ac:dyDescent="0.35">
      <c r="A711">
        <v>0</v>
      </c>
      <c r="B711" t="s">
        <v>60</v>
      </c>
      <c r="C711">
        <v>423</v>
      </c>
      <c r="D711">
        <v>80</v>
      </c>
      <c r="E711" s="29">
        <v>45628</v>
      </c>
      <c r="F711">
        <v>9.3444227005870761</v>
      </c>
      <c r="G711">
        <v>4.47</v>
      </c>
      <c r="H711">
        <f t="shared" si="31"/>
        <v>0.38199999999999967</v>
      </c>
      <c r="I711">
        <f t="shared" si="32"/>
        <v>1.4148148148148136</v>
      </c>
    </row>
    <row r="712" spans="1:9" x14ac:dyDescent="0.35">
      <c r="A712">
        <v>0</v>
      </c>
      <c r="B712" t="s">
        <v>60</v>
      </c>
      <c r="C712">
        <v>428</v>
      </c>
      <c r="D712">
        <v>80</v>
      </c>
      <c r="E712" s="29">
        <v>45628</v>
      </c>
      <c r="F712">
        <v>9.1998957518895015</v>
      </c>
      <c r="G712">
        <v>4.1900000000000004</v>
      </c>
      <c r="H712">
        <f t="shared" si="31"/>
        <v>0.3530000000000002</v>
      </c>
      <c r="I712">
        <f t="shared" si="32"/>
        <v>1.3074074074074082</v>
      </c>
    </row>
    <row r="713" spans="1:9" x14ac:dyDescent="0.35">
      <c r="A713">
        <v>0</v>
      </c>
      <c r="B713" t="s">
        <v>61</v>
      </c>
      <c r="C713">
        <v>439</v>
      </c>
      <c r="D713">
        <v>80</v>
      </c>
      <c r="E713" s="29">
        <v>45628</v>
      </c>
      <c r="F713">
        <v>8.4462982273201366</v>
      </c>
      <c r="G713">
        <v>3.12</v>
      </c>
      <c r="H713">
        <f t="shared" si="31"/>
        <v>0.24300000000000033</v>
      </c>
      <c r="I713">
        <f t="shared" si="32"/>
        <v>0.90000000000000113</v>
      </c>
    </row>
    <row r="714" spans="1:9" x14ac:dyDescent="0.35">
      <c r="A714">
        <v>0</v>
      </c>
      <c r="B714" t="s">
        <v>61</v>
      </c>
      <c r="C714">
        <v>443</v>
      </c>
      <c r="D714">
        <v>80</v>
      </c>
      <c r="E714" s="29">
        <v>45628</v>
      </c>
      <c r="F714">
        <v>8.5910652920962196</v>
      </c>
      <c r="G714">
        <v>3.16</v>
      </c>
      <c r="H714">
        <f t="shared" si="31"/>
        <v>0.25</v>
      </c>
      <c r="I714">
        <f t="shared" si="32"/>
        <v>0.92592592592592582</v>
      </c>
    </row>
    <row r="715" spans="1:9" x14ac:dyDescent="0.35">
      <c r="A715">
        <v>0</v>
      </c>
      <c r="B715" t="s">
        <v>61</v>
      </c>
      <c r="C715">
        <v>448</v>
      </c>
      <c r="D715">
        <v>80</v>
      </c>
      <c r="E715" s="29">
        <v>45628</v>
      </c>
      <c r="F715">
        <v>7.6327822722476295</v>
      </c>
      <c r="G715">
        <v>3.06</v>
      </c>
      <c r="H715">
        <f t="shared" si="31"/>
        <v>0.21700000000000008</v>
      </c>
      <c r="I715">
        <f t="shared" si="32"/>
        <v>0.80370370370370403</v>
      </c>
    </row>
    <row r="716" spans="1:9" x14ac:dyDescent="0.35">
      <c r="A716">
        <v>2</v>
      </c>
      <c r="B716" t="s">
        <v>63</v>
      </c>
      <c r="C716">
        <v>295</v>
      </c>
      <c r="D716">
        <v>80</v>
      </c>
      <c r="E716" s="29">
        <v>45628</v>
      </c>
      <c r="F716">
        <v>6.2314540059347268</v>
      </c>
      <c r="G716">
        <v>5.37</v>
      </c>
      <c r="H716">
        <f t="shared" si="31"/>
        <v>0.31500000000000039</v>
      </c>
      <c r="I716">
        <f t="shared" si="32"/>
        <v>1.1666666666666681</v>
      </c>
    </row>
    <row r="717" spans="1:9" x14ac:dyDescent="0.35">
      <c r="A717">
        <v>2</v>
      </c>
      <c r="B717" t="s">
        <v>63</v>
      </c>
      <c r="C717">
        <v>298</v>
      </c>
      <c r="D717">
        <v>80</v>
      </c>
      <c r="E717" s="29">
        <v>45628</v>
      </c>
      <c r="F717">
        <v>10.94674556213017</v>
      </c>
      <c r="G717">
        <v>6</v>
      </c>
      <c r="H717">
        <f t="shared" si="31"/>
        <v>0.59199999999999964</v>
      </c>
      <c r="I717">
        <f t="shared" si="32"/>
        <v>2.1925925925925913</v>
      </c>
    </row>
    <row r="718" spans="1:9" x14ac:dyDescent="0.35">
      <c r="A718">
        <v>2</v>
      </c>
      <c r="B718" t="s">
        <v>63</v>
      </c>
      <c r="C718">
        <v>301</v>
      </c>
      <c r="D718">
        <v>80</v>
      </c>
      <c r="E718" s="29">
        <v>45628</v>
      </c>
      <c r="F718">
        <v>10.962054426983519</v>
      </c>
      <c r="G718">
        <v>5.79</v>
      </c>
      <c r="H718">
        <f t="shared" si="31"/>
        <v>0.57200000000000006</v>
      </c>
      <c r="I718">
        <f t="shared" si="32"/>
        <v>2.1185185185185187</v>
      </c>
    </row>
    <row r="719" spans="1:9" x14ac:dyDescent="0.35">
      <c r="A719">
        <v>2</v>
      </c>
      <c r="B719" t="s">
        <v>64</v>
      </c>
      <c r="C719">
        <v>6</v>
      </c>
      <c r="D719">
        <v>80</v>
      </c>
      <c r="E719" s="29">
        <v>45628</v>
      </c>
      <c r="F719">
        <v>13.050483351235224</v>
      </c>
      <c r="G719">
        <v>4.21</v>
      </c>
      <c r="H719">
        <f t="shared" si="31"/>
        <v>0.48599999999999977</v>
      </c>
      <c r="I719">
        <f t="shared" si="32"/>
        <v>1.7999999999999992</v>
      </c>
    </row>
    <row r="720" spans="1:9" x14ac:dyDescent="0.35">
      <c r="A720">
        <v>2</v>
      </c>
      <c r="B720" t="s">
        <v>64</v>
      </c>
      <c r="C720">
        <v>10</v>
      </c>
      <c r="D720">
        <v>80</v>
      </c>
      <c r="E720" s="29">
        <v>45628</v>
      </c>
      <c r="F720">
        <v>12.23099972759467</v>
      </c>
      <c r="G720">
        <v>4.12</v>
      </c>
      <c r="H720">
        <f t="shared" si="31"/>
        <v>0.44900000000000029</v>
      </c>
      <c r="I720">
        <f t="shared" si="32"/>
        <v>1.6629629629629641</v>
      </c>
    </row>
    <row r="721" spans="1:9" x14ac:dyDescent="0.35">
      <c r="A721">
        <v>2</v>
      </c>
      <c r="B721" t="s">
        <v>64</v>
      </c>
      <c r="C721">
        <v>14</v>
      </c>
      <c r="D721">
        <v>80</v>
      </c>
      <c r="E721" s="29">
        <v>45628</v>
      </c>
      <c r="F721">
        <v>12.289780077619653</v>
      </c>
      <c r="G721">
        <v>4.34</v>
      </c>
      <c r="H721">
        <f t="shared" si="31"/>
        <v>0.47499999999999964</v>
      </c>
      <c r="I721">
        <f t="shared" si="32"/>
        <v>1.759259259259258</v>
      </c>
    </row>
    <row r="722" spans="1:9" x14ac:dyDescent="0.35">
      <c r="A722">
        <v>4</v>
      </c>
      <c r="B722" t="s">
        <v>64</v>
      </c>
      <c r="C722">
        <v>26</v>
      </c>
      <c r="D722">
        <v>80</v>
      </c>
      <c r="E722" s="29">
        <v>45628</v>
      </c>
      <c r="F722">
        <v>12.559241706161146</v>
      </c>
      <c r="G722">
        <v>4.75</v>
      </c>
      <c r="H722">
        <f t="shared" si="31"/>
        <v>0.53000000000000025</v>
      </c>
      <c r="I722">
        <f t="shared" si="32"/>
        <v>1.9629629629629639</v>
      </c>
    </row>
    <row r="723" spans="1:9" x14ac:dyDescent="0.35">
      <c r="A723">
        <v>4</v>
      </c>
      <c r="B723" t="s">
        <v>64</v>
      </c>
      <c r="C723">
        <v>30</v>
      </c>
      <c r="D723">
        <v>80</v>
      </c>
      <c r="E723" s="29">
        <v>45628</v>
      </c>
      <c r="F723">
        <v>12.488083889418496</v>
      </c>
      <c r="G723">
        <v>4.72</v>
      </c>
      <c r="H723">
        <f t="shared" si="31"/>
        <v>0.52400000000000002</v>
      </c>
      <c r="I723">
        <f t="shared" si="32"/>
        <v>1.9407407407407409</v>
      </c>
    </row>
    <row r="724" spans="1:9" x14ac:dyDescent="0.35">
      <c r="A724">
        <v>4</v>
      </c>
      <c r="B724" t="s">
        <v>64</v>
      </c>
      <c r="C724">
        <v>34</v>
      </c>
      <c r="D724">
        <v>80</v>
      </c>
      <c r="E724" s="29">
        <v>45628</v>
      </c>
      <c r="F724">
        <v>12.502954384306308</v>
      </c>
      <c r="G724">
        <v>4.76</v>
      </c>
      <c r="H724">
        <f t="shared" si="31"/>
        <v>0.52899999999999991</v>
      </c>
      <c r="I724">
        <f t="shared" si="32"/>
        <v>1.9592592592592588</v>
      </c>
    </row>
    <row r="725" spans="1:9" x14ac:dyDescent="0.35">
      <c r="A725">
        <v>2</v>
      </c>
      <c r="B725" t="s">
        <v>65</v>
      </c>
      <c r="C725">
        <v>46</v>
      </c>
      <c r="D725">
        <v>80</v>
      </c>
      <c r="E725" s="29">
        <v>45628</v>
      </c>
      <c r="F725">
        <v>11.81601903251388</v>
      </c>
      <c r="G725">
        <v>5.64</v>
      </c>
      <c r="H725">
        <f t="shared" si="31"/>
        <v>0.59600000000000009</v>
      </c>
      <c r="I725">
        <f t="shared" si="32"/>
        <v>2.2074074074074077</v>
      </c>
    </row>
    <row r="726" spans="1:9" x14ac:dyDescent="0.35">
      <c r="A726">
        <v>2</v>
      </c>
      <c r="B726" t="s">
        <v>65</v>
      </c>
      <c r="C726">
        <v>50</v>
      </c>
      <c r="D726">
        <v>80</v>
      </c>
      <c r="E726" s="29">
        <v>45628</v>
      </c>
      <c r="F726">
        <v>11.295988167868364</v>
      </c>
      <c r="G726">
        <v>6.02</v>
      </c>
      <c r="H726">
        <f t="shared" si="31"/>
        <v>0.61099999999999977</v>
      </c>
      <c r="I726">
        <f t="shared" si="32"/>
        <v>2.2629629629629622</v>
      </c>
    </row>
    <row r="727" spans="1:9" x14ac:dyDescent="0.35">
      <c r="A727">
        <v>2</v>
      </c>
      <c r="B727" t="s">
        <v>65</v>
      </c>
      <c r="C727">
        <v>54</v>
      </c>
      <c r="D727">
        <v>80</v>
      </c>
      <c r="E727" s="29">
        <v>45628</v>
      </c>
      <c r="F727">
        <v>11.497584541062796</v>
      </c>
      <c r="G727">
        <v>5.77</v>
      </c>
      <c r="H727">
        <f t="shared" si="31"/>
        <v>0.59499999999999975</v>
      </c>
      <c r="I727">
        <f t="shared" si="32"/>
        <v>2.2037037037037028</v>
      </c>
    </row>
    <row r="728" spans="1:9" x14ac:dyDescent="0.35">
      <c r="A728">
        <v>4</v>
      </c>
      <c r="B728" t="s">
        <v>65</v>
      </c>
      <c r="C728">
        <v>67</v>
      </c>
      <c r="D728">
        <v>80</v>
      </c>
      <c r="E728" s="29">
        <v>45628</v>
      </c>
      <c r="F728">
        <v>12.17877094972067</v>
      </c>
      <c r="G728">
        <v>5.0199999999999996</v>
      </c>
      <c r="H728">
        <f t="shared" si="31"/>
        <v>0.54499999999999993</v>
      </c>
      <c r="I728">
        <f t="shared" si="32"/>
        <v>2.0185185185185182</v>
      </c>
    </row>
    <row r="729" spans="1:9" x14ac:dyDescent="0.35">
      <c r="A729">
        <v>4</v>
      </c>
      <c r="B729" t="s">
        <v>65</v>
      </c>
      <c r="C729">
        <v>71</v>
      </c>
      <c r="D729">
        <v>80</v>
      </c>
      <c r="E729" s="29">
        <v>45628</v>
      </c>
      <c r="F729">
        <v>11.938754396854954</v>
      </c>
      <c r="G729">
        <v>5.41</v>
      </c>
      <c r="H729">
        <f t="shared" si="31"/>
        <v>0.57699999999999996</v>
      </c>
      <c r="I729">
        <f t="shared" si="32"/>
        <v>2.1370370370370368</v>
      </c>
    </row>
    <row r="730" spans="1:9" x14ac:dyDescent="0.35">
      <c r="A730">
        <v>4</v>
      </c>
      <c r="B730" t="s">
        <v>65</v>
      </c>
      <c r="C730">
        <v>75</v>
      </c>
      <c r="D730">
        <v>80</v>
      </c>
      <c r="E730" s="29">
        <v>45628</v>
      </c>
      <c r="F730">
        <v>12.567004169148301</v>
      </c>
      <c r="G730">
        <v>5.67</v>
      </c>
      <c r="H730">
        <f t="shared" si="31"/>
        <v>0.63300000000000001</v>
      </c>
      <c r="I730">
        <f t="shared" si="32"/>
        <v>2.3444444444444446</v>
      </c>
    </row>
    <row r="731" spans="1:9" x14ac:dyDescent="0.35">
      <c r="A731">
        <v>2</v>
      </c>
      <c r="B731" t="s">
        <v>66</v>
      </c>
      <c r="C731">
        <v>87</v>
      </c>
      <c r="D731">
        <v>80</v>
      </c>
      <c r="E731" s="29">
        <v>45628</v>
      </c>
      <c r="F731">
        <v>11.539945966808178</v>
      </c>
      <c r="G731">
        <v>5.78</v>
      </c>
      <c r="H731">
        <f t="shared" si="31"/>
        <v>0.59799999999999986</v>
      </c>
      <c r="I731">
        <f t="shared" si="32"/>
        <v>2.2148148148148143</v>
      </c>
    </row>
    <row r="732" spans="1:9" x14ac:dyDescent="0.35">
      <c r="A732">
        <v>2</v>
      </c>
      <c r="B732" t="s">
        <v>66</v>
      </c>
      <c r="C732">
        <v>91</v>
      </c>
      <c r="D732">
        <v>80</v>
      </c>
      <c r="E732" s="29">
        <v>45628</v>
      </c>
      <c r="F732">
        <v>11.243543901470002</v>
      </c>
      <c r="G732">
        <v>5.6</v>
      </c>
      <c r="H732">
        <f t="shared" si="31"/>
        <v>0.56599999999999984</v>
      </c>
      <c r="I732">
        <f t="shared" si="32"/>
        <v>2.0962962962962957</v>
      </c>
    </row>
    <row r="733" spans="1:9" x14ac:dyDescent="0.35">
      <c r="A733">
        <v>2</v>
      </c>
      <c r="B733" t="s">
        <v>66</v>
      </c>
      <c r="C733">
        <v>95</v>
      </c>
      <c r="D733">
        <v>80</v>
      </c>
      <c r="E733" s="29">
        <v>45628</v>
      </c>
      <c r="F733">
        <v>11.317254174397039</v>
      </c>
      <c r="G733">
        <v>6</v>
      </c>
      <c r="H733">
        <f t="shared" si="31"/>
        <v>0.61000000000000032</v>
      </c>
      <c r="I733">
        <f t="shared" si="32"/>
        <v>2.2592592592592604</v>
      </c>
    </row>
    <row r="734" spans="1:9" x14ac:dyDescent="0.35">
      <c r="A734">
        <v>4</v>
      </c>
      <c r="B734" t="s">
        <v>66</v>
      </c>
      <c r="C734">
        <v>107</v>
      </c>
      <c r="D734">
        <v>80</v>
      </c>
      <c r="E734" s="29">
        <v>45628</v>
      </c>
      <c r="F734">
        <v>11.207948405089764</v>
      </c>
      <c r="G734">
        <v>6.38</v>
      </c>
      <c r="H734">
        <f t="shared" si="31"/>
        <v>0.64299999999999979</v>
      </c>
      <c r="I734">
        <f t="shared" si="32"/>
        <v>2.3814814814814804</v>
      </c>
    </row>
    <row r="735" spans="1:9" x14ac:dyDescent="0.35">
      <c r="A735">
        <v>4</v>
      </c>
      <c r="B735" t="s">
        <v>66</v>
      </c>
      <c r="C735">
        <v>111</v>
      </c>
      <c r="D735">
        <v>80</v>
      </c>
      <c r="E735" s="29">
        <v>45628</v>
      </c>
      <c r="F735">
        <v>11.148253384589683</v>
      </c>
      <c r="G735">
        <v>6.65</v>
      </c>
      <c r="H735">
        <f t="shared" si="31"/>
        <v>0.6670000000000007</v>
      </c>
      <c r="I735">
        <f t="shared" si="32"/>
        <v>2.470370370370373</v>
      </c>
    </row>
    <row r="736" spans="1:9" x14ac:dyDescent="0.35">
      <c r="A736">
        <v>4</v>
      </c>
      <c r="B736" t="s">
        <v>66</v>
      </c>
      <c r="C736">
        <v>115</v>
      </c>
      <c r="D736">
        <v>80</v>
      </c>
      <c r="E736" s="29">
        <v>45628</v>
      </c>
      <c r="F736">
        <v>11.012590884908663</v>
      </c>
      <c r="G736">
        <v>6.26</v>
      </c>
      <c r="H736">
        <f t="shared" si="31"/>
        <v>0.62099999999999955</v>
      </c>
      <c r="I736">
        <f t="shared" si="32"/>
        <v>2.299999999999998</v>
      </c>
    </row>
    <row r="737" spans="1:9" x14ac:dyDescent="0.35">
      <c r="A737">
        <v>2</v>
      </c>
      <c r="B737" t="s">
        <v>58</v>
      </c>
      <c r="C737">
        <v>128</v>
      </c>
      <c r="D737">
        <v>80</v>
      </c>
      <c r="E737" s="29">
        <v>45628</v>
      </c>
      <c r="F737">
        <v>10.342019543973942</v>
      </c>
      <c r="G737">
        <v>2.71</v>
      </c>
      <c r="H737">
        <f t="shared" si="31"/>
        <v>0.254</v>
      </c>
      <c r="I737">
        <f t="shared" si="32"/>
        <v>0.94074074074074077</v>
      </c>
    </row>
    <row r="738" spans="1:9" x14ac:dyDescent="0.35">
      <c r="A738">
        <v>2</v>
      </c>
      <c r="B738" t="s">
        <v>58</v>
      </c>
      <c r="C738">
        <v>133</v>
      </c>
      <c r="D738">
        <v>80</v>
      </c>
      <c r="E738" s="29">
        <v>45628</v>
      </c>
      <c r="F738">
        <v>11.204717775905644</v>
      </c>
      <c r="G738">
        <v>2.64</v>
      </c>
      <c r="H738">
        <f t="shared" si="31"/>
        <v>0.26600000000000001</v>
      </c>
      <c r="I738">
        <f t="shared" si="32"/>
        <v>0.98518518518518527</v>
      </c>
    </row>
    <row r="739" spans="1:9" x14ac:dyDescent="0.35">
      <c r="A739">
        <v>2</v>
      </c>
      <c r="B739" t="s">
        <v>58</v>
      </c>
      <c r="C739">
        <v>139</v>
      </c>
      <c r="D739">
        <v>80</v>
      </c>
      <c r="E739" s="29">
        <v>45628</v>
      </c>
      <c r="F739">
        <v>11.064366848969305</v>
      </c>
      <c r="G739">
        <v>2.64</v>
      </c>
      <c r="H739">
        <f t="shared" si="31"/>
        <v>0.26300000000000034</v>
      </c>
      <c r="I739">
        <f t="shared" si="32"/>
        <v>0.97407407407407531</v>
      </c>
    </row>
    <row r="740" spans="1:9" x14ac:dyDescent="0.35">
      <c r="A740">
        <v>4</v>
      </c>
      <c r="B740" t="s">
        <v>58</v>
      </c>
      <c r="C740">
        <v>150</v>
      </c>
      <c r="D740">
        <v>80</v>
      </c>
      <c r="E740" s="29">
        <v>45628</v>
      </c>
      <c r="F740">
        <v>15.000000000000005</v>
      </c>
      <c r="G740">
        <v>3.45</v>
      </c>
      <c r="H740">
        <f t="shared" si="31"/>
        <v>0.45000000000000018</v>
      </c>
      <c r="I740">
        <f t="shared" si="32"/>
        <v>1.6666666666666674</v>
      </c>
    </row>
    <row r="741" spans="1:9" x14ac:dyDescent="0.35">
      <c r="A741">
        <v>4</v>
      </c>
      <c r="B741" t="s">
        <v>58</v>
      </c>
      <c r="C741">
        <v>156</v>
      </c>
      <c r="D741">
        <v>80</v>
      </c>
      <c r="E741" s="29">
        <v>45628</v>
      </c>
      <c r="F741">
        <v>14.577259475218657</v>
      </c>
      <c r="G741">
        <v>3.93</v>
      </c>
      <c r="H741">
        <f t="shared" si="31"/>
        <v>0.5</v>
      </c>
      <c r="I741">
        <f t="shared" si="32"/>
        <v>1.8518518518518516</v>
      </c>
    </row>
    <row r="742" spans="1:9" x14ac:dyDescent="0.35">
      <c r="A742">
        <v>4</v>
      </c>
      <c r="B742" t="s">
        <v>58</v>
      </c>
      <c r="C742">
        <v>158</v>
      </c>
      <c r="D742">
        <v>80</v>
      </c>
      <c r="E742" s="29">
        <v>45628</v>
      </c>
      <c r="F742">
        <v>12.248499823508647</v>
      </c>
      <c r="G742">
        <v>3.18</v>
      </c>
      <c r="H742">
        <f t="shared" si="31"/>
        <v>0.34699999999999998</v>
      </c>
      <c r="I742">
        <f t="shared" si="32"/>
        <v>1.285185185185185</v>
      </c>
    </row>
    <row r="743" spans="1:9" x14ac:dyDescent="0.35">
      <c r="A743">
        <v>2</v>
      </c>
      <c r="B743" t="s">
        <v>59</v>
      </c>
      <c r="C743">
        <v>191</v>
      </c>
      <c r="D743">
        <v>80</v>
      </c>
      <c r="E743" s="29">
        <v>45628</v>
      </c>
      <c r="F743">
        <v>13.012592831772684</v>
      </c>
      <c r="G743">
        <v>3.5</v>
      </c>
      <c r="H743">
        <f t="shared" si="31"/>
        <v>0.40300000000000002</v>
      </c>
      <c r="I743">
        <f t="shared" si="32"/>
        <v>1.4925925925925927</v>
      </c>
    </row>
    <row r="744" spans="1:9" x14ac:dyDescent="0.35">
      <c r="A744">
        <v>2</v>
      </c>
      <c r="B744" t="s">
        <v>59</v>
      </c>
      <c r="C744">
        <v>197</v>
      </c>
      <c r="D744">
        <v>80</v>
      </c>
      <c r="E744" s="29">
        <v>45628</v>
      </c>
      <c r="F744">
        <v>12.27735368956742</v>
      </c>
      <c r="G744">
        <v>3.53</v>
      </c>
      <c r="H744">
        <f t="shared" si="31"/>
        <v>0.38599999999999968</v>
      </c>
      <c r="I744">
        <f t="shared" si="32"/>
        <v>1.4296296296296285</v>
      </c>
    </row>
    <row r="745" spans="1:9" x14ac:dyDescent="0.35">
      <c r="A745">
        <v>2</v>
      </c>
      <c r="B745" t="s">
        <v>59</v>
      </c>
      <c r="C745">
        <v>204</v>
      </c>
      <c r="D745">
        <v>80</v>
      </c>
      <c r="E745" s="29">
        <v>45628</v>
      </c>
      <c r="F745">
        <v>13.061086736415795</v>
      </c>
      <c r="G745">
        <v>3.35</v>
      </c>
      <c r="H745">
        <f t="shared" si="31"/>
        <v>0.38700000000000001</v>
      </c>
      <c r="I745">
        <f t="shared" si="32"/>
        <v>1.4333333333333333</v>
      </c>
    </row>
    <row r="746" spans="1:9" x14ac:dyDescent="0.35">
      <c r="A746">
        <v>4</v>
      </c>
      <c r="B746" t="s">
        <v>59</v>
      </c>
      <c r="C746">
        <v>233</v>
      </c>
      <c r="D746">
        <v>80</v>
      </c>
      <c r="E746" s="29">
        <v>45628</v>
      </c>
      <c r="F746">
        <v>14.383137011779294</v>
      </c>
      <c r="G746">
        <v>3.69</v>
      </c>
      <c r="H746">
        <f t="shared" si="31"/>
        <v>0.46399999999999997</v>
      </c>
      <c r="I746">
        <f t="shared" si="32"/>
        <v>1.7185185185185186</v>
      </c>
    </row>
    <row r="747" spans="1:9" x14ac:dyDescent="0.35">
      <c r="A747">
        <v>4</v>
      </c>
      <c r="B747" t="s">
        <v>59</v>
      </c>
      <c r="C747">
        <v>239</v>
      </c>
      <c r="D747">
        <v>80</v>
      </c>
      <c r="E747" s="29">
        <v>45628</v>
      </c>
      <c r="F747">
        <v>14.818154493537719</v>
      </c>
      <c r="G747">
        <v>3.82</v>
      </c>
      <c r="H747">
        <f t="shared" si="31"/>
        <v>0.49299999999999988</v>
      </c>
      <c r="I747">
        <f t="shared" si="32"/>
        <v>1.8259259259259257</v>
      </c>
    </row>
    <row r="748" spans="1:9" x14ac:dyDescent="0.35">
      <c r="A748">
        <v>4</v>
      </c>
      <c r="B748" t="s">
        <v>59</v>
      </c>
      <c r="C748">
        <v>242</v>
      </c>
      <c r="D748">
        <v>80</v>
      </c>
      <c r="E748" s="29">
        <v>45628</v>
      </c>
      <c r="F748">
        <v>15.101289134438305</v>
      </c>
      <c r="G748">
        <v>3.75</v>
      </c>
      <c r="H748">
        <f t="shared" si="31"/>
        <v>0.49199999999999999</v>
      </c>
      <c r="I748">
        <f t="shared" si="32"/>
        <v>1.8222222222222224</v>
      </c>
    </row>
    <row r="749" spans="1:9" x14ac:dyDescent="0.35">
      <c r="A749">
        <v>2</v>
      </c>
      <c r="B749" t="s">
        <v>62</v>
      </c>
      <c r="C749">
        <v>255</v>
      </c>
      <c r="D749">
        <v>80</v>
      </c>
      <c r="E749" s="29">
        <v>45628</v>
      </c>
      <c r="F749">
        <v>9.3838326738270297</v>
      </c>
      <c r="G749">
        <v>3.87</v>
      </c>
      <c r="H749">
        <f t="shared" si="31"/>
        <v>0.33200000000000029</v>
      </c>
      <c r="I749">
        <f t="shared" si="32"/>
        <v>1.2296296296296307</v>
      </c>
    </row>
    <row r="750" spans="1:9" x14ac:dyDescent="0.35">
      <c r="A750">
        <v>2</v>
      </c>
      <c r="B750" t="s">
        <v>62</v>
      </c>
      <c r="C750">
        <v>264</v>
      </c>
      <c r="D750">
        <v>80</v>
      </c>
      <c r="E750" s="29">
        <v>45628</v>
      </c>
      <c r="F750">
        <v>9.3801789857474276</v>
      </c>
      <c r="G750">
        <v>3.3</v>
      </c>
      <c r="H750">
        <f t="shared" si="31"/>
        <v>0.28299999999999992</v>
      </c>
      <c r="I750">
        <f t="shared" si="32"/>
        <v>1.0481481481481478</v>
      </c>
    </row>
    <row r="751" spans="1:9" x14ac:dyDescent="0.35">
      <c r="A751">
        <v>2</v>
      </c>
      <c r="B751" t="s">
        <v>62</v>
      </c>
      <c r="C751">
        <v>270</v>
      </c>
      <c r="D751">
        <v>80</v>
      </c>
      <c r="E751" s="29">
        <v>45628</v>
      </c>
      <c r="F751">
        <v>10.253583241455344</v>
      </c>
      <c r="G751">
        <v>4</v>
      </c>
      <c r="H751">
        <f t="shared" si="31"/>
        <v>0.37199999999999989</v>
      </c>
      <c r="I751">
        <f t="shared" si="32"/>
        <v>1.3777777777777773</v>
      </c>
    </row>
    <row r="752" spans="1:9" x14ac:dyDescent="0.35">
      <c r="A752">
        <v>4</v>
      </c>
      <c r="B752" t="s">
        <v>62</v>
      </c>
      <c r="C752">
        <v>274</v>
      </c>
      <c r="D752">
        <v>80</v>
      </c>
      <c r="E752" s="29">
        <v>45628</v>
      </c>
      <c r="F752">
        <v>10.913253625031805</v>
      </c>
      <c r="G752">
        <v>4.3600000000000003</v>
      </c>
      <c r="H752">
        <f t="shared" si="31"/>
        <v>0.42900000000000027</v>
      </c>
      <c r="I752">
        <f t="shared" si="32"/>
        <v>1.5888888888888901</v>
      </c>
    </row>
    <row r="753" spans="1:9" x14ac:dyDescent="0.35">
      <c r="A753">
        <v>4</v>
      </c>
      <c r="B753" t="s">
        <v>62</v>
      </c>
      <c r="C753">
        <v>277</v>
      </c>
      <c r="D753">
        <v>80</v>
      </c>
      <c r="E753" s="29">
        <v>45628</v>
      </c>
      <c r="F753">
        <v>10.968404829180594</v>
      </c>
      <c r="G753">
        <v>4.32</v>
      </c>
      <c r="H753">
        <f t="shared" si="31"/>
        <v>0.42700000000000049</v>
      </c>
      <c r="I753">
        <f t="shared" si="32"/>
        <v>1.5814814814814833</v>
      </c>
    </row>
    <row r="754" spans="1:9" x14ac:dyDescent="0.35">
      <c r="A754">
        <v>4</v>
      </c>
      <c r="B754" t="s">
        <v>62</v>
      </c>
      <c r="C754">
        <v>282</v>
      </c>
      <c r="D754">
        <v>80</v>
      </c>
      <c r="E754" s="29">
        <v>45628</v>
      </c>
      <c r="F754">
        <v>11.171513998369123</v>
      </c>
      <c r="G754">
        <v>4.09</v>
      </c>
      <c r="H754">
        <f t="shared" si="31"/>
        <v>0.41100000000000003</v>
      </c>
      <c r="I754">
        <f t="shared" si="32"/>
        <v>1.5222222222222224</v>
      </c>
    </row>
    <row r="755" spans="1:9" x14ac:dyDescent="0.35">
      <c r="A755">
        <v>2</v>
      </c>
      <c r="B755" t="s">
        <v>61</v>
      </c>
      <c r="C755">
        <v>166</v>
      </c>
      <c r="D755">
        <v>80</v>
      </c>
      <c r="E755" s="29">
        <v>45628</v>
      </c>
      <c r="F755">
        <v>9.2500951655881369</v>
      </c>
      <c r="G755">
        <v>2.87</v>
      </c>
      <c r="H755">
        <f t="shared" si="31"/>
        <v>0.24300000000000033</v>
      </c>
      <c r="I755">
        <f t="shared" si="32"/>
        <v>0.90000000000000113</v>
      </c>
    </row>
    <row r="756" spans="1:9" x14ac:dyDescent="0.35">
      <c r="A756">
        <v>2</v>
      </c>
      <c r="B756" t="s">
        <v>61</v>
      </c>
      <c r="C756">
        <v>172</v>
      </c>
      <c r="D756">
        <v>80</v>
      </c>
      <c r="E756" s="29">
        <v>45628</v>
      </c>
      <c r="F756">
        <v>8.9190300041101569</v>
      </c>
      <c r="G756">
        <v>2.65</v>
      </c>
      <c r="H756">
        <f t="shared" si="31"/>
        <v>0.21700000000000008</v>
      </c>
      <c r="I756">
        <f t="shared" si="32"/>
        <v>0.80370370370370403</v>
      </c>
    </row>
    <row r="757" spans="1:9" x14ac:dyDescent="0.35">
      <c r="A757">
        <v>2</v>
      </c>
      <c r="B757" t="s">
        <v>61</v>
      </c>
      <c r="C757">
        <v>175</v>
      </c>
      <c r="D757">
        <v>80</v>
      </c>
      <c r="E757" s="29">
        <v>45628</v>
      </c>
      <c r="F757">
        <v>10.558530986993125</v>
      </c>
      <c r="G757">
        <v>2.89</v>
      </c>
      <c r="H757">
        <f t="shared" ref="H757:H761" si="33">G757-G67</f>
        <v>0.27600000000000025</v>
      </c>
      <c r="I757">
        <f t="shared" si="32"/>
        <v>1.0222222222222233</v>
      </c>
    </row>
    <row r="758" spans="1:9" x14ac:dyDescent="0.35">
      <c r="A758">
        <v>4</v>
      </c>
      <c r="B758" t="s">
        <v>61</v>
      </c>
      <c r="C758">
        <v>211</v>
      </c>
      <c r="D758">
        <v>80</v>
      </c>
      <c r="E758" s="29">
        <v>45628</v>
      </c>
      <c r="F758">
        <v>11.831442463533232</v>
      </c>
      <c r="G758">
        <v>3.45</v>
      </c>
      <c r="H758">
        <f t="shared" si="33"/>
        <v>0.36500000000000021</v>
      </c>
      <c r="I758">
        <f t="shared" si="32"/>
        <v>1.3518518518518527</v>
      </c>
    </row>
    <row r="759" spans="1:9" x14ac:dyDescent="0.35">
      <c r="A759">
        <v>4</v>
      </c>
      <c r="B759" t="s">
        <v>61</v>
      </c>
      <c r="C759">
        <v>217</v>
      </c>
      <c r="D759">
        <v>80</v>
      </c>
      <c r="E759" s="29">
        <v>45628</v>
      </c>
      <c r="F759">
        <v>12.366806587019695</v>
      </c>
      <c r="G759">
        <v>3.48</v>
      </c>
      <c r="H759">
        <f t="shared" si="33"/>
        <v>0.38300000000000001</v>
      </c>
      <c r="I759">
        <f t="shared" si="32"/>
        <v>1.4185185185185185</v>
      </c>
    </row>
    <row r="760" spans="1:9" x14ac:dyDescent="0.35">
      <c r="A760">
        <v>4</v>
      </c>
      <c r="B760" t="s">
        <v>61</v>
      </c>
      <c r="C760">
        <v>223</v>
      </c>
      <c r="D760">
        <v>80</v>
      </c>
      <c r="E760" s="29">
        <v>45628</v>
      </c>
      <c r="F760">
        <v>11.46723646723647</v>
      </c>
      <c r="G760">
        <v>3.13</v>
      </c>
      <c r="H760">
        <f t="shared" si="33"/>
        <v>0.32200000000000006</v>
      </c>
      <c r="I760">
        <f t="shared" si="32"/>
        <v>1.1925925925925929</v>
      </c>
    </row>
    <row r="761" spans="1:9" x14ac:dyDescent="0.35">
      <c r="A761">
        <v>0</v>
      </c>
      <c r="B761" t="s">
        <v>63</v>
      </c>
      <c r="C761">
        <v>316</v>
      </c>
      <c r="D761">
        <v>80</v>
      </c>
      <c r="E761" s="29">
        <v>45629</v>
      </c>
      <c r="F761">
        <v>11.077527580474531</v>
      </c>
      <c r="G761">
        <v>7.35</v>
      </c>
      <c r="H761">
        <f>G761-G2</f>
        <v>0.73299999999999965</v>
      </c>
      <c r="I761">
        <f t="shared" si="32"/>
        <v>2.7148148148148135</v>
      </c>
    </row>
    <row r="762" spans="1:9" x14ac:dyDescent="0.35">
      <c r="A762">
        <v>0</v>
      </c>
      <c r="B762" t="s">
        <v>63</v>
      </c>
      <c r="C762">
        <v>320</v>
      </c>
      <c r="D762">
        <v>80</v>
      </c>
      <c r="E762" s="29">
        <v>45629</v>
      </c>
      <c r="F762">
        <v>11.23126834543489</v>
      </c>
      <c r="G762">
        <v>7.2</v>
      </c>
      <c r="H762">
        <f t="shared" ref="H762:H825" si="34">G762-G3</f>
        <v>0.72700000000000031</v>
      </c>
      <c r="I762">
        <f t="shared" si="32"/>
        <v>2.6925925925925935</v>
      </c>
    </row>
    <row r="763" spans="1:9" x14ac:dyDescent="0.35">
      <c r="A763">
        <v>0</v>
      </c>
      <c r="B763" t="s">
        <v>63</v>
      </c>
      <c r="C763">
        <v>325</v>
      </c>
      <c r="D763">
        <v>80</v>
      </c>
      <c r="E763" s="29">
        <v>45629</v>
      </c>
      <c r="F763">
        <v>11.129242819843334</v>
      </c>
      <c r="G763">
        <v>6.81</v>
      </c>
      <c r="H763">
        <f t="shared" si="34"/>
        <v>0.6819999999999995</v>
      </c>
      <c r="I763">
        <f t="shared" si="32"/>
        <v>2.5259259259259244</v>
      </c>
    </row>
    <row r="764" spans="1:9" x14ac:dyDescent="0.35">
      <c r="A764">
        <v>0</v>
      </c>
      <c r="B764" t="s">
        <v>64</v>
      </c>
      <c r="C764">
        <v>332</v>
      </c>
      <c r="D764">
        <v>80</v>
      </c>
      <c r="E764" s="29">
        <v>45629</v>
      </c>
      <c r="F764">
        <v>10.695187165775385</v>
      </c>
      <c r="G764">
        <v>4.1399999999999997</v>
      </c>
      <c r="H764">
        <f t="shared" si="34"/>
        <v>0.39999999999999947</v>
      </c>
      <c r="I764">
        <f t="shared" si="32"/>
        <v>1.4814814814814794</v>
      </c>
    </row>
    <row r="765" spans="1:9" x14ac:dyDescent="0.35">
      <c r="A765">
        <v>0</v>
      </c>
      <c r="B765" t="s">
        <v>64</v>
      </c>
      <c r="C765">
        <v>336</v>
      </c>
      <c r="D765">
        <v>80</v>
      </c>
      <c r="E765" s="29">
        <v>45629</v>
      </c>
      <c r="F765">
        <v>10.791742879540116</v>
      </c>
      <c r="G765">
        <v>4.24</v>
      </c>
      <c r="H765">
        <f t="shared" si="34"/>
        <v>0.41300000000000026</v>
      </c>
      <c r="I765">
        <f t="shared" si="32"/>
        <v>1.5296296296296306</v>
      </c>
    </row>
    <row r="766" spans="1:9" x14ac:dyDescent="0.35">
      <c r="A766">
        <v>0</v>
      </c>
      <c r="B766" t="s">
        <v>64</v>
      </c>
      <c r="C766">
        <v>341</v>
      </c>
      <c r="D766">
        <v>80</v>
      </c>
      <c r="E766" s="29">
        <v>45629</v>
      </c>
      <c r="F766">
        <v>10.897083104017621</v>
      </c>
      <c r="G766">
        <v>4.03</v>
      </c>
      <c r="H766">
        <f t="shared" si="34"/>
        <v>0.39600000000000035</v>
      </c>
      <c r="I766">
        <f t="shared" si="32"/>
        <v>1.4666666666666681</v>
      </c>
    </row>
    <row r="767" spans="1:9" x14ac:dyDescent="0.35">
      <c r="A767">
        <v>0</v>
      </c>
      <c r="B767" t="s">
        <v>65</v>
      </c>
      <c r="C767">
        <v>348</v>
      </c>
      <c r="D767">
        <v>80</v>
      </c>
      <c r="E767" s="29">
        <v>45629</v>
      </c>
      <c r="F767">
        <v>10.809237337473325</v>
      </c>
      <c r="G767">
        <v>5.71</v>
      </c>
      <c r="H767">
        <f t="shared" si="34"/>
        <v>0.55700000000000038</v>
      </c>
      <c r="I767">
        <f t="shared" si="32"/>
        <v>2.0629629629629642</v>
      </c>
    </row>
    <row r="768" spans="1:9" x14ac:dyDescent="0.35">
      <c r="A768">
        <v>0</v>
      </c>
      <c r="B768" t="s">
        <v>65</v>
      </c>
      <c r="C768">
        <v>352</v>
      </c>
      <c r="D768">
        <v>80</v>
      </c>
      <c r="E768" s="29">
        <v>45629</v>
      </c>
      <c r="F768">
        <v>11.047510017172309</v>
      </c>
      <c r="G768">
        <v>5.82</v>
      </c>
      <c r="H768">
        <f t="shared" si="34"/>
        <v>0.57900000000000063</v>
      </c>
      <c r="I768">
        <f t="shared" si="32"/>
        <v>2.1444444444444466</v>
      </c>
    </row>
    <row r="769" spans="1:9" x14ac:dyDescent="0.35">
      <c r="A769">
        <v>0</v>
      </c>
      <c r="B769" t="s">
        <v>65</v>
      </c>
      <c r="C769">
        <v>357</v>
      </c>
      <c r="D769">
        <v>80</v>
      </c>
      <c r="E769" s="29">
        <v>45629</v>
      </c>
      <c r="F769">
        <v>10.960232783705131</v>
      </c>
      <c r="G769">
        <v>5.72</v>
      </c>
      <c r="H769">
        <f t="shared" si="34"/>
        <v>0.5649999999999995</v>
      </c>
      <c r="I769">
        <f t="shared" si="32"/>
        <v>2.0925925925925908</v>
      </c>
    </row>
    <row r="770" spans="1:9" x14ac:dyDescent="0.35">
      <c r="A770">
        <v>0</v>
      </c>
      <c r="B770" t="s">
        <v>66</v>
      </c>
      <c r="C770">
        <v>368</v>
      </c>
      <c r="D770">
        <v>80</v>
      </c>
      <c r="E770" s="29">
        <v>45629</v>
      </c>
      <c r="F770">
        <v>10.685027017605012</v>
      </c>
      <c r="G770">
        <v>6.35</v>
      </c>
      <c r="H770">
        <f t="shared" si="34"/>
        <v>0.61299999999999955</v>
      </c>
      <c r="I770">
        <f t="shared" si="32"/>
        <v>2.2703703703703688</v>
      </c>
    </row>
    <row r="771" spans="1:9" x14ac:dyDescent="0.35">
      <c r="A771">
        <v>0</v>
      </c>
      <c r="B771" t="s">
        <v>66</v>
      </c>
      <c r="C771">
        <v>372</v>
      </c>
      <c r="D771">
        <v>80</v>
      </c>
      <c r="E771" s="29">
        <v>45629</v>
      </c>
      <c r="F771">
        <v>10.895256597053587</v>
      </c>
      <c r="G771">
        <v>6.85</v>
      </c>
      <c r="H771">
        <f t="shared" si="34"/>
        <v>0.67300000000000004</v>
      </c>
      <c r="I771">
        <f t="shared" ref="I771:I834" si="35">H771/27*100</f>
        <v>2.4925925925925929</v>
      </c>
    </row>
    <row r="772" spans="1:9" x14ac:dyDescent="0.35">
      <c r="A772">
        <v>0</v>
      </c>
      <c r="B772" t="s">
        <v>66</v>
      </c>
      <c r="C772">
        <v>377</v>
      </c>
      <c r="D772">
        <v>80</v>
      </c>
      <c r="E772" s="29">
        <v>45629</v>
      </c>
      <c r="F772">
        <v>10.724349411569689</v>
      </c>
      <c r="G772">
        <v>6.68</v>
      </c>
      <c r="H772">
        <f t="shared" si="34"/>
        <v>0.64699999999999935</v>
      </c>
      <c r="I772">
        <f t="shared" si="35"/>
        <v>2.3962962962962941</v>
      </c>
    </row>
    <row r="773" spans="1:9" x14ac:dyDescent="0.35">
      <c r="A773">
        <v>0</v>
      </c>
      <c r="B773" t="s">
        <v>58</v>
      </c>
      <c r="C773">
        <v>384</v>
      </c>
      <c r="D773">
        <v>80</v>
      </c>
      <c r="E773" s="29">
        <v>45629</v>
      </c>
      <c r="F773">
        <v>9.8366353840806529</v>
      </c>
      <c r="G773">
        <v>3.16</v>
      </c>
      <c r="H773">
        <f t="shared" si="34"/>
        <v>0.28300000000000036</v>
      </c>
      <c r="I773">
        <f t="shared" si="35"/>
        <v>1.0481481481481494</v>
      </c>
    </row>
    <row r="774" spans="1:9" x14ac:dyDescent="0.35">
      <c r="A774">
        <v>0</v>
      </c>
      <c r="B774" t="s">
        <v>58</v>
      </c>
      <c r="C774">
        <v>387</v>
      </c>
      <c r="D774">
        <v>80</v>
      </c>
      <c r="E774" s="29">
        <v>45629</v>
      </c>
      <c r="F774">
        <v>10.197368421052634</v>
      </c>
      <c r="G774">
        <v>3.35</v>
      </c>
      <c r="H774">
        <f t="shared" si="34"/>
        <v>0.31000000000000005</v>
      </c>
      <c r="I774">
        <f t="shared" si="35"/>
        <v>1.1481481481481484</v>
      </c>
    </row>
    <row r="775" spans="1:9" x14ac:dyDescent="0.35">
      <c r="A775">
        <v>0</v>
      </c>
      <c r="B775" t="s">
        <v>58</v>
      </c>
      <c r="C775">
        <v>392</v>
      </c>
      <c r="D775">
        <v>80</v>
      </c>
      <c r="E775" s="29">
        <v>45629</v>
      </c>
      <c r="F775">
        <v>9.7753875355900082</v>
      </c>
      <c r="G775">
        <v>3.47</v>
      </c>
      <c r="H775">
        <f t="shared" si="34"/>
        <v>0.30900000000000016</v>
      </c>
      <c r="I775">
        <f t="shared" si="35"/>
        <v>1.144444444444445</v>
      </c>
    </row>
    <row r="776" spans="1:9" x14ac:dyDescent="0.35">
      <c r="A776">
        <v>0</v>
      </c>
      <c r="B776" t="s">
        <v>59</v>
      </c>
      <c r="C776">
        <v>399</v>
      </c>
      <c r="D776">
        <v>80</v>
      </c>
      <c r="E776" s="29">
        <v>45629</v>
      </c>
      <c r="F776">
        <v>10.863332271424026</v>
      </c>
      <c r="G776">
        <v>3.48</v>
      </c>
      <c r="H776">
        <f t="shared" si="34"/>
        <v>0.34100000000000019</v>
      </c>
      <c r="I776">
        <f t="shared" si="35"/>
        <v>1.2629629629629637</v>
      </c>
    </row>
    <row r="777" spans="1:9" x14ac:dyDescent="0.35">
      <c r="A777">
        <v>0</v>
      </c>
      <c r="B777" t="s">
        <v>59</v>
      </c>
      <c r="C777">
        <v>403</v>
      </c>
      <c r="D777">
        <v>80</v>
      </c>
      <c r="E777" s="29">
        <v>45629</v>
      </c>
      <c r="F777">
        <v>10.591900311526475</v>
      </c>
      <c r="G777">
        <v>3.55</v>
      </c>
      <c r="H777">
        <f t="shared" si="34"/>
        <v>0.33999999999999986</v>
      </c>
      <c r="I777">
        <f t="shared" si="35"/>
        <v>1.2592592592592589</v>
      </c>
    </row>
    <row r="778" spans="1:9" x14ac:dyDescent="0.35">
      <c r="A778">
        <v>0</v>
      </c>
      <c r="B778" t="s">
        <v>59</v>
      </c>
      <c r="C778">
        <v>408</v>
      </c>
      <c r="D778">
        <v>80</v>
      </c>
      <c r="E778" s="29">
        <v>45629</v>
      </c>
      <c r="F778">
        <v>10.11523687580025</v>
      </c>
      <c r="G778">
        <v>3.44</v>
      </c>
      <c r="H778">
        <f t="shared" si="34"/>
        <v>0.31599999999999984</v>
      </c>
      <c r="I778">
        <f t="shared" si="35"/>
        <v>1.1703703703703696</v>
      </c>
    </row>
    <row r="779" spans="1:9" x14ac:dyDescent="0.35">
      <c r="A779">
        <v>0</v>
      </c>
      <c r="B779" t="s">
        <v>60</v>
      </c>
      <c r="C779">
        <v>419</v>
      </c>
      <c r="D779">
        <v>80</v>
      </c>
      <c r="E779" s="29">
        <v>45629</v>
      </c>
      <c r="F779">
        <v>9.4836146971201742</v>
      </c>
      <c r="G779">
        <v>4.41</v>
      </c>
      <c r="H779">
        <f t="shared" si="34"/>
        <v>0.38200000000000056</v>
      </c>
      <c r="I779">
        <f t="shared" si="35"/>
        <v>1.4148148148148167</v>
      </c>
    </row>
    <row r="780" spans="1:9" x14ac:dyDescent="0.35">
      <c r="A780">
        <v>0</v>
      </c>
      <c r="B780" t="s">
        <v>60</v>
      </c>
      <c r="C780">
        <v>423</v>
      </c>
      <c r="D780">
        <v>80</v>
      </c>
      <c r="E780" s="29">
        <v>45629</v>
      </c>
      <c r="F780">
        <v>9.5890410958904191</v>
      </c>
      <c r="G780">
        <v>4.4800000000000004</v>
      </c>
      <c r="H780">
        <f t="shared" si="34"/>
        <v>0.39200000000000035</v>
      </c>
      <c r="I780">
        <f t="shared" si="35"/>
        <v>1.4518518518518531</v>
      </c>
    </row>
    <row r="781" spans="1:9" x14ac:dyDescent="0.35">
      <c r="A781">
        <v>0</v>
      </c>
      <c r="B781" t="s">
        <v>60</v>
      </c>
      <c r="C781">
        <v>428</v>
      </c>
      <c r="D781">
        <v>80</v>
      </c>
      <c r="E781" s="29">
        <v>45629</v>
      </c>
      <c r="F781">
        <v>9.4605160281469889</v>
      </c>
      <c r="G781">
        <v>4.2</v>
      </c>
      <c r="H781">
        <f t="shared" si="34"/>
        <v>0.36299999999999999</v>
      </c>
      <c r="I781">
        <f t="shared" si="35"/>
        <v>1.3444444444444446</v>
      </c>
    </row>
    <row r="782" spans="1:9" x14ac:dyDescent="0.35">
      <c r="A782">
        <v>0</v>
      </c>
      <c r="B782" t="s">
        <v>61</v>
      </c>
      <c r="C782">
        <v>439</v>
      </c>
      <c r="D782">
        <v>80</v>
      </c>
      <c r="E782" s="29">
        <v>45629</v>
      </c>
      <c r="F782">
        <v>8.4462982273201366</v>
      </c>
      <c r="G782">
        <v>3.12</v>
      </c>
      <c r="H782">
        <f t="shared" si="34"/>
        <v>0.24300000000000033</v>
      </c>
      <c r="I782">
        <f t="shared" si="35"/>
        <v>0.90000000000000113</v>
      </c>
    </row>
    <row r="783" spans="1:9" x14ac:dyDescent="0.35">
      <c r="A783">
        <v>0</v>
      </c>
      <c r="B783" t="s">
        <v>61</v>
      </c>
      <c r="C783">
        <v>443</v>
      </c>
      <c r="D783">
        <v>80</v>
      </c>
      <c r="E783" s="29">
        <v>45629</v>
      </c>
      <c r="F783">
        <v>8.2474226804123631</v>
      </c>
      <c r="G783">
        <v>3.15</v>
      </c>
      <c r="H783">
        <f t="shared" si="34"/>
        <v>0.23999999999999977</v>
      </c>
      <c r="I783">
        <f t="shared" si="35"/>
        <v>0.88888888888888806</v>
      </c>
    </row>
    <row r="784" spans="1:9" x14ac:dyDescent="0.35">
      <c r="A784">
        <v>0</v>
      </c>
      <c r="B784" t="s">
        <v>61</v>
      </c>
      <c r="C784">
        <v>448</v>
      </c>
      <c r="D784">
        <v>80</v>
      </c>
      <c r="E784" s="29">
        <v>45629</v>
      </c>
      <c r="F784">
        <v>7.6327822722476295</v>
      </c>
      <c r="G784">
        <v>3.06</v>
      </c>
      <c r="H784">
        <f t="shared" si="34"/>
        <v>0.21700000000000008</v>
      </c>
      <c r="I784">
        <f t="shared" si="35"/>
        <v>0.80370370370370403</v>
      </c>
    </row>
    <row r="785" spans="1:9" x14ac:dyDescent="0.35">
      <c r="A785">
        <v>2</v>
      </c>
      <c r="B785" t="s">
        <v>63</v>
      </c>
      <c r="C785">
        <v>295</v>
      </c>
      <c r="D785">
        <v>80</v>
      </c>
      <c r="E785" s="29">
        <v>45629</v>
      </c>
      <c r="F785">
        <v>6.429277942631062</v>
      </c>
      <c r="G785">
        <v>5.38</v>
      </c>
      <c r="H785">
        <f t="shared" si="34"/>
        <v>0.32500000000000018</v>
      </c>
      <c r="I785">
        <f t="shared" si="35"/>
        <v>1.2037037037037044</v>
      </c>
    </row>
    <row r="786" spans="1:9" x14ac:dyDescent="0.35">
      <c r="A786">
        <v>2</v>
      </c>
      <c r="B786" t="s">
        <v>63</v>
      </c>
      <c r="C786">
        <v>298</v>
      </c>
      <c r="D786">
        <v>80</v>
      </c>
      <c r="E786" s="29">
        <v>45629</v>
      </c>
      <c r="F786">
        <v>10.761834319526624</v>
      </c>
      <c r="G786">
        <v>5.99</v>
      </c>
      <c r="H786">
        <f t="shared" si="34"/>
        <v>0.58199999999999985</v>
      </c>
      <c r="I786">
        <f t="shared" si="35"/>
        <v>2.155555555555555</v>
      </c>
    </row>
    <row r="787" spans="1:9" x14ac:dyDescent="0.35">
      <c r="A787">
        <v>2</v>
      </c>
      <c r="B787" t="s">
        <v>63</v>
      </c>
      <c r="C787">
        <v>301</v>
      </c>
      <c r="D787">
        <v>80</v>
      </c>
      <c r="E787" s="29">
        <v>45629</v>
      </c>
      <c r="F787">
        <v>10.962054426983519</v>
      </c>
      <c r="G787">
        <v>5.79</v>
      </c>
      <c r="H787">
        <f t="shared" si="34"/>
        <v>0.57200000000000006</v>
      </c>
      <c r="I787">
        <f t="shared" si="35"/>
        <v>2.1185185185185187</v>
      </c>
    </row>
    <row r="788" spans="1:9" x14ac:dyDescent="0.35">
      <c r="A788">
        <v>2</v>
      </c>
      <c r="B788" t="s">
        <v>64</v>
      </c>
      <c r="C788">
        <v>6</v>
      </c>
      <c r="D788">
        <v>80</v>
      </c>
      <c r="E788" s="29">
        <v>45629</v>
      </c>
      <c r="F788">
        <v>13.050483351235224</v>
      </c>
      <c r="G788">
        <v>4.21</v>
      </c>
      <c r="H788">
        <f t="shared" si="34"/>
        <v>0.48599999999999977</v>
      </c>
      <c r="I788">
        <f t="shared" si="35"/>
        <v>1.7999999999999992</v>
      </c>
    </row>
    <row r="789" spans="1:9" x14ac:dyDescent="0.35">
      <c r="A789">
        <v>2</v>
      </c>
      <c r="B789" t="s">
        <v>64</v>
      </c>
      <c r="C789">
        <v>10</v>
      </c>
      <c r="D789">
        <v>80</v>
      </c>
      <c r="E789" s="29">
        <v>45629</v>
      </c>
      <c r="F789">
        <v>11.958594388450027</v>
      </c>
      <c r="G789">
        <v>4.1100000000000003</v>
      </c>
      <c r="H789">
        <f t="shared" si="34"/>
        <v>0.4390000000000005</v>
      </c>
      <c r="I789">
        <f t="shared" si="35"/>
        <v>1.625925925925928</v>
      </c>
    </row>
    <row r="790" spans="1:9" x14ac:dyDescent="0.35">
      <c r="A790">
        <v>2</v>
      </c>
      <c r="B790" t="s">
        <v>64</v>
      </c>
      <c r="C790">
        <v>14</v>
      </c>
      <c r="D790">
        <v>80</v>
      </c>
      <c r="E790" s="29">
        <v>45629</v>
      </c>
      <c r="F790">
        <v>12.031047865459245</v>
      </c>
      <c r="G790">
        <v>4.33</v>
      </c>
      <c r="H790">
        <f t="shared" si="34"/>
        <v>0.46499999999999986</v>
      </c>
      <c r="I790">
        <f t="shared" si="35"/>
        <v>1.7222222222222219</v>
      </c>
    </row>
    <row r="791" spans="1:9" x14ac:dyDescent="0.35">
      <c r="A791">
        <v>4</v>
      </c>
      <c r="B791" t="s">
        <v>64</v>
      </c>
      <c r="C791">
        <v>26</v>
      </c>
      <c r="D791">
        <v>80</v>
      </c>
      <c r="E791" s="29">
        <v>45629</v>
      </c>
      <c r="F791">
        <v>11.848341232227488</v>
      </c>
      <c r="G791">
        <v>4.72</v>
      </c>
      <c r="H791">
        <f t="shared" si="34"/>
        <v>0.5</v>
      </c>
      <c r="I791">
        <f t="shared" si="35"/>
        <v>1.8518518518518516</v>
      </c>
    </row>
    <row r="792" spans="1:9" x14ac:dyDescent="0.35">
      <c r="A792">
        <v>4</v>
      </c>
      <c r="B792" t="s">
        <v>64</v>
      </c>
      <c r="C792">
        <v>30</v>
      </c>
      <c r="D792">
        <v>80</v>
      </c>
      <c r="E792" s="29">
        <v>45629</v>
      </c>
      <c r="F792">
        <v>12.249761677788376</v>
      </c>
      <c r="G792">
        <v>4.71</v>
      </c>
      <c r="H792">
        <f t="shared" si="34"/>
        <v>0.51400000000000023</v>
      </c>
      <c r="I792">
        <f t="shared" si="35"/>
        <v>1.9037037037037048</v>
      </c>
    </row>
    <row r="793" spans="1:9" x14ac:dyDescent="0.35">
      <c r="A793">
        <v>4</v>
      </c>
      <c r="B793" t="s">
        <v>64</v>
      </c>
      <c r="C793">
        <v>34</v>
      </c>
      <c r="D793">
        <v>80</v>
      </c>
      <c r="E793" s="29">
        <v>45629</v>
      </c>
      <c r="F793">
        <v>12.030252895296629</v>
      </c>
      <c r="G793">
        <v>4.74</v>
      </c>
      <c r="H793">
        <f t="shared" si="34"/>
        <v>0.50900000000000034</v>
      </c>
      <c r="I793">
        <f t="shared" si="35"/>
        <v>1.8851851851851866</v>
      </c>
    </row>
    <row r="794" spans="1:9" x14ac:dyDescent="0.35">
      <c r="A794">
        <v>2</v>
      </c>
      <c r="B794" t="s">
        <v>65</v>
      </c>
      <c r="C794">
        <v>46</v>
      </c>
      <c r="D794">
        <v>80</v>
      </c>
      <c r="E794" s="29">
        <v>45629</v>
      </c>
      <c r="F794">
        <v>11.419508326724833</v>
      </c>
      <c r="G794">
        <v>5.62</v>
      </c>
      <c r="H794">
        <f t="shared" si="34"/>
        <v>0.57600000000000051</v>
      </c>
      <c r="I794">
        <f t="shared" si="35"/>
        <v>2.1333333333333355</v>
      </c>
    </row>
    <row r="795" spans="1:9" x14ac:dyDescent="0.35">
      <c r="A795">
        <v>2</v>
      </c>
      <c r="B795" t="s">
        <v>65</v>
      </c>
      <c r="C795">
        <v>50</v>
      </c>
      <c r="D795">
        <v>80</v>
      </c>
      <c r="E795" s="29">
        <v>45629</v>
      </c>
      <c r="F795">
        <v>11.111111111111111</v>
      </c>
      <c r="G795">
        <v>6.01</v>
      </c>
      <c r="H795">
        <f t="shared" si="34"/>
        <v>0.60099999999999998</v>
      </c>
      <c r="I795">
        <f t="shared" si="35"/>
        <v>2.2259259259259259</v>
      </c>
    </row>
    <row r="796" spans="1:9" x14ac:dyDescent="0.35">
      <c r="A796">
        <v>2</v>
      </c>
      <c r="B796" t="s">
        <v>65</v>
      </c>
      <c r="C796">
        <v>54</v>
      </c>
      <c r="D796">
        <v>80</v>
      </c>
      <c r="E796" s="29">
        <v>45629</v>
      </c>
      <c r="F796">
        <v>11.111111111111114</v>
      </c>
      <c r="G796">
        <v>5.75</v>
      </c>
      <c r="H796">
        <f t="shared" si="34"/>
        <v>0.57500000000000018</v>
      </c>
      <c r="I796">
        <f t="shared" si="35"/>
        <v>2.1296296296296302</v>
      </c>
    </row>
    <row r="797" spans="1:9" x14ac:dyDescent="0.35">
      <c r="A797">
        <v>4</v>
      </c>
      <c r="B797" t="s">
        <v>65</v>
      </c>
      <c r="C797">
        <v>67</v>
      </c>
      <c r="D797">
        <v>80</v>
      </c>
      <c r="E797" s="29">
        <v>45629</v>
      </c>
      <c r="F797">
        <v>11.731843575419003</v>
      </c>
      <c r="G797">
        <v>5</v>
      </c>
      <c r="H797">
        <f t="shared" si="34"/>
        <v>0.52500000000000036</v>
      </c>
      <c r="I797">
        <f t="shared" si="35"/>
        <v>1.944444444444446</v>
      </c>
    </row>
    <row r="798" spans="1:9" x14ac:dyDescent="0.35">
      <c r="A798">
        <v>4</v>
      </c>
      <c r="B798" t="s">
        <v>65</v>
      </c>
      <c r="C798">
        <v>71</v>
      </c>
      <c r="D798">
        <v>80</v>
      </c>
      <c r="E798" s="29">
        <v>45629</v>
      </c>
      <c r="F798">
        <v>11.524932753983022</v>
      </c>
      <c r="G798">
        <v>5.39</v>
      </c>
      <c r="H798">
        <f t="shared" si="34"/>
        <v>0.5569999999999995</v>
      </c>
      <c r="I798">
        <f t="shared" si="35"/>
        <v>2.0629629629629611</v>
      </c>
    </row>
    <row r="799" spans="1:9" x14ac:dyDescent="0.35">
      <c r="A799">
        <v>4</v>
      </c>
      <c r="B799" t="s">
        <v>65</v>
      </c>
      <c r="C799">
        <v>75</v>
      </c>
      <c r="D799">
        <v>80</v>
      </c>
      <c r="E799" s="29">
        <v>45629</v>
      </c>
      <c r="F799">
        <v>11.971411554496719</v>
      </c>
      <c r="G799">
        <v>5.64</v>
      </c>
      <c r="H799">
        <f t="shared" si="34"/>
        <v>0.60299999999999976</v>
      </c>
      <c r="I799">
        <f t="shared" si="35"/>
        <v>2.2333333333333325</v>
      </c>
    </row>
    <row r="800" spans="1:9" x14ac:dyDescent="0.35">
      <c r="A800">
        <v>2</v>
      </c>
      <c r="B800" t="s">
        <v>66</v>
      </c>
      <c r="C800">
        <v>87</v>
      </c>
      <c r="D800">
        <v>80</v>
      </c>
      <c r="E800" s="29">
        <v>45629</v>
      </c>
      <c r="F800">
        <v>10.961018911617128</v>
      </c>
      <c r="G800">
        <v>5.75</v>
      </c>
      <c r="H800">
        <f t="shared" si="34"/>
        <v>0.56799999999999962</v>
      </c>
      <c r="I800">
        <f t="shared" si="35"/>
        <v>2.1037037037037023</v>
      </c>
    </row>
    <row r="801" spans="1:9" x14ac:dyDescent="0.35">
      <c r="A801">
        <v>2</v>
      </c>
      <c r="B801" t="s">
        <v>66</v>
      </c>
      <c r="C801">
        <v>91</v>
      </c>
      <c r="D801">
        <v>80</v>
      </c>
      <c r="E801" s="29">
        <v>45629</v>
      </c>
      <c r="F801">
        <v>11.243543901470002</v>
      </c>
      <c r="G801">
        <v>5.6</v>
      </c>
      <c r="H801">
        <f t="shared" si="34"/>
        <v>0.56599999999999984</v>
      </c>
      <c r="I801">
        <f t="shared" si="35"/>
        <v>2.0962962962962957</v>
      </c>
    </row>
    <row r="802" spans="1:9" x14ac:dyDescent="0.35">
      <c r="A802">
        <v>2</v>
      </c>
      <c r="B802" t="s">
        <v>66</v>
      </c>
      <c r="C802">
        <v>95</v>
      </c>
      <c r="D802">
        <v>80</v>
      </c>
      <c r="E802" s="29">
        <v>45629</v>
      </c>
      <c r="F802">
        <v>11.317254174397039</v>
      </c>
      <c r="G802">
        <v>6</v>
      </c>
      <c r="H802">
        <f t="shared" si="34"/>
        <v>0.61000000000000032</v>
      </c>
      <c r="I802">
        <f t="shared" si="35"/>
        <v>2.2592592592592604</v>
      </c>
    </row>
    <row r="803" spans="1:9" x14ac:dyDescent="0.35">
      <c r="A803">
        <v>4</v>
      </c>
      <c r="B803" t="s">
        <v>66</v>
      </c>
      <c r="C803">
        <v>107</v>
      </c>
      <c r="D803">
        <v>80</v>
      </c>
      <c r="E803" s="29">
        <v>45629</v>
      </c>
      <c r="F803">
        <v>10.859334146766606</v>
      </c>
      <c r="G803">
        <v>6.36</v>
      </c>
      <c r="H803">
        <f t="shared" si="34"/>
        <v>0.62300000000000022</v>
      </c>
      <c r="I803">
        <f t="shared" si="35"/>
        <v>2.3074074074074082</v>
      </c>
    </row>
    <row r="804" spans="1:9" x14ac:dyDescent="0.35">
      <c r="A804">
        <v>4</v>
      </c>
      <c r="B804" t="s">
        <v>66</v>
      </c>
      <c r="C804">
        <v>111</v>
      </c>
      <c r="D804">
        <v>80</v>
      </c>
      <c r="E804" s="29">
        <v>45629</v>
      </c>
      <c r="F804">
        <v>10.813972923282639</v>
      </c>
      <c r="G804">
        <v>6.63</v>
      </c>
      <c r="H804">
        <f t="shared" si="34"/>
        <v>0.64700000000000024</v>
      </c>
      <c r="I804">
        <f t="shared" si="35"/>
        <v>2.3962962962962973</v>
      </c>
    </row>
    <row r="805" spans="1:9" x14ac:dyDescent="0.35">
      <c r="A805">
        <v>4</v>
      </c>
      <c r="B805" t="s">
        <v>66</v>
      </c>
      <c r="C805">
        <v>115</v>
      </c>
      <c r="D805">
        <v>80</v>
      </c>
      <c r="E805" s="29">
        <v>45629</v>
      </c>
      <c r="F805">
        <v>10.657918070579889</v>
      </c>
      <c r="G805">
        <v>6.24</v>
      </c>
      <c r="H805">
        <f t="shared" si="34"/>
        <v>0.60099999999999998</v>
      </c>
      <c r="I805">
        <f t="shared" si="35"/>
        <v>2.2259259259259259</v>
      </c>
    </row>
    <row r="806" spans="1:9" x14ac:dyDescent="0.35">
      <c r="A806">
        <v>2</v>
      </c>
      <c r="B806" t="s">
        <v>58</v>
      </c>
      <c r="C806">
        <v>128</v>
      </c>
      <c r="D806">
        <v>80</v>
      </c>
      <c r="E806" s="29">
        <v>45629</v>
      </c>
      <c r="F806">
        <v>9.9348534201954486</v>
      </c>
      <c r="G806">
        <v>2.7</v>
      </c>
      <c r="H806">
        <f t="shared" si="34"/>
        <v>0.24400000000000022</v>
      </c>
      <c r="I806">
        <f t="shared" si="35"/>
        <v>0.90370370370370445</v>
      </c>
    </row>
    <row r="807" spans="1:9" x14ac:dyDescent="0.35">
      <c r="A807">
        <v>2</v>
      </c>
      <c r="B807" t="s">
        <v>58</v>
      </c>
      <c r="C807">
        <v>133</v>
      </c>
      <c r="D807">
        <v>80</v>
      </c>
      <c r="E807" s="29">
        <v>45629</v>
      </c>
      <c r="F807">
        <v>10.362257792754843</v>
      </c>
      <c r="G807">
        <v>2.62</v>
      </c>
      <c r="H807">
        <f t="shared" si="34"/>
        <v>0.246</v>
      </c>
      <c r="I807">
        <f t="shared" si="35"/>
        <v>0.9111111111111112</v>
      </c>
    </row>
    <row r="808" spans="1:9" x14ac:dyDescent="0.35">
      <c r="A808">
        <v>2</v>
      </c>
      <c r="B808" t="s">
        <v>58</v>
      </c>
      <c r="C808">
        <v>139</v>
      </c>
      <c r="D808">
        <v>80</v>
      </c>
      <c r="E808" s="29">
        <v>45629</v>
      </c>
      <c r="F808">
        <v>11.064366848969305</v>
      </c>
      <c r="G808">
        <v>2.64</v>
      </c>
      <c r="H808">
        <f t="shared" si="34"/>
        <v>0.26300000000000034</v>
      </c>
      <c r="I808">
        <f t="shared" si="35"/>
        <v>0.97407407407407531</v>
      </c>
    </row>
    <row r="809" spans="1:9" x14ac:dyDescent="0.35">
      <c r="A809">
        <v>4</v>
      </c>
      <c r="B809" t="s">
        <v>58</v>
      </c>
      <c r="C809">
        <v>150</v>
      </c>
      <c r="D809">
        <v>80</v>
      </c>
      <c r="E809" s="29">
        <v>45629</v>
      </c>
      <c r="F809">
        <v>14.333333333333339</v>
      </c>
      <c r="G809">
        <v>3.43</v>
      </c>
      <c r="H809">
        <f t="shared" si="34"/>
        <v>0.43000000000000016</v>
      </c>
      <c r="I809">
        <f t="shared" si="35"/>
        <v>1.592592592592593</v>
      </c>
    </row>
    <row r="810" spans="1:9" x14ac:dyDescent="0.35">
      <c r="A810">
        <v>4</v>
      </c>
      <c r="B810" t="s">
        <v>58</v>
      </c>
      <c r="C810">
        <v>156</v>
      </c>
      <c r="D810">
        <v>80</v>
      </c>
      <c r="E810" s="29">
        <v>45629</v>
      </c>
      <c r="F810">
        <v>13.994169096209911</v>
      </c>
      <c r="G810">
        <v>3.91</v>
      </c>
      <c r="H810">
        <f t="shared" si="34"/>
        <v>0.48</v>
      </c>
      <c r="I810">
        <f t="shared" si="35"/>
        <v>1.7777777777777777</v>
      </c>
    </row>
    <row r="811" spans="1:9" x14ac:dyDescent="0.35">
      <c r="A811">
        <v>4</v>
      </c>
      <c r="B811" t="s">
        <v>58</v>
      </c>
      <c r="C811">
        <v>158</v>
      </c>
      <c r="D811">
        <v>80</v>
      </c>
      <c r="E811" s="29">
        <v>45629</v>
      </c>
      <c r="F811">
        <v>12.248499823508647</v>
      </c>
      <c r="G811">
        <v>3.18</v>
      </c>
      <c r="H811">
        <f t="shared" si="34"/>
        <v>0.34699999999999998</v>
      </c>
      <c r="I811">
        <f t="shared" si="35"/>
        <v>1.285185185185185</v>
      </c>
    </row>
    <row r="812" spans="1:9" x14ac:dyDescent="0.35">
      <c r="A812">
        <v>2</v>
      </c>
      <c r="B812" t="s">
        <v>59</v>
      </c>
      <c r="C812">
        <v>191</v>
      </c>
      <c r="D812">
        <v>80</v>
      </c>
      <c r="E812" s="29">
        <v>45629</v>
      </c>
      <c r="F812">
        <v>12.366806587019695</v>
      </c>
      <c r="G812">
        <v>3.48</v>
      </c>
      <c r="H812">
        <f t="shared" si="34"/>
        <v>0.38300000000000001</v>
      </c>
      <c r="I812">
        <f t="shared" si="35"/>
        <v>1.4185185185185185</v>
      </c>
    </row>
    <row r="813" spans="1:9" x14ac:dyDescent="0.35">
      <c r="A813">
        <v>2</v>
      </c>
      <c r="B813" t="s">
        <v>59</v>
      </c>
      <c r="C813">
        <v>197</v>
      </c>
      <c r="D813">
        <v>80</v>
      </c>
      <c r="E813" s="29">
        <v>45629</v>
      </c>
      <c r="F813">
        <v>12.595419847328241</v>
      </c>
      <c r="G813">
        <v>3.54</v>
      </c>
      <c r="H813">
        <f t="shared" si="34"/>
        <v>0.39599999999999991</v>
      </c>
      <c r="I813">
        <f t="shared" si="35"/>
        <v>1.4666666666666663</v>
      </c>
    </row>
    <row r="814" spans="1:9" x14ac:dyDescent="0.35">
      <c r="A814">
        <v>2</v>
      </c>
      <c r="B814" t="s">
        <v>59</v>
      </c>
      <c r="C814">
        <v>204</v>
      </c>
      <c r="D814">
        <v>80</v>
      </c>
      <c r="E814" s="29">
        <v>45629</v>
      </c>
      <c r="F814">
        <v>13.398582517718522</v>
      </c>
      <c r="G814">
        <v>3.36</v>
      </c>
      <c r="H814">
        <f t="shared" si="34"/>
        <v>0.3969999999999998</v>
      </c>
      <c r="I814">
        <f t="shared" si="35"/>
        <v>1.4703703703703697</v>
      </c>
    </row>
    <row r="815" spans="1:9" x14ac:dyDescent="0.35">
      <c r="A815">
        <v>4</v>
      </c>
      <c r="B815" t="s">
        <v>59</v>
      </c>
      <c r="C815">
        <v>233</v>
      </c>
      <c r="D815">
        <v>80</v>
      </c>
      <c r="E815" s="29">
        <v>45629</v>
      </c>
      <c r="F815">
        <v>14.383137011779294</v>
      </c>
      <c r="G815">
        <v>3.69</v>
      </c>
      <c r="H815">
        <f t="shared" si="34"/>
        <v>0.46399999999999997</v>
      </c>
      <c r="I815">
        <f t="shared" si="35"/>
        <v>1.7185185185185186</v>
      </c>
    </row>
    <row r="816" spans="1:9" x14ac:dyDescent="0.35">
      <c r="A816">
        <v>4</v>
      </c>
      <c r="B816" t="s">
        <v>59</v>
      </c>
      <c r="C816">
        <v>239</v>
      </c>
      <c r="D816">
        <v>80</v>
      </c>
      <c r="E816" s="29">
        <v>45629</v>
      </c>
      <c r="F816">
        <v>14.818154493537719</v>
      </c>
      <c r="G816">
        <v>3.82</v>
      </c>
      <c r="H816">
        <f t="shared" si="34"/>
        <v>0.49299999999999988</v>
      </c>
      <c r="I816">
        <f t="shared" si="35"/>
        <v>1.8259259259259257</v>
      </c>
    </row>
    <row r="817" spans="1:9" x14ac:dyDescent="0.35">
      <c r="A817">
        <v>4</v>
      </c>
      <c r="B817" t="s">
        <v>59</v>
      </c>
      <c r="C817">
        <v>242</v>
      </c>
      <c r="D817">
        <v>80</v>
      </c>
      <c r="E817" s="29">
        <v>45629</v>
      </c>
      <c r="F817">
        <v>15.101289134438305</v>
      </c>
      <c r="G817">
        <v>3.75</v>
      </c>
      <c r="H817">
        <f t="shared" si="34"/>
        <v>0.49199999999999999</v>
      </c>
      <c r="I817">
        <f t="shared" si="35"/>
        <v>1.8222222222222224</v>
      </c>
    </row>
    <row r="818" spans="1:9" x14ac:dyDescent="0.35">
      <c r="A818">
        <v>2</v>
      </c>
      <c r="B818" t="s">
        <v>62</v>
      </c>
      <c r="C818">
        <v>255</v>
      </c>
      <c r="D818">
        <v>80</v>
      </c>
      <c r="E818" s="29">
        <v>45629</v>
      </c>
      <c r="F818">
        <v>9.3838326738270297</v>
      </c>
      <c r="G818">
        <v>3.87</v>
      </c>
      <c r="H818">
        <f t="shared" si="34"/>
        <v>0.33200000000000029</v>
      </c>
      <c r="I818">
        <f t="shared" si="35"/>
        <v>1.2296296296296307</v>
      </c>
    </row>
    <row r="819" spans="1:9" x14ac:dyDescent="0.35">
      <c r="A819">
        <v>2</v>
      </c>
      <c r="B819" t="s">
        <v>62</v>
      </c>
      <c r="C819">
        <v>264</v>
      </c>
      <c r="D819">
        <v>80</v>
      </c>
      <c r="E819" s="29">
        <v>45629</v>
      </c>
      <c r="F819">
        <v>9.7116340735830349</v>
      </c>
      <c r="G819">
        <v>3.31</v>
      </c>
      <c r="H819">
        <f t="shared" si="34"/>
        <v>0.29300000000000015</v>
      </c>
      <c r="I819">
        <f t="shared" si="35"/>
        <v>1.0851851851851857</v>
      </c>
    </row>
    <row r="820" spans="1:9" x14ac:dyDescent="0.35">
      <c r="A820">
        <v>2</v>
      </c>
      <c r="B820" t="s">
        <v>62</v>
      </c>
      <c r="C820">
        <v>270</v>
      </c>
      <c r="D820">
        <v>80</v>
      </c>
      <c r="E820" s="29">
        <v>45629</v>
      </c>
      <c r="F820">
        <v>10.253583241455344</v>
      </c>
      <c r="G820">
        <v>4</v>
      </c>
      <c r="H820">
        <f t="shared" si="34"/>
        <v>0.37199999999999989</v>
      </c>
      <c r="I820">
        <f t="shared" si="35"/>
        <v>1.3777777777777773</v>
      </c>
    </row>
    <row r="821" spans="1:9" x14ac:dyDescent="0.35">
      <c r="A821">
        <v>4</v>
      </c>
      <c r="B821" t="s">
        <v>62</v>
      </c>
      <c r="C821">
        <v>274</v>
      </c>
      <c r="D821">
        <v>80</v>
      </c>
      <c r="E821" s="29">
        <v>45629</v>
      </c>
      <c r="F821">
        <v>11.167641821419487</v>
      </c>
      <c r="G821">
        <v>4.37</v>
      </c>
      <c r="H821">
        <f t="shared" si="34"/>
        <v>0.43900000000000006</v>
      </c>
      <c r="I821">
        <f t="shared" si="35"/>
        <v>1.6259259259259262</v>
      </c>
    </row>
    <row r="822" spans="1:9" x14ac:dyDescent="0.35">
      <c r="A822">
        <v>4</v>
      </c>
      <c r="B822" t="s">
        <v>62</v>
      </c>
      <c r="C822">
        <v>277</v>
      </c>
      <c r="D822">
        <v>80</v>
      </c>
      <c r="E822" s="29">
        <v>45629</v>
      </c>
      <c r="F822">
        <v>10.968404829180594</v>
      </c>
      <c r="G822">
        <v>4.32</v>
      </c>
      <c r="H822">
        <f t="shared" si="34"/>
        <v>0.42700000000000049</v>
      </c>
      <c r="I822">
        <f t="shared" si="35"/>
        <v>1.5814814814814833</v>
      </c>
    </row>
    <row r="823" spans="1:9" x14ac:dyDescent="0.35">
      <c r="A823">
        <v>4</v>
      </c>
      <c r="B823" t="s">
        <v>62</v>
      </c>
      <c r="C823">
        <v>282</v>
      </c>
      <c r="D823">
        <v>80</v>
      </c>
      <c r="E823" s="29">
        <v>45629</v>
      </c>
      <c r="F823">
        <v>11.443326991030167</v>
      </c>
      <c r="G823">
        <v>4.0999999999999996</v>
      </c>
      <c r="H823">
        <f t="shared" si="34"/>
        <v>0.42099999999999982</v>
      </c>
      <c r="I823">
        <f t="shared" si="35"/>
        <v>1.5592592592592587</v>
      </c>
    </row>
    <row r="824" spans="1:9" x14ac:dyDescent="0.35">
      <c r="A824">
        <v>2</v>
      </c>
      <c r="B824" t="s">
        <v>61</v>
      </c>
      <c r="C824">
        <v>166</v>
      </c>
      <c r="D824">
        <v>80</v>
      </c>
      <c r="E824" s="29">
        <v>45629</v>
      </c>
      <c r="F824">
        <v>10.011419870574814</v>
      </c>
      <c r="G824">
        <v>2.89</v>
      </c>
      <c r="H824">
        <f t="shared" si="34"/>
        <v>0.26300000000000034</v>
      </c>
      <c r="I824">
        <f t="shared" si="35"/>
        <v>0.97407407407407531</v>
      </c>
    </row>
    <row r="825" spans="1:9" x14ac:dyDescent="0.35">
      <c r="A825">
        <v>2</v>
      </c>
      <c r="B825" t="s">
        <v>61</v>
      </c>
      <c r="C825">
        <v>172</v>
      </c>
      <c r="D825">
        <v>80</v>
      </c>
      <c r="E825" s="29">
        <v>45629</v>
      </c>
      <c r="F825">
        <v>9.7410604192355166</v>
      </c>
      <c r="G825">
        <v>2.67</v>
      </c>
      <c r="H825">
        <f t="shared" si="34"/>
        <v>0.2370000000000001</v>
      </c>
      <c r="I825">
        <f t="shared" si="35"/>
        <v>0.87777777777777821</v>
      </c>
    </row>
    <row r="826" spans="1:9" x14ac:dyDescent="0.35">
      <c r="A826">
        <v>2</v>
      </c>
      <c r="B826" t="s">
        <v>61</v>
      </c>
      <c r="C826">
        <v>175</v>
      </c>
      <c r="D826">
        <v>80</v>
      </c>
      <c r="E826" s="29">
        <v>45629</v>
      </c>
      <c r="F826">
        <v>10.941086457536345</v>
      </c>
      <c r="G826">
        <v>2.9</v>
      </c>
      <c r="H826">
        <f t="shared" ref="H826:H830" si="36">G826-G67</f>
        <v>0.28600000000000003</v>
      </c>
      <c r="I826">
        <f t="shared" si="35"/>
        <v>1.0592592592592593</v>
      </c>
    </row>
    <row r="827" spans="1:9" x14ac:dyDescent="0.35">
      <c r="A827">
        <v>4</v>
      </c>
      <c r="B827" t="s">
        <v>61</v>
      </c>
      <c r="C827">
        <v>211</v>
      </c>
      <c r="D827">
        <v>80</v>
      </c>
      <c r="E827" s="29">
        <v>45629</v>
      </c>
      <c r="F827">
        <v>11.831442463533232</v>
      </c>
      <c r="G827">
        <v>3.45</v>
      </c>
      <c r="H827">
        <f t="shared" si="36"/>
        <v>0.36500000000000021</v>
      </c>
      <c r="I827">
        <f t="shared" si="35"/>
        <v>1.3518518518518527</v>
      </c>
    </row>
    <row r="828" spans="1:9" x14ac:dyDescent="0.35">
      <c r="A828">
        <v>4</v>
      </c>
      <c r="B828" t="s">
        <v>61</v>
      </c>
      <c r="C828">
        <v>217</v>
      </c>
      <c r="D828">
        <v>80</v>
      </c>
      <c r="E828" s="29">
        <v>45629</v>
      </c>
      <c r="F828">
        <v>12.366806587019695</v>
      </c>
      <c r="G828">
        <v>3.48</v>
      </c>
      <c r="H828">
        <f t="shared" si="36"/>
        <v>0.38300000000000001</v>
      </c>
      <c r="I828">
        <f t="shared" si="35"/>
        <v>1.4185185185185185</v>
      </c>
    </row>
    <row r="829" spans="1:9" x14ac:dyDescent="0.35">
      <c r="A829">
        <v>4</v>
      </c>
      <c r="B829" t="s">
        <v>61</v>
      </c>
      <c r="C829">
        <v>223</v>
      </c>
      <c r="D829">
        <v>80</v>
      </c>
      <c r="E829" s="29">
        <v>45629</v>
      </c>
      <c r="F829">
        <v>11.46723646723647</v>
      </c>
      <c r="G829">
        <v>3.13</v>
      </c>
      <c r="H829">
        <f t="shared" si="36"/>
        <v>0.32200000000000006</v>
      </c>
      <c r="I829">
        <f t="shared" si="35"/>
        <v>1.1925925925925929</v>
      </c>
    </row>
    <row r="830" spans="1:9" x14ac:dyDescent="0.35">
      <c r="A830">
        <v>0</v>
      </c>
      <c r="B830" t="s">
        <v>63</v>
      </c>
      <c r="C830">
        <v>316</v>
      </c>
      <c r="D830">
        <v>90</v>
      </c>
      <c r="E830" s="29">
        <v>45630</v>
      </c>
      <c r="F830">
        <v>15.309052440683088</v>
      </c>
      <c r="G830">
        <v>7.63</v>
      </c>
      <c r="H830">
        <f>G830-G2</f>
        <v>1.0129999999999999</v>
      </c>
      <c r="I830">
        <f t="shared" si="35"/>
        <v>3.7518518518518515</v>
      </c>
    </row>
    <row r="831" spans="1:9" x14ac:dyDescent="0.35">
      <c r="A831">
        <v>0</v>
      </c>
      <c r="B831" t="s">
        <v>63</v>
      </c>
      <c r="C831">
        <v>320</v>
      </c>
      <c r="D831">
        <v>90</v>
      </c>
      <c r="E831" s="29">
        <v>45630</v>
      </c>
      <c r="F831">
        <v>15.247953035686701</v>
      </c>
      <c r="G831">
        <v>7.46</v>
      </c>
      <c r="H831">
        <f t="shared" ref="H831:H894" si="37">G831-G3</f>
        <v>0.9870000000000001</v>
      </c>
      <c r="I831">
        <f t="shared" si="35"/>
        <v>3.6555555555555554</v>
      </c>
    </row>
    <row r="832" spans="1:9" x14ac:dyDescent="0.35">
      <c r="A832">
        <v>0</v>
      </c>
      <c r="B832" t="s">
        <v>63</v>
      </c>
      <c r="C832">
        <v>325</v>
      </c>
      <c r="D832">
        <v>90</v>
      </c>
      <c r="E832" s="29">
        <v>45630</v>
      </c>
      <c r="F832">
        <v>15.045691906005217</v>
      </c>
      <c r="G832">
        <v>7.05</v>
      </c>
      <c r="H832">
        <f t="shared" si="37"/>
        <v>0.92199999999999971</v>
      </c>
      <c r="I832">
        <f t="shared" si="35"/>
        <v>3.4148148148148136</v>
      </c>
    </row>
    <row r="833" spans="1:9" x14ac:dyDescent="0.35">
      <c r="A833">
        <v>0</v>
      </c>
      <c r="B833" t="s">
        <v>64</v>
      </c>
      <c r="C833">
        <v>332</v>
      </c>
      <c r="D833">
        <v>90</v>
      </c>
      <c r="E833" s="29">
        <v>45630</v>
      </c>
      <c r="F833">
        <v>15.24064171122993</v>
      </c>
      <c r="G833">
        <v>4.3099999999999996</v>
      </c>
      <c r="H833">
        <f t="shared" si="37"/>
        <v>0.5699999999999994</v>
      </c>
      <c r="I833">
        <f t="shared" si="35"/>
        <v>2.1111111111111089</v>
      </c>
    </row>
    <row r="834" spans="1:9" x14ac:dyDescent="0.35">
      <c r="A834">
        <v>0</v>
      </c>
      <c r="B834" t="s">
        <v>64</v>
      </c>
      <c r="C834">
        <v>336</v>
      </c>
      <c r="D834">
        <v>90</v>
      </c>
      <c r="E834" s="29">
        <v>45630</v>
      </c>
      <c r="F834">
        <v>15.233864645936771</v>
      </c>
      <c r="G834">
        <v>4.41</v>
      </c>
      <c r="H834">
        <f t="shared" si="37"/>
        <v>0.58300000000000018</v>
      </c>
      <c r="I834">
        <f t="shared" si="35"/>
        <v>2.1592592592592599</v>
      </c>
    </row>
    <row r="835" spans="1:9" x14ac:dyDescent="0.35">
      <c r="A835">
        <v>0</v>
      </c>
      <c r="B835" t="s">
        <v>64</v>
      </c>
      <c r="C835">
        <v>341</v>
      </c>
      <c r="D835">
        <v>90</v>
      </c>
      <c r="E835" s="29">
        <v>45630</v>
      </c>
      <c r="F835">
        <v>14.749587231700605</v>
      </c>
      <c r="G835">
        <v>4.17</v>
      </c>
      <c r="H835">
        <f t="shared" si="37"/>
        <v>0.53600000000000003</v>
      </c>
      <c r="I835">
        <f t="shared" ref="I835:I898" si="38">H835/27*100</f>
        <v>1.9851851851851854</v>
      </c>
    </row>
    <row r="836" spans="1:9" x14ac:dyDescent="0.35">
      <c r="A836">
        <v>0</v>
      </c>
      <c r="B836" t="s">
        <v>65</v>
      </c>
      <c r="C836">
        <v>348</v>
      </c>
      <c r="D836">
        <v>90</v>
      </c>
      <c r="E836" s="29">
        <v>45630</v>
      </c>
      <c r="F836">
        <v>15.466718416456446</v>
      </c>
      <c r="G836">
        <v>5.95</v>
      </c>
      <c r="H836">
        <f t="shared" si="37"/>
        <v>0.7970000000000006</v>
      </c>
      <c r="I836">
        <f t="shared" si="38"/>
        <v>2.9518518518518539</v>
      </c>
    </row>
    <row r="837" spans="1:9" x14ac:dyDescent="0.35">
      <c r="A837">
        <v>0</v>
      </c>
      <c r="B837" t="s">
        <v>65</v>
      </c>
      <c r="C837">
        <v>352</v>
      </c>
      <c r="D837">
        <v>90</v>
      </c>
      <c r="E837" s="29">
        <v>45630</v>
      </c>
      <c r="F837">
        <v>15.435985498950586</v>
      </c>
      <c r="G837">
        <v>6.05</v>
      </c>
      <c r="H837">
        <f t="shared" si="37"/>
        <v>0.80900000000000016</v>
      </c>
      <c r="I837">
        <f t="shared" si="38"/>
        <v>2.9962962962962969</v>
      </c>
    </row>
    <row r="838" spans="1:9" x14ac:dyDescent="0.35">
      <c r="A838">
        <v>0</v>
      </c>
      <c r="B838" t="s">
        <v>65</v>
      </c>
      <c r="C838">
        <v>357</v>
      </c>
      <c r="D838">
        <v>90</v>
      </c>
      <c r="E838" s="29">
        <v>45630</v>
      </c>
      <c r="F838">
        <v>15.033947623666332</v>
      </c>
      <c r="G838">
        <v>5.93</v>
      </c>
      <c r="H838">
        <f t="shared" si="37"/>
        <v>0.77499999999999947</v>
      </c>
      <c r="I838">
        <f t="shared" si="38"/>
        <v>2.8703703703703685</v>
      </c>
    </row>
    <row r="839" spans="1:9" x14ac:dyDescent="0.35">
      <c r="A839">
        <v>0</v>
      </c>
      <c r="B839" t="s">
        <v>66</v>
      </c>
      <c r="C839">
        <v>368</v>
      </c>
      <c r="D839">
        <v>90</v>
      </c>
      <c r="E839" s="29">
        <v>45630</v>
      </c>
      <c r="F839">
        <v>13.473941084190338</v>
      </c>
      <c r="G839">
        <v>6.51</v>
      </c>
      <c r="H839">
        <f t="shared" si="37"/>
        <v>0.77299999999999969</v>
      </c>
      <c r="I839">
        <f t="shared" si="38"/>
        <v>2.8629629629629618</v>
      </c>
    </row>
    <row r="840" spans="1:9" x14ac:dyDescent="0.35">
      <c r="A840">
        <v>0</v>
      </c>
      <c r="B840" t="s">
        <v>66</v>
      </c>
      <c r="C840">
        <v>372</v>
      </c>
      <c r="D840">
        <v>90</v>
      </c>
      <c r="E840" s="29">
        <v>45630</v>
      </c>
      <c r="F840">
        <v>13.809292536830187</v>
      </c>
      <c r="G840">
        <v>7.03</v>
      </c>
      <c r="H840">
        <f t="shared" si="37"/>
        <v>0.85300000000000065</v>
      </c>
      <c r="I840">
        <f t="shared" si="38"/>
        <v>3.1592592592592617</v>
      </c>
    </row>
    <row r="841" spans="1:9" x14ac:dyDescent="0.35">
      <c r="A841">
        <v>0</v>
      </c>
      <c r="B841" t="s">
        <v>66</v>
      </c>
      <c r="C841">
        <v>377</v>
      </c>
      <c r="D841">
        <v>90</v>
      </c>
      <c r="E841" s="29">
        <v>45630</v>
      </c>
      <c r="F841">
        <v>13.376429636996509</v>
      </c>
      <c r="G841">
        <v>6.84</v>
      </c>
      <c r="H841">
        <f t="shared" si="37"/>
        <v>0.8069999999999995</v>
      </c>
      <c r="I841">
        <f t="shared" si="38"/>
        <v>2.9888888888888872</v>
      </c>
    </row>
    <row r="842" spans="1:9" x14ac:dyDescent="0.35">
      <c r="A842">
        <v>0</v>
      </c>
      <c r="B842" t="s">
        <v>58</v>
      </c>
      <c r="C842">
        <v>384</v>
      </c>
      <c r="D842">
        <v>90</v>
      </c>
      <c r="E842" s="29">
        <v>45630</v>
      </c>
      <c r="F842">
        <v>15.050399721932578</v>
      </c>
      <c r="G842">
        <v>3.31</v>
      </c>
      <c r="H842">
        <f t="shared" si="37"/>
        <v>0.43300000000000027</v>
      </c>
      <c r="I842">
        <f t="shared" si="38"/>
        <v>1.6037037037037047</v>
      </c>
    </row>
    <row r="843" spans="1:9" x14ac:dyDescent="0.35">
      <c r="A843">
        <v>0</v>
      </c>
      <c r="B843" t="s">
        <v>58</v>
      </c>
      <c r="C843">
        <v>387</v>
      </c>
      <c r="D843">
        <v>90</v>
      </c>
      <c r="E843" s="29">
        <v>45630</v>
      </c>
      <c r="F843">
        <v>15.131578947368421</v>
      </c>
      <c r="G843">
        <v>3.5</v>
      </c>
      <c r="H843">
        <f t="shared" si="37"/>
        <v>0.45999999999999996</v>
      </c>
      <c r="I843">
        <f t="shared" si="38"/>
        <v>1.7037037037037035</v>
      </c>
    </row>
    <row r="844" spans="1:9" x14ac:dyDescent="0.35">
      <c r="A844">
        <v>0</v>
      </c>
      <c r="B844" t="s">
        <v>58</v>
      </c>
      <c r="C844">
        <v>392</v>
      </c>
      <c r="D844">
        <v>90</v>
      </c>
      <c r="E844" s="29">
        <v>45630</v>
      </c>
      <c r="F844">
        <v>14.204365707054725</v>
      </c>
      <c r="G844">
        <v>3.61</v>
      </c>
      <c r="H844">
        <f t="shared" si="37"/>
        <v>0.44899999999999984</v>
      </c>
      <c r="I844">
        <f t="shared" si="38"/>
        <v>1.6629629629629623</v>
      </c>
    </row>
    <row r="845" spans="1:9" x14ac:dyDescent="0.35">
      <c r="A845">
        <v>0</v>
      </c>
      <c r="B845" t="s">
        <v>59</v>
      </c>
      <c r="C845">
        <v>399</v>
      </c>
      <c r="D845">
        <v>90</v>
      </c>
      <c r="E845" s="29">
        <v>45630</v>
      </c>
      <c r="F845">
        <v>14.68620579802486</v>
      </c>
      <c r="G845">
        <v>3.6</v>
      </c>
      <c r="H845">
        <f t="shared" si="37"/>
        <v>0.4610000000000003</v>
      </c>
      <c r="I845">
        <f t="shared" si="38"/>
        <v>1.7074074074074086</v>
      </c>
    </row>
    <row r="846" spans="1:9" x14ac:dyDescent="0.35">
      <c r="A846">
        <v>0</v>
      </c>
      <c r="B846" t="s">
        <v>59</v>
      </c>
      <c r="C846">
        <v>403</v>
      </c>
      <c r="D846">
        <v>90</v>
      </c>
      <c r="E846" s="29">
        <v>45630</v>
      </c>
      <c r="F846">
        <v>14.018691588785051</v>
      </c>
      <c r="G846">
        <v>3.66</v>
      </c>
      <c r="H846">
        <f t="shared" si="37"/>
        <v>0.45000000000000018</v>
      </c>
      <c r="I846">
        <f t="shared" si="38"/>
        <v>1.6666666666666674</v>
      </c>
    </row>
    <row r="847" spans="1:9" x14ac:dyDescent="0.35">
      <c r="A847">
        <v>0</v>
      </c>
      <c r="B847" t="s">
        <v>59</v>
      </c>
      <c r="C847">
        <v>408</v>
      </c>
      <c r="D847">
        <v>90</v>
      </c>
      <c r="E847" s="29">
        <v>45630</v>
      </c>
      <c r="F847">
        <v>13.316261203585144</v>
      </c>
      <c r="G847">
        <v>3.54</v>
      </c>
      <c r="H847">
        <f t="shared" si="37"/>
        <v>0.41599999999999993</v>
      </c>
      <c r="I847">
        <f t="shared" si="38"/>
        <v>1.5407407407407405</v>
      </c>
    </row>
    <row r="848" spans="1:9" x14ac:dyDescent="0.35">
      <c r="A848">
        <v>0</v>
      </c>
      <c r="B848" t="s">
        <v>60</v>
      </c>
      <c r="C848">
        <v>419</v>
      </c>
      <c r="D848">
        <v>90</v>
      </c>
      <c r="E848" s="29">
        <v>45630</v>
      </c>
      <c r="F848">
        <v>13.952333664349561</v>
      </c>
      <c r="G848">
        <v>4.59</v>
      </c>
      <c r="H848">
        <f t="shared" si="37"/>
        <v>0.56200000000000028</v>
      </c>
      <c r="I848">
        <f t="shared" si="38"/>
        <v>2.0814814814814824</v>
      </c>
    </row>
    <row r="849" spans="1:9" x14ac:dyDescent="0.35">
      <c r="A849">
        <v>0</v>
      </c>
      <c r="B849" t="s">
        <v>60</v>
      </c>
      <c r="C849">
        <v>423</v>
      </c>
      <c r="D849">
        <v>90</v>
      </c>
      <c r="E849" s="29">
        <v>45630</v>
      </c>
      <c r="F849">
        <v>13.258317025440308</v>
      </c>
      <c r="G849">
        <v>4.63</v>
      </c>
      <c r="H849">
        <f t="shared" si="37"/>
        <v>0.54199999999999982</v>
      </c>
      <c r="I849">
        <f t="shared" si="38"/>
        <v>2.0074074074074066</v>
      </c>
    </row>
    <row r="850" spans="1:9" x14ac:dyDescent="0.35">
      <c r="A850">
        <v>0</v>
      </c>
      <c r="B850" t="s">
        <v>60</v>
      </c>
      <c r="C850">
        <v>428</v>
      </c>
      <c r="D850">
        <v>90</v>
      </c>
      <c r="E850" s="29">
        <v>45630</v>
      </c>
      <c r="F850">
        <v>13.10919989575188</v>
      </c>
      <c r="G850">
        <v>4.34</v>
      </c>
      <c r="H850">
        <f t="shared" si="37"/>
        <v>0.50299999999999967</v>
      </c>
      <c r="I850">
        <f t="shared" si="38"/>
        <v>1.8629629629629618</v>
      </c>
    </row>
    <row r="851" spans="1:9" x14ac:dyDescent="0.35">
      <c r="A851">
        <v>0</v>
      </c>
      <c r="B851" t="s">
        <v>61</v>
      </c>
      <c r="C851">
        <v>439</v>
      </c>
      <c r="D851">
        <v>90</v>
      </c>
      <c r="E851" s="29">
        <v>45630</v>
      </c>
      <c r="F851">
        <v>12.964893986791806</v>
      </c>
      <c r="G851">
        <v>3.25</v>
      </c>
      <c r="H851">
        <f t="shared" si="37"/>
        <v>0.37300000000000022</v>
      </c>
      <c r="I851">
        <f t="shared" si="38"/>
        <v>1.3814814814814824</v>
      </c>
    </row>
    <row r="852" spans="1:9" x14ac:dyDescent="0.35">
      <c r="A852">
        <v>0</v>
      </c>
      <c r="B852" t="s">
        <v>61</v>
      </c>
      <c r="C852">
        <v>443</v>
      </c>
      <c r="D852">
        <v>90</v>
      </c>
      <c r="E852" s="29">
        <v>45630</v>
      </c>
      <c r="F852">
        <v>12.714776632302394</v>
      </c>
      <c r="G852">
        <v>3.28</v>
      </c>
      <c r="H852">
        <f t="shared" si="37"/>
        <v>0.36999999999999966</v>
      </c>
      <c r="I852">
        <f t="shared" si="38"/>
        <v>1.3703703703703691</v>
      </c>
    </row>
    <row r="853" spans="1:9" x14ac:dyDescent="0.35">
      <c r="A853">
        <v>0</v>
      </c>
      <c r="B853" t="s">
        <v>61</v>
      </c>
      <c r="C853">
        <v>448</v>
      </c>
      <c r="D853">
        <v>90</v>
      </c>
      <c r="E853" s="29">
        <v>45630</v>
      </c>
      <c r="F853">
        <v>10.798452339078436</v>
      </c>
      <c r="G853">
        <v>3.15</v>
      </c>
      <c r="H853">
        <f t="shared" si="37"/>
        <v>0.30699999999999994</v>
      </c>
      <c r="I853">
        <f t="shared" si="38"/>
        <v>1.1370370370370368</v>
      </c>
    </row>
    <row r="854" spans="1:9" x14ac:dyDescent="0.35">
      <c r="A854">
        <v>2</v>
      </c>
      <c r="B854" t="s">
        <v>63</v>
      </c>
      <c r="C854">
        <v>295</v>
      </c>
      <c r="D854">
        <v>90</v>
      </c>
      <c r="E854" s="29">
        <v>45630</v>
      </c>
      <c r="F854">
        <v>11.572700296735905</v>
      </c>
      <c r="G854">
        <v>5.64</v>
      </c>
      <c r="H854">
        <f t="shared" si="37"/>
        <v>0.58499999999999996</v>
      </c>
      <c r="I854">
        <f t="shared" si="38"/>
        <v>2.1666666666666665</v>
      </c>
    </row>
    <row r="855" spans="1:9" x14ac:dyDescent="0.35">
      <c r="A855">
        <v>2</v>
      </c>
      <c r="B855" t="s">
        <v>63</v>
      </c>
      <c r="C855">
        <v>298</v>
      </c>
      <c r="D855">
        <v>90</v>
      </c>
      <c r="E855" s="29">
        <v>45630</v>
      </c>
      <c r="F855">
        <v>16.309171597633128</v>
      </c>
      <c r="G855">
        <v>6.29</v>
      </c>
      <c r="H855">
        <f t="shared" si="37"/>
        <v>0.88199999999999967</v>
      </c>
      <c r="I855">
        <f t="shared" si="38"/>
        <v>3.2666666666666657</v>
      </c>
    </row>
    <row r="856" spans="1:9" x14ac:dyDescent="0.35">
      <c r="A856">
        <v>2</v>
      </c>
      <c r="B856" t="s">
        <v>63</v>
      </c>
      <c r="C856">
        <v>301</v>
      </c>
      <c r="D856">
        <v>90</v>
      </c>
      <c r="E856" s="29">
        <v>45630</v>
      </c>
      <c r="F856">
        <v>16.328095055576856</v>
      </c>
      <c r="G856">
        <v>6.07</v>
      </c>
      <c r="H856">
        <f t="shared" si="37"/>
        <v>0.85200000000000031</v>
      </c>
      <c r="I856">
        <f t="shared" si="38"/>
        <v>3.1555555555555568</v>
      </c>
    </row>
    <row r="857" spans="1:9" x14ac:dyDescent="0.35">
      <c r="A857">
        <v>2</v>
      </c>
      <c r="B857" t="s">
        <v>64</v>
      </c>
      <c r="C857">
        <v>6</v>
      </c>
      <c r="D857">
        <v>90</v>
      </c>
      <c r="E857" s="29">
        <v>45630</v>
      </c>
      <c r="F857">
        <v>19.22663802363051</v>
      </c>
      <c r="G857">
        <v>4.4400000000000004</v>
      </c>
      <c r="H857">
        <f t="shared" si="37"/>
        <v>0.71600000000000019</v>
      </c>
      <c r="I857">
        <f t="shared" si="38"/>
        <v>2.6518518518518523</v>
      </c>
    </row>
    <row r="858" spans="1:9" x14ac:dyDescent="0.35">
      <c r="A858">
        <v>2</v>
      </c>
      <c r="B858" t="s">
        <v>64</v>
      </c>
      <c r="C858">
        <v>10</v>
      </c>
      <c r="D858">
        <v>90</v>
      </c>
      <c r="E858" s="29">
        <v>45630</v>
      </c>
      <c r="F858">
        <v>16.861890493053671</v>
      </c>
      <c r="G858">
        <v>4.29</v>
      </c>
      <c r="H858">
        <f t="shared" si="37"/>
        <v>0.61900000000000022</v>
      </c>
      <c r="I858">
        <f t="shared" si="38"/>
        <v>2.2925925925925932</v>
      </c>
    </row>
    <row r="859" spans="1:9" x14ac:dyDescent="0.35">
      <c r="A859">
        <v>2</v>
      </c>
      <c r="B859" t="s">
        <v>64</v>
      </c>
      <c r="C859">
        <v>14</v>
      </c>
      <c r="D859">
        <v>90</v>
      </c>
      <c r="E859" s="29">
        <v>45630</v>
      </c>
      <c r="F859">
        <v>17.723156532988344</v>
      </c>
      <c r="G859">
        <v>4.55</v>
      </c>
      <c r="H859">
        <f t="shared" si="37"/>
        <v>0.68499999999999961</v>
      </c>
      <c r="I859">
        <f t="shared" si="38"/>
        <v>2.5370370370370354</v>
      </c>
    </row>
    <row r="860" spans="1:9" x14ac:dyDescent="0.35">
      <c r="A860">
        <v>4</v>
      </c>
      <c r="B860" t="s">
        <v>64</v>
      </c>
      <c r="C860">
        <v>26</v>
      </c>
      <c r="D860">
        <v>90</v>
      </c>
      <c r="E860" s="29">
        <v>45630</v>
      </c>
      <c r="F860">
        <v>19.43127962085309</v>
      </c>
      <c r="G860">
        <v>5.04</v>
      </c>
      <c r="H860">
        <f t="shared" si="37"/>
        <v>0.82000000000000028</v>
      </c>
      <c r="I860">
        <f t="shared" si="38"/>
        <v>3.0370370370370381</v>
      </c>
    </row>
    <row r="861" spans="1:9" x14ac:dyDescent="0.35">
      <c r="A861">
        <v>4</v>
      </c>
      <c r="B861" t="s">
        <v>64</v>
      </c>
      <c r="C861">
        <v>30</v>
      </c>
      <c r="D861">
        <v>90</v>
      </c>
      <c r="E861" s="29">
        <v>45630</v>
      </c>
      <c r="F861">
        <v>19.637750238322209</v>
      </c>
      <c r="G861">
        <v>5.0199999999999996</v>
      </c>
      <c r="H861">
        <f t="shared" si="37"/>
        <v>0.82399999999999984</v>
      </c>
      <c r="I861">
        <f t="shared" si="38"/>
        <v>3.0518518518518514</v>
      </c>
    </row>
    <row r="862" spans="1:9" x14ac:dyDescent="0.35">
      <c r="A862">
        <v>4</v>
      </c>
      <c r="B862" t="s">
        <v>64</v>
      </c>
      <c r="C862">
        <v>34</v>
      </c>
      <c r="D862">
        <v>90</v>
      </c>
      <c r="E862" s="29">
        <v>45630</v>
      </c>
      <c r="F862">
        <v>18.884424485937139</v>
      </c>
      <c r="G862">
        <v>5.03</v>
      </c>
      <c r="H862">
        <f t="shared" si="37"/>
        <v>0.79900000000000038</v>
      </c>
      <c r="I862">
        <f t="shared" si="38"/>
        <v>2.9592592592592606</v>
      </c>
    </row>
    <row r="863" spans="1:9" x14ac:dyDescent="0.35">
      <c r="A863">
        <v>2</v>
      </c>
      <c r="B863" t="s">
        <v>65</v>
      </c>
      <c r="C863">
        <v>46</v>
      </c>
      <c r="D863">
        <v>90</v>
      </c>
      <c r="E863" s="29">
        <v>45630</v>
      </c>
      <c r="F863">
        <v>16.177636796193511</v>
      </c>
      <c r="G863">
        <v>5.86</v>
      </c>
      <c r="H863">
        <f t="shared" si="37"/>
        <v>0.81600000000000072</v>
      </c>
      <c r="I863">
        <f t="shared" si="38"/>
        <v>3.0222222222222248</v>
      </c>
    </row>
    <row r="864" spans="1:9" x14ac:dyDescent="0.35">
      <c r="A864">
        <v>2</v>
      </c>
      <c r="B864" t="s">
        <v>65</v>
      </c>
      <c r="C864">
        <v>50</v>
      </c>
      <c r="D864">
        <v>90</v>
      </c>
      <c r="E864" s="29">
        <v>45630</v>
      </c>
      <c r="F864">
        <v>14.993529303013494</v>
      </c>
      <c r="G864">
        <v>6.22</v>
      </c>
      <c r="H864">
        <f t="shared" si="37"/>
        <v>0.81099999999999994</v>
      </c>
      <c r="I864">
        <f t="shared" si="38"/>
        <v>3.0037037037037035</v>
      </c>
    </row>
    <row r="865" spans="1:9" x14ac:dyDescent="0.35">
      <c r="A865">
        <v>2</v>
      </c>
      <c r="B865" t="s">
        <v>65</v>
      </c>
      <c r="C865">
        <v>54</v>
      </c>
      <c r="D865">
        <v>90</v>
      </c>
      <c r="E865" s="29">
        <v>45630</v>
      </c>
      <c r="F865">
        <v>15.16908212560387</v>
      </c>
      <c r="G865">
        <v>5.96</v>
      </c>
      <c r="H865">
        <f t="shared" si="37"/>
        <v>0.78500000000000014</v>
      </c>
      <c r="I865">
        <f t="shared" si="38"/>
        <v>2.9074074074074079</v>
      </c>
    </row>
    <row r="866" spans="1:9" x14ac:dyDescent="0.35">
      <c r="A866">
        <v>4</v>
      </c>
      <c r="B866" t="s">
        <v>65</v>
      </c>
      <c r="C866">
        <v>67</v>
      </c>
      <c r="D866">
        <v>90</v>
      </c>
      <c r="E866" s="29">
        <v>45630</v>
      </c>
      <c r="F866">
        <v>17.765363128491622</v>
      </c>
      <c r="G866">
        <v>5.27</v>
      </c>
      <c r="H866">
        <f t="shared" si="37"/>
        <v>0.79499999999999993</v>
      </c>
      <c r="I866">
        <f t="shared" si="38"/>
        <v>2.9444444444444442</v>
      </c>
    </row>
    <row r="867" spans="1:9" x14ac:dyDescent="0.35">
      <c r="A867">
        <v>4</v>
      </c>
      <c r="B867" t="s">
        <v>65</v>
      </c>
      <c r="C867">
        <v>71</v>
      </c>
      <c r="D867">
        <v>90</v>
      </c>
      <c r="E867" s="29">
        <v>45630</v>
      </c>
      <c r="F867">
        <v>17.111524932753984</v>
      </c>
      <c r="G867">
        <v>5.66</v>
      </c>
      <c r="H867">
        <f t="shared" si="37"/>
        <v>0.82699999999999996</v>
      </c>
      <c r="I867">
        <f t="shared" si="38"/>
        <v>3.0629629629629629</v>
      </c>
    </row>
    <row r="868" spans="1:9" x14ac:dyDescent="0.35">
      <c r="A868">
        <v>4</v>
      </c>
      <c r="B868" t="s">
        <v>65</v>
      </c>
      <c r="C868">
        <v>75</v>
      </c>
      <c r="D868">
        <v>90</v>
      </c>
      <c r="E868" s="29">
        <v>45630</v>
      </c>
      <c r="F868">
        <v>17.133214214810412</v>
      </c>
      <c r="G868">
        <v>5.9</v>
      </c>
      <c r="H868">
        <f t="shared" si="37"/>
        <v>0.86300000000000043</v>
      </c>
      <c r="I868">
        <f t="shared" si="38"/>
        <v>3.196296296296298</v>
      </c>
    </row>
    <row r="869" spans="1:9" x14ac:dyDescent="0.35">
      <c r="A869">
        <v>2</v>
      </c>
      <c r="B869" t="s">
        <v>66</v>
      </c>
      <c r="C869">
        <v>87</v>
      </c>
      <c r="D869">
        <v>90</v>
      </c>
      <c r="E869" s="29">
        <v>45630</v>
      </c>
      <c r="F869">
        <v>14.048629872636042</v>
      </c>
      <c r="G869">
        <v>5.91</v>
      </c>
      <c r="H869">
        <f t="shared" si="37"/>
        <v>0.72799999999999976</v>
      </c>
      <c r="I869">
        <f t="shared" si="38"/>
        <v>2.6962962962962953</v>
      </c>
    </row>
    <row r="870" spans="1:9" x14ac:dyDescent="0.35">
      <c r="A870">
        <v>2</v>
      </c>
      <c r="B870" t="s">
        <v>66</v>
      </c>
      <c r="C870">
        <v>91</v>
      </c>
      <c r="D870">
        <v>90</v>
      </c>
      <c r="E870" s="29">
        <v>45630</v>
      </c>
      <c r="F870">
        <v>14.223281684545096</v>
      </c>
      <c r="G870">
        <v>5.75</v>
      </c>
      <c r="H870">
        <f t="shared" si="37"/>
        <v>0.71600000000000019</v>
      </c>
      <c r="I870">
        <f t="shared" si="38"/>
        <v>2.6518518518518523</v>
      </c>
    </row>
    <row r="871" spans="1:9" x14ac:dyDescent="0.35">
      <c r="A871">
        <v>2</v>
      </c>
      <c r="B871" t="s">
        <v>66</v>
      </c>
      <c r="C871">
        <v>95</v>
      </c>
      <c r="D871">
        <v>90</v>
      </c>
      <c r="E871" s="29">
        <v>45630</v>
      </c>
      <c r="F871">
        <v>15.398886827458258</v>
      </c>
      <c r="G871">
        <v>6.22</v>
      </c>
      <c r="H871">
        <f t="shared" si="37"/>
        <v>0.83000000000000007</v>
      </c>
      <c r="I871">
        <f t="shared" si="38"/>
        <v>3.0740740740740744</v>
      </c>
    </row>
    <row r="872" spans="1:9" x14ac:dyDescent="0.35">
      <c r="A872">
        <v>4</v>
      </c>
      <c r="B872" t="s">
        <v>66</v>
      </c>
      <c r="C872">
        <v>107</v>
      </c>
      <c r="D872">
        <v>90</v>
      </c>
      <c r="E872" s="29">
        <v>45630</v>
      </c>
      <c r="F872">
        <v>16.262855150775664</v>
      </c>
      <c r="G872">
        <v>6.67</v>
      </c>
      <c r="H872">
        <f t="shared" si="37"/>
        <v>0.93299999999999983</v>
      </c>
      <c r="I872">
        <f t="shared" si="38"/>
        <v>3.4555555555555548</v>
      </c>
    </row>
    <row r="873" spans="1:9" x14ac:dyDescent="0.35">
      <c r="A873">
        <v>4</v>
      </c>
      <c r="B873" t="s">
        <v>66</v>
      </c>
      <c r="C873">
        <v>111</v>
      </c>
      <c r="D873">
        <v>90</v>
      </c>
      <c r="E873" s="29">
        <v>45630</v>
      </c>
      <c r="F873">
        <v>16.329600534848744</v>
      </c>
      <c r="G873">
        <v>6.96</v>
      </c>
      <c r="H873">
        <f t="shared" si="37"/>
        <v>0.97700000000000031</v>
      </c>
      <c r="I873">
        <f t="shared" si="38"/>
        <v>3.6185185185185196</v>
      </c>
    </row>
    <row r="874" spans="1:9" x14ac:dyDescent="0.35">
      <c r="A874">
        <v>4</v>
      </c>
      <c r="B874" t="s">
        <v>66</v>
      </c>
      <c r="C874">
        <v>115</v>
      </c>
      <c r="D874">
        <v>90</v>
      </c>
      <c r="E874" s="29">
        <v>45630</v>
      </c>
      <c r="F874">
        <v>16.687355914169174</v>
      </c>
      <c r="G874">
        <v>6.58</v>
      </c>
      <c r="H874">
        <f t="shared" si="37"/>
        <v>0.94099999999999984</v>
      </c>
      <c r="I874">
        <f t="shared" si="38"/>
        <v>3.4851851851851849</v>
      </c>
    </row>
    <row r="875" spans="1:9" x14ac:dyDescent="0.35">
      <c r="A875">
        <v>2</v>
      </c>
      <c r="B875" t="s">
        <v>58</v>
      </c>
      <c r="C875">
        <v>128</v>
      </c>
      <c r="D875">
        <v>90</v>
      </c>
      <c r="E875" s="29">
        <v>45630</v>
      </c>
      <c r="F875">
        <v>18.485342019543982</v>
      </c>
      <c r="G875">
        <v>2.91</v>
      </c>
      <c r="H875">
        <f t="shared" si="37"/>
        <v>0.45400000000000018</v>
      </c>
      <c r="I875">
        <f t="shared" si="38"/>
        <v>1.681481481481482</v>
      </c>
    </row>
    <row r="876" spans="1:9" x14ac:dyDescent="0.35">
      <c r="A876">
        <v>2</v>
      </c>
      <c r="B876" t="s">
        <v>58</v>
      </c>
      <c r="C876">
        <v>133</v>
      </c>
      <c r="D876">
        <v>90</v>
      </c>
      <c r="E876" s="29">
        <v>45630</v>
      </c>
      <c r="F876">
        <v>14.995787700084239</v>
      </c>
      <c r="G876">
        <v>2.73</v>
      </c>
      <c r="H876">
        <f t="shared" si="37"/>
        <v>0.35599999999999987</v>
      </c>
      <c r="I876">
        <f t="shared" si="38"/>
        <v>1.318518518518518</v>
      </c>
    </row>
    <row r="877" spans="1:9" x14ac:dyDescent="0.35">
      <c r="A877">
        <v>2</v>
      </c>
      <c r="B877" t="s">
        <v>58</v>
      </c>
      <c r="C877">
        <v>139</v>
      </c>
      <c r="D877">
        <v>90</v>
      </c>
      <c r="E877" s="29">
        <v>45630</v>
      </c>
      <c r="F877">
        <v>17.374842238115285</v>
      </c>
      <c r="G877">
        <v>2.79</v>
      </c>
      <c r="H877">
        <f t="shared" si="37"/>
        <v>0.41300000000000026</v>
      </c>
      <c r="I877">
        <f t="shared" si="38"/>
        <v>1.5296296296296306</v>
      </c>
    </row>
    <row r="878" spans="1:9" x14ac:dyDescent="0.35">
      <c r="A878">
        <v>4</v>
      </c>
      <c r="B878" t="s">
        <v>58</v>
      </c>
      <c r="C878">
        <v>150</v>
      </c>
      <c r="D878">
        <v>90</v>
      </c>
      <c r="E878" s="29">
        <v>45630</v>
      </c>
      <c r="F878">
        <v>24.666666666666671</v>
      </c>
      <c r="G878">
        <v>3.74</v>
      </c>
      <c r="H878">
        <f t="shared" si="37"/>
        <v>0.74000000000000021</v>
      </c>
      <c r="I878">
        <f t="shared" si="38"/>
        <v>2.7407407407407414</v>
      </c>
    </row>
    <row r="879" spans="1:9" x14ac:dyDescent="0.35">
      <c r="A879">
        <v>4</v>
      </c>
      <c r="B879" t="s">
        <v>58</v>
      </c>
      <c r="C879">
        <v>156</v>
      </c>
      <c r="D879">
        <v>90</v>
      </c>
      <c r="E879" s="29">
        <v>45630</v>
      </c>
      <c r="F879">
        <v>21.865889212827973</v>
      </c>
      <c r="G879">
        <v>4.18</v>
      </c>
      <c r="H879">
        <f t="shared" si="37"/>
        <v>0.74999999999999956</v>
      </c>
      <c r="I879">
        <f t="shared" si="38"/>
        <v>2.7777777777777763</v>
      </c>
    </row>
    <row r="880" spans="1:9" x14ac:dyDescent="0.35">
      <c r="A880">
        <v>4</v>
      </c>
      <c r="B880" t="s">
        <v>58</v>
      </c>
      <c r="C880">
        <v>158</v>
      </c>
      <c r="D880">
        <v>90</v>
      </c>
      <c r="E880" s="29">
        <v>45630</v>
      </c>
      <c r="F880">
        <v>19.661136604306385</v>
      </c>
      <c r="G880">
        <v>3.39</v>
      </c>
      <c r="H880">
        <f t="shared" si="37"/>
        <v>0.55699999999999994</v>
      </c>
      <c r="I880">
        <f t="shared" si="38"/>
        <v>2.0629629629629624</v>
      </c>
    </row>
    <row r="881" spans="1:9" x14ac:dyDescent="0.35">
      <c r="A881">
        <v>2</v>
      </c>
      <c r="B881" t="s">
        <v>59</v>
      </c>
      <c r="C881">
        <v>191</v>
      </c>
      <c r="D881">
        <v>90</v>
      </c>
      <c r="E881" s="29">
        <v>45630</v>
      </c>
      <c r="F881">
        <v>19.793348401679044</v>
      </c>
      <c r="G881">
        <v>3.71</v>
      </c>
      <c r="H881">
        <f t="shared" si="37"/>
        <v>0.61299999999999999</v>
      </c>
      <c r="I881">
        <f t="shared" si="38"/>
        <v>2.2703703703703701</v>
      </c>
    </row>
    <row r="882" spans="1:9" x14ac:dyDescent="0.35">
      <c r="A882">
        <v>2</v>
      </c>
      <c r="B882" t="s">
        <v>59</v>
      </c>
      <c r="C882">
        <v>197</v>
      </c>
      <c r="D882">
        <v>90</v>
      </c>
      <c r="E882" s="29">
        <v>45630</v>
      </c>
      <c r="F882">
        <v>18.956743002544531</v>
      </c>
      <c r="G882">
        <v>3.74</v>
      </c>
      <c r="H882">
        <f t="shared" si="37"/>
        <v>0.59600000000000009</v>
      </c>
      <c r="I882">
        <f t="shared" si="38"/>
        <v>2.2074074074074077</v>
      </c>
    </row>
    <row r="883" spans="1:9" x14ac:dyDescent="0.35">
      <c r="A883">
        <v>2</v>
      </c>
      <c r="B883" t="s">
        <v>59</v>
      </c>
      <c r="C883">
        <v>204</v>
      </c>
      <c r="D883">
        <v>90</v>
      </c>
      <c r="E883" s="29">
        <v>45630</v>
      </c>
      <c r="F883">
        <v>18.461019237259524</v>
      </c>
      <c r="G883">
        <v>3.51</v>
      </c>
      <c r="H883">
        <f t="shared" si="37"/>
        <v>0.54699999999999971</v>
      </c>
      <c r="I883">
        <f t="shared" si="38"/>
        <v>2.0259259259259248</v>
      </c>
    </row>
    <row r="884" spans="1:9" x14ac:dyDescent="0.35">
      <c r="A884">
        <v>4</v>
      </c>
      <c r="B884" t="s">
        <v>59</v>
      </c>
      <c r="C884">
        <v>233</v>
      </c>
      <c r="D884">
        <v>90</v>
      </c>
      <c r="E884" s="29">
        <v>45630</v>
      </c>
      <c r="F884">
        <v>16.553006819590816</v>
      </c>
      <c r="G884">
        <v>3.76</v>
      </c>
      <c r="H884">
        <f t="shared" si="37"/>
        <v>0.53399999999999981</v>
      </c>
      <c r="I884">
        <f t="shared" si="38"/>
        <v>1.977777777777777</v>
      </c>
    </row>
    <row r="885" spans="1:9" x14ac:dyDescent="0.35">
      <c r="A885">
        <v>4</v>
      </c>
      <c r="B885" t="s">
        <v>59</v>
      </c>
      <c r="C885">
        <v>239</v>
      </c>
      <c r="D885">
        <v>90</v>
      </c>
      <c r="E885" s="29">
        <v>45630</v>
      </c>
      <c r="F885">
        <v>22.933573790201383</v>
      </c>
      <c r="G885">
        <v>4.09</v>
      </c>
      <c r="H885">
        <f t="shared" si="37"/>
        <v>0.7629999999999999</v>
      </c>
      <c r="I885">
        <f t="shared" si="38"/>
        <v>2.8259259259259255</v>
      </c>
    </row>
    <row r="886" spans="1:9" x14ac:dyDescent="0.35">
      <c r="A886">
        <v>4</v>
      </c>
      <c r="B886" t="s">
        <v>59</v>
      </c>
      <c r="C886">
        <v>242</v>
      </c>
      <c r="D886">
        <v>90</v>
      </c>
      <c r="E886" s="29">
        <v>45630</v>
      </c>
      <c r="F886">
        <v>15.715162676488644</v>
      </c>
      <c r="G886">
        <v>3.77</v>
      </c>
      <c r="H886">
        <f t="shared" si="37"/>
        <v>0.51200000000000001</v>
      </c>
      <c r="I886">
        <f t="shared" si="38"/>
        <v>1.8962962962962964</v>
      </c>
    </row>
    <row r="887" spans="1:9" x14ac:dyDescent="0.35">
      <c r="A887">
        <v>2</v>
      </c>
      <c r="B887" t="s">
        <v>62</v>
      </c>
      <c r="C887">
        <v>255</v>
      </c>
      <c r="D887">
        <v>90</v>
      </c>
      <c r="E887" s="29">
        <v>45630</v>
      </c>
      <c r="F887">
        <v>13.623516110797054</v>
      </c>
      <c r="G887">
        <v>4.0199999999999996</v>
      </c>
      <c r="H887">
        <f t="shared" si="37"/>
        <v>0.48199999999999976</v>
      </c>
      <c r="I887">
        <f t="shared" si="38"/>
        <v>1.7851851851851845</v>
      </c>
    </row>
    <row r="888" spans="1:9" x14ac:dyDescent="0.35">
      <c r="A888">
        <v>2</v>
      </c>
      <c r="B888" t="s">
        <v>62</v>
      </c>
      <c r="C888">
        <v>264</v>
      </c>
      <c r="D888">
        <v>90</v>
      </c>
      <c r="E888" s="29">
        <v>45630</v>
      </c>
      <c r="F888">
        <v>14.683460391117006</v>
      </c>
      <c r="G888">
        <v>3.46</v>
      </c>
      <c r="H888">
        <f t="shared" si="37"/>
        <v>0.44300000000000006</v>
      </c>
      <c r="I888">
        <f t="shared" si="38"/>
        <v>1.6407407407407408</v>
      </c>
    </row>
    <row r="889" spans="1:9" x14ac:dyDescent="0.35">
      <c r="A889">
        <v>2</v>
      </c>
      <c r="B889" t="s">
        <v>62</v>
      </c>
      <c r="C889">
        <v>270</v>
      </c>
      <c r="D889">
        <v>90</v>
      </c>
      <c r="E889" s="29">
        <v>45630</v>
      </c>
      <c r="F889">
        <v>15.766262403528117</v>
      </c>
      <c r="G889">
        <v>4.2</v>
      </c>
      <c r="H889">
        <f t="shared" si="37"/>
        <v>0.57200000000000006</v>
      </c>
      <c r="I889">
        <f t="shared" si="38"/>
        <v>2.1185185185185187</v>
      </c>
    </row>
    <row r="890" spans="1:9" x14ac:dyDescent="0.35">
      <c r="A890">
        <v>4</v>
      </c>
      <c r="B890" t="s">
        <v>62</v>
      </c>
      <c r="C890">
        <v>274</v>
      </c>
      <c r="D890">
        <v>90</v>
      </c>
      <c r="E890" s="29">
        <v>45630</v>
      </c>
      <c r="F890">
        <v>17.272958534723994</v>
      </c>
      <c r="G890">
        <v>4.6100000000000003</v>
      </c>
      <c r="H890">
        <f t="shared" si="37"/>
        <v>0.67900000000000027</v>
      </c>
      <c r="I890">
        <f t="shared" si="38"/>
        <v>2.5148148148148159</v>
      </c>
    </row>
    <row r="891" spans="1:9" x14ac:dyDescent="0.35">
      <c r="A891">
        <v>4</v>
      </c>
      <c r="B891" t="s">
        <v>62</v>
      </c>
      <c r="C891">
        <v>277</v>
      </c>
      <c r="D891">
        <v>90</v>
      </c>
      <c r="E891" s="29">
        <v>45630</v>
      </c>
      <c r="F891">
        <v>16.362702286154647</v>
      </c>
      <c r="G891">
        <v>4.53</v>
      </c>
      <c r="H891">
        <f t="shared" si="37"/>
        <v>0.63700000000000045</v>
      </c>
      <c r="I891">
        <f t="shared" si="38"/>
        <v>2.3592592592592609</v>
      </c>
    </row>
    <row r="892" spans="1:9" x14ac:dyDescent="0.35">
      <c r="A892">
        <v>4</v>
      </c>
      <c r="B892" t="s">
        <v>62</v>
      </c>
      <c r="C892">
        <v>282</v>
      </c>
      <c r="D892">
        <v>90</v>
      </c>
      <c r="E892" s="29">
        <v>45630</v>
      </c>
      <c r="F892">
        <v>15.792334873606958</v>
      </c>
      <c r="G892">
        <v>4.26</v>
      </c>
      <c r="H892">
        <f t="shared" si="37"/>
        <v>0.58099999999999996</v>
      </c>
      <c r="I892">
        <f t="shared" si="38"/>
        <v>2.1518518518518515</v>
      </c>
    </row>
    <row r="893" spans="1:9" x14ac:dyDescent="0.35">
      <c r="A893">
        <v>2</v>
      </c>
      <c r="B893" t="s">
        <v>61</v>
      </c>
      <c r="C893">
        <v>166</v>
      </c>
      <c r="D893">
        <v>90</v>
      </c>
      <c r="E893" s="29">
        <v>45630</v>
      </c>
      <c r="F893">
        <v>14.198705748001533</v>
      </c>
      <c r="G893">
        <v>3</v>
      </c>
      <c r="H893">
        <f t="shared" si="37"/>
        <v>0.37300000000000022</v>
      </c>
      <c r="I893">
        <f t="shared" si="38"/>
        <v>1.3814814814814824</v>
      </c>
    </row>
    <row r="894" spans="1:9" x14ac:dyDescent="0.35">
      <c r="A894">
        <v>2</v>
      </c>
      <c r="B894" t="s">
        <v>61</v>
      </c>
      <c r="C894">
        <v>172</v>
      </c>
      <c r="D894">
        <v>90</v>
      </c>
      <c r="E894" s="29">
        <v>45630</v>
      </c>
      <c r="F894">
        <v>14.67324290998768</v>
      </c>
      <c r="G894">
        <v>2.79</v>
      </c>
      <c r="H894">
        <f t="shared" si="37"/>
        <v>0.35700000000000021</v>
      </c>
      <c r="I894">
        <f t="shared" si="38"/>
        <v>1.3222222222222231</v>
      </c>
    </row>
    <row r="895" spans="1:9" x14ac:dyDescent="0.35">
      <c r="A895">
        <v>2</v>
      </c>
      <c r="B895" t="s">
        <v>61</v>
      </c>
      <c r="C895">
        <v>175</v>
      </c>
      <c r="D895">
        <v>90</v>
      </c>
      <c r="E895" s="29">
        <v>45630</v>
      </c>
      <c r="F895">
        <v>16.679418515684773</v>
      </c>
      <c r="G895">
        <v>3.05</v>
      </c>
      <c r="H895">
        <f t="shared" ref="H895:H899" si="39">G895-G67</f>
        <v>0.43599999999999994</v>
      </c>
      <c r="I895">
        <f t="shared" si="38"/>
        <v>1.6148148148148147</v>
      </c>
    </row>
    <row r="896" spans="1:9" x14ac:dyDescent="0.35">
      <c r="A896">
        <v>4</v>
      </c>
      <c r="B896" t="s">
        <v>61</v>
      </c>
      <c r="C896">
        <v>211</v>
      </c>
      <c r="D896">
        <v>90</v>
      </c>
      <c r="E896" s="29">
        <v>45630</v>
      </c>
      <c r="F896">
        <v>19.611021069692057</v>
      </c>
      <c r="G896">
        <v>3.69</v>
      </c>
      <c r="H896">
        <f t="shared" si="39"/>
        <v>0.60499999999999998</v>
      </c>
      <c r="I896">
        <f t="shared" si="38"/>
        <v>2.2407407407407409</v>
      </c>
    </row>
    <row r="897" spans="1:9" x14ac:dyDescent="0.35">
      <c r="A897">
        <v>4</v>
      </c>
      <c r="B897" t="s">
        <v>61</v>
      </c>
      <c r="C897">
        <v>217</v>
      </c>
      <c r="D897">
        <v>90</v>
      </c>
      <c r="E897" s="29">
        <v>45630</v>
      </c>
      <c r="F897">
        <v>19.470455279302556</v>
      </c>
      <c r="G897">
        <v>3.7</v>
      </c>
      <c r="H897">
        <f t="shared" si="39"/>
        <v>0.6030000000000002</v>
      </c>
      <c r="I897">
        <f t="shared" si="38"/>
        <v>2.2333333333333338</v>
      </c>
    </row>
    <row r="898" spans="1:9" x14ac:dyDescent="0.35">
      <c r="A898">
        <v>4</v>
      </c>
      <c r="B898" t="s">
        <v>61</v>
      </c>
      <c r="C898">
        <v>223</v>
      </c>
      <c r="D898">
        <v>90</v>
      </c>
      <c r="E898" s="29">
        <v>45630</v>
      </c>
      <c r="F898">
        <v>20.370370370370374</v>
      </c>
      <c r="G898">
        <v>3.38</v>
      </c>
      <c r="H898">
        <f t="shared" si="39"/>
        <v>0.57200000000000006</v>
      </c>
      <c r="I898">
        <f t="shared" si="38"/>
        <v>2.1185185185185187</v>
      </c>
    </row>
    <row r="899" spans="1:9" x14ac:dyDescent="0.35">
      <c r="A899">
        <v>0</v>
      </c>
      <c r="B899" t="s">
        <v>63</v>
      </c>
      <c r="C899">
        <v>316</v>
      </c>
      <c r="D899">
        <v>90</v>
      </c>
      <c r="E899" s="29">
        <v>45632</v>
      </c>
      <c r="F899">
        <v>16.215807767870643</v>
      </c>
      <c r="G899">
        <v>7.69</v>
      </c>
      <c r="H899">
        <f>G899-G2</f>
        <v>1.0730000000000004</v>
      </c>
      <c r="I899">
        <f t="shared" ref="I899:I962" si="40">H899/27*100</f>
        <v>3.9740740740740756</v>
      </c>
    </row>
    <row r="900" spans="1:9" x14ac:dyDescent="0.35">
      <c r="A900">
        <v>0</v>
      </c>
      <c r="B900" t="s">
        <v>63</v>
      </c>
      <c r="C900">
        <v>320</v>
      </c>
      <c r="D900">
        <v>90</v>
      </c>
      <c r="E900" s="29">
        <v>45632</v>
      </c>
      <c r="F900">
        <v>16.483856017302646</v>
      </c>
      <c r="G900">
        <v>7.54</v>
      </c>
      <c r="H900">
        <f t="shared" ref="H900:H963" si="41">G900-G3</f>
        <v>1.0670000000000002</v>
      </c>
      <c r="I900">
        <f t="shared" si="40"/>
        <v>3.9518518518518522</v>
      </c>
    </row>
    <row r="901" spans="1:9" x14ac:dyDescent="0.35">
      <c r="A901">
        <v>0</v>
      </c>
      <c r="B901" t="s">
        <v>63</v>
      </c>
      <c r="C901">
        <v>325</v>
      </c>
      <c r="D901">
        <v>90</v>
      </c>
      <c r="E901" s="29">
        <v>45632</v>
      </c>
      <c r="F901">
        <v>16.677545691906008</v>
      </c>
      <c r="G901">
        <v>7.15</v>
      </c>
      <c r="H901">
        <f t="shared" si="41"/>
        <v>1.0220000000000002</v>
      </c>
      <c r="I901">
        <f t="shared" si="40"/>
        <v>3.7851851851851857</v>
      </c>
    </row>
    <row r="902" spans="1:9" x14ac:dyDescent="0.35">
      <c r="A902">
        <v>0</v>
      </c>
      <c r="B902" t="s">
        <v>64</v>
      </c>
      <c r="C902">
        <v>332</v>
      </c>
      <c r="D902">
        <v>90</v>
      </c>
      <c r="E902" s="29">
        <v>45632</v>
      </c>
      <c r="F902">
        <v>16.577540106951876</v>
      </c>
      <c r="G902">
        <v>4.3600000000000003</v>
      </c>
      <c r="H902">
        <f t="shared" si="41"/>
        <v>0.62000000000000011</v>
      </c>
      <c r="I902">
        <f t="shared" si="40"/>
        <v>2.2962962962962967</v>
      </c>
    </row>
    <row r="903" spans="1:9" x14ac:dyDescent="0.35">
      <c r="A903">
        <v>0</v>
      </c>
      <c r="B903" t="s">
        <v>64</v>
      </c>
      <c r="C903">
        <v>336</v>
      </c>
      <c r="D903">
        <v>90</v>
      </c>
      <c r="E903" s="29">
        <v>45632</v>
      </c>
      <c r="F903">
        <v>16.801672328194403</v>
      </c>
      <c r="G903">
        <v>4.47</v>
      </c>
      <c r="H903">
        <f t="shared" si="41"/>
        <v>0.64299999999999979</v>
      </c>
      <c r="I903">
        <f t="shared" si="40"/>
        <v>2.3814814814814804</v>
      </c>
    </row>
    <row r="904" spans="1:9" x14ac:dyDescent="0.35">
      <c r="A904">
        <v>0</v>
      </c>
      <c r="B904" t="s">
        <v>64</v>
      </c>
      <c r="C904">
        <v>341</v>
      </c>
      <c r="D904">
        <v>90</v>
      </c>
      <c r="E904" s="29">
        <v>45632</v>
      </c>
      <c r="F904">
        <v>17.226197028068242</v>
      </c>
      <c r="G904">
        <v>4.26</v>
      </c>
      <c r="H904">
        <f t="shared" si="41"/>
        <v>0.62599999999999989</v>
      </c>
      <c r="I904">
        <f t="shared" si="40"/>
        <v>2.318518518518518</v>
      </c>
    </row>
    <row r="905" spans="1:9" x14ac:dyDescent="0.35">
      <c r="A905">
        <v>0</v>
      </c>
      <c r="B905" t="s">
        <v>65</v>
      </c>
      <c r="C905">
        <v>348</v>
      </c>
      <c r="D905">
        <v>90</v>
      </c>
      <c r="E905" s="29">
        <v>45632</v>
      </c>
      <c r="F905">
        <v>16.437026974577925</v>
      </c>
      <c r="G905">
        <v>6</v>
      </c>
      <c r="H905">
        <f t="shared" si="41"/>
        <v>0.84700000000000042</v>
      </c>
      <c r="I905">
        <f t="shared" si="40"/>
        <v>3.1370370370370391</v>
      </c>
    </row>
    <row r="906" spans="1:9" x14ac:dyDescent="0.35">
      <c r="A906">
        <v>0</v>
      </c>
      <c r="B906" t="s">
        <v>65</v>
      </c>
      <c r="C906">
        <v>352</v>
      </c>
      <c r="D906">
        <v>90</v>
      </c>
      <c r="E906" s="29">
        <v>45632</v>
      </c>
      <c r="F906">
        <v>16.771608471665722</v>
      </c>
      <c r="G906">
        <v>6.12</v>
      </c>
      <c r="H906">
        <f t="shared" si="41"/>
        <v>0.87900000000000045</v>
      </c>
      <c r="I906">
        <f t="shared" si="40"/>
        <v>3.2555555555555573</v>
      </c>
    </row>
    <row r="907" spans="1:9" x14ac:dyDescent="0.35">
      <c r="A907">
        <v>0</v>
      </c>
      <c r="B907" t="s">
        <v>65</v>
      </c>
      <c r="C907">
        <v>357</v>
      </c>
      <c r="D907">
        <v>90</v>
      </c>
      <c r="E907" s="29">
        <v>45632</v>
      </c>
      <c r="F907">
        <v>16.197866149369542</v>
      </c>
      <c r="G907">
        <v>5.99</v>
      </c>
      <c r="H907">
        <f t="shared" si="41"/>
        <v>0.83499999999999996</v>
      </c>
      <c r="I907">
        <f t="shared" si="40"/>
        <v>3.0925925925925926</v>
      </c>
    </row>
    <row r="908" spans="1:9" x14ac:dyDescent="0.35">
      <c r="A908">
        <v>0</v>
      </c>
      <c r="B908" t="s">
        <v>66</v>
      </c>
      <c r="C908">
        <v>368</v>
      </c>
      <c r="D908">
        <v>90</v>
      </c>
      <c r="E908" s="29">
        <v>45632</v>
      </c>
      <c r="F908">
        <v>14.868398117483</v>
      </c>
      <c r="G908">
        <v>6.59</v>
      </c>
      <c r="H908">
        <f t="shared" si="41"/>
        <v>0.85299999999999976</v>
      </c>
      <c r="I908">
        <f t="shared" si="40"/>
        <v>3.1592592592592581</v>
      </c>
    </row>
    <row r="909" spans="1:9" x14ac:dyDescent="0.35">
      <c r="A909">
        <v>0</v>
      </c>
      <c r="B909" t="s">
        <v>66</v>
      </c>
      <c r="C909">
        <v>372</v>
      </c>
      <c r="D909">
        <v>90</v>
      </c>
      <c r="E909" s="29">
        <v>45632</v>
      </c>
      <c r="F909">
        <v>14.942528735632186</v>
      </c>
      <c r="G909">
        <v>7.1</v>
      </c>
      <c r="H909">
        <f t="shared" si="41"/>
        <v>0.92300000000000004</v>
      </c>
      <c r="I909">
        <f t="shared" si="40"/>
        <v>3.4185185185185185</v>
      </c>
    </row>
    <row r="910" spans="1:9" x14ac:dyDescent="0.35">
      <c r="A910">
        <v>0</v>
      </c>
      <c r="B910" t="s">
        <v>66</v>
      </c>
      <c r="C910">
        <v>377</v>
      </c>
      <c r="D910">
        <v>90</v>
      </c>
      <c r="E910" s="29">
        <v>45632</v>
      </c>
      <c r="F910">
        <v>14.70246974970992</v>
      </c>
      <c r="G910">
        <v>6.92</v>
      </c>
      <c r="H910">
        <f t="shared" si="41"/>
        <v>0.88699999999999957</v>
      </c>
      <c r="I910">
        <f t="shared" si="40"/>
        <v>3.2851851851851834</v>
      </c>
    </row>
    <row r="911" spans="1:9" x14ac:dyDescent="0.35">
      <c r="A911">
        <v>0</v>
      </c>
      <c r="B911" t="s">
        <v>58</v>
      </c>
      <c r="C911">
        <v>384</v>
      </c>
      <c r="D911">
        <v>90</v>
      </c>
      <c r="E911" s="29">
        <v>45632</v>
      </c>
      <c r="F911">
        <v>16.09315258950296</v>
      </c>
      <c r="G911">
        <v>3.34</v>
      </c>
      <c r="H911">
        <f t="shared" si="41"/>
        <v>0.46300000000000008</v>
      </c>
      <c r="I911">
        <f t="shared" si="40"/>
        <v>1.7148148148148152</v>
      </c>
    </row>
    <row r="912" spans="1:9" x14ac:dyDescent="0.35">
      <c r="A912">
        <v>0</v>
      </c>
      <c r="B912" t="s">
        <v>58</v>
      </c>
      <c r="C912">
        <v>387</v>
      </c>
      <c r="D912">
        <v>90</v>
      </c>
      <c r="E912" s="29">
        <v>45632</v>
      </c>
      <c r="F912">
        <v>16.776315789473678</v>
      </c>
      <c r="G912">
        <v>3.55</v>
      </c>
      <c r="H912">
        <f t="shared" si="41"/>
        <v>0.50999999999999979</v>
      </c>
      <c r="I912">
        <f t="shared" si="40"/>
        <v>1.8888888888888882</v>
      </c>
    </row>
    <row r="913" spans="1:9" x14ac:dyDescent="0.35">
      <c r="A913">
        <v>0</v>
      </c>
      <c r="B913" t="s">
        <v>58</v>
      </c>
      <c r="C913">
        <v>392</v>
      </c>
      <c r="D913">
        <v>90</v>
      </c>
      <c r="E913" s="29">
        <v>45632</v>
      </c>
      <c r="F913">
        <v>16.73521037646314</v>
      </c>
      <c r="G913">
        <v>3.69</v>
      </c>
      <c r="H913">
        <f t="shared" si="41"/>
        <v>0.52899999999999991</v>
      </c>
      <c r="I913">
        <f t="shared" si="40"/>
        <v>1.9592592592592588</v>
      </c>
    </row>
    <row r="914" spans="1:9" x14ac:dyDescent="0.35">
      <c r="A914">
        <v>0</v>
      </c>
      <c r="B914" t="s">
        <v>59</v>
      </c>
      <c r="C914">
        <v>399</v>
      </c>
      <c r="D914">
        <v>90</v>
      </c>
      <c r="E914" s="29">
        <v>45632</v>
      </c>
      <c r="F914">
        <v>17.234788149092083</v>
      </c>
      <c r="G914">
        <v>3.68</v>
      </c>
      <c r="H914">
        <f t="shared" si="41"/>
        <v>0.54100000000000037</v>
      </c>
      <c r="I914">
        <f t="shared" si="40"/>
        <v>2.0037037037037053</v>
      </c>
    </row>
    <row r="915" spans="1:9" x14ac:dyDescent="0.35">
      <c r="A915">
        <v>0</v>
      </c>
      <c r="B915" t="s">
        <v>59</v>
      </c>
      <c r="C915">
        <v>403</v>
      </c>
      <c r="D915">
        <v>90</v>
      </c>
      <c r="E915" s="29">
        <v>45632</v>
      </c>
      <c r="F915">
        <v>16.510903426791284</v>
      </c>
      <c r="G915">
        <v>3.74</v>
      </c>
      <c r="H915">
        <f t="shared" si="41"/>
        <v>0.53000000000000025</v>
      </c>
      <c r="I915">
        <f t="shared" si="40"/>
        <v>1.9629629629629639</v>
      </c>
    </row>
    <row r="916" spans="1:9" x14ac:dyDescent="0.35">
      <c r="A916">
        <v>0</v>
      </c>
      <c r="B916" t="s">
        <v>59</v>
      </c>
      <c r="C916">
        <v>408</v>
      </c>
      <c r="D916">
        <v>90</v>
      </c>
      <c r="E916" s="29">
        <v>45632</v>
      </c>
      <c r="F916">
        <v>16.837387964148519</v>
      </c>
      <c r="G916">
        <v>3.65</v>
      </c>
      <c r="H916">
        <f t="shared" si="41"/>
        <v>0.5259999999999998</v>
      </c>
      <c r="I916">
        <f t="shared" si="40"/>
        <v>1.9481481481481475</v>
      </c>
    </row>
    <row r="917" spans="1:9" x14ac:dyDescent="0.35">
      <c r="A917">
        <v>0</v>
      </c>
      <c r="B917" t="s">
        <v>60</v>
      </c>
      <c r="C917">
        <v>419</v>
      </c>
      <c r="D917">
        <v>90</v>
      </c>
      <c r="E917" s="29">
        <v>45632</v>
      </c>
      <c r="F917">
        <v>15.938430983118183</v>
      </c>
      <c r="G917">
        <v>4.67</v>
      </c>
      <c r="H917">
        <f t="shared" si="41"/>
        <v>0.64200000000000035</v>
      </c>
      <c r="I917">
        <f t="shared" si="40"/>
        <v>2.3777777777777791</v>
      </c>
    </row>
    <row r="918" spans="1:9" x14ac:dyDescent="0.35">
      <c r="A918">
        <v>0</v>
      </c>
      <c r="B918" t="s">
        <v>60</v>
      </c>
      <c r="C918">
        <v>423</v>
      </c>
      <c r="D918">
        <v>90</v>
      </c>
      <c r="E918" s="29">
        <v>45632</v>
      </c>
      <c r="F918">
        <v>15.949119373776909</v>
      </c>
      <c r="G918">
        <v>4.74</v>
      </c>
      <c r="H918">
        <f t="shared" si="41"/>
        <v>0.65200000000000014</v>
      </c>
      <c r="I918">
        <f t="shared" si="40"/>
        <v>2.4148148148148154</v>
      </c>
    </row>
    <row r="919" spans="1:9" x14ac:dyDescent="0.35">
      <c r="A919">
        <v>0</v>
      </c>
      <c r="B919" t="s">
        <v>60</v>
      </c>
      <c r="C919">
        <v>428</v>
      </c>
      <c r="D919">
        <v>90</v>
      </c>
      <c r="E919" s="29">
        <v>45632</v>
      </c>
      <c r="F919">
        <v>15.194162105811825</v>
      </c>
      <c r="G919">
        <v>4.42</v>
      </c>
      <c r="H919">
        <f t="shared" si="41"/>
        <v>0.58299999999999974</v>
      </c>
      <c r="I919">
        <f t="shared" si="40"/>
        <v>2.1592592592592585</v>
      </c>
    </row>
    <row r="920" spans="1:9" x14ac:dyDescent="0.35">
      <c r="A920">
        <v>0</v>
      </c>
      <c r="B920" t="s">
        <v>61</v>
      </c>
      <c r="C920">
        <v>439</v>
      </c>
      <c r="D920">
        <v>90</v>
      </c>
      <c r="E920" s="29">
        <v>45632</v>
      </c>
      <c r="F920">
        <v>13.660062565172062</v>
      </c>
      <c r="G920">
        <v>3.27</v>
      </c>
      <c r="H920">
        <f t="shared" si="41"/>
        <v>0.39300000000000024</v>
      </c>
      <c r="I920">
        <f t="shared" si="40"/>
        <v>1.4555555555555564</v>
      </c>
    </row>
    <row r="921" spans="1:9" x14ac:dyDescent="0.35">
      <c r="A921">
        <v>0</v>
      </c>
      <c r="B921" t="s">
        <v>61</v>
      </c>
      <c r="C921">
        <v>443</v>
      </c>
      <c r="D921">
        <v>90</v>
      </c>
      <c r="E921" s="29">
        <v>45632</v>
      </c>
      <c r="F921">
        <v>13.402061855670091</v>
      </c>
      <c r="G921">
        <v>3.3</v>
      </c>
      <c r="H921">
        <f t="shared" si="41"/>
        <v>0.38999999999999968</v>
      </c>
      <c r="I921">
        <f t="shared" si="40"/>
        <v>1.4444444444444433</v>
      </c>
    </row>
    <row r="922" spans="1:9" x14ac:dyDescent="0.35">
      <c r="A922">
        <v>0</v>
      </c>
      <c r="B922" t="s">
        <v>61</v>
      </c>
      <c r="C922">
        <v>448</v>
      </c>
      <c r="D922">
        <v>90</v>
      </c>
      <c r="E922" s="29">
        <v>45632</v>
      </c>
      <c r="F922">
        <v>12.908899050298981</v>
      </c>
      <c r="G922">
        <v>3.21</v>
      </c>
      <c r="H922">
        <f t="shared" si="41"/>
        <v>0.36699999999999999</v>
      </c>
      <c r="I922">
        <f t="shared" si="40"/>
        <v>1.3592592592592592</v>
      </c>
    </row>
    <row r="923" spans="1:9" x14ac:dyDescent="0.35">
      <c r="A923">
        <v>2</v>
      </c>
      <c r="B923" t="s">
        <v>63</v>
      </c>
      <c r="C923">
        <v>295</v>
      </c>
      <c r="D923">
        <v>90</v>
      </c>
      <c r="E923" s="29">
        <v>45632</v>
      </c>
      <c r="F923">
        <v>11.968348170128595</v>
      </c>
      <c r="G923">
        <v>5.66</v>
      </c>
      <c r="H923">
        <f t="shared" si="41"/>
        <v>0.60500000000000043</v>
      </c>
      <c r="I923">
        <f t="shared" si="40"/>
        <v>2.2407407407407423</v>
      </c>
    </row>
    <row r="924" spans="1:9" x14ac:dyDescent="0.35">
      <c r="A924">
        <v>2</v>
      </c>
      <c r="B924" t="s">
        <v>63</v>
      </c>
      <c r="C924">
        <v>298</v>
      </c>
      <c r="D924">
        <v>90</v>
      </c>
      <c r="E924" s="29">
        <v>45632</v>
      </c>
      <c r="F924">
        <v>16.863905325443785</v>
      </c>
      <c r="G924">
        <v>6.32</v>
      </c>
      <c r="H924">
        <f t="shared" si="41"/>
        <v>0.91199999999999992</v>
      </c>
      <c r="I924">
        <f t="shared" si="40"/>
        <v>3.3777777777777773</v>
      </c>
    </row>
    <row r="925" spans="1:9" x14ac:dyDescent="0.35">
      <c r="A925">
        <v>2</v>
      </c>
      <c r="B925" t="s">
        <v>63</v>
      </c>
      <c r="C925">
        <v>301</v>
      </c>
      <c r="D925">
        <v>90</v>
      </c>
      <c r="E925" s="29">
        <v>45632</v>
      </c>
      <c r="F925">
        <v>16.71138367190494</v>
      </c>
      <c r="G925">
        <v>6.09</v>
      </c>
      <c r="H925">
        <f t="shared" si="41"/>
        <v>0.87199999999999989</v>
      </c>
      <c r="I925">
        <f t="shared" si="40"/>
        <v>3.2296296296296294</v>
      </c>
    </row>
    <row r="926" spans="1:9" x14ac:dyDescent="0.35">
      <c r="A926">
        <v>2</v>
      </c>
      <c r="B926" t="s">
        <v>64</v>
      </c>
      <c r="C926">
        <v>6</v>
      </c>
      <c r="D926">
        <v>90</v>
      </c>
      <c r="E926" s="29">
        <v>45632</v>
      </c>
      <c r="F926">
        <v>20.032223415682047</v>
      </c>
      <c r="G926">
        <v>4.47</v>
      </c>
      <c r="H926">
        <f t="shared" si="41"/>
        <v>0.74599999999999955</v>
      </c>
      <c r="I926">
        <f t="shared" si="40"/>
        <v>2.7629629629629613</v>
      </c>
    </row>
    <row r="927" spans="1:9" x14ac:dyDescent="0.35">
      <c r="A927">
        <v>2</v>
      </c>
      <c r="B927" t="s">
        <v>64</v>
      </c>
      <c r="C927">
        <v>10</v>
      </c>
      <c r="D927">
        <v>90</v>
      </c>
      <c r="E927" s="29">
        <v>45632</v>
      </c>
      <c r="F927">
        <v>19.313538545355492</v>
      </c>
      <c r="G927">
        <v>4.38</v>
      </c>
      <c r="H927">
        <f t="shared" si="41"/>
        <v>0.70900000000000007</v>
      </c>
      <c r="I927">
        <f t="shared" si="40"/>
        <v>2.6259259259259262</v>
      </c>
    </row>
    <row r="928" spans="1:9" x14ac:dyDescent="0.35">
      <c r="A928">
        <v>2</v>
      </c>
      <c r="B928" t="s">
        <v>64</v>
      </c>
      <c r="C928">
        <v>14</v>
      </c>
      <c r="D928">
        <v>90</v>
      </c>
      <c r="E928" s="29">
        <v>45632</v>
      </c>
      <c r="F928">
        <v>19.275549805950842</v>
      </c>
      <c r="G928">
        <v>4.6100000000000003</v>
      </c>
      <c r="H928">
        <f t="shared" si="41"/>
        <v>0.74500000000000011</v>
      </c>
      <c r="I928">
        <f t="shared" si="40"/>
        <v>2.7592592592592595</v>
      </c>
    </row>
    <row r="929" spans="1:9" x14ac:dyDescent="0.35">
      <c r="A929">
        <v>4</v>
      </c>
      <c r="B929" t="s">
        <v>64</v>
      </c>
      <c r="C929">
        <v>26</v>
      </c>
      <c r="D929">
        <v>90</v>
      </c>
      <c r="E929" s="29">
        <v>45632</v>
      </c>
      <c r="F929">
        <v>20.616113744075832</v>
      </c>
      <c r="G929">
        <v>5.09</v>
      </c>
      <c r="H929">
        <f t="shared" si="41"/>
        <v>0.87000000000000011</v>
      </c>
      <c r="I929">
        <f t="shared" si="40"/>
        <v>3.2222222222222228</v>
      </c>
    </row>
    <row r="930" spans="1:9" x14ac:dyDescent="0.35">
      <c r="A930">
        <v>4</v>
      </c>
      <c r="B930" t="s">
        <v>64</v>
      </c>
      <c r="C930">
        <v>30</v>
      </c>
      <c r="D930">
        <v>90</v>
      </c>
      <c r="E930" s="29">
        <v>45632</v>
      </c>
      <c r="F930">
        <v>20.829361296472847</v>
      </c>
      <c r="G930">
        <v>5.07</v>
      </c>
      <c r="H930">
        <f t="shared" si="41"/>
        <v>0.87400000000000055</v>
      </c>
      <c r="I930">
        <f t="shared" si="40"/>
        <v>3.2370370370370392</v>
      </c>
    </row>
    <row r="931" spans="1:9" x14ac:dyDescent="0.35">
      <c r="A931">
        <v>4</v>
      </c>
      <c r="B931" t="s">
        <v>64</v>
      </c>
      <c r="C931">
        <v>34</v>
      </c>
      <c r="D931">
        <v>90</v>
      </c>
      <c r="E931" s="29">
        <v>45632</v>
      </c>
      <c r="F931">
        <v>19.829827463956523</v>
      </c>
      <c r="G931">
        <v>5.07</v>
      </c>
      <c r="H931">
        <f t="shared" si="41"/>
        <v>0.83900000000000041</v>
      </c>
      <c r="I931">
        <f t="shared" si="40"/>
        <v>3.107407407407409</v>
      </c>
    </row>
    <row r="932" spans="1:9" x14ac:dyDescent="0.35">
      <c r="A932">
        <v>2</v>
      </c>
      <c r="B932" t="s">
        <v>65</v>
      </c>
      <c r="C932">
        <v>46</v>
      </c>
      <c r="D932">
        <v>90</v>
      </c>
      <c r="E932" s="29">
        <v>45632</v>
      </c>
      <c r="F932">
        <v>17.367168913560675</v>
      </c>
      <c r="G932">
        <v>5.92</v>
      </c>
      <c r="H932">
        <f t="shared" si="41"/>
        <v>0.87600000000000033</v>
      </c>
      <c r="I932">
        <f t="shared" si="40"/>
        <v>3.2444444444444458</v>
      </c>
    </row>
    <row r="933" spans="1:9" x14ac:dyDescent="0.35">
      <c r="A933">
        <v>2</v>
      </c>
      <c r="B933" t="s">
        <v>65</v>
      </c>
      <c r="C933">
        <v>50</v>
      </c>
      <c r="D933">
        <v>90</v>
      </c>
      <c r="E933" s="29">
        <v>45632</v>
      </c>
      <c r="F933">
        <v>16.657422813828802</v>
      </c>
      <c r="G933">
        <v>6.31</v>
      </c>
      <c r="H933">
        <f t="shared" si="41"/>
        <v>0.9009999999999998</v>
      </c>
      <c r="I933">
        <f t="shared" si="40"/>
        <v>3.3370370370370361</v>
      </c>
    </row>
    <row r="934" spans="1:9" x14ac:dyDescent="0.35">
      <c r="A934">
        <v>2</v>
      </c>
      <c r="B934" t="s">
        <v>65</v>
      </c>
      <c r="C934">
        <v>54</v>
      </c>
      <c r="D934">
        <v>90</v>
      </c>
      <c r="E934" s="29">
        <v>45632</v>
      </c>
      <c r="F934">
        <v>16.135265700483092</v>
      </c>
      <c r="G934">
        <v>6.01</v>
      </c>
      <c r="H934">
        <f t="shared" si="41"/>
        <v>0.83499999999999996</v>
      </c>
      <c r="I934">
        <f t="shared" si="40"/>
        <v>3.0925925925925926</v>
      </c>
    </row>
    <row r="935" spans="1:9" x14ac:dyDescent="0.35">
      <c r="A935">
        <v>4</v>
      </c>
      <c r="B935" t="s">
        <v>65</v>
      </c>
      <c r="C935">
        <v>67</v>
      </c>
      <c r="D935">
        <v>90</v>
      </c>
      <c r="E935" s="29">
        <v>45632</v>
      </c>
      <c r="F935">
        <v>18.882681564245825</v>
      </c>
      <c r="G935">
        <v>5.32</v>
      </c>
      <c r="H935">
        <f t="shared" si="41"/>
        <v>0.84500000000000064</v>
      </c>
      <c r="I935">
        <f t="shared" si="40"/>
        <v>3.1296296296296324</v>
      </c>
    </row>
    <row r="936" spans="1:9" x14ac:dyDescent="0.35">
      <c r="A936">
        <v>4</v>
      </c>
      <c r="B936" t="s">
        <v>65</v>
      </c>
      <c r="C936">
        <v>71</v>
      </c>
      <c r="D936">
        <v>90</v>
      </c>
      <c r="E936" s="29">
        <v>45632</v>
      </c>
      <c r="F936">
        <v>18.559900682805715</v>
      </c>
      <c r="G936">
        <v>5.73</v>
      </c>
      <c r="H936">
        <f t="shared" si="41"/>
        <v>0.89700000000000024</v>
      </c>
      <c r="I936">
        <f t="shared" si="40"/>
        <v>3.3222222222222229</v>
      </c>
    </row>
    <row r="937" spans="1:9" x14ac:dyDescent="0.35">
      <c r="A937">
        <v>4</v>
      </c>
      <c r="B937" t="s">
        <v>65</v>
      </c>
      <c r="C937">
        <v>75</v>
      </c>
      <c r="D937">
        <v>90</v>
      </c>
      <c r="E937" s="29">
        <v>45632</v>
      </c>
      <c r="F937">
        <v>18.125868572563039</v>
      </c>
      <c r="G937">
        <v>5.95</v>
      </c>
      <c r="H937">
        <f t="shared" si="41"/>
        <v>0.91300000000000026</v>
      </c>
      <c r="I937">
        <f t="shared" si="40"/>
        <v>3.3814814814814826</v>
      </c>
    </row>
    <row r="938" spans="1:9" x14ac:dyDescent="0.35">
      <c r="A938">
        <v>2</v>
      </c>
      <c r="B938" t="s">
        <v>66</v>
      </c>
      <c r="C938">
        <v>87</v>
      </c>
      <c r="D938">
        <v>90</v>
      </c>
      <c r="E938" s="29">
        <v>45632</v>
      </c>
      <c r="F938">
        <v>15.785411038209176</v>
      </c>
      <c r="G938">
        <v>6</v>
      </c>
      <c r="H938">
        <f t="shared" si="41"/>
        <v>0.81799999999999962</v>
      </c>
      <c r="I938">
        <f t="shared" si="40"/>
        <v>3.0296296296296283</v>
      </c>
    </row>
    <row r="939" spans="1:9" x14ac:dyDescent="0.35">
      <c r="A939">
        <v>2</v>
      </c>
      <c r="B939" t="s">
        <v>66</v>
      </c>
      <c r="C939">
        <v>91</v>
      </c>
      <c r="D939">
        <v>90</v>
      </c>
      <c r="E939" s="29">
        <v>45632</v>
      </c>
      <c r="F939">
        <v>16.209773539928484</v>
      </c>
      <c r="G939">
        <v>5.85</v>
      </c>
      <c r="H939">
        <f t="shared" si="41"/>
        <v>0.81599999999999984</v>
      </c>
      <c r="I939">
        <f t="shared" si="40"/>
        <v>3.0222222222222217</v>
      </c>
    </row>
    <row r="940" spans="1:9" x14ac:dyDescent="0.35">
      <c r="A940">
        <v>2</v>
      </c>
      <c r="B940" t="s">
        <v>66</v>
      </c>
      <c r="C940">
        <v>95</v>
      </c>
      <c r="D940">
        <v>90</v>
      </c>
      <c r="E940" s="29">
        <v>45632</v>
      </c>
      <c r="F940">
        <v>16.697588126159562</v>
      </c>
      <c r="G940">
        <v>6.29</v>
      </c>
      <c r="H940">
        <f t="shared" si="41"/>
        <v>0.90000000000000036</v>
      </c>
      <c r="I940">
        <f t="shared" si="40"/>
        <v>3.3333333333333348</v>
      </c>
    </row>
    <row r="941" spans="1:9" x14ac:dyDescent="0.35">
      <c r="A941">
        <v>4</v>
      </c>
      <c r="B941" t="s">
        <v>66</v>
      </c>
      <c r="C941">
        <v>107</v>
      </c>
      <c r="D941">
        <v>90</v>
      </c>
      <c r="E941" s="29">
        <v>45632</v>
      </c>
      <c r="F941">
        <v>17.134390796583574</v>
      </c>
      <c r="G941">
        <v>6.72</v>
      </c>
      <c r="H941">
        <f t="shared" si="41"/>
        <v>0.98299999999999965</v>
      </c>
      <c r="I941">
        <f t="shared" si="40"/>
        <v>3.6407407407407395</v>
      </c>
    </row>
    <row r="942" spans="1:9" x14ac:dyDescent="0.35">
      <c r="A942">
        <v>4</v>
      </c>
      <c r="B942" t="s">
        <v>66</v>
      </c>
      <c r="C942">
        <v>111</v>
      </c>
      <c r="D942">
        <v>90</v>
      </c>
      <c r="E942" s="29">
        <v>45632</v>
      </c>
      <c r="F942">
        <v>16.998161457462817</v>
      </c>
      <c r="G942">
        <v>7</v>
      </c>
      <c r="H942">
        <f t="shared" si="41"/>
        <v>1.0170000000000003</v>
      </c>
      <c r="I942">
        <f t="shared" si="40"/>
        <v>3.7666666666666684</v>
      </c>
    </row>
    <row r="943" spans="1:9" x14ac:dyDescent="0.35">
      <c r="A943">
        <v>4</v>
      </c>
      <c r="B943" t="s">
        <v>66</v>
      </c>
      <c r="C943">
        <v>115</v>
      </c>
      <c r="D943">
        <v>90</v>
      </c>
      <c r="E943" s="29">
        <v>45632</v>
      </c>
      <c r="F943">
        <v>17.574037949991126</v>
      </c>
      <c r="G943">
        <v>6.63</v>
      </c>
      <c r="H943">
        <f t="shared" si="41"/>
        <v>0.99099999999999966</v>
      </c>
      <c r="I943">
        <f t="shared" si="40"/>
        <v>3.6703703703703692</v>
      </c>
    </row>
    <row r="944" spans="1:9" x14ac:dyDescent="0.35">
      <c r="A944">
        <v>2</v>
      </c>
      <c r="B944" t="s">
        <v>58</v>
      </c>
      <c r="C944">
        <v>128</v>
      </c>
      <c r="D944">
        <v>90</v>
      </c>
      <c r="E944" s="29">
        <v>45632</v>
      </c>
      <c r="F944">
        <v>16.042345276872968</v>
      </c>
      <c r="G944">
        <v>2.85</v>
      </c>
      <c r="H944">
        <f t="shared" si="41"/>
        <v>0.39400000000000013</v>
      </c>
      <c r="I944">
        <f t="shared" si="40"/>
        <v>1.4592592592592597</v>
      </c>
    </row>
    <row r="945" spans="1:9" x14ac:dyDescent="0.35">
      <c r="A945">
        <v>2</v>
      </c>
      <c r="B945" t="s">
        <v>58</v>
      </c>
      <c r="C945">
        <v>133</v>
      </c>
      <c r="D945">
        <v>90</v>
      </c>
      <c r="E945" s="29">
        <v>45632</v>
      </c>
      <c r="F945">
        <v>15.838247683235041</v>
      </c>
      <c r="G945">
        <v>2.75</v>
      </c>
      <c r="H945">
        <f t="shared" si="41"/>
        <v>0.37599999999999989</v>
      </c>
      <c r="I945">
        <f t="shared" si="40"/>
        <v>1.3925925925925922</v>
      </c>
    </row>
    <row r="946" spans="1:9" x14ac:dyDescent="0.35">
      <c r="A946">
        <v>2</v>
      </c>
      <c r="B946" t="s">
        <v>58</v>
      </c>
      <c r="C946">
        <v>139</v>
      </c>
      <c r="D946">
        <v>90</v>
      </c>
      <c r="E946" s="29">
        <v>45632</v>
      </c>
      <c r="F946">
        <v>17.795540597391675</v>
      </c>
      <c r="G946">
        <v>2.8</v>
      </c>
      <c r="H946">
        <f t="shared" si="41"/>
        <v>0.42300000000000004</v>
      </c>
      <c r="I946">
        <f t="shared" si="40"/>
        <v>1.5666666666666669</v>
      </c>
    </row>
    <row r="947" spans="1:9" x14ac:dyDescent="0.35">
      <c r="A947">
        <v>4</v>
      </c>
      <c r="B947" t="s">
        <v>58</v>
      </c>
      <c r="C947">
        <v>150</v>
      </c>
      <c r="D947">
        <v>90</v>
      </c>
      <c r="E947" s="29">
        <v>45632</v>
      </c>
      <c r="F947">
        <v>24.000000000000007</v>
      </c>
      <c r="G947">
        <v>3.72</v>
      </c>
      <c r="H947">
        <f t="shared" si="41"/>
        <v>0.7200000000000002</v>
      </c>
      <c r="I947">
        <f t="shared" si="40"/>
        <v>2.6666666666666674</v>
      </c>
    </row>
    <row r="948" spans="1:9" x14ac:dyDescent="0.35">
      <c r="A948">
        <v>4</v>
      </c>
      <c r="B948" t="s">
        <v>58</v>
      </c>
      <c r="C948">
        <v>156</v>
      </c>
      <c r="D948">
        <v>90</v>
      </c>
      <c r="E948" s="29">
        <v>45632</v>
      </c>
      <c r="F948">
        <v>25.07288629737609</v>
      </c>
      <c r="G948">
        <v>4.29</v>
      </c>
      <c r="H948">
        <f t="shared" si="41"/>
        <v>0.85999999999999988</v>
      </c>
      <c r="I948">
        <f t="shared" si="40"/>
        <v>3.1851851851851847</v>
      </c>
    </row>
    <row r="949" spans="1:9" x14ac:dyDescent="0.35">
      <c r="A949">
        <v>4</v>
      </c>
      <c r="B949" t="s">
        <v>58</v>
      </c>
      <c r="C949">
        <v>158</v>
      </c>
      <c r="D949">
        <v>90</v>
      </c>
      <c r="E949" s="29">
        <v>45632</v>
      </c>
      <c r="F949">
        <v>21.779032827391458</v>
      </c>
      <c r="G949">
        <v>3.45</v>
      </c>
      <c r="H949">
        <f t="shared" si="41"/>
        <v>0.61699999999999999</v>
      </c>
      <c r="I949">
        <f t="shared" si="40"/>
        <v>2.2851851851851852</v>
      </c>
    </row>
    <row r="950" spans="1:9" x14ac:dyDescent="0.35">
      <c r="A950">
        <v>2</v>
      </c>
      <c r="B950" t="s">
        <v>59</v>
      </c>
      <c r="C950">
        <v>191</v>
      </c>
      <c r="D950">
        <v>90</v>
      </c>
      <c r="E950" s="29">
        <v>45632</v>
      </c>
      <c r="F950">
        <v>21.407814013561506</v>
      </c>
      <c r="G950">
        <v>3.76</v>
      </c>
      <c r="H950">
        <f t="shared" si="41"/>
        <v>0.66299999999999981</v>
      </c>
      <c r="I950">
        <f t="shared" si="40"/>
        <v>2.4555555555555548</v>
      </c>
    </row>
    <row r="951" spans="1:9" x14ac:dyDescent="0.35">
      <c r="A951">
        <v>2</v>
      </c>
      <c r="B951" t="s">
        <v>59</v>
      </c>
      <c r="C951">
        <v>197</v>
      </c>
      <c r="D951">
        <v>90</v>
      </c>
      <c r="E951" s="29">
        <v>45632</v>
      </c>
      <c r="F951">
        <v>22.77353689567429</v>
      </c>
      <c r="G951">
        <v>3.86</v>
      </c>
      <c r="H951">
        <f t="shared" si="41"/>
        <v>0.71599999999999975</v>
      </c>
      <c r="I951">
        <f t="shared" si="40"/>
        <v>2.651851851851851</v>
      </c>
    </row>
    <row r="952" spans="1:9" x14ac:dyDescent="0.35">
      <c r="A952">
        <v>2</v>
      </c>
      <c r="B952" t="s">
        <v>59</v>
      </c>
      <c r="C952">
        <v>204</v>
      </c>
      <c r="D952">
        <v>90</v>
      </c>
      <c r="E952" s="29">
        <v>45632</v>
      </c>
      <c r="F952">
        <v>23.523455956800539</v>
      </c>
      <c r="G952">
        <v>3.66</v>
      </c>
      <c r="H952">
        <f t="shared" si="41"/>
        <v>0.69700000000000006</v>
      </c>
      <c r="I952">
        <f t="shared" si="40"/>
        <v>2.5814814814814819</v>
      </c>
    </row>
    <row r="953" spans="1:9" x14ac:dyDescent="0.35">
      <c r="A953">
        <v>4</v>
      </c>
      <c r="B953" t="s">
        <v>59</v>
      </c>
      <c r="C953">
        <v>233</v>
      </c>
      <c r="D953">
        <v>90</v>
      </c>
      <c r="E953" s="29">
        <v>45632</v>
      </c>
      <c r="F953">
        <v>28.95226286422815</v>
      </c>
      <c r="G953">
        <v>4.16</v>
      </c>
      <c r="H953">
        <f t="shared" si="41"/>
        <v>0.93400000000000016</v>
      </c>
      <c r="I953">
        <f t="shared" si="40"/>
        <v>3.4592592592592597</v>
      </c>
    </row>
    <row r="954" spans="1:9" x14ac:dyDescent="0.35">
      <c r="A954">
        <v>4</v>
      </c>
      <c r="B954" t="s">
        <v>59</v>
      </c>
      <c r="C954">
        <v>239</v>
      </c>
      <c r="D954">
        <v>90</v>
      </c>
      <c r="E954" s="29">
        <v>45632</v>
      </c>
      <c r="F954">
        <v>29.546137661556948</v>
      </c>
      <c r="G954">
        <v>4.3099999999999996</v>
      </c>
      <c r="H954">
        <f t="shared" si="41"/>
        <v>0.98299999999999965</v>
      </c>
      <c r="I954">
        <f t="shared" si="40"/>
        <v>3.6407407407407395</v>
      </c>
    </row>
    <row r="955" spans="1:9" x14ac:dyDescent="0.35">
      <c r="A955">
        <v>4</v>
      </c>
      <c r="B955" t="s">
        <v>59</v>
      </c>
      <c r="C955">
        <v>242</v>
      </c>
      <c r="D955">
        <v>90</v>
      </c>
      <c r="E955" s="29">
        <v>45632</v>
      </c>
      <c r="F955">
        <v>29.52731737262123</v>
      </c>
      <c r="G955">
        <v>4.22</v>
      </c>
      <c r="H955">
        <f t="shared" si="41"/>
        <v>0.96199999999999974</v>
      </c>
      <c r="I955">
        <f t="shared" si="40"/>
        <v>3.5629629629629624</v>
      </c>
    </row>
    <row r="956" spans="1:9" x14ac:dyDescent="0.35">
      <c r="A956">
        <v>2</v>
      </c>
      <c r="B956" t="s">
        <v>62</v>
      </c>
      <c r="C956">
        <v>255</v>
      </c>
      <c r="D956">
        <v>90</v>
      </c>
      <c r="E956" s="29">
        <v>45632</v>
      </c>
      <c r="F956">
        <v>15.602035048049748</v>
      </c>
      <c r="G956">
        <v>4.09</v>
      </c>
      <c r="H956">
        <f t="shared" si="41"/>
        <v>0.55200000000000005</v>
      </c>
      <c r="I956">
        <f t="shared" si="40"/>
        <v>2.0444444444444447</v>
      </c>
    </row>
    <row r="957" spans="1:9" x14ac:dyDescent="0.35">
      <c r="A957">
        <v>2</v>
      </c>
      <c r="B957" t="s">
        <v>62</v>
      </c>
      <c r="C957">
        <v>264</v>
      </c>
      <c r="D957">
        <v>90</v>
      </c>
      <c r="E957" s="29">
        <v>45632</v>
      </c>
      <c r="F957">
        <v>16.340735830294992</v>
      </c>
      <c r="G957">
        <v>3.51</v>
      </c>
      <c r="H957">
        <f t="shared" si="41"/>
        <v>0.49299999999999988</v>
      </c>
      <c r="I957">
        <f t="shared" si="40"/>
        <v>1.8259259259259257</v>
      </c>
    </row>
    <row r="958" spans="1:9" x14ac:dyDescent="0.35">
      <c r="A958">
        <v>2</v>
      </c>
      <c r="B958" t="s">
        <v>62</v>
      </c>
      <c r="C958">
        <v>270</v>
      </c>
      <c r="D958">
        <v>90</v>
      </c>
      <c r="E958" s="29">
        <v>45632</v>
      </c>
      <c r="F958">
        <v>17.144432194046303</v>
      </c>
      <c r="G958">
        <v>4.25</v>
      </c>
      <c r="H958">
        <f t="shared" si="41"/>
        <v>0.62199999999999989</v>
      </c>
      <c r="I958">
        <f t="shared" si="40"/>
        <v>2.3037037037037034</v>
      </c>
    </row>
    <row r="959" spans="1:9" x14ac:dyDescent="0.35">
      <c r="A959">
        <v>4</v>
      </c>
      <c r="B959" t="s">
        <v>62</v>
      </c>
      <c r="C959">
        <v>274</v>
      </c>
      <c r="D959">
        <v>90</v>
      </c>
      <c r="E959" s="29">
        <v>45632</v>
      </c>
      <c r="F959">
        <v>19.053675909437793</v>
      </c>
      <c r="G959">
        <v>4.68</v>
      </c>
      <c r="H959">
        <f t="shared" si="41"/>
        <v>0.74899999999999967</v>
      </c>
      <c r="I959">
        <f t="shared" si="40"/>
        <v>2.7740740740740728</v>
      </c>
    </row>
    <row r="960" spans="1:9" x14ac:dyDescent="0.35">
      <c r="A960">
        <v>4</v>
      </c>
      <c r="B960" t="s">
        <v>62</v>
      </c>
      <c r="C960">
        <v>277</v>
      </c>
      <c r="D960">
        <v>90</v>
      </c>
      <c r="E960" s="29">
        <v>45632</v>
      </c>
      <c r="F960">
        <v>18.160801438479318</v>
      </c>
      <c r="G960">
        <v>4.5999999999999996</v>
      </c>
      <c r="H960">
        <f t="shared" si="41"/>
        <v>0.70699999999999985</v>
      </c>
      <c r="I960">
        <f t="shared" si="40"/>
        <v>2.6185185185185178</v>
      </c>
    </row>
    <row r="961" spans="1:9" x14ac:dyDescent="0.35">
      <c r="A961">
        <v>4</v>
      </c>
      <c r="B961" t="s">
        <v>62</v>
      </c>
      <c r="C961">
        <v>282</v>
      </c>
      <c r="D961">
        <v>90</v>
      </c>
      <c r="E961" s="29">
        <v>45632</v>
      </c>
      <c r="F961">
        <v>18.510464800217466</v>
      </c>
      <c r="G961">
        <v>4.3600000000000003</v>
      </c>
      <c r="H961">
        <f t="shared" si="41"/>
        <v>0.68100000000000049</v>
      </c>
      <c r="I961">
        <f t="shared" si="40"/>
        <v>2.5222222222222239</v>
      </c>
    </row>
    <row r="962" spans="1:9" x14ac:dyDescent="0.35">
      <c r="A962">
        <v>2</v>
      </c>
      <c r="B962" t="s">
        <v>61</v>
      </c>
      <c r="C962">
        <v>166</v>
      </c>
      <c r="D962">
        <v>90</v>
      </c>
      <c r="E962" s="29">
        <v>45632</v>
      </c>
      <c r="F962">
        <v>16.482679862961565</v>
      </c>
      <c r="G962">
        <v>3.06</v>
      </c>
      <c r="H962">
        <f t="shared" si="41"/>
        <v>0.43300000000000027</v>
      </c>
      <c r="I962">
        <f t="shared" si="40"/>
        <v>1.6037037037037047</v>
      </c>
    </row>
    <row r="963" spans="1:9" x14ac:dyDescent="0.35">
      <c r="A963">
        <v>2</v>
      </c>
      <c r="B963" t="s">
        <v>61</v>
      </c>
      <c r="C963">
        <v>172</v>
      </c>
      <c r="D963">
        <v>90</v>
      </c>
      <c r="E963" s="29">
        <v>45632</v>
      </c>
      <c r="F963">
        <v>17.139334155363763</v>
      </c>
      <c r="G963">
        <v>2.85</v>
      </c>
      <c r="H963">
        <f t="shared" si="41"/>
        <v>0.41700000000000026</v>
      </c>
      <c r="I963">
        <f t="shared" ref="I963:I1026" si="42">H963/27*100</f>
        <v>1.5444444444444454</v>
      </c>
    </row>
    <row r="964" spans="1:9" x14ac:dyDescent="0.35">
      <c r="A964">
        <v>2</v>
      </c>
      <c r="B964" t="s">
        <v>61</v>
      </c>
      <c r="C964">
        <v>175</v>
      </c>
      <c r="D964">
        <v>90</v>
      </c>
      <c r="E964" s="29">
        <v>45632</v>
      </c>
      <c r="F964">
        <v>19.357306809487383</v>
      </c>
      <c r="G964">
        <v>3.12</v>
      </c>
      <c r="H964">
        <f t="shared" ref="H964:H968" si="43">G964-G67</f>
        <v>0.50600000000000023</v>
      </c>
      <c r="I964">
        <f t="shared" si="42"/>
        <v>1.8740740740740749</v>
      </c>
    </row>
    <row r="965" spans="1:9" x14ac:dyDescent="0.35">
      <c r="A965">
        <v>4</v>
      </c>
      <c r="B965" t="s">
        <v>61</v>
      </c>
      <c r="C965">
        <v>211</v>
      </c>
      <c r="D965">
        <v>90</v>
      </c>
      <c r="E965" s="29">
        <v>45632</v>
      </c>
      <c r="F965">
        <v>22.528363047001616</v>
      </c>
      <c r="G965">
        <v>3.78</v>
      </c>
      <c r="H965">
        <f t="shared" si="43"/>
        <v>0.69499999999999984</v>
      </c>
      <c r="I965">
        <f t="shared" si="42"/>
        <v>2.5740740740740735</v>
      </c>
    </row>
    <row r="966" spans="1:9" x14ac:dyDescent="0.35">
      <c r="A966">
        <v>4</v>
      </c>
      <c r="B966" t="s">
        <v>61</v>
      </c>
      <c r="C966">
        <v>217</v>
      </c>
      <c r="D966">
        <v>90</v>
      </c>
      <c r="E966" s="29">
        <v>45632</v>
      </c>
      <c r="F966">
        <v>22.69938650306748</v>
      </c>
      <c r="G966">
        <v>3.8</v>
      </c>
      <c r="H966">
        <f t="shared" si="43"/>
        <v>0.70299999999999985</v>
      </c>
      <c r="I966">
        <f t="shared" si="42"/>
        <v>2.6037037037037032</v>
      </c>
    </row>
    <row r="967" spans="1:9" x14ac:dyDescent="0.35">
      <c r="A967">
        <v>4</v>
      </c>
      <c r="B967" t="s">
        <v>61</v>
      </c>
      <c r="C967">
        <v>223</v>
      </c>
      <c r="D967">
        <v>90</v>
      </c>
      <c r="E967" s="29">
        <v>45632</v>
      </c>
      <c r="F967">
        <v>24.287749287749303</v>
      </c>
      <c r="G967">
        <v>3.49</v>
      </c>
      <c r="H967">
        <f t="shared" si="43"/>
        <v>0.68200000000000038</v>
      </c>
      <c r="I967">
        <f t="shared" si="42"/>
        <v>2.5259259259259275</v>
      </c>
    </row>
    <row r="968" spans="1:9" x14ac:dyDescent="0.35">
      <c r="A968">
        <v>0</v>
      </c>
      <c r="B968" t="s">
        <v>63</v>
      </c>
      <c r="C968">
        <v>316</v>
      </c>
      <c r="D968">
        <v>90</v>
      </c>
      <c r="E968" s="29">
        <v>45635</v>
      </c>
      <c r="F968">
        <v>16.215807767870643</v>
      </c>
      <c r="G968">
        <v>7.69</v>
      </c>
      <c r="H968">
        <f>G968-G2</f>
        <v>1.0730000000000004</v>
      </c>
      <c r="I968">
        <f t="shared" si="42"/>
        <v>3.9740740740740756</v>
      </c>
    </row>
    <row r="969" spans="1:9" x14ac:dyDescent="0.35">
      <c r="A969">
        <v>0</v>
      </c>
      <c r="B969" t="s">
        <v>63</v>
      </c>
      <c r="C969">
        <v>320</v>
      </c>
      <c r="D969">
        <v>90</v>
      </c>
      <c r="E969" s="29">
        <v>45635</v>
      </c>
      <c r="F969">
        <v>16.483856017302646</v>
      </c>
      <c r="G969">
        <v>7.54</v>
      </c>
      <c r="H969">
        <f t="shared" ref="H969:H1032" si="44">G969-G3</f>
        <v>1.0670000000000002</v>
      </c>
      <c r="I969">
        <f t="shared" si="42"/>
        <v>3.9518518518518522</v>
      </c>
    </row>
    <row r="970" spans="1:9" x14ac:dyDescent="0.35">
      <c r="A970">
        <v>0</v>
      </c>
      <c r="B970" t="s">
        <v>63</v>
      </c>
      <c r="C970">
        <v>325</v>
      </c>
      <c r="D970">
        <v>90</v>
      </c>
      <c r="E970" s="29">
        <v>45635</v>
      </c>
      <c r="F970">
        <v>16.351174934725847</v>
      </c>
      <c r="G970">
        <v>7.13</v>
      </c>
      <c r="H970">
        <f t="shared" si="44"/>
        <v>1.0019999999999998</v>
      </c>
      <c r="I970">
        <f t="shared" si="42"/>
        <v>3.7111111111111104</v>
      </c>
    </row>
    <row r="971" spans="1:9" x14ac:dyDescent="0.35">
      <c r="A971">
        <v>0</v>
      </c>
      <c r="B971" t="s">
        <v>64</v>
      </c>
      <c r="C971">
        <v>332</v>
      </c>
      <c r="D971">
        <v>90</v>
      </c>
      <c r="E971" s="29">
        <v>45635</v>
      </c>
      <c r="F971">
        <v>16.310160427807471</v>
      </c>
      <c r="G971">
        <v>4.3499999999999996</v>
      </c>
      <c r="H971">
        <f t="shared" si="44"/>
        <v>0.60999999999999943</v>
      </c>
      <c r="I971">
        <f t="shared" si="42"/>
        <v>2.2592592592592569</v>
      </c>
    </row>
    <row r="972" spans="1:9" x14ac:dyDescent="0.35">
      <c r="A972">
        <v>0</v>
      </c>
      <c r="B972" t="s">
        <v>64</v>
      </c>
      <c r="C972">
        <v>336</v>
      </c>
      <c r="D972">
        <v>90</v>
      </c>
      <c r="E972" s="29">
        <v>45635</v>
      </c>
      <c r="F972">
        <v>16.279069767441868</v>
      </c>
      <c r="G972">
        <v>4.45</v>
      </c>
      <c r="H972">
        <f t="shared" si="44"/>
        <v>0.62300000000000022</v>
      </c>
      <c r="I972">
        <f t="shared" si="42"/>
        <v>2.3074074074074082</v>
      </c>
    </row>
    <row r="973" spans="1:9" x14ac:dyDescent="0.35">
      <c r="A973">
        <v>0</v>
      </c>
      <c r="B973" t="s">
        <v>64</v>
      </c>
      <c r="C973">
        <v>341</v>
      </c>
      <c r="D973">
        <v>90</v>
      </c>
      <c r="E973" s="29">
        <v>45635</v>
      </c>
      <c r="F973">
        <v>16.125481563015956</v>
      </c>
      <c r="G973">
        <v>4.22</v>
      </c>
      <c r="H973">
        <f t="shared" si="44"/>
        <v>0.58599999999999985</v>
      </c>
      <c r="I973">
        <f t="shared" si="42"/>
        <v>2.1703703703703696</v>
      </c>
    </row>
    <row r="974" spans="1:9" x14ac:dyDescent="0.35">
      <c r="A974">
        <v>0</v>
      </c>
      <c r="B974" t="s">
        <v>65</v>
      </c>
      <c r="C974">
        <v>348</v>
      </c>
      <c r="D974">
        <v>90</v>
      </c>
      <c r="E974" s="29">
        <v>45635</v>
      </c>
      <c r="F974">
        <v>16.242965262953632</v>
      </c>
      <c r="G974">
        <v>5.99</v>
      </c>
      <c r="H974">
        <f t="shared" si="44"/>
        <v>0.83700000000000063</v>
      </c>
      <c r="I974">
        <f t="shared" si="42"/>
        <v>3.1000000000000023</v>
      </c>
    </row>
    <row r="975" spans="1:9" x14ac:dyDescent="0.35">
      <c r="A975">
        <v>0</v>
      </c>
      <c r="B975" t="s">
        <v>65</v>
      </c>
      <c r="C975">
        <v>352</v>
      </c>
      <c r="D975">
        <v>90</v>
      </c>
      <c r="E975" s="29">
        <v>45635</v>
      </c>
      <c r="F975">
        <v>16.390001908032819</v>
      </c>
      <c r="G975">
        <v>6.1</v>
      </c>
      <c r="H975">
        <f t="shared" si="44"/>
        <v>0.85899999999999999</v>
      </c>
      <c r="I975">
        <f t="shared" si="42"/>
        <v>3.1814814814814816</v>
      </c>
    </row>
    <row r="976" spans="1:9" x14ac:dyDescent="0.35">
      <c r="A976">
        <v>0</v>
      </c>
      <c r="B976" t="s">
        <v>65</v>
      </c>
      <c r="C976">
        <v>357</v>
      </c>
      <c r="D976">
        <v>90</v>
      </c>
      <c r="E976" s="29">
        <v>45635</v>
      </c>
      <c r="F976">
        <v>16.003879728419012</v>
      </c>
      <c r="G976">
        <v>5.98</v>
      </c>
      <c r="H976">
        <f t="shared" si="44"/>
        <v>0.82500000000000018</v>
      </c>
      <c r="I976">
        <f t="shared" si="42"/>
        <v>3.0555555555555562</v>
      </c>
    </row>
    <row r="977" spans="1:9" x14ac:dyDescent="0.35">
      <c r="A977">
        <v>0</v>
      </c>
      <c r="B977" t="s">
        <v>66</v>
      </c>
      <c r="C977">
        <v>368</v>
      </c>
      <c r="D977">
        <v>90</v>
      </c>
      <c r="E977" s="29">
        <v>45635</v>
      </c>
      <c r="F977">
        <v>14.69409098832142</v>
      </c>
      <c r="G977">
        <v>6.58</v>
      </c>
      <c r="H977">
        <f t="shared" si="44"/>
        <v>0.84299999999999997</v>
      </c>
      <c r="I977">
        <f t="shared" si="42"/>
        <v>3.1222222222222222</v>
      </c>
    </row>
    <row r="978" spans="1:9" x14ac:dyDescent="0.35">
      <c r="A978">
        <v>0</v>
      </c>
      <c r="B978" t="s">
        <v>66</v>
      </c>
      <c r="C978">
        <v>372</v>
      </c>
      <c r="D978">
        <v>90</v>
      </c>
      <c r="E978" s="29">
        <v>45635</v>
      </c>
      <c r="F978">
        <v>14.780637850089045</v>
      </c>
      <c r="G978">
        <v>7.09</v>
      </c>
      <c r="H978">
        <f t="shared" si="44"/>
        <v>0.91300000000000026</v>
      </c>
      <c r="I978">
        <f t="shared" si="42"/>
        <v>3.3814814814814826</v>
      </c>
    </row>
    <row r="979" spans="1:9" x14ac:dyDescent="0.35">
      <c r="A979">
        <v>0</v>
      </c>
      <c r="B979" t="s">
        <v>66</v>
      </c>
      <c r="C979">
        <v>377</v>
      </c>
      <c r="D979">
        <v>90</v>
      </c>
      <c r="E979" s="29">
        <v>45635</v>
      </c>
      <c r="F979">
        <v>14.536714735620748</v>
      </c>
      <c r="G979">
        <v>6.91</v>
      </c>
      <c r="H979">
        <f t="shared" si="44"/>
        <v>0.87699999999999978</v>
      </c>
      <c r="I979">
        <f t="shared" si="42"/>
        <v>3.2481481481481471</v>
      </c>
    </row>
    <row r="980" spans="1:9" x14ac:dyDescent="0.35">
      <c r="A980">
        <v>0</v>
      </c>
      <c r="B980" t="s">
        <v>58</v>
      </c>
      <c r="C980">
        <v>384</v>
      </c>
      <c r="D980">
        <v>90</v>
      </c>
      <c r="E980" s="29">
        <v>45635</v>
      </c>
      <c r="F980">
        <v>16.09315258950296</v>
      </c>
      <c r="G980">
        <v>3.34</v>
      </c>
      <c r="H980">
        <f t="shared" si="44"/>
        <v>0.46300000000000008</v>
      </c>
      <c r="I980">
        <f t="shared" si="42"/>
        <v>1.7148148148148152</v>
      </c>
    </row>
    <row r="981" spans="1:9" x14ac:dyDescent="0.35">
      <c r="A981">
        <v>0</v>
      </c>
      <c r="B981" t="s">
        <v>58</v>
      </c>
      <c r="C981">
        <v>387</v>
      </c>
      <c r="D981">
        <v>90</v>
      </c>
      <c r="E981" s="29">
        <v>45635</v>
      </c>
      <c r="F981">
        <v>16.447368421052634</v>
      </c>
      <c r="G981">
        <v>3.54</v>
      </c>
      <c r="H981">
        <f t="shared" si="44"/>
        <v>0.5</v>
      </c>
      <c r="I981">
        <f t="shared" si="42"/>
        <v>1.8518518518518516</v>
      </c>
    </row>
    <row r="982" spans="1:9" x14ac:dyDescent="0.35">
      <c r="A982">
        <v>0</v>
      </c>
      <c r="B982" t="s">
        <v>58</v>
      </c>
      <c r="C982">
        <v>392</v>
      </c>
      <c r="D982">
        <v>90</v>
      </c>
      <c r="E982" s="29">
        <v>45635</v>
      </c>
      <c r="F982">
        <v>16.102499209111038</v>
      </c>
      <c r="G982">
        <v>3.67</v>
      </c>
      <c r="H982">
        <f t="shared" si="44"/>
        <v>0.5089999999999999</v>
      </c>
      <c r="I982">
        <f t="shared" si="42"/>
        <v>1.8851851851851849</v>
      </c>
    </row>
    <row r="983" spans="1:9" x14ac:dyDescent="0.35">
      <c r="A983">
        <v>0</v>
      </c>
      <c r="B983" t="s">
        <v>59</v>
      </c>
      <c r="C983">
        <v>399</v>
      </c>
      <c r="D983">
        <v>90</v>
      </c>
      <c r="E983" s="29">
        <v>45635</v>
      </c>
      <c r="F983">
        <v>16.279069767441865</v>
      </c>
      <c r="G983">
        <v>3.65</v>
      </c>
      <c r="H983">
        <f t="shared" si="44"/>
        <v>0.51100000000000012</v>
      </c>
      <c r="I983">
        <f t="shared" si="42"/>
        <v>1.8925925925925928</v>
      </c>
    </row>
    <row r="984" spans="1:9" x14ac:dyDescent="0.35">
      <c r="A984">
        <v>0</v>
      </c>
      <c r="B984" t="s">
        <v>59</v>
      </c>
      <c r="C984">
        <v>403</v>
      </c>
      <c r="D984">
        <v>90</v>
      </c>
      <c r="E984" s="29">
        <v>45635</v>
      </c>
      <c r="F984">
        <v>15.57632398753894</v>
      </c>
      <c r="G984">
        <v>3.71</v>
      </c>
      <c r="H984">
        <f t="shared" si="44"/>
        <v>0.5</v>
      </c>
      <c r="I984">
        <f t="shared" si="42"/>
        <v>1.8518518518518516</v>
      </c>
    </row>
    <row r="985" spans="1:9" x14ac:dyDescent="0.35">
      <c r="A985">
        <v>0</v>
      </c>
      <c r="B985" t="s">
        <v>59</v>
      </c>
      <c r="C985">
        <v>408</v>
      </c>
      <c r="D985">
        <v>90</v>
      </c>
      <c r="E985" s="29">
        <v>45635</v>
      </c>
      <c r="F985">
        <v>12.035851472471187</v>
      </c>
      <c r="G985">
        <v>3.5</v>
      </c>
      <c r="H985">
        <f t="shared" si="44"/>
        <v>0.37599999999999989</v>
      </c>
      <c r="I985">
        <f t="shared" si="42"/>
        <v>1.3925925925925922</v>
      </c>
    </row>
    <row r="986" spans="1:9" x14ac:dyDescent="0.35">
      <c r="A986">
        <v>0</v>
      </c>
      <c r="B986" t="s">
        <v>60</v>
      </c>
      <c r="C986">
        <v>419</v>
      </c>
      <c r="D986">
        <v>90</v>
      </c>
      <c r="E986" s="29">
        <v>45635</v>
      </c>
      <c r="F986">
        <v>15.69016881827211</v>
      </c>
      <c r="G986">
        <v>4.66</v>
      </c>
      <c r="H986">
        <f t="shared" si="44"/>
        <v>0.63200000000000056</v>
      </c>
      <c r="I986">
        <f t="shared" si="42"/>
        <v>2.3407407407407428</v>
      </c>
    </row>
    <row r="987" spans="1:9" x14ac:dyDescent="0.35">
      <c r="A987">
        <v>0</v>
      </c>
      <c r="B987" t="s">
        <v>60</v>
      </c>
      <c r="C987">
        <v>423</v>
      </c>
      <c r="D987">
        <v>90</v>
      </c>
      <c r="E987" s="29">
        <v>45635</v>
      </c>
      <c r="F987">
        <v>15.215264187866925</v>
      </c>
      <c r="G987">
        <v>4.71</v>
      </c>
      <c r="H987">
        <f t="shared" si="44"/>
        <v>0.62199999999999989</v>
      </c>
      <c r="I987">
        <f t="shared" si="42"/>
        <v>2.3037037037037034</v>
      </c>
    </row>
    <row r="988" spans="1:9" x14ac:dyDescent="0.35">
      <c r="A988">
        <v>0</v>
      </c>
      <c r="B988" t="s">
        <v>60</v>
      </c>
      <c r="C988">
        <v>428</v>
      </c>
      <c r="D988">
        <v>90</v>
      </c>
      <c r="E988" s="29">
        <v>45635</v>
      </c>
      <c r="F988">
        <v>14.672921553296851</v>
      </c>
      <c r="G988">
        <v>4.4000000000000004</v>
      </c>
      <c r="H988">
        <f t="shared" si="44"/>
        <v>0.56300000000000017</v>
      </c>
      <c r="I988">
        <f t="shared" si="42"/>
        <v>2.0851851851851859</v>
      </c>
    </row>
    <row r="989" spans="1:9" x14ac:dyDescent="0.35">
      <c r="A989">
        <v>0</v>
      </c>
      <c r="B989" t="s">
        <v>61</v>
      </c>
      <c r="C989">
        <v>439</v>
      </c>
      <c r="D989">
        <v>90</v>
      </c>
      <c r="E989" s="29">
        <v>45635</v>
      </c>
      <c r="F989">
        <v>12.964893986791806</v>
      </c>
      <c r="G989">
        <v>3.25</v>
      </c>
      <c r="H989">
        <f t="shared" si="44"/>
        <v>0.37300000000000022</v>
      </c>
      <c r="I989">
        <f t="shared" si="42"/>
        <v>1.3814814814814824</v>
      </c>
    </row>
    <row r="990" spans="1:9" x14ac:dyDescent="0.35">
      <c r="A990">
        <v>0</v>
      </c>
      <c r="B990" t="s">
        <v>61</v>
      </c>
      <c r="C990">
        <v>443</v>
      </c>
      <c r="D990">
        <v>90</v>
      </c>
      <c r="E990" s="29">
        <v>45635</v>
      </c>
      <c r="F990">
        <v>12.714776632302394</v>
      </c>
      <c r="G990">
        <v>3.28</v>
      </c>
      <c r="H990">
        <f t="shared" si="44"/>
        <v>0.36999999999999966</v>
      </c>
      <c r="I990">
        <f t="shared" si="42"/>
        <v>1.3703703703703691</v>
      </c>
    </row>
    <row r="991" spans="1:9" x14ac:dyDescent="0.35">
      <c r="A991">
        <v>0</v>
      </c>
      <c r="B991" t="s">
        <v>61</v>
      </c>
      <c r="C991">
        <v>448</v>
      </c>
      <c r="D991">
        <v>90</v>
      </c>
      <c r="E991" s="29">
        <v>45635</v>
      </c>
      <c r="F991">
        <v>11.501934576151951</v>
      </c>
      <c r="G991">
        <v>3.17</v>
      </c>
      <c r="H991">
        <f t="shared" si="44"/>
        <v>0.32699999999999996</v>
      </c>
      <c r="I991">
        <f t="shared" si="42"/>
        <v>1.2111111111111108</v>
      </c>
    </row>
    <row r="992" spans="1:9" x14ac:dyDescent="0.35">
      <c r="A992">
        <v>2</v>
      </c>
      <c r="B992" t="s">
        <v>63</v>
      </c>
      <c r="C992">
        <v>295</v>
      </c>
      <c r="D992">
        <v>90</v>
      </c>
      <c r="E992" s="29">
        <v>45635</v>
      </c>
      <c r="F992">
        <v>12.166172106824931</v>
      </c>
      <c r="G992">
        <v>5.67</v>
      </c>
      <c r="H992">
        <f t="shared" si="44"/>
        <v>0.61500000000000021</v>
      </c>
      <c r="I992">
        <f t="shared" si="42"/>
        <v>2.2777777777777786</v>
      </c>
    </row>
    <row r="993" spans="1:9" x14ac:dyDescent="0.35">
      <c r="A993">
        <v>2</v>
      </c>
      <c r="B993" t="s">
        <v>63</v>
      </c>
      <c r="C993">
        <v>298</v>
      </c>
      <c r="D993">
        <v>90</v>
      </c>
      <c r="E993" s="29">
        <v>45635</v>
      </c>
      <c r="F993">
        <v>16.678994082840219</v>
      </c>
      <c r="G993">
        <v>6.31</v>
      </c>
      <c r="H993">
        <f t="shared" si="44"/>
        <v>0.90199999999999925</v>
      </c>
      <c r="I993">
        <f t="shared" si="42"/>
        <v>3.3407407407407379</v>
      </c>
    </row>
    <row r="994" spans="1:9" x14ac:dyDescent="0.35">
      <c r="A994">
        <v>2</v>
      </c>
      <c r="B994" t="s">
        <v>63</v>
      </c>
      <c r="C994">
        <v>301</v>
      </c>
      <c r="D994">
        <v>90</v>
      </c>
      <c r="E994" s="29">
        <v>45635</v>
      </c>
      <c r="F994">
        <v>16.71138367190494</v>
      </c>
      <c r="G994">
        <v>6.09</v>
      </c>
      <c r="H994">
        <f t="shared" si="44"/>
        <v>0.87199999999999989</v>
      </c>
      <c r="I994">
        <f t="shared" si="42"/>
        <v>3.2296296296296294</v>
      </c>
    </row>
    <row r="995" spans="1:9" x14ac:dyDescent="0.35">
      <c r="A995">
        <v>2</v>
      </c>
      <c r="B995" t="s">
        <v>64</v>
      </c>
      <c r="C995">
        <v>6</v>
      </c>
      <c r="D995">
        <v>90</v>
      </c>
      <c r="E995" s="29">
        <v>45635</v>
      </c>
      <c r="F995">
        <v>19.49516648764769</v>
      </c>
      <c r="G995">
        <v>4.45</v>
      </c>
      <c r="H995">
        <f t="shared" si="44"/>
        <v>0.72599999999999998</v>
      </c>
      <c r="I995">
        <f t="shared" si="42"/>
        <v>2.6888888888888891</v>
      </c>
    </row>
    <row r="996" spans="1:9" x14ac:dyDescent="0.35">
      <c r="A996">
        <v>2</v>
      </c>
      <c r="B996" t="s">
        <v>64</v>
      </c>
      <c r="C996">
        <v>10</v>
      </c>
      <c r="D996">
        <v>90</v>
      </c>
      <c r="E996" s="29">
        <v>45635</v>
      </c>
      <c r="F996">
        <v>18.496322527921542</v>
      </c>
      <c r="G996">
        <v>4.3499999999999996</v>
      </c>
      <c r="H996">
        <f t="shared" si="44"/>
        <v>0.67899999999999983</v>
      </c>
      <c r="I996">
        <f t="shared" si="42"/>
        <v>2.5148148148148142</v>
      </c>
    </row>
    <row r="997" spans="1:9" x14ac:dyDescent="0.35">
      <c r="A997">
        <v>2</v>
      </c>
      <c r="B997" t="s">
        <v>64</v>
      </c>
      <c r="C997">
        <v>14</v>
      </c>
      <c r="D997">
        <v>90</v>
      </c>
      <c r="E997" s="29">
        <v>45635</v>
      </c>
      <c r="F997">
        <v>18.499353169469597</v>
      </c>
      <c r="G997">
        <v>4.58</v>
      </c>
      <c r="H997">
        <f t="shared" si="44"/>
        <v>0.71499999999999986</v>
      </c>
      <c r="I997">
        <f t="shared" si="42"/>
        <v>2.6481481481481479</v>
      </c>
    </row>
    <row r="998" spans="1:9" x14ac:dyDescent="0.35">
      <c r="A998">
        <v>4</v>
      </c>
      <c r="B998" t="s">
        <v>64</v>
      </c>
      <c r="C998">
        <v>26</v>
      </c>
      <c r="D998">
        <v>90</v>
      </c>
      <c r="E998" s="29">
        <v>45635</v>
      </c>
      <c r="F998">
        <v>20.142180094786745</v>
      </c>
      <c r="G998">
        <v>5.07</v>
      </c>
      <c r="H998">
        <f t="shared" si="44"/>
        <v>0.85000000000000053</v>
      </c>
      <c r="I998">
        <f t="shared" si="42"/>
        <v>3.1481481481481497</v>
      </c>
    </row>
    <row r="999" spans="1:9" x14ac:dyDescent="0.35">
      <c r="A999">
        <v>4</v>
      </c>
      <c r="B999" t="s">
        <v>64</v>
      </c>
      <c r="C999">
        <v>30</v>
      </c>
      <c r="D999">
        <v>90</v>
      </c>
      <c r="E999" s="29">
        <v>45635</v>
      </c>
      <c r="F999">
        <v>20.352716873212586</v>
      </c>
      <c r="G999">
        <v>5.05</v>
      </c>
      <c r="H999">
        <f t="shared" si="44"/>
        <v>0.85400000000000009</v>
      </c>
      <c r="I999">
        <f t="shared" si="42"/>
        <v>3.1629629629629634</v>
      </c>
    </row>
    <row r="1000" spans="1:9" x14ac:dyDescent="0.35">
      <c r="A1000">
        <v>4</v>
      </c>
      <c r="B1000" t="s">
        <v>64</v>
      </c>
      <c r="C1000">
        <v>34</v>
      </c>
      <c r="D1000">
        <v>90</v>
      </c>
      <c r="E1000" s="29">
        <v>45635</v>
      </c>
      <c r="F1000">
        <v>19.357125974946822</v>
      </c>
      <c r="G1000">
        <v>5.05</v>
      </c>
      <c r="H1000">
        <f t="shared" si="44"/>
        <v>0.81899999999999995</v>
      </c>
      <c r="I1000">
        <f t="shared" si="42"/>
        <v>3.0333333333333332</v>
      </c>
    </row>
    <row r="1001" spans="1:9" x14ac:dyDescent="0.35">
      <c r="A1001">
        <v>2</v>
      </c>
      <c r="B1001" t="s">
        <v>65</v>
      </c>
      <c r="C1001">
        <v>46</v>
      </c>
      <c r="D1001">
        <v>90</v>
      </c>
      <c r="E1001" s="29">
        <v>45635</v>
      </c>
      <c r="F1001">
        <v>16.970658207771628</v>
      </c>
      <c r="G1001">
        <v>5.9</v>
      </c>
      <c r="H1001">
        <f t="shared" si="44"/>
        <v>0.85600000000000076</v>
      </c>
      <c r="I1001">
        <f t="shared" si="42"/>
        <v>3.1703703703703736</v>
      </c>
    </row>
    <row r="1002" spans="1:9" x14ac:dyDescent="0.35">
      <c r="A1002">
        <v>2</v>
      </c>
      <c r="B1002" t="s">
        <v>65</v>
      </c>
      <c r="C1002">
        <v>50</v>
      </c>
      <c r="D1002">
        <v>90</v>
      </c>
      <c r="E1002" s="29">
        <v>45635</v>
      </c>
      <c r="F1002">
        <v>16.657422813828802</v>
      </c>
      <c r="G1002">
        <v>6.31</v>
      </c>
      <c r="H1002">
        <f t="shared" si="44"/>
        <v>0.9009999999999998</v>
      </c>
      <c r="I1002">
        <f t="shared" si="42"/>
        <v>3.3370370370370361</v>
      </c>
    </row>
    <row r="1003" spans="1:9" x14ac:dyDescent="0.35">
      <c r="A1003">
        <v>2</v>
      </c>
      <c r="B1003" t="s">
        <v>65</v>
      </c>
      <c r="C1003">
        <v>54</v>
      </c>
      <c r="D1003">
        <v>90</v>
      </c>
      <c r="E1003" s="29">
        <v>45635</v>
      </c>
      <c r="F1003">
        <v>16.135265700483092</v>
      </c>
      <c r="G1003">
        <v>6.01</v>
      </c>
      <c r="H1003">
        <f t="shared" si="44"/>
        <v>0.83499999999999996</v>
      </c>
      <c r="I1003">
        <f t="shared" si="42"/>
        <v>3.0925925925925926</v>
      </c>
    </row>
    <row r="1004" spans="1:9" x14ac:dyDescent="0.35">
      <c r="A1004">
        <v>4</v>
      </c>
      <c r="B1004" t="s">
        <v>65</v>
      </c>
      <c r="C1004">
        <v>67</v>
      </c>
      <c r="D1004">
        <v>90</v>
      </c>
      <c r="E1004" s="29">
        <v>45635</v>
      </c>
      <c r="F1004">
        <v>18.435754189944138</v>
      </c>
      <c r="G1004">
        <v>5.3</v>
      </c>
      <c r="H1004">
        <f t="shared" si="44"/>
        <v>0.82500000000000018</v>
      </c>
      <c r="I1004">
        <f t="shared" si="42"/>
        <v>3.0555555555555562</v>
      </c>
    </row>
    <row r="1005" spans="1:9" x14ac:dyDescent="0.35">
      <c r="A1005">
        <v>4</v>
      </c>
      <c r="B1005" t="s">
        <v>65</v>
      </c>
      <c r="C1005">
        <v>71</v>
      </c>
      <c r="D1005">
        <v>90</v>
      </c>
      <c r="E1005" s="29">
        <v>45635</v>
      </c>
      <c r="F1005">
        <v>17.318435754189938</v>
      </c>
      <c r="G1005">
        <v>5.67</v>
      </c>
      <c r="H1005">
        <f t="shared" si="44"/>
        <v>0.83699999999999974</v>
      </c>
      <c r="I1005">
        <f t="shared" si="42"/>
        <v>3.0999999999999988</v>
      </c>
    </row>
    <row r="1006" spans="1:9" x14ac:dyDescent="0.35">
      <c r="A1006">
        <v>4</v>
      </c>
      <c r="B1006" t="s">
        <v>65</v>
      </c>
      <c r="C1006">
        <v>75</v>
      </c>
      <c r="D1006">
        <v>90</v>
      </c>
      <c r="E1006" s="29">
        <v>45635</v>
      </c>
      <c r="F1006">
        <v>17.331745086360932</v>
      </c>
      <c r="G1006">
        <v>5.91</v>
      </c>
      <c r="H1006">
        <f t="shared" si="44"/>
        <v>0.87300000000000022</v>
      </c>
      <c r="I1006">
        <f t="shared" si="42"/>
        <v>3.2333333333333338</v>
      </c>
    </row>
    <row r="1007" spans="1:9" x14ac:dyDescent="0.35">
      <c r="A1007">
        <v>2</v>
      </c>
      <c r="B1007" t="s">
        <v>66</v>
      </c>
      <c r="C1007">
        <v>87</v>
      </c>
      <c r="D1007">
        <v>90</v>
      </c>
      <c r="E1007" s="29">
        <v>45635</v>
      </c>
      <c r="F1007">
        <v>15.206483983018126</v>
      </c>
      <c r="G1007">
        <v>5.97</v>
      </c>
      <c r="H1007">
        <f t="shared" si="44"/>
        <v>0.78799999999999937</v>
      </c>
      <c r="I1007">
        <f t="shared" si="42"/>
        <v>2.9185185185185163</v>
      </c>
    </row>
    <row r="1008" spans="1:9" x14ac:dyDescent="0.35">
      <c r="A1008">
        <v>2</v>
      </c>
      <c r="B1008" t="s">
        <v>66</v>
      </c>
      <c r="C1008">
        <v>91</v>
      </c>
      <c r="D1008">
        <v>90</v>
      </c>
      <c r="E1008" s="29">
        <v>45635</v>
      </c>
      <c r="F1008">
        <v>15.613825983313479</v>
      </c>
      <c r="G1008">
        <v>5.82</v>
      </c>
      <c r="H1008">
        <f t="shared" si="44"/>
        <v>0.78600000000000048</v>
      </c>
      <c r="I1008">
        <f t="shared" si="42"/>
        <v>2.9111111111111128</v>
      </c>
    </row>
    <row r="1009" spans="1:9" x14ac:dyDescent="0.35">
      <c r="A1009">
        <v>2</v>
      </c>
      <c r="B1009" t="s">
        <v>66</v>
      </c>
      <c r="C1009">
        <v>95</v>
      </c>
      <c r="D1009">
        <v>90</v>
      </c>
      <c r="E1009" s="29">
        <v>45635</v>
      </c>
      <c r="F1009">
        <v>15.955473098330247</v>
      </c>
      <c r="G1009">
        <v>6.25</v>
      </c>
      <c r="H1009">
        <f t="shared" si="44"/>
        <v>0.86000000000000032</v>
      </c>
      <c r="I1009">
        <f t="shared" si="42"/>
        <v>3.185185185185186</v>
      </c>
    </row>
    <row r="1010" spans="1:9" x14ac:dyDescent="0.35">
      <c r="A1010">
        <v>4</v>
      </c>
      <c r="B1010" t="s">
        <v>66</v>
      </c>
      <c r="C1010">
        <v>107</v>
      </c>
      <c r="D1010">
        <v>90</v>
      </c>
      <c r="E1010" s="29">
        <v>45635</v>
      </c>
      <c r="F1010">
        <v>16.785776538260418</v>
      </c>
      <c r="G1010">
        <v>6.7</v>
      </c>
      <c r="H1010">
        <f t="shared" si="44"/>
        <v>0.96300000000000008</v>
      </c>
      <c r="I1010">
        <f t="shared" si="42"/>
        <v>3.5666666666666673</v>
      </c>
    </row>
    <row r="1011" spans="1:9" x14ac:dyDescent="0.35">
      <c r="A1011">
        <v>4</v>
      </c>
      <c r="B1011" t="s">
        <v>66</v>
      </c>
      <c r="C1011">
        <v>111</v>
      </c>
      <c r="D1011">
        <v>90</v>
      </c>
      <c r="E1011" s="29">
        <v>45635</v>
      </c>
      <c r="F1011">
        <v>16.66388099615579</v>
      </c>
      <c r="G1011">
        <v>6.98</v>
      </c>
      <c r="H1011">
        <f t="shared" si="44"/>
        <v>0.99700000000000077</v>
      </c>
      <c r="I1011">
        <f t="shared" si="42"/>
        <v>3.6925925925925953</v>
      </c>
    </row>
    <row r="1012" spans="1:9" x14ac:dyDescent="0.35">
      <c r="A1012">
        <v>4</v>
      </c>
      <c r="B1012" t="s">
        <v>66</v>
      </c>
      <c r="C1012">
        <v>115</v>
      </c>
      <c r="D1012">
        <v>90</v>
      </c>
      <c r="E1012" s="29">
        <v>45635</v>
      </c>
      <c r="F1012">
        <v>17.21936513566235</v>
      </c>
      <c r="G1012">
        <v>6.61</v>
      </c>
      <c r="H1012">
        <f t="shared" si="44"/>
        <v>0.97100000000000009</v>
      </c>
      <c r="I1012">
        <f t="shared" si="42"/>
        <v>3.5962962962962965</v>
      </c>
    </row>
    <row r="1013" spans="1:9" x14ac:dyDescent="0.35">
      <c r="A1013">
        <v>2</v>
      </c>
      <c r="B1013" t="s">
        <v>58</v>
      </c>
      <c r="C1013">
        <v>128</v>
      </c>
      <c r="D1013">
        <v>90</v>
      </c>
      <c r="E1013" s="29">
        <v>45635</v>
      </c>
      <c r="F1013">
        <v>16.042345276872968</v>
      </c>
      <c r="G1013">
        <v>2.85</v>
      </c>
      <c r="H1013">
        <f t="shared" si="44"/>
        <v>0.39400000000000013</v>
      </c>
      <c r="I1013">
        <f t="shared" si="42"/>
        <v>1.4592592592592597</v>
      </c>
    </row>
    <row r="1014" spans="1:9" x14ac:dyDescent="0.35">
      <c r="A1014">
        <v>2</v>
      </c>
      <c r="B1014" t="s">
        <v>58</v>
      </c>
      <c r="C1014">
        <v>133</v>
      </c>
      <c r="D1014">
        <v>90</v>
      </c>
      <c r="E1014" s="29">
        <v>45635</v>
      </c>
      <c r="F1014">
        <v>15.417017691659648</v>
      </c>
      <c r="G1014">
        <v>2.74</v>
      </c>
      <c r="H1014">
        <f t="shared" si="44"/>
        <v>0.3660000000000001</v>
      </c>
      <c r="I1014">
        <f t="shared" si="42"/>
        <v>1.3555555555555558</v>
      </c>
    </row>
    <row r="1015" spans="1:9" x14ac:dyDescent="0.35">
      <c r="A1015">
        <v>2</v>
      </c>
      <c r="B1015" t="s">
        <v>58</v>
      </c>
      <c r="C1015">
        <v>139</v>
      </c>
      <c r="D1015">
        <v>90</v>
      </c>
      <c r="E1015" s="29">
        <v>45635</v>
      </c>
      <c r="F1015">
        <v>16.954143878838877</v>
      </c>
      <c r="G1015">
        <v>2.78</v>
      </c>
      <c r="H1015">
        <f t="shared" si="44"/>
        <v>0.40300000000000002</v>
      </c>
      <c r="I1015">
        <f t="shared" si="42"/>
        <v>1.4925925925925927</v>
      </c>
    </row>
    <row r="1016" spans="1:9" x14ac:dyDescent="0.35">
      <c r="A1016">
        <v>4</v>
      </c>
      <c r="B1016" t="s">
        <v>58</v>
      </c>
      <c r="C1016">
        <v>150</v>
      </c>
      <c r="D1016">
        <v>90</v>
      </c>
      <c r="E1016" s="29">
        <v>45635</v>
      </c>
      <c r="F1016">
        <v>23.333333333333339</v>
      </c>
      <c r="G1016">
        <v>3.7</v>
      </c>
      <c r="H1016">
        <f t="shared" si="44"/>
        <v>0.70000000000000018</v>
      </c>
      <c r="I1016">
        <f t="shared" si="42"/>
        <v>2.592592592592593</v>
      </c>
    </row>
    <row r="1017" spans="1:9" x14ac:dyDescent="0.35">
      <c r="A1017">
        <v>4</v>
      </c>
      <c r="B1017" t="s">
        <v>58</v>
      </c>
      <c r="C1017">
        <v>156</v>
      </c>
      <c r="D1017">
        <v>90</v>
      </c>
      <c r="E1017" s="29">
        <v>45635</v>
      </c>
      <c r="F1017">
        <v>24.781341107871722</v>
      </c>
      <c r="G1017">
        <v>4.28</v>
      </c>
      <c r="H1017">
        <f t="shared" si="44"/>
        <v>0.85000000000000009</v>
      </c>
      <c r="I1017">
        <f t="shared" si="42"/>
        <v>3.1481481481481484</v>
      </c>
    </row>
    <row r="1018" spans="1:9" x14ac:dyDescent="0.35">
      <c r="A1018">
        <v>4</v>
      </c>
      <c r="B1018" t="s">
        <v>58</v>
      </c>
      <c r="C1018">
        <v>158</v>
      </c>
      <c r="D1018">
        <v>90</v>
      </c>
      <c r="E1018" s="29">
        <v>45635</v>
      </c>
      <c r="F1018">
        <v>21.426050123543934</v>
      </c>
      <c r="G1018">
        <v>3.44</v>
      </c>
      <c r="H1018">
        <f t="shared" si="44"/>
        <v>0.60699999999999976</v>
      </c>
      <c r="I1018">
        <f t="shared" si="42"/>
        <v>2.2481481481481476</v>
      </c>
    </row>
    <row r="1019" spans="1:9" x14ac:dyDescent="0.35">
      <c r="A1019">
        <v>2</v>
      </c>
      <c r="B1019" t="s">
        <v>59</v>
      </c>
      <c r="C1019">
        <v>191</v>
      </c>
      <c r="D1019">
        <v>90</v>
      </c>
      <c r="E1019" s="29">
        <v>45635</v>
      </c>
      <c r="F1019">
        <v>20.762027768808533</v>
      </c>
      <c r="G1019">
        <v>3.74</v>
      </c>
      <c r="H1019">
        <f t="shared" si="44"/>
        <v>0.64300000000000024</v>
      </c>
      <c r="I1019">
        <f t="shared" si="42"/>
        <v>2.3814814814814822</v>
      </c>
    </row>
    <row r="1020" spans="1:9" x14ac:dyDescent="0.35">
      <c r="A1020">
        <v>2</v>
      </c>
      <c r="B1020" t="s">
        <v>59</v>
      </c>
      <c r="C1020">
        <v>197</v>
      </c>
      <c r="D1020">
        <v>90</v>
      </c>
      <c r="E1020" s="29">
        <v>45635</v>
      </c>
      <c r="F1020">
        <v>21.819338422391855</v>
      </c>
      <c r="G1020">
        <v>3.83</v>
      </c>
      <c r="H1020">
        <f t="shared" si="44"/>
        <v>0.68599999999999994</v>
      </c>
      <c r="I1020">
        <f t="shared" si="42"/>
        <v>2.5407407407407407</v>
      </c>
    </row>
    <row r="1021" spans="1:9" x14ac:dyDescent="0.35">
      <c r="A1021">
        <v>2</v>
      </c>
      <c r="B1021" t="s">
        <v>59</v>
      </c>
      <c r="C1021">
        <v>204</v>
      </c>
      <c r="D1021">
        <v>90</v>
      </c>
      <c r="E1021" s="29">
        <v>45635</v>
      </c>
      <c r="F1021">
        <v>22.510968612892331</v>
      </c>
      <c r="G1021">
        <v>3.63</v>
      </c>
      <c r="H1021">
        <f t="shared" si="44"/>
        <v>0.66699999999999982</v>
      </c>
      <c r="I1021">
        <f t="shared" si="42"/>
        <v>2.4703703703703694</v>
      </c>
    </row>
    <row r="1022" spans="1:9" x14ac:dyDescent="0.35">
      <c r="A1022">
        <v>4</v>
      </c>
      <c r="B1022" t="s">
        <v>59</v>
      </c>
      <c r="C1022">
        <v>233</v>
      </c>
      <c r="D1022">
        <v>90</v>
      </c>
      <c r="E1022" s="29">
        <v>45635</v>
      </c>
      <c r="F1022">
        <v>28.022318660880348</v>
      </c>
      <c r="G1022">
        <v>4.13</v>
      </c>
      <c r="H1022">
        <f t="shared" si="44"/>
        <v>0.90399999999999991</v>
      </c>
      <c r="I1022">
        <f t="shared" si="42"/>
        <v>3.3481481481481481</v>
      </c>
    </row>
    <row r="1023" spans="1:9" x14ac:dyDescent="0.35">
      <c r="A1023">
        <v>4</v>
      </c>
      <c r="B1023" t="s">
        <v>59</v>
      </c>
      <c r="C1023">
        <v>239</v>
      </c>
      <c r="D1023">
        <v>90</v>
      </c>
      <c r="E1023" s="29">
        <v>45635</v>
      </c>
      <c r="F1023">
        <v>28.644424406372117</v>
      </c>
      <c r="G1023">
        <v>4.28</v>
      </c>
      <c r="H1023">
        <f t="shared" si="44"/>
        <v>0.95300000000000029</v>
      </c>
      <c r="I1023">
        <f t="shared" si="42"/>
        <v>3.5296296296296306</v>
      </c>
    </row>
    <row r="1024" spans="1:9" x14ac:dyDescent="0.35">
      <c r="A1024">
        <v>4</v>
      </c>
      <c r="B1024" t="s">
        <v>59</v>
      </c>
      <c r="C1024">
        <v>242</v>
      </c>
      <c r="D1024">
        <v>90</v>
      </c>
      <c r="E1024" s="29">
        <v>45635</v>
      </c>
      <c r="F1024">
        <v>27.378759975445071</v>
      </c>
      <c r="G1024">
        <v>4.1500000000000004</v>
      </c>
      <c r="H1024">
        <f t="shared" si="44"/>
        <v>0.89200000000000035</v>
      </c>
      <c r="I1024">
        <f t="shared" si="42"/>
        <v>3.3037037037037051</v>
      </c>
    </row>
    <row r="1025" spans="1:9" x14ac:dyDescent="0.35">
      <c r="A1025">
        <v>2</v>
      </c>
      <c r="B1025" t="s">
        <v>62</v>
      </c>
      <c r="C1025">
        <v>255</v>
      </c>
      <c r="D1025">
        <v>90</v>
      </c>
      <c r="E1025" s="29">
        <v>45635</v>
      </c>
      <c r="F1025">
        <v>15.036743923120422</v>
      </c>
      <c r="G1025">
        <v>4.07</v>
      </c>
      <c r="H1025">
        <f t="shared" si="44"/>
        <v>0.53200000000000047</v>
      </c>
      <c r="I1025">
        <f t="shared" si="42"/>
        <v>1.9703703703703719</v>
      </c>
    </row>
    <row r="1026" spans="1:9" x14ac:dyDescent="0.35">
      <c r="A1026">
        <v>2</v>
      </c>
      <c r="B1026" t="s">
        <v>62</v>
      </c>
      <c r="C1026">
        <v>264</v>
      </c>
      <c r="D1026">
        <v>90</v>
      </c>
      <c r="E1026" s="29">
        <v>45635</v>
      </c>
      <c r="F1026">
        <v>16.340735830294992</v>
      </c>
      <c r="G1026">
        <v>3.51</v>
      </c>
      <c r="H1026">
        <f t="shared" si="44"/>
        <v>0.49299999999999988</v>
      </c>
      <c r="I1026">
        <f t="shared" si="42"/>
        <v>1.8259259259259257</v>
      </c>
    </row>
    <row r="1027" spans="1:9" x14ac:dyDescent="0.35">
      <c r="A1027">
        <v>2</v>
      </c>
      <c r="B1027" t="s">
        <v>62</v>
      </c>
      <c r="C1027">
        <v>270</v>
      </c>
      <c r="D1027">
        <v>90</v>
      </c>
      <c r="E1027" s="29">
        <v>45635</v>
      </c>
      <c r="F1027">
        <v>16.317530319735383</v>
      </c>
      <c r="G1027">
        <v>4.22</v>
      </c>
      <c r="H1027">
        <f t="shared" si="44"/>
        <v>0.59199999999999964</v>
      </c>
      <c r="I1027">
        <f t="shared" ref="I1027:I1090" si="45">H1027/27*100</f>
        <v>2.1925925925925913</v>
      </c>
    </row>
    <row r="1028" spans="1:9" x14ac:dyDescent="0.35">
      <c r="A1028">
        <v>4</v>
      </c>
      <c r="B1028" t="s">
        <v>62</v>
      </c>
      <c r="C1028">
        <v>274</v>
      </c>
      <c r="D1028">
        <v>90</v>
      </c>
      <c r="E1028" s="29">
        <v>45635</v>
      </c>
      <c r="F1028">
        <v>18.799287713050113</v>
      </c>
      <c r="G1028">
        <v>4.67</v>
      </c>
      <c r="H1028">
        <f t="shared" si="44"/>
        <v>0.73899999999999988</v>
      </c>
      <c r="I1028">
        <f t="shared" si="45"/>
        <v>2.7370370370370365</v>
      </c>
    </row>
    <row r="1029" spans="1:9" x14ac:dyDescent="0.35">
      <c r="A1029">
        <v>4</v>
      </c>
      <c r="B1029" t="s">
        <v>62</v>
      </c>
      <c r="C1029">
        <v>277</v>
      </c>
      <c r="D1029">
        <v>90</v>
      </c>
      <c r="E1029" s="29">
        <v>45635</v>
      </c>
      <c r="F1029">
        <v>18.160801438479318</v>
      </c>
      <c r="G1029">
        <v>4.5999999999999996</v>
      </c>
      <c r="H1029">
        <f t="shared" si="44"/>
        <v>0.70699999999999985</v>
      </c>
      <c r="I1029">
        <f t="shared" si="45"/>
        <v>2.6185185185185178</v>
      </c>
    </row>
    <row r="1030" spans="1:9" x14ac:dyDescent="0.35">
      <c r="A1030">
        <v>4</v>
      </c>
      <c r="B1030" t="s">
        <v>62</v>
      </c>
      <c r="C1030">
        <v>282</v>
      </c>
      <c r="D1030">
        <v>90</v>
      </c>
      <c r="E1030" s="29">
        <v>45635</v>
      </c>
      <c r="F1030">
        <v>18.238651807556398</v>
      </c>
      <c r="G1030">
        <v>4.3499999999999996</v>
      </c>
      <c r="H1030">
        <f t="shared" si="44"/>
        <v>0.67099999999999982</v>
      </c>
      <c r="I1030">
        <f t="shared" si="45"/>
        <v>2.4851851851851845</v>
      </c>
    </row>
    <row r="1031" spans="1:9" x14ac:dyDescent="0.35">
      <c r="A1031">
        <v>2</v>
      </c>
      <c r="B1031" t="s">
        <v>61</v>
      </c>
      <c r="C1031">
        <v>166</v>
      </c>
      <c r="D1031">
        <v>90</v>
      </c>
      <c r="E1031" s="29">
        <v>45635</v>
      </c>
      <c r="F1031">
        <v>16.102017510468215</v>
      </c>
      <c r="G1031">
        <v>3.05</v>
      </c>
      <c r="H1031">
        <f t="shared" si="44"/>
        <v>0.42300000000000004</v>
      </c>
      <c r="I1031">
        <f t="shared" si="45"/>
        <v>1.5666666666666669</v>
      </c>
    </row>
    <row r="1032" spans="1:9" x14ac:dyDescent="0.35">
      <c r="A1032">
        <v>2</v>
      </c>
      <c r="B1032" t="s">
        <v>61</v>
      </c>
      <c r="C1032">
        <v>172</v>
      </c>
      <c r="D1032">
        <v>90</v>
      </c>
      <c r="E1032" s="29">
        <v>45635</v>
      </c>
      <c r="F1032">
        <v>16.317303740238401</v>
      </c>
      <c r="G1032">
        <v>2.83</v>
      </c>
      <c r="H1032">
        <f t="shared" si="44"/>
        <v>0.39700000000000024</v>
      </c>
      <c r="I1032">
        <f t="shared" si="45"/>
        <v>1.4703703703703712</v>
      </c>
    </row>
    <row r="1033" spans="1:9" x14ac:dyDescent="0.35">
      <c r="A1033">
        <v>2</v>
      </c>
      <c r="B1033" t="s">
        <v>61</v>
      </c>
      <c r="C1033">
        <v>175</v>
      </c>
      <c r="D1033">
        <v>90</v>
      </c>
      <c r="E1033" s="29">
        <v>45635</v>
      </c>
      <c r="F1033">
        <v>18.592195868400925</v>
      </c>
      <c r="G1033">
        <v>3.1</v>
      </c>
      <c r="H1033">
        <f t="shared" ref="H1033:H1037" si="46">G1033-G67</f>
        <v>0.48600000000000021</v>
      </c>
      <c r="I1033">
        <f t="shared" si="45"/>
        <v>1.8000000000000009</v>
      </c>
    </row>
    <row r="1034" spans="1:9" x14ac:dyDescent="0.35">
      <c r="A1034">
        <v>4</v>
      </c>
      <c r="B1034" t="s">
        <v>61</v>
      </c>
      <c r="C1034">
        <v>211</v>
      </c>
      <c r="D1034">
        <v>90</v>
      </c>
      <c r="E1034" s="29">
        <v>45635</v>
      </c>
      <c r="F1034">
        <v>21.55591572123177</v>
      </c>
      <c r="G1034">
        <v>3.75</v>
      </c>
      <c r="H1034">
        <f t="shared" si="46"/>
        <v>0.66500000000000004</v>
      </c>
      <c r="I1034">
        <f t="shared" si="45"/>
        <v>2.4629629629629628</v>
      </c>
    </row>
    <row r="1035" spans="1:9" x14ac:dyDescent="0.35">
      <c r="A1035">
        <v>4</v>
      </c>
      <c r="B1035" t="s">
        <v>61</v>
      </c>
      <c r="C1035">
        <v>217</v>
      </c>
      <c r="D1035">
        <v>90</v>
      </c>
      <c r="E1035" s="29">
        <v>45635</v>
      </c>
      <c r="F1035">
        <v>21.084920891185018</v>
      </c>
      <c r="G1035">
        <v>3.75</v>
      </c>
      <c r="H1035">
        <f t="shared" si="46"/>
        <v>0.65300000000000002</v>
      </c>
      <c r="I1035">
        <f t="shared" si="45"/>
        <v>2.4185185185185185</v>
      </c>
    </row>
    <row r="1036" spans="1:9" x14ac:dyDescent="0.35">
      <c r="A1036">
        <v>4</v>
      </c>
      <c r="B1036" t="s">
        <v>61</v>
      </c>
      <c r="C1036">
        <v>223</v>
      </c>
      <c r="D1036">
        <v>90</v>
      </c>
      <c r="E1036" s="29">
        <v>45635</v>
      </c>
      <c r="F1036">
        <v>22.507122507122514</v>
      </c>
      <c r="G1036">
        <v>3.44</v>
      </c>
      <c r="H1036">
        <f t="shared" si="46"/>
        <v>0.63200000000000012</v>
      </c>
      <c r="I1036">
        <f t="shared" si="45"/>
        <v>2.340740740740741</v>
      </c>
    </row>
    <row r="1037" spans="1:9" x14ac:dyDescent="0.35">
      <c r="A1037">
        <v>0</v>
      </c>
      <c r="B1037" t="s">
        <v>63</v>
      </c>
      <c r="C1037">
        <v>316</v>
      </c>
      <c r="D1037">
        <v>95</v>
      </c>
      <c r="E1037" s="29">
        <v>45636</v>
      </c>
      <c r="F1037">
        <v>19.993954964485422</v>
      </c>
      <c r="G1037">
        <v>7.94</v>
      </c>
      <c r="H1037">
        <f>G1037-G2</f>
        <v>1.3230000000000004</v>
      </c>
      <c r="I1037">
        <f t="shared" si="45"/>
        <v>4.9000000000000012</v>
      </c>
    </row>
    <row r="1038" spans="1:9" x14ac:dyDescent="0.35">
      <c r="A1038">
        <v>0</v>
      </c>
      <c r="B1038" t="s">
        <v>63</v>
      </c>
      <c r="C1038">
        <v>320</v>
      </c>
      <c r="D1038">
        <v>95</v>
      </c>
      <c r="E1038" s="29">
        <v>45636</v>
      </c>
      <c r="F1038">
        <v>19.882589216746485</v>
      </c>
      <c r="G1038">
        <v>7.76</v>
      </c>
      <c r="H1038">
        <f t="shared" ref="H1038:H1101" si="47">G1038-G3</f>
        <v>1.2869999999999999</v>
      </c>
      <c r="I1038">
        <f t="shared" si="45"/>
        <v>4.7666666666666666</v>
      </c>
    </row>
    <row r="1039" spans="1:9" x14ac:dyDescent="0.35">
      <c r="A1039">
        <v>0</v>
      </c>
      <c r="B1039" t="s">
        <v>63</v>
      </c>
      <c r="C1039">
        <v>325</v>
      </c>
      <c r="D1039">
        <v>95</v>
      </c>
      <c r="E1039" s="29">
        <v>45636</v>
      </c>
      <c r="F1039">
        <v>19.941253263707566</v>
      </c>
      <c r="G1039">
        <v>7.35</v>
      </c>
      <c r="H1039">
        <f t="shared" si="47"/>
        <v>1.2219999999999995</v>
      </c>
      <c r="I1039">
        <f t="shared" si="45"/>
        <v>4.5259259259259244</v>
      </c>
    </row>
    <row r="1040" spans="1:9" x14ac:dyDescent="0.35">
      <c r="A1040">
        <v>0</v>
      </c>
      <c r="B1040" t="s">
        <v>64</v>
      </c>
      <c r="C1040">
        <v>332</v>
      </c>
      <c r="D1040">
        <v>95</v>
      </c>
      <c r="E1040" s="29">
        <v>45636</v>
      </c>
      <c r="F1040">
        <v>20.855614973262014</v>
      </c>
      <c r="G1040">
        <v>4.5199999999999996</v>
      </c>
      <c r="H1040">
        <f t="shared" si="47"/>
        <v>0.77999999999999936</v>
      </c>
      <c r="I1040">
        <f t="shared" si="45"/>
        <v>2.8888888888888866</v>
      </c>
    </row>
    <row r="1041" spans="1:9" x14ac:dyDescent="0.35">
      <c r="A1041">
        <v>0</v>
      </c>
      <c r="B1041" t="s">
        <v>64</v>
      </c>
      <c r="C1041">
        <v>336</v>
      </c>
      <c r="D1041">
        <v>95</v>
      </c>
      <c r="E1041" s="29">
        <v>45636</v>
      </c>
      <c r="F1041">
        <v>20.459890253462252</v>
      </c>
      <c r="G1041">
        <v>4.6100000000000003</v>
      </c>
      <c r="H1041">
        <f t="shared" si="47"/>
        <v>0.78300000000000036</v>
      </c>
      <c r="I1041">
        <f t="shared" si="45"/>
        <v>2.9000000000000012</v>
      </c>
    </row>
    <row r="1042" spans="1:9" x14ac:dyDescent="0.35">
      <c r="A1042">
        <v>0</v>
      </c>
      <c r="B1042" t="s">
        <v>64</v>
      </c>
      <c r="C1042">
        <v>341</v>
      </c>
      <c r="D1042">
        <v>95</v>
      </c>
      <c r="E1042" s="29">
        <v>45636</v>
      </c>
      <c r="F1042">
        <v>21.078701155751251</v>
      </c>
      <c r="G1042">
        <v>4.4000000000000004</v>
      </c>
      <c r="H1042">
        <f t="shared" si="47"/>
        <v>0.76600000000000046</v>
      </c>
      <c r="I1042">
        <f t="shared" si="45"/>
        <v>2.8370370370370388</v>
      </c>
    </row>
    <row r="1043" spans="1:9" x14ac:dyDescent="0.35">
      <c r="A1043">
        <v>0</v>
      </c>
      <c r="B1043" t="s">
        <v>65</v>
      </c>
      <c r="C1043">
        <v>348</v>
      </c>
      <c r="D1043">
        <v>95</v>
      </c>
      <c r="E1043" s="29">
        <v>45636</v>
      </c>
      <c r="F1043">
        <v>19.930137783815258</v>
      </c>
      <c r="G1043">
        <v>6.18</v>
      </c>
      <c r="H1043">
        <f t="shared" si="47"/>
        <v>1.0270000000000001</v>
      </c>
      <c r="I1043">
        <f t="shared" si="45"/>
        <v>3.8037037037037043</v>
      </c>
    </row>
    <row r="1044" spans="1:9" x14ac:dyDescent="0.35">
      <c r="A1044">
        <v>0</v>
      </c>
      <c r="B1044" t="s">
        <v>65</v>
      </c>
      <c r="C1044">
        <v>352</v>
      </c>
      <c r="D1044">
        <v>95</v>
      </c>
      <c r="E1044" s="29">
        <v>45636</v>
      </c>
      <c r="F1044">
        <v>20.015264262545323</v>
      </c>
      <c r="G1044">
        <v>6.29</v>
      </c>
      <c r="H1044">
        <f t="shared" si="47"/>
        <v>1.0490000000000004</v>
      </c>
      <c r="I1044">
        <f t="shared" si="45"/>
        <v>3.8851851851851866</v>
      </c>
    </row>
    <row r="1045" spans="1:9" x14ac:dyDescent="0.35">
      <c r="A1045">
        <v>0</v>
      </c>
      <c r="B1045" t="s">
        <v>65</v>
      </c>
      <c r="C1045">
        <v>357</v>
      </c>
      <c r="D1045">
        <v>95</v>
      </c>
      <c r="E1045" s="29">
        <v>45636</v>
      </c>
      <c r="F1045">
        <v>20.077594568380217</v>
      </c>
      <c r="G1045">
        <v>6.19</v>
      </c>
      <c r="H1045">
        <f t="shared" si="47"/>
        <v>1.0350000000000001</v>
      </c>
      <c r="I1045">
        <f t="shared" si="45"/>
        <v>3.8333333333333339</v>
      </c>
    </row>
    <row r="1046" spans="1:9" x14ac:dyDescent="0.35">
      <c r="A1046">
        <v>0</v>
      </c>
      <c r="B1046" t="s">
        <v>66</v>
      </c>
      <c r="C1046">
        <v>368</v>
      </c>
      <c r="D1046">
        <v>95</v>
      </c>
      <c r="E1046" s="29">
        <v>45636</v>
      </c>
      <c r="F1046">
        <v>17.483005054906748</v>
      </c>
      <c r="G1046">
        <v>6.74</v>
      </c>
      <c r="H1046">
        <f t="shared" si="47"/>
        <v>1.0030000000000001</v>
      </c>
      <c r="I1046">
        <f t="shared" si="45"/>
        <v>3.7148148148148152</v>
      </c>
    </row>
    <row r="1047" spans="1:9" x14ac:dyDescent="0.35">
      <c r="A1047">
        <v>0</v>
      </c>
      <c r="B1047" t="s">
        <v>66</v>
      </c>
      <c r="C1047">
        <v>372</v>
      </c>
      <c r="D1047">
        <v>95</v>
      </c>
      <c r="E1047" s="29">
        <v>45636</v>
      </c>
      <c r="F1047">
        <v>17.856564675408787</v>
      </c>
      <c r="G1047">
        <v>7.28</v>
      </c>
      <c r="H1047">
        <f t="shared" si="47"/>
        <v>1.1030000000000006</v>
      </c>
      <c r="I1047">
        <f t="shared" si="45"/>
        <v>4.0851851851851873</v>
      </c>
    </row>
    <row r="1048" spans="1:9" x14ac:dyDescent="0.35">
      <c r="A1048">
        <v>0</v>
      </c>
      <c r="B1048" t="s">
        <v>66</v>
      </c>
      <c r="C1048">
        <v>377</v>
      </c>
      <c r="D1048">
        <v>95</v>
      </c>
      <c r="E1048" s="29">
        <v>45636</v>
      </c>
      <c r="F1048">
        <v>18.18332504558262</v>
      </c>
      <c r="G1048">
        <v>7.13</v>
      </c>
      <c r="H1048">
        <f t="shared" si="47"/>
        <v>1.0969999999999995</v>
      </c>
      <c r="I1048">
        <f t="shared" si="45"/>
        <v>4.0629629629629616</v>
      </c>
    </row>
    <row r="1049" spans="1:9" x14ac:dyDescent="0.35">
      <c r="A1049">
        <v>0</v>
      </c>
      <c r="B1049" t="s">
        <v>58</v>
      </c>
      <c r="C1049">
        <v>384</v>
      </c>
      <c r="D1049">
        <v>95</v>
      </c>
      <c r="E1049" s="29">
        <v>45636</v>
      </c>
      <c r="F1049">
        <v>23.044838373305538</v>
      </c>
      <c r="G1049">
        <v>3.54</v>
      </c>
      <c r="H1049">
        <f t="shared" si="47"/>
        <v>0.66300000000000026</v>
      </c>
      <c r="I1049">
        <f t="shared" si="45"/>
        <v>2.4555555555555566</v>
      </c>
    </row>
    <row r="1050" spans="1:9" x14ac:dyDescent="0.35">
      <c r="A1050">
        <v>0</v>
      </c>
      <c r="B1050" t="s">
        <v>58</v>
      </c>
      <c r="C1050">
        <v>387</v>
      </c>
      <c r="D1050">
        <v>95</v>
      </c>
      <c r="E1050" s="29">
        <v>45636</v>
      </c>
      <c r="F1050">
        <v>22.039473684210524</v>
      </c>
      <c r="G1050">
        <v>3.71</v>
      </c>
      <c r="H1050">
        <f t="shared" si="47"/>
        <v>0.66999999999999993</v>
      </c>
      <c r="I1050">
        <f t="shared" si="45"/>
        <v>2.4814814814814814</v>
      </c>
    </row>
    <row r="1051" spans="1:9" x14ac:dyDescent="0.35">
      <c r="A1051">
        <v>0</v>
      </c>
      <c r="B1051" t="s">
        <v>58</v>
      </c>
      <c r="C1051">
        <v>392</v>
      </c>
      <c r="D1051">
        <v>95</v>
      </c>
      <c r="E1051" s="29">
        <v>45636</v>
      </c>
      <c r="F1051">
        <v>21.796899715279977</v>
      </c>
      <c r="G1051">
        <v>3.85</v>
      </c>
      <c r="H1051">
        <f t="shared" si="47"/>
        <v>0.68900000000000006</v>
      </c>
      <c r="I1051">
        <f t="shared" si="45"/>
        <v>2.5518518518518518</v>
      </c>
    </row>
    <row r="1052" spans="1:9" x14ac:dyDescent="0.35">
      <c r="A1052">
        <v>0</v>
      </c>
      <c r="B1052" t="s">
        <v>59</v>
      </c>
      <c r="C1052">
        <v>399</v>
      </c>
      <c r="D1052">
        <v>95</v>
      </c>
      <c r="E1052" s="29">
        <v>45636</v>
      </c>
      <c r="F1052">
        <v>22.331952851226507</v>
      </c>
      <c r="G1052">
        <v>3.84</v>
      </c>
      <c r="H1052">
        <f t="shared" si="47"/>
        <v>0.70100000000000007</v>
      </c>
      <c r="I1052">
        <f t="shared" si="45"/>
        <v>2.5962962962962965</v>
      </c>
    </row>
    <row r="1053" spans="1:9" x14ac:dyDescent="0.35">
      <c r="A1053">
        <v>0</v>
      </c>
      <c r="B1053" t="s">
        <v>59</v>
      </c>
      <c r="C1053">
        <v>403</v>
      </c>
      <c r="D1053">
        <v>95</v>
      </c>
      <c r="E1053" s="29">
        <v>45636</v>
      </c>
      <c r="F1053">
        <v>21.495327102803738</v>
      </c>
      <c r="G1053">
        <v>3.9</v>
      </c>
      <c r="H1053">
        <f t="shared" si="47"/>
        <v>0.69</v>
      </c>
      <c r="I1053">
        <f t="shared" si="45"/>
        <v>2.5555555555555554</v>
      </c>
    </row>
    <row r="1054" spans="1:9" x14ac:dyDescent="0.35">
      <c r="A1054">
        <v>0</v>
      </c>
      <c r="B1054" t="s">
        <v>59</v>
      </c>
      <c r="C1054">
        <v>408</v>
      </c>
      <c r="D1054">
        <v>95</v>
      </c>
      <c r="E1054" s="29">
        <v>45636</v>
      </c>
      <c r="F1054">
        <v>20.998719590268873</v>
      </c>
      <c r="G1054">
        <v>3.78</v>
      </c>
      <c r="H1054">
        <f t="shared" si="47"/>
        <v>0.65599999999999969</v>
      </c>
      <c r="I1054">
        <f t="shared" si="45"/>
        <v>2.4296296296296283</v>
      </c>
    </row>
    <row r="1055" spans="1:9" x14ac:dyDescent="0.35">
      <c r="A1055">
        <v>0</v>
      </c>
      <c r="B1055" t="s">
        <v>60</v>
      </c>
      <c r="C1055">
        <v>419</v>
      </c>
      <c r="D1055">
        <v>95</v>
      </c>
      <c r="E1055" s="29">
        <v>45636</v>
      </c>
      <c r="F1055">
        <v>20.158887785501499</v>
      </c>
      <c r="G1055">
        <v>4.84</v>
      </c>
      <c r="H1055">
        <f t="shared" si="47"/>
        <v>0.81200000000000028</v>
      </c>
      <c r="I1055">
        <f t="shared" si="45"/>
        <v>3.0074074074074084</v>
      </c>
    </row>
    <row r="1056" spans="1:9" x14ac:dyDescent="0.35">
      <c r="A1056">
        <v>0</v>
      </c>
      <c r="B1056" t="s">
        <v>60</v>
      </c>
      <c r="C1056">
        <v>423</v>
      </c>
      <c r="D1056">
        <v>95</v>
      </c>
      <c r="E1056" s="29">
        <v>45636</v>
      </c>
      <c r="F1056">
        <v>19.6183953033268</v>
      </c>
      <c r="G1056">
        <v>4.8899999999999997</v>
      </c>
      <c r="H1056">
        <f t="shared" si="47"/>
        <v>0.8019999999999996</v>
      </c>
      <c r="I1056">
        <f t="shared" si="45"/>
        <v>2.970370370370369</v>
      </c>
    </row>
    <row r="1057" spans="1:9" x14ac:dyDescent="0.35">
      <c r="A1057">
        <v>0</v>
      </c>
      <c r="B1057" t="s">
        <v>60</v>
      </c>
      <c r="C1057">
        <v>428</v>
      </c>
      <c r="D1057">
        <v>95</v>
      </c>
      <c r="E1057" s="29">
        <v>45636</v>
      </c>
      <c r="F1057">
        <v>19.103466249674224</v>
      </c>
      <c r="G1057">
        <v>4.57</v>
      </c>
      <c r="H1057">
        <f t="shared" si="47"/>
        <v>0.7330000000000001</v>
      </c>
      <c r="I1057">
        <f t="shared" si="45"/>
        <v>2.7148148148148152</v>
      </c>
    </row>
    <row r="1058" spans="1:9" x14ac:dyDescent="0.35">
      <c r="A1058">
        <v>0</v>
      </c>
      <c r="B1058" t="s">
        <v>61</v>
      </c>
      <c r="C1058">
        <v>439</v>
      </c>
      <c r="D1058">
        <v>95</v>
      </c>
      <c r="E1058" s="29">
        <v>45636</v>
      </c>
      <c r="F1058">
        <v>16.440736878693095</v>
      </c>
      <c r="G1058">
        <v>3.35</v>
      </c>
      <c r="H1058">
        <f t="shared" si="47"/>
        <v>0.47300000000000031</v>
      </c>
      <c r="I1058">
        <f t="shared" si="45"/>
        <v>1.7518518518518531</v>
      </c>
    </row>
    <row r="1059" spans="1:9" x14ac:dyDescent="0.35">
      <c r="A1059">
        <v>0</v>
      </c>
      <c r="B1059" t="s">
        <v>61</v>
      </c>
      <c r="C1059">
        <v>443</v>
      </c>
      <c r="D1059">
        <v>95</v>
      </c>
      <c r="E1059" s="29">
        <v>45636</v>
      </c>
      <c r="F1059">
        <v>16.151202749140882</v>
      </c>
      <c r="G1059">
        <v>3.38</v>
      </c>
      <c r="H1059">
        <f t="shared" si="47"/>
        <v>0.46999999999999975</v>
      </c>
      <c r="I1059">
        <f t="shared" si="45"/>
        <v>1.74074074074074</v>
      </c>
    </row>
    <row r="1060" spans="1:9" x14ac:dyDescent="0.35">
      <c r="A1060">
        <v>0</v>
      </c>
      <c r="B1060" t="s">
        <v>61</v>
      </c>
      <c r="C1060">
        <v>448</v>
      </c>
      <c r="D1060">
        <v>95</v>
      </c>
      <c r="E1060" s="29">
        <v>45636</v>
      </c>
      <c r="F1060">
        <v>15.371086880056273</v>
      </c>
      <c r="G1060">
        <v>3.28</v>
      </c>
      <c r="H1060">
        <f t="shared" si="47"/>
        <v>0.43699999999999983</v>
      </c>
      <c r="I1060">
        <f t="shared" si="45"/>
        <v>1.6185185185185178</v>
      </c>
    </row>
    <row r="1061" spans="1:9" x14ac:dyDescent="0.35">
      <c r="A1061">
        <v>2</v>
      </c>
      <c r="B1061" t="s">
        <v>63</v>
      </c>
      <c r="C1061">
        <v>295</v>
      </c>
      <c r="D1061">
        <v>95</v>
      </c>
      <c r="E1061" s="29">
        <v>45636</v>
      </c>
      <c r="F1061">
        <v>16.716122650840763</v>
      </c>
      <c r="G1061">
        <v>5.9</v>
      </c>
      <c r="H1061">
        <f t="shared" si="47"/>
        <v>0.84500000000000064</v>
      </c>
      <c r="I1061">
        <f t="shared" si="45"/>
        <v>3.1296296296296324</v>
      </c>
    </row>
    <row r="1062" spans="1:9" x14ac:dyDescent="0.35">
      <c r="A1062">
        <v>2</v>
      </c>
      <c r="B1062" t="s">
        <v>63</v>
      </c>
      <c r="C1062">
        <v>298</v>
      </c>
      <c r="D1062">
        <v>95</v>
      </c>
      <c r="E1062" s="29">
        <v>45636</v>
      </c>
      <c r="F1062">
        <v>21.671597633136088</v>
      </c>
      <c r="G1062">
        <v>6.58</v>
      </c>
      <c r="H1062">
        <f t="shared" si="47"/>
        <v>1.1719999999999997</v>
      </c>
      <c r="I1062">
        <f t="shared" si="45"/>
        <v>4.3407407407407392</v>
      </c>
    </row>
    <row r="1063" spans="1:9" x14ac:dyDescent="0.35">
      <c r="A1063">
        <v>2</v>
      </c>
      <c r="B1063" t="s">
        <v>63</v>
      </c>
      <c r="C1063">
        <v>301</v>
      </c>
      <c r="D1063">
        <v>95</v>
      </c>
      <c r="E1063" s="29">
        <v>45636</v>
      </c>
      <c r="F1063">
        <v>21.50249137600613</v>
      </c>
      <c r="G1063">
        <v>6.34</v>
      </c>
      <c r="H1063">
        <f t="shared" si="47"/>
        <v>1.1219999999999999</v>
      </c>
      <c r="I1063">
        <f t="shared" si="45"/>
        <v>4.155555555555555</v>
      </c>
    </row>
    <row r="1064" spans="1:9" x14ac:dyDescent="0.35">
      <c r="A1064">
        <v>2</v>
      </c>
      <c r="B1064" t="s">
        <v>64</v>
      </c>
      <c r="C1064">
        <v>6</v>
      </c>
      <c r="D1064">
        <v>95</v>
      </c>
      <c r="E1064" s="29">
        <v>45636</v>
      </c>
      <c r="F1064">
        <v>26.208378088077332</v>
      </c>
      <c r="G1064">
        <v>4.7</v>
      </c>
      <c r="H1064">
        <f t="shared" si="47"/>
        <v>0.97599999999999998</v>
      </c>
      <c r="I1064">
        <f t="shared" si="45"/>
        <v>3.6148148148148143</v>
      </c>
    </row>
    <row r="1065" spans="1:9" x14ac:dyDescent="0.35">
      <c r="A1065">
        <v>2</v>
      </c>
      <c r="B1065" t="s">
        <v>64</v>
      </c>
      <c r="C1065">
        <v>10</v>
      </c>
      <c r="D1065">
        <v>95</v>
      </c>
      <c r="E1065" s="29">
        <v>45636</v>
      </c>
      <c r="F1065">
        <v>24.216834649959136</v>
      </c>
      <c r="G1065">
        <v>4.5599999999999996</v>
      </c>
      <c r="H1065">
        <f t="shared" si="47"/>
        <v>0.88899999999999979</v>
      </c>
      <c r="I1065">
        <f t="shared" si="45"/>
        <v>3.2925925925925923</v>
      </c>
    </row>
    <row r="1066" spans="1:9" x14ac:dyDescent="0.35">
      <c r="A1066">
        <v>2</v>
      </c>
      <c r="B1066" t="s">
        <v>64</v>
      </c>
      <c r="C1066">
        <v>14</v>
      </c>
      <c r="D1066">
        <v>95</v>
      </c>
      <c r="E1066" s="29">
        <v>45636</v>
      </c>
      <c r="F1066">
        <v>24.708926261319537</v>
      </c>
      <c r="G1066">
        <v>4.82</v>
      </c>
      <c r="H1066">
        <f t="shared" si="47"/>
        <v>0.95500000000000007</v>
      </c>
      <c r="I1066">
        <f t="shared" si="45"/>
        <v>3.5370370370370372</v>
      </c>
    </row>
    <row r="1067" spans="1:9" x14ac:dyDescent="0.35">
      <c r="A1067">
        <v>4</v>
      </c>
      <c r="B1067" t="s">
        <v>64</v>
      </c>
      <c r="C1067">
        <v>26</v>
      </c>
      <c r="D1067">
        <v>95</v>
      </c>
      <c r="E1067" s="29">
        <v>45636</v>
      </c>
      <c r="F1067">
        <v>27.962085308056889</v>
      </c>
      <c r="G1067">
        <v>5.4</v>
      </c>
      <c r="H1067">
        <f t="shared" si="47"/>
        <v>1.1800000000000006</v>
      </c>
      <c r="I1067">
        <f t="shared" si="45"/>
        <v>4.370370370370372</v>
      </c>
    </row>
    <row r="1068" spans="1:9" x14ac:dyDescent="0.35">
      <c r="A1068">
        <v>4</v>
      </c>
      <c r="B1068" t="s">
        <v>64</v>
      </c>
      <c r="C1068">
        <v>30</v>
      </c>
      <c r="D1068">
        <v>95</v>
      </c>
      <c r="E1068" s="29">
        <v>45636</v>
      </c>
      <c r="F1068">
        <v>28.217349857006681</v>
      </c>
      <c r="G1068">
        <v>5.38</v>
      </c>
      <c r="H1068">
        <f t="shared" si="47"/>
        <v>1.1840000000000002</v>
      </c>
      <c r="I1068">
        <f t="shared" si="45"/>
        <v>4.3851851851851853</v>
      </c>
    </row>
    <row r="1069" spans="1:9" x14ac:dyDescent="0.35">
      <c r="A1069">
        <v>4</v>
      </c>
      <c r="B1069" t="s">
        <v>64</v>
      </c>
      <c r="C1069">
        <v>34</v>
      </c>
      <c r="D1069">
        <v>95</v>
      </c>
      <c r="E1069" s="29">
        <v>45636</v>
      </c>
      <c r="F1069">
        <v>25.265894587567949</v>
      </c>
      <c r="G1069">
        <v>5.3</v>
      </c>
      <c r="H1069">
        <f t="shared" si="47"/>
        <v>1.069</v>
      </c>
      <c r="I1069">
        <f t="shared" si="45"/>
        <v>3.9592592592592588</v>
      </c>
    </row>
    <row r="1070" spans="1:9" x14ac:dyDescent="0.35">
      <c r="A1070">
        <v>2</v>
      </c>
      <c r="B1070" t="s">
        <v>65</v>
      </c>
      <c r="C1070">
        <v>46</v>
      </c>
      <c r="D1070">
        <v>95</v>
      </c>
      <c r="E1070" s="29">
        <v>45636</v>
      </c>
      <c r="F1070">
        <v>20.935765265662177</v>
      </c>
      <c r="G1070">
        <v>6.1</v>
      </c>
      <c r="H1070">
        <f t="shared" si="47"/>
        <v>1.056</v>
      </c>
      <c r="I1070">
        <f t="shared" si="45"/>
        <v>3.911111111111111</v>
      </c>
    </row>
    <row r="1071" spans="1:9" x14ac:dyDescent="0.35">
      <c r="A1071">
        <v>2</v>
      </c>
      <c r="B1071" t="s">
        <v>65</v>
      </c>
      <c r="C1071">
        <v>50</v>
      </c>
      <c r="D1071">
        <v>95</v>
      </c>
      <c r="E1071" s="29">
        <v>45636</v>
      </c>
      <c r="F1071">
        <v>19.800332778702177</v>
      </c>
      <c r="G1071">
        <v>6.48</v>
      </c>
      <c r="H1071">
        <f t="shared" si="47"/>
        <v>1.0710000000000006</v>
      </c>
      <c r="I1071">
        <f t="shared" si="45"/>
        <v>3.966666666666669</v>
      </c>
    </row>
    <row r="1072" spans="1:9" x14ac:dyDescent="0.35">
      <c r="A1072">
        <v>2</v>
      </c>
      <c r="B1072" t="s">
        <v>65</v>
      </c>
      <c r="C1072">
        <v>54</v>
      </c>
      <c r="D1072">
        <v>95</v>
      </c>
      <c r="E1072" s="29">
        <v>45636</v>
      </c>
      <c r="F1072">
        <v>20.193236714975846</v>
      </c>
      <c r="G1072">
        <v>6.22</v>
      </c>
      <c r="H1072">
        <f t="shared" si="47"/>
        <v>1.0449999999999999</v>
      </c>
      <c r="I1072">
        <f t="shared" si="45"/>
        <v>3.8703703703703698</v>
      </c>
    </row>
    <row r="1073" spans="1:9" x14ac:dyDescent="0.35">
      <c r="A1073">
        <v>4</v>
      </c>
      <c r="B1073" t="s">
        <v>65</v>
      </c>
      <c r="C1073">
        <v>67</v>
      </c>
      <c r="D1073">
        <v>95</v>
      </c>
      <c r="E1073" s="29">
        <v>45636</v>
      </c>
      <c r="F1073">
        <v>24.245810055865924</v>
      </c>
      <c r="G1073">
        <v>5.56</v>
      </c>
      <c r="H1073">
        <f t="shared" si="47"/>
        <v>1.085</v>
      </c>
      <c r="I1073">
        <f t="shared" si="45"/>
        <v>4.0185185185185182</v>
      </c>
    </row>
    <row r="1074" spans="1:9" x14ac:dyDescent="0.35">
      <c r="A1074">
        <v>4</v>
      </c>
      <c r="B1074" t="s">
        <v>65</v>
      </c>
      <c r="C1074">
        <v>71</v>
      </c>
      <c r="D1074">
        <v>95</v>
      </c>
      <c r="E1074" s="29">
        <v>45636</v>
      </c>
      <c r="F1074">
        <v>23.732671218704741</v>
      </c>
      <c r="G1074">
        <v>5.98</v>
      </c>
      <c r="H1074">
        <f t="shared" si="47"/>
        <v>1.1470000000000002</v>
      </c>
      <c r="I1074">
        <f t="shared" si="45"/>
        <v>4.2481481481481485</v>
      </c>
    </row>
    <row r="1075" spans="1:9" x14ac:dyDescent="0.35">
      <c r="A1075">
        <v>4</v>
      </c>
      <c r="B1075" t="s">
        <v>65</v>
      </c>
      <c r="C1075">
        <v>75</v>
      </c>
      <c r="D1075">
        <v>95</v>
      </c>
      <c r="E1075" s="29">
        <v>45636</v>
      </c>
      <c r="F1075">
        <v>23.089140361326191</v>
      </c>
      <c r="G1075">
        <v>6.2</v>
      </c>
      <c r="H1075">
        <f t="shared" si="47"/>
        <v>1.1630000000000003</v>
      </c>
      <c r="I1075">
        <f t="shared" si="45"/>
        <v>4.3074074074074087</v>
      </c>
    </row>
    <row r="1076" spans="1:9" x14ac:dyDescent="0.35">
      <c r="A1076">
        <v>2</v>
      </c>
      <c r="B1076" t="s">
        <v>66</v>
      </c>
      <c r="C1076">
        <v>87</v>
      </c>
      <c r="D1076">
        <v>95</v>
      </c>
      <c r="E1076" s="29">
        <v>45636</v>
      </c>
      <c r="F1076">
        <v>19.065997684291769</v>
      </c>
      <c r="G1076">
        <v>6.17</v>
      </c>
      <c r="H1076">
        <f t="shared" si="47"/>
        <v>0.98799999999999955</v>
      </c>
      <c r="I1076">
        <f t="shared" si="45"/>
        <v>3.6592592592592572</v>
      </c>
    </row>
    <row r="1077" spans="1:9" x14ac:dyDescent="0.35">
      <c r="A1077">
        <v>2</v>
      </c>
      <c r="B1077" t="s">
        <v>66</v>
      </c>
      <c r="C1077">
        <v>91</v>
      </c>
      <c r="D1077">
        <v>95</v>
      </c>
      <c r="E1077" s="29">
        <v>45636</v>
      </c>
      <c r="F1077">
        <v>19.189511323003579</v>
      </c>
      <c r="G1077">
        <v>6</v>
      </c>
      <c r="H1077">
        <f t="shared" si="47"/>
        <v>0.96600000000000019</v>
      </c>
      <c r="I1077">
        <f t="shared" si="45"/>
        <v>3.5777777777777784</v>
      </c>
    </row>
    <row r="1078" spans="1:9" x14ac:dyDescent="0.35">
      <c r="A1078">
        <v>2</v>
      </c>
      <c r="B1078" t="s">
        <v>66</v>
      </c>
      <c r="C1078">
        <v>95</v>
      </c>
      <c r="D1078">
        <v>95</v>
      </c>
      <c r="E1078" s="29">
        <v>45636</v>
      </c>
      <c r="F1078">
        <v>20.779220779220783</v>
      </c>
      <c r="G1078">
        <v>6.51</v>
      </c>
      <c r="H1078">
        <f t="shared" si="47"/>
        <v>1.1200000000000001</v>
      </c>
      <c r="I1078">
        <f t="shared" si="45"/>
        <v>4.1481481481481488</v>
      </c>
    </row>
    <row r="1079" spans="1:9" x14ac:dyDescent="0.35">
      <c r="A1079">
        <v>4</v>
      </c>
      <c r="B1079" t="s">
        <v>66</v>
      </c>
      <c r="C1079">
        <v>107</v>
      </c>
      <c r="D1079">
        <v>95</v>
      </c>
      <c r="E1079" s="29">
        <v>45636</v>
      </c>
      <c r="F1079">
        <v>22.537911800592646</v>
      </c>
      <c r="G1079">
        <v>7.03</v>
      </c>
      <c r="H1079">
        <f t="shared" si="47"/>
        <v>1.2930000000000001</v>
      </c>
      <c r="I1079">
        <f t="shared" si="45"/>
        <v>4.7888888888888896</v>
      </c>
    </row>
    <row r="1080" spans="1:9" x14ac:dyDescent="0.35">
      <c r="A1080">
        <v>4</v>
      </c>
      <c r="B1080" t="s">
        <v>66</v>
      </c>
      <c r="C1080">
        <v>111</v>
      </c>
      <c r="D1080">
        <v>95</v>
      </c>
      <c r="E1080" s="29">
        <v>45636</v>
      </c>
      <c r="F1080">
        <v>21.343807454454293</v>
      </c>
      <c r="G1080">
        <v>7.26</v>
      </c>
      <c r="H1080">
        <f t="shared" si="47"/>
        <v>1.2770000000000001</v>
      </c>
      <c r="I1080">
        <f t="shared" si="45"/>
        <v>4.7296296296296303</v>
      </c>
    </row>
    <row r="1081" spans="1:9" x14ac:dyDescent="0.35">
      <c r="A1081">
        <v>4</v>
      </c>
      <c r="B1081" t="s">
        <v>66</v>
      </c>
      <c r="C1081">
        <v>115</v>
      </c>
      <c r="D1081">
        <v>95</v>
      </c>
      <c r="E1081" s="29">
        <v>45636</v>
      </c>
      <c r="F1081">
        <v>22.894130164922849</v>
      </c>
      <c r="G1081">
        <v>6.93</v>
      </c>
      <c r="H1081">
        <f t="shared" si="47"/>
        <v>1.2909999999999995</v>
      </c>
      <c r="I1081">
        <f t="shared" si="45"/>
        <v>4.7814814814814799</v>
      </c>
    </row>
    <row r="1082" spans="1:9" x14ac:dyDescent="0.35">
      <c r="A1082">
        <v>2</v>
      </c>
      <c r="B1082" t="s">
        <v>58</v>
      </c>
      <c r="C1082">
        <v>128</v>
      </c>
      <c r="D1082">
        <v>95</v>
      </c>
      <c r="E1082" s="29">
        <v>45636</v>
      </c>
      <c r="F1082">
        <v>20.928338762214992</v>
      </c>
      <c r="G1082">
        <v>2.97</v>
      </c>
      <c r="H1082">
        <f t="shared" si="47"/>
        <v>0.51400000000000023</v>
      </c>
      <c r="I1082">
        <f t="shared" si="45"/>
        <v>1.9037037037037048</v>
      </c>
    </row>
    <row r="1083" spans="1:9" x14ac:dyDescent="0.35">
      <c r="A1083">
        <v>2</v>
      </c>
      <c r="B1083" t="s">
        <v>58</v>
      </c>
      <c r="C1083">
        <v>133</v>
      </c>
      <c r="D1083">
        <v>95</v>
      </c>
      <c r="E1083" s="29">
        <v>45636</v>
      </c>
      <c r="F1083">
        <v>20.471777590564439</v>
      </c>
      <c r="G1083">
        <v>2.86</v>
      </c>
      <c r="H1083">
        <f t="shared" si="47"/>
        <v>0.48599999999999977</v>
      </c>
      <c r="I1083">
        <f t="shared" si="45"/>
        <v>1.7999999999999992</v>
      </c>
    </row>
    <row r="1084" spans="1:9" x14ac:dyDescent="0.35">
      <c r="A1084">
        <v>2</v>
      </c>
      <c r="B1084" t="s">
        <v>58</v>
      </c>
      <c r="C1084">
        <v>139</v>
      </c>
      <c r="D1084">
        <v>95</v>
      </c>
      <c r="E1084" s="29">
        <v>45636</v>
      </c>
      <c r="F1084">
        <v>23.264619267984873</v>
      </c>
      <c r="G1084">
        <v>2.93</v>
      </c>
      <c r="H1084">
        <f t="shared" si="47"/>
        <v>0.55300000000000038</v>
      </c>
      <c r="I1084">
        <f t="shared" si="45"/>
        <v>2.0481481481481496</v>
      </c>
    </row>
    <row r="1085" spans="1:9" x14ac:dyDescent="0.35">
      <c r="A1085">
        <v>4</v>
      </c>
      <c r="B1085" t="s">
        <v>58</v>
      </c>
      <c r="C1085">
        <v>150</v>
      </c>
      <c r="D1085">
        <v>95</v>
      </c>
      <c r="E1085" s="29">
        <v>45636</v>
      </c>
      <c r="F1085">
        <v>33.999999999999986</v>
      </c>
      <c r="G1085">
        <v>4.0199999999999996</v>
      </c>
      <c r="H1085">
        <f t="shared" si="47"/>
        <v>1.0199999999999996</v>
      </c>
      <c r="I1085">
        <f t="shared" si="45"/>
        <v>3.7777777777777763</v>
      </c>
    </row>
    <row r="1086" spans="1:9" x14ac:dyDescent="0.35">
      <c r="A1086">
        <v>4</v>
      </c>
      <c r="B1086" t="s">
        <v>58</v>
      </c>
      <c r="C1086">
        <v>156</v>
      </c>
      <c r="D1086">
        <v>95</v>
      </c>
      <c r="E1086" s="29">
        <v>45636</v>
      </c>
      <c r="F1086">
        <v>33.236151603498541</v>
      </c>
      <c r="G1086">
        <v>4.57</v>
      </c>
      <c r="H1086">
        <f t="shared" si="47"/>
        <v>1.1400000000000001</v>
      </c>
      <c r="I1086">
        <f t="shared" si="45"/>
        <v>4.2222222222222223</v>
      </c>
    </row>
    <row r="1087" spans="1:9" x14ac:dyDescent="0.35">
      <c r="A1087">
        <v>4</v>
      </c>
      <c r="B1087" t="s">
        <v>58</v>
      </c>
      <c r="C1087">
        <v>158</v>
      </c>
      <c r="D1087">
        <v>95</v>
      </c>
      <c r="E1087" s="29">
        <v>45636</v>
      </c>
      <c r="F1087">
        <v>29.5446523120367</v>
      </c>
      <c r="G1087">
        <v>3.67</v>
      </c>
      <c r="H1087">
        <f t="shared" si="47"/>
        <v>0.83699999999999974</v>
      </c>
      <c r="I1087">
        <f t="shared" si="45"/>
        <v>3.0999999999999988</v>
      </c>
    </row>
    <row r="1088" spans="1:9" x14ac:dyDescent="0.35">
      <c r="A1088">
        <v>2</v>
      </c>
      <c r="B1088" t="s">
        <v>59</v>
      </c>
      <c r="C1088">
        <v>191</v>
      </c>
      <c r="D1088">
        <v>95</v>
      </c>
      <c r="E1088" s="29">
        <v>45636</v>
      </c>
      <c r="F1088">
        <v>28.834355828220865</v>
      </c>
      <c r="G1088">
        <v>3.99</v>
      </c>
      <c r="H1088">
        <f t="shared" si="47"/>
        <v>0.89300000000000024</v>
      </c>
      <c r="I1088">
        <f t="shared" si="45"/>
        <v>3.3074074074074082</v>
      </c>
    </row>
    <row r="1089" spans="1:9" x14ac:dyDescent="0.35">
      <c r="A1089">
        <v>2</v>
      </c>
      <c r="B1089" t="s">
        <v>59</v>
      </c>
      <c r="C1089">
        <v>197</v>
      </c>
      <c r="D1089">
        <v>95</v>
      </c>
      <c r="E1089" s="29">
        <v>45636</v>
      </c>
      <c r="F1089">
        <v>32.633587786259532</v>
      </c>
      <c r="G1089">
        <v>4.17</v>
      </c>
      <c r="H1089">
        <f t="shared" si="47"/>
        <v>1.0259999999999998</v>
      </c>
      <c r="I1089">
        <f t="shared" si="45"/>
        <v>3.7999999999999994</v>
      </c>
    </row>
    <row r="1090" spans="1:9" x14ac:dyDescent="0.35">
      <c r="A1090">
        <v>2</v>
      </c>
      <c r="B1090" t="s">
        <v>59</v>
      </c>
      <c r="C1090">
        <v>204</v>
      </c>
      <c r="D1090">
        <v>95</v>
      </c>
      <c r="E1090" s="29">
        <v>45636</v>
      </c>
      <c r="F1090">
        <v>36.348295646304422</v>
      </c>
      <c r="G1090">
        <v>4.04</v>
      </c>
      <c r="H1090">
        <f t="shared" si="47"/>
        <v>1.077</v>
      </c>
      <c r="I1090">
        <f t="shared" si="45"/>
        <v>3.9888888888888889</v>
      </c>
    </row>
    <row r="1091" spans="1:9" x14ac:dyDescent="0.35">
      <c r="A1091">
        <v>4</v>
      </c>
      <c r="B1091" t="s">
        <v>59</v>
      </c>
      <c r="C1091">
        <v>233</v>
      </c>
      <c r="D1091">
        <v>95</v>
      </c>
      <c r="E1091" s="29">
        <v>45636</v>
      </c>
      <c r="F1091">
        <v>45.381277123372612</v>
      </c>
      <c r="G1091">
        <v>4.6900000000000004</v>
      </c>
      <c r="H1091">
        <f t="shared" si="47"/>
        <v>1.4640000000000004</v>
      </c>
      <c r="I1091">
        <f t="shared" ref="I1091:I1154" si="48">H1091/27*100</f>
        <v>5.4222222222222234</v>
      </c>
    </row>
    <row r="1092" spans="1:9" x14ac:dyDescent="0.35">
      <c r="A1092">
        <v>4</v>
      </c>
      <c r="B1092" t="s">
        <v>59</v>
      </c>
      <c r="C1092">
        <v>239</v>
      </c>
      <c r="D1092">
        <v>95</v>
      </c>
      <c r="E1092" s="29">
        <v>45636</v>
      </c>
      <c r="F1092">
        <v>45.17583408476105</v>
      </c>
      <c r="G1092">
        <v>4.83</v>
      </c>
      <c r="H1092">
        <f t="shared" si="47"/>
        <v>1.5030000000000001</v>
      </c>
      <c r="I1092">
        <f t="shared" si="48"/>
        <v>5.5666666666666673</v>
      </c>
    </row>
    <row r="1093" spans="1:9" x14ac:dyDescent="0.35">
      <c r="A1093">
        <v>4</v>
      </c>
      <c r="B1093" t="s">
        <v>59</v>
      </c>
      <c r="C1093">
        <v>242</v>
      </c>
      <c r="D1093">
        <v>95</v>
      </c>
      <c r="E1093" s="29">
        <v>45636</v>
      </c>
      <c r="F1093">
        <v>45.488029465930026</v>
      </c>
      <c r="G1093">
        <v>4.74</v>
      </c>
      <c r="H1093">
        <f t="shared" si="47"/>
        <v>1.4820000000000002</v>
      </c>
      <c r="I1093">
        <f t="shared" si="48"/>
        <v>5.4888888888888898</v>
      </c>
    </row>
    <row r="1094" spans="1:9" x14ac:dyDescent="0.35">
      <c r="A1094">
        <v>2</v>
      </c>
      <c r="B1094" t="s">
        <v>62</v>
      </c>
      <c r="C1094">
        <v>255</v>
      </c>
      <c r="D1094">
        <v>95</v>
      </c>
      <c r="E1094" s="29">
        <v>45636</v>
      </c>
      <c r="F1094">
        <v>19.276427360090445</v>
      </c>
      <c r="G1094">
        <v>4.22</v>
      </c>
      <c r="H1094">
        <f t="shared" si="47"/>
        <v>0.68199999999999994</v>
      </c>
      <c r="I1094">
        <f t="shared" si="48"/>
        <v>2.5259259259259257</v>
      </c>
    </row>
    <row r="1095" spans="1:9" x14ac:dyDescent="0.35">
      <c r="A1095">
        <v>2</v>
      </c>
      <c r="B1095" t="s">
        <v>62</v>
      </c>
      <c r="C1095">
        <v>264</v>
      </c>
      <c r="D1095">
        <v>95</v>
      </c>
      <c r="E1095" s="29">
        <v>45636</v>
      </c>
      <c r="F1095">
        <v>19.655286708650976</v>
      </c>
      <c r="G1095">
        <v>3.61</v>
      </c>
      <c r="H1095">
        <f t="shared" si="47"/>
        <v>0.59299999999999997</v>
      </c>
      <c r="I1095">
        <f t="shared" si="48"/>
        <v>2.1962962962962962</v>
      </c>
    </row>
    <row r="1096" spans="1:9" x14ac:dyDescent="0.35">
      <c r="A1096">
        <v>2</v>
      </c>
      <c r="B1096" t="s">
        <v>62</v>
      </c>
      <c r="C1096">
        <v>270</v>
      </c>
      <c r="D1096">
        <v>95</v>
      </c>
      <c r="E1096" s="29">
        <v>45636</v>
      </c>
      <c r="F1096">
        <v>20.727673649393598</v>
      </c>
      <c r="G1096">
        <v>4.38</v>
      </c>
      <c r="H1096">
        <f t="shared" si="47"/>
        <v>0.75199999999999978</v>
      </c>
      <c r="I1096">
        <f t="shared" si="48"/>
        <v>2.7851851851851843</v>
      </c>
    </row>
    <row r="1097" spans="1:9" x14ac:dyDescent="0.35">
      <c r="A1097">
        <v>4</v>
      </c>
      <c r="B1097" t="s">
        <v>62</v>
      </c>
      <c r="C1097">
        <v>274</v>
      </c>
      <c r="D1097">
        <v>95</v>
      </c>
      <c r="E1097" s="29">
        <v>45636</v>
      </c>
      <c r="F1097">
        <v>24.141439837191552</v>
      </c>
      <c r="G1097">
        <v>4.88</v>
      </c>
      <c r="H1097">
        <f t="shared" si="47"/>
        <v>0.94899999999999984</v>
      </c>
      <c r="I1097">
        <f t="shared" si="48"/>
        <v>3.5148148148148142</v>
      </c>
    </row>
    <row r="1098" spans="1:9" x14ac:dyDescent="0.35">
      <c r="A1098">
        <v>4</v>
      </c>
      <c r="B1098" t="s">
        <v>62</v>
      </c>
      <c r="C1098">
        <v>277</v>
      </c>
      <c r="D1098">
        <v>95</v>
      </c>
      <c r="E1098" s="29">
        <v>45636</v>
      </c>
      <c r="F1098">
        <v>24.325712817878244</v>
      </c>
      <c r="G1098">
        <v>4.84</v>
      </c>
      <c r="H1098">
        <f t="shared" si="47"/>
        <v>0.94700000000000006</v>
      </c>
      <c r="I1098">
        <f t="shared" si="48"/>
        <v>3.5074074074074075</v>
      </c>
    </row>
    <row r="1099" spans="1:9" x14ac:dyDescent="0.35">
      <c r="A1099">
        <v>4</v>
      </c>
      <c r="B1099" t="s">
        <v>62</v>
      </c>
      <c r="C1099">
        <v>282</v>
      </c>
      <c r="D1099">
        <v>95</v>
      </c>
      <c r="E1099" s="29">
        <v>45636</v>
      </c>
      <c r="F1099">
        <v>25.577602609404735</v>
      </c>
      <c r="G1099">
        <v>4.62</v>
      </c>
      <c r="H1099">
        <f t="shared" si="47"/>
        <v>0.94100000000000028</v>
      </c>
      <c r="I1099">
        <f t="shared" si="48"/>
        <v>3.4851851851851863</v>
      </c>
    </row>
    <row r="1100" spans="1:9" x14ac:dyDescent="0.35">
      <c r="A1100">
        <v>2</v>
      </c>
      <c r="B1100" t="s">
        <v>61</v>
      </c>
      <c r="C1100">
        <v>166</v>
      </c>
      <c r="D1100">
        <v>95</v>
      </c>
      <c r="E1100" s="29">
        <v>45636</v>
      </c>
      <c r="F1100">
        <v>22.19261515036164</v>
      </c>
      <c r="G1100">
        <v>3.21</v>
      </c>
      <c r="H1100">
        <f t="shared" si="47"/>
        <v>0.58300000000000018</v>
      </c>
      <c r="I1100">
        <f t="shared" si="48"/>
        <v>2.1592592592592599</v>
      </c>
    </row>
    <row r="1101" spans="1:9" x14ac:dyDescent="0.35">
      <c r="A1101">
        <v>2</v>
      </c>
      <c r="B1101" t="s">
        <v>61</v>
      </c>
      <c r="C1101">
        <v>172</v>
      </c>
      <c r="D1101">
        <v>95</v>
      </c>
      <c r="E1101" s="29">
        <v>45636</v>
      </c>
      <c r="F1101">
        <v>21.249486230990563</v>
      </c>
      <c r="G1101">
        <v>2.95</v>
      </c>
      <c r="H1101">
        <f t="shared" si="47"/>
        <v>0.51700000000000035</v>
      </c>
      <c r="I1101">
        <f t="shared" si="48"/>
        <v>1.9148148148148161</v>
      </c>
    </row>
    <row r="1102" spans="1:9" x14ac:dyDescent="0.35">
      <c r="A1102">
        <v>2</v>
      </c>
      <c r="B1102" t="s">
        <v>61</v>
      </c>
      <c r="C1102">
        <v>175</v>
      </c>
      <c r="D1102">
        <v>95</v>
      </c>
      <c r="E1102" s="29">
        <v>45636</v>
      </c>
      <c r="F1102">
        <v>25.478194338179033</v>
      </c>
      <c r="G1102">
        <v>3.28</v>
      </c>
      <c r="H1102">
        <f t="shared" ref="H1102:H1106" si="49">G1102-G67</f>
        <v>0.66599999999999993</v>
      </c>
      <c r="I1102">
        <f t="shared" si="48"/>
        <v>2.4666666666666663</v>
      </c>
    </row>
    <row r="1103" spans="1:9" x14ac:dyDescent="0.35">
      <c r="A1103">
        <v>4</v>
      </c>
      <c r="B1103" t="s">
        <v>61</v>
      </c>
      <c r="C1103">
        <v>211</v>
      </c>
      <c r="D1103">
        <v>95</v>
      </c>
      <c r="E1103" s="29">
        <v>45636</v>
      </c>
      <c r="F1103">
        <v>31.928687196110221</v>
      </c>
      <c r="G1103">
        <v>4.07</v>
      </c>
      <c r="H1103">
        <f t="shared" si="49"/>
        <v>0.98500000000000032</v>
      </c>
      <c r="I1103">
        <f t="shared" si="48"/>
        <v>3.6481481481481497</v>
      </c>
    </row>
    <row r="1104" spans="1:9" x14ac:dyDescent="0.35">
      <c r="A1104">
        <v>4</v>
      </c>
      <c r="B1104" t="s">
        <v>61</v>
      </c>
      <c r="C1104">
        <v>217</v>
      </c>
      <c r="D1104">
        <v>95</v>
      </c>
      <c r="E1104" s="29">
        <v>45636</v>
      </c>
      <c r="F1104">
        <v>32.709073296738786</v>
      </c>
      <c r="G1104">
        <v>4.1100000000000003</v>
      </c>
      <c r="H1104">
        <f t="shared" si="49"/>
        <v>1.0130000000000003</v>
      </c>
      <c r="I1104">
        <f t="shared" si="48"/>
        <v>3.7518518518518533</v>
      </c>
    </row>
    <row r="1105" spans="1:9" x14ac:dyDescent="0.35">
      <c r="A1105">
        <v>4</v>
      </c>
      <c r="B1105" t="s">
        <v>61</v>
      </c>
      <c r="C1105">
        <v>223</v>
      </c>
      <c r="D1105">
        <v>95</v>
      </c>
      <c r="E1105" s="29">
        <v>45636</v>
      </c>
      <c r="F1105">
        <v>35.327635327635335</v>
      </c>
      <c r="G1105">
        <v>3.8</v>
      </c>
      <c r="H1105">
        <f t="shared" si="49"/>
        <v>0.99199999999999999</v>
      </c>
      <c r="I1105">
        <f t="shared" si="48"/>
        <v>3.674074074074074</v>
      </c>
    </row>
    <row r="1106" spans="1:9" x14ac:dyDescent="0.35">
      <c r="A1106">
        <v>0</v>
      </c>
      <c r="B1106" t="s">
        <v>63</v>
      </c>
      <c r="C1106">
        <v>316</v>
      </c>
      <c r="D1106">
        <v>95</v>
      </c>
      <c r="E1106" s="29">
        <v>45637</v>
      </c>
      <c r="F1106">
        <v>20.145080852350013</v>
      </c>
      <c r="G1106">
        <v>7.95</v>
      </c>
      <c r="H1106">
        <f>G1106-G2</f>
        <v>1.3330000000000002</v>
      </c>
      <c r="I1106">
        <f t="shared" si="48"/>
        <v>4.9370370370370376</v>
      </c>
    </row>
    <row r="1107" spans="1:9" x14ac:dyDescent="0.35">
      <c r="A1107">
        <v>0</v>
      </c>
      <c r="B1107" t="s">
        <v>63</v>
      </c>
      <c r="C1107">
        <v>320</v>
      </c>
      <c r="D1107">
        <v>95</v>
      </c>
      <c r="E1107" s="29">
        <v>45637</v>
      </c>
      <c r="F1107">
        <v>20.191564962150476</v>
      </c>
      <c r="G1107">
        <v>7.78</v>
      </c>
      <c r="H1107">
        <f t="shared" ref="H1107:H1170" si="50">G1107-G3</f>
        <v>1.3070000000000004</v>
      </c>
      <c r="I1107">
        <f t="shared" si="48"/>
        <v>4.8407407407407419</v>
      </c>
    </row>
    <row r="1108" spans="1:9" x14ac:dyDescent="0.35">
      <c r="A1108">
        <v>0</v>
      </c>
      <c r="B1108" t="s">
        <v>63</v>
      </c>
      <c r="C1108">
        <v>325</v>
      </c>
      <c r="D1108">
        <v>95</v>
      </c>
      <c r="E1108" s="29">
        <v>45637</v>
      </c>
      <c r="F1108">
        <v>19.941253263707566</v>
      </c>
      <c r="G1108">
        <v>7.35</v>
      </c>
      <c r="H1108">
        <f t="shared" si="50"/>
        <v>1.2219999999999995</v>
      </c>
      <c r="I1108">
        <f t="shared" si="48"/>
        <v>4.5259259259259244</v>
      </c>
    </row>
    <row r="1109" spans="1:9" x14ac:dyDescent="0.35">
      <c r="A1109">
        <v>0</v>
      </c>
      <c r="B1109" t="s">
        <v>64</v>
      </c>
      <c r="C1109">
        <v>332</v>
      </c>
      <c r="D1109">
        <v>95</v>
      </c>
      <c r="E1109" s="29">
        <v>45637</v>
      </c>
      <c r="F1109">
        <v>20.588235294117634</v>
      </c>
      <c r="G1109">
        <v>4.51</v>
      </c>
      <c r="H1109">
        <f t="shared" si="50"/>
        <v>0.76999999999999957</v>
      </c>
      <c r="I1109">
        <f t="shared" si="48"/>
        <v>2.8518518518518503</v>
      </c>
    </row>
    <row r="1110" spans="1:9" x14ac:dyDescent="0.35">
      <c r="A1110">
        <v>0</v>
      </c>
      <c r="B1110" t="s">
        <v>64</v>
      </c>
      <c r="C1110">
        <v>336</v>
      </c>
      <c r="D1110">
        <v>95</v>
      </c>
      <c r="E1110" s="29">
        <v>45637</v>
      </c>
      <c r="F1110">
        <v>20.198588973085961</v>
      </c>
      <c r="G1110">
        <v>4.5999999999999996</v>
      </c>
      <c r="H1110">
        <f t="shared" si="50"/>
        <v>0.77299999999999969</v>
      </c>
      <c r="I1110">
        <f t="shared" si="48"/>
        <v>2.8629629629629618</v>
      </c>
    </row>
    <row r="1111" spans="1:9" x14ac:dyDescent="0.35">
      <c r="A1111">
        <v>0</v>
      </c>
      <c r="B1111" t="s">
        <v>64</v>
      </c>
      <c r="C1111">
        <v>341</v>
      </c>
      <c r="D1111">
        <v>95</v>
      </c>
      <c r="E1111" s="29">
        <v>45637</v>
      </c>
      <c r="F1111">
        <v>19.977985690698965</v>
      </c>
      <c r="G1111">
        <v>4.3600000000000003</v>
      </c>
      <c r="H1111">
        <f t="shared" si="50"/>
        <v>0.72600000000000042</v>
      </c>
      <c r="I1111">
        <f t="shared" si="48"/>
        <v>2.6888888888888904</v>
      </c>
    </row>
    <row r="1112" spans="1:9" x14ac:dyDescent="0.35">
      <c r="A1112">
        <v>0</v>
      </c>
      <c r="B1112" t="s">
        <v>65</v>
      </c>
      <c r="C1112">
        <v>348</v>
      </c>
      <c r="D1112">
        <v>95</v>
      </c>
      <c r="E1112" s="29">
        <v>45637</v>
      </c>
      <c r="F1112">
        <v>19.542014360566672</v>
      </c>
      <c r="G1112">
        <v>6.16</v>
      </c>
      <c r="H1112">
        <f t="shared" si="50"/>
        <v>1.0070000000000006</v>
      </c>
      <c r="I1112">
        <f t="shared" si="48"/>
        <v>3.7296296296296321</v>
      </c>
    </row>
    <row r="1113" spans="1:9" x14ac:dyDescent="0.35">
      <c r="A1113">
        <v>0</v>
      </c>
      <c r="B1113" t="s">
        <v>65</v>
      </c>
      <c r="C1113">
        <v>352</v>
      </c>
      <c r="D1113">
        <v>95</v>
      </c>
      <c r="E1113" s="29">
        <v>45637</v>
      </c>
      <c r="F1113">
        <v>20.206067544361765</v>
      </c>
      <c r="G1113">
        <v>6.3</v>
      </c>
      <c r="H1113">
        <f t="shared" si="50"/>
        <v>1.0590000000000002</v>
      </c>
      <c r="I1113">
        <f t="shared" si="48"/>
        <v>3.9222222222222229</v>
      </c>
    </row>
    <row r="1114" spans="1:9" x14ac:dyDescent="0.35">
      <c r="A1114">
        <v>0</v>
      </c>
      <c r="B1114" t="s">
        <v>65</v>
      </c>
      <c r="C1114">
        <v>357</v>
      </c>
      <c r="D1114">
        <v>95</v>
      </c>
      <c r="E1114" s="29">
        <v>45637</v>
      </c>
      <c r="F1114">
        <v>20.271580989330744</v>
      </c>
      <c r="G1114">
        <v>6.2</v>
      </c>
      <c r="H1114">
        <f t="shared" si="50"/>
        <v>1.0449999999999999</v>
      </c>
      <c r="I1114">
        <f t="shared" si="48"/>
        <v>3.8703703703703698</v>
      </c>
    </row>
    <row r="1115" spans="1:9" x14ac:dyDescent="0.35">
      <c r="A1115">
        <v>0</v>
      </c>
      <c r="B1115" t="s">
        <v>66</v>
      </c>
      <c r="C1115">
        <v>368</v>
      </c>
      <c r="D1115">
        <v>95</v>
      </c>
      <c r="E1115" s="29">
        <v>45637</v>
      </c>
      <c r="F1115">
        <v>17.134390796583574</v>
      </c>
      <c r="G1115">
        <v>6.72</v>
      </c>
      <c r="H1115">
        <f t="shared" si="50"/>
        <v>0.98299999999999965</v>
      </c>
      <c r="I1115">
        <f t="shared" si="48"/>
        <v>3.6407407407407395</v>
      </c>
    </row>
    <row r="1116" spans="1:9" x14ac:dyDescent="0.35">
      <c r="A1116">
        <v>0</v>
      </c>
      <c r="B1116" t="s">
        <v>66</v>
      </c>
      <c r="C1116">
        <v>372</v>
      </c>
      <c r="D1116">
        <v>95</v>
      </c>
      <c r="E1116" s="29">
        <v>45637</v>
      </c>
      <c r="F1116">
        <v>17.856564675408787</v>
      </c>
      <c r="G1116">
        <v>7.28</v>
      </c>
      <c r="H1116">
        <f t="shared" si="50"/>
        <v>1.1030000000000006</v>
      </c>
      <c r="I1116">
        <f t="shared" si="48"/>
        <v>4.0851851851851873</v>
      </c>
    </row>
    <row r="1117" spans="1:9" x14ac:dyDescent="0.35">
      <c r="A1117">
        <v>0</v>
      </c>
      <c r="B1117" t="s">
        <v>66</v>
      </c>
      <c r="C1117">
        <v>377</v>
      </c>
      <c r="D1117">
        <v>95</v>
      </c>
      <c r="E1117" s="29">
        <v>45637</v>
      </c>
      <c r="F1117">
        <v>17.686060003315088</v>
      </c>
      <c r="G1117">
        <v>7.1</v>
      </c>
      <c r="H1117">
        <f t="shared" si="50"/>
        <v>1.0669999999999993</v>
      </c>
      <c r="I1117">
        <f t="shared" si="48"/>
        <v>3.9518518518518495</v>
      </c>
    </row>
    <row r="1118" spans="1:9" x14ac:dyDescent="0.35">
      <c r="A1118">
        <v>0</v>
      </c>
      <c r="B1118" t="s">
        <v>58</v>
      </c>
      <c r="C1118">
        <v>384</v>
      </c>
      <c r="D1118">
        <v>95</v>
      </c>
      <c r="E1118" s="29">
        <v>45637</v>
      </c>
      <c r="F1118">
        <v>20.264164059784505</v>
      </c>
      <c r="G1118">
        <v>3.46</v>
      </c>
      <c r="H1118">
        <f t="shared" si="50"/>
        <v>0.58300000000000018</v>
      </c>
      <c r="I1118">
        <f t="shared" si="48"/>
        <v>2.1592592592592599</v>
      </c>
    </row>
    <row r="1119" spans="1:9" x14ac:dyDescent="0.35">
      <c r="A1119">
        <v>0</v>
      </c>
      <c r="B1119" t="s">
        <v>58</v>
      </c>
      <c r="C1119">
        <v>387</v>
      </c>
      <c r="D1119">
        <v>95</v>
      </c>
      <c r="E1119" s="29">
        <v>45637</v>
      </c>
      <c r="F1119">
        <v>21.710526315789476</v>
      </c>
      <c r="G1119">
        <v>3.7</v>
      </c>
      <c r="H1119">
        <f t="shared" si="50"/>
        <v>0.66000000000000014</v>
      </c>
      <c r="I1119">
        <f t="shared" si="48"/>
        <v>2.4444444444444451</v>
      </c>
    </row>
    <row r="1120" spans="1:9" x14ac:dyDescent="0.35">
      <c r="A1120">
        <v>0</v>
      </c>
      <c r="B1120" t="s">
        <v>58</v>
      </c>
      <c r="C1120">
        <v>392</v>
      </c>
      <c r="D1120">
        <v>95</v>
      </c>
      <c r="E1120" s="29">
        <v>45637</v>
      </c>
      <c r="F1120">
        <v>20.847832964251815</v>
      </c>
      <c r="G1120">
        <v>3.82</v>
      </c>
      <c r="H1120">
        <f t="shared" si="50"/>
        <v>0.65899999999999981</v>
      </c>
      <c r="I1120">
        <f t="shared" si="48"/>
        <v>2.4407407407407402</v>
      </c>
    </row>
    <row r="1121" spans="1:9" x14ac:dyDescent="0.35">
      <c r="A1121">
        <v>0</v>
      </c>
      <c r="B1121" t="s">
        <v>59</v>
      </c>
      <c r="C1121">
        <v>399</v>
      </c>
      <c r="D1121">
        <v>95</v>
      </c>
      <c r="E1121" s="29">
        <v>45637</v>
      </c>
      <c r="F1121">
        <v>20.101943294042698</v>
      </c>
      <c r="G1121">
        <v>3.77</v>
      </c>
      <c r="H1121">
        <f t="shared" si="50"/>
        <v>0.63100000000000023</v>
      </c>
      <c r="I1121">
        <f t="shared" si="48"/>
        <v>2.3370370370370379</v>
      </c>
    </row>
    <row r="1122" spans="1:9" x14ac:dyDescent="0.35">
      <c r="A1122">
        <v>0</v>
      </c>
      <c r="B1122" t="s">
        <v>59</v>
      </c>
      <c r="C1122">
        <v>403</v>
      </c>
      <c r="D1122">
        <v>95</v>
      </c>
      <c r="E1122" s="29">
        <v>45637</v>
      </c>
      <c r="F1122">
        <v>21.183800623052964</v>
      </c>
      <c r="G1122">
        <v>3.89</v>
      </c>
      <c r="H1122">
        <f t="shared" si="50"/>
        <v>0.68000000000000016</v>
      </c>
      <c r="I1122">
        <f t="shared" si="48"/>
        <v>2.518518518518519</v>
      </c>
    </row>
    <row r="1123" spans="1:9" x14ac:dyDescent="0.35">
      <c r="A1123">
        <v>0</v>
      </c>
      <c r="B1123" t="s">
        <v>59</v>
      </c>
      <c r="C1123">
        <v>408</v>
      </c>
      <c r="D1123">
        <v>95</v>
      </c>
      <c r="E1123" s="29">
        <v>45637</v>
      </c>
      <c r="F1123">
        <v>19.718309859154932</v>
      </c>
      <c r="G1123">
        <v>3.74</v>
      </c>
      <c r="H1123">
        <f t="shared" si="50"/>
        <v>0.6160000000000001</v>
      </c>
      <c r="I1123">
        <f t="shared" si="48"/>
        <v>2.2814814814814821</v>
      </c>
    </row>
    <row r="1124" spans="1:9" x14ac:dyDescent="0.35">
      <c r="A1124">
        <v>0</v>
      </c>
      <c r="B1124" t="s">
        <v>60</v>
      </c>
      <c r="C1124">
        <v>419</v>
      </c>
      <c r="D1124">
        <v>95</v>
      </c>
      <c r="E1124" s="29">
        <v>45637</v>
      </c>
      <c r="F1124">
        <v>19.662363455809352</v>
      </c>
      <c r="G1124">
        <v>4.82</v>
      </c>
      <c r="H1124">
        <f t="shared" si="50"/>
        <v>0.7920000000000007</v>
      </c>
      <c r="I1124">
        <f t="shared" si="48"/>
        <v>2.9333333333333362</v>
      </c>
    </row>
    <row r="1125" spans="1:9" x14ac:dyDescent="0.35">
      <c r="A1125">
        <v>0</v>
      </c>
      <c r="B1125" t="s">
        <v>60</v>
      </c>
      <c r="C1125">
        <v>423</v>
      </c>
      <c r="D1125">
        <v>95</v>
      </c>
      <c r="E1125" s="29">
        <v>45637</v>
      </c>
      <c r="F1125">
        <v>19.6183953033268</v>
      </c>
      <c r="G1125">
        <v>4.8899999999999997</v>
      </c>
      <c r="H1125">
        <f t="shared" si="50"/>
        <v>0.8019999999999996</v>
      </c>
      <c r="I1125">
        <f t="shared" si="48"/>
        <v>2.970370370370369</v>
      </c>
    </row>
    <row r="1126" spans="1:9" x14ac:dyDescent="0.35">
      <c r="A1126">
        <v>0</v>
      </c>
      <c r="B1126" t="s">
        <v>60</v>
      </c>
      <c r="C1126">
        <v>428</v>
      </c>
      <c r="D1126">
        <v>95</v>
      </c>
      <c r="E1126" s="29">
        <v>45637</v>
      </c>
      <c r="F1126">
        <v>19.364086525931715</v>
      </c>
      <c r="G1126">
        <v>4.58</v>
      </c>
      <c r="H1126">
        <f t="shared" si="50"/>
        <v>0.74299999999999988</v>
      </c>
      <c r="I1126">
        <f t="shared" si="48"/>
        <v>2.7518518518518515</v>
      </c>
    </row>
    <row r="1127" spans="1:9" x14ac:dyDescent="0.35">
      <c r="A1127">
        <v>0</v>
      </c>
      <c r="B1127" t="s">
        <v>61</v>
      </c>
      <c r="C1127">
        <v>439</v>
      </c>
      <c r="D1127">
        <v>95</v>
      </c>
      <c r="E1127" s="29">
        <v>45637</v>
      </c>
      <c r="F1127">
        <v>16.09315258950296</v>
      </c>
      <c r="G1127">
        <v>3.34</v>
      </c>
      <c r="H1127">
        <f t="shared" si="50"/>
        <v>0.46300000000000008</v>
      </c>
      <c r="I1127">
        <f t="shared" si="48"/>
        <v>1.7148148148148152</v>
      </c>
    </row>
    <row r="1128" spans="1:9" x14ac:dyDescent="0.35">
      <c r="A1128">
        <v>0</v>
      </c>
      <c r="B1128" t="s">
        <v>61</v>
      </c>
      <c r="C1128">
        <v>443</v>
      </c>
      <c r="D1128">
        <v>95</v>
      </c>
      <c r="E1128" s="29">
        <v>45637</v>
      </c>
      <c r="F1128">
        <v>15.463917525773185</v>
      </c>
      <c r="G1128">
        <v>3.36</v>
      </c>
      <c r="H1128">
        <f t="shared" si="50"/>
        <v>0.44999999999999973</v>
      </c>
      <c r="I1128">
        <f t="shared" si="48"/>
        <v>1.6666666666666656</v>
      </c>
    </row>
    <row r="1129" spans="1:9" x14ac:dyDescent="0.35">
      <c r="A1129">
        <v>0</v>
      </c>
      <c r="B1129" t="s">
        <v>61</v>
      </c>
      <c r="C1129">
        <v>448</v>
      </c>
      <c r="D1129">
        <v>95</v>
      </c>
      <c r="E1129" s="29">
        <v>45637</v>
      </c>
      <c r="F1129">
        <v>15.72282799859304</v>
      </c>
      <c r="G1129">
        <v>3.29</v>
      </c>
      <c r="H1129">
        <f t="shared" si="50"/>
        <v>0.44700000000000006</v>
      </c>
      <c r="I1129">
        <f t="shared" si="48"/>
        <v>1.6555555555555559</v>
      </c>
    </row>
    <row r="1130" spans="1:9" x14ac:dyDescent="0.35">
      <c r="A1130">
        <v>2</v>
      </c>
      <c r="B1130" t="s">
        <v>63</v>
      </c>
      <c r="C1130">
        <v>295</v>
      </c>
      <c r="D1130">
        <v>95</v>
      </c>
      <c r="E1130" s="29">
        <v>45637</v>
      </c>
      <c r="F1130">
        <v>17.507418397626125</v>
      </c>
      <c r="G1130">
        <v>5.94</v>
      </c>
      <c r="H1130">
        <f t="shared" si="50"/>
        <v>0.88500000000000068</v>
      </c>
      <c r="I1130">
        <f t="shared" si="48"/>
        <v>3.2777777777777803</v>
      </c>
    </row>
    <row r="1131" spans="1:9" x14ac:dyDescent="0.35">
      <c r="A1131">
        <v>2</v>
      </c>
      <c r="B1131" t="s">
        <v>63</v>
      </c>
      <c r="C1131">
        <v>298</v>
      </c>
      <c r="D1131">
        <v>95</v>
      </c>
      <c r="E1131" s="29">
        <v>45637</v>
      </c>
      <c r="F1131">
        <v>22.041420118343179</v>
      </c>
      <c r="G1131">
        <v>6.6</v>
      </c>
      <c r="H1131">
        <f t="shared" si="50"/>
        <v>1.1919999999999993</v>
      </c>
      <c r="I1131">
        <f t="shared" si="48"/>
        <v>4.4148148148148127</v>
      </c>
    </row>
    <row r="1132" spans="1:9" x14ac:dyDescent="0.35">
      <c r="A1132">
        <v>2</v>
      </c>
      <c r="B1132" t="s">
        <v>63</v>
      </c>
      <c r="C1132">
        <v>301</v>
      </c>
      <c r="D1132">
        <v>95</v>
      </c>
      <c r="E1132" s="29">
        <v>45637</v>
      </c>
      <c r="F1132">
        <v>22.077424300498276</v>
      </c>
      <c r="G1132">
        <v>6.37</v>
      </c>
      <c r="H1132">
        <f t="shared" si="50"/>
        <v>1.1520000000000001</v>
      </c>
      <c r="I1132">
        <f t="shared" si="48"/>
        <v>4.2666666666666675</v>
      </c>
    </row>
    <row r="1133" spans="1:9" x14ac:dyDescent="0.35">
      <c r="A1133">
        <v>2</v>
      </c>
      <c r="B1133" t="s">
        <v>64</v>
      </c>
      <c r="C1133">
        <v>6</v>
      </c>
      <c r="D1133">
        <v>95</v>
      </c>
      <c r="E1133" s="29">
        <v>45637</v>
      </c>
      <c r="F1133">
        <v>25.939849624060152</v>
      </c>
      <c r="G1133">
        <v>4.6900000000000004</v>
      </c>
      <c r="H1133">
        <f t="shared" si="50"/>
        <v>0.96600000000000019</v>
      </c>
      <c r="I1133">
        <f t="shared" si="48"/>
        <v>3.5777777777777784</v>
      </c>
    </row>
    <row r="1134" spans="1:9" x14ac:dyDescent="0.35">
      <c r="A1134">
        <v>2</v>
      </c>
      <c r="B1134" t="s">
        <v>64</v>
      </c>
      <c r="C1134">
        <v>10</v>
      </c>
      <c r="D1134">
        <v>95</v>
      </c>
      <c r="E1134" s="29">
        <v>45637</v>
      </c>
      <c r="F1134">
        <v>24.216834649959136</v>
      </c>
      <c r="G1134">
        <v>4.5599999999999996</v>
      </c>
      <c r="H1134">
        <f t="shared" si="50"/>
        <v>0.88899999999999979</v>
      </c>
      <c r="I1134">
        <f t="shared" si="48"/>
        <v>3.2925925925925923</v>
      </c>
    </row>
    <row r="1135" spans="1:9" x14ac:dyDescent="0.35">
      <c r="A1135">
        <v>2</v>
      </c>
      <c r="B1135" t="s">
        <v>64</v>
      </c>
      <c r="C1135">
        <v>14</v>
      </c>
      <c r="D1135">
        <v>95</v>
      </c>
      <c r="E1135" s="29">
        <v>45637</v>
      </c>
      <c r="F1135">
        <v>24.450194049159105</v>
      </c>
      <c r="G1135">
        <v>4.8099999999999996</v>
      </c>
      <c r="H1135">
        <f t="shared" si="50"/>
        <v>0.9449999999999994</v>
      </c>
      <c r="I1135">
        <f t="shared" si="48"/>
        <v>3.4999999999999973</v>
      </c>
    </row>
    <row r="1136" spans="1:9" x14ac:dyDescent="0.35">
      <c r="A1136">
        <v>4</v>
      </c>
      <c r="B1136" t="s">
        <v>64</v>
      </c>
      <c r="C1136">
        <v>26</v>
      </c>
      <c r="D1136">
        <v>95</v>
      </c>
      <c r="E1136" s="29">
        <v>45637</v>
      </c>
      <c r="F1136">
        <v>36.966824644549781</v>
      </c>
      <c r="G1136">
        <v>5.78</v>
      </c>
      <c r="H1136">
        <f t="shared" si="50"/>
        <v>1.5600000000000005</v>
      </c>
      <c r="I1136">
        <f t="shared" si="48"/>
        <v>5.7777777777777795</v>
      </c>
    </row>
    <row r="1137" spans="1:9" x14ac:dyDescent="0.35">
      <c r="A1137">
        <v>4</v>
      </c>
      <c r="B1137" t="s">
        <v>64</v>
      </c>
      <c r="C1137">
        <v>30</v>
      </c>
      <c r="D1137">
        <v>95</v>
      </c>
      <c r="E1137" s="29">
        <v>45637</v>
      </c>
      <c r="F1137">
        <v>27.979027645376558</v>
      </c>
      <c r="G1137">
        <v>5.37</v>
      </c>
      <c r="H1137">
        <f t="shared" si="50"/>
        <v>1.1740000000000004</v>
      </c>
      <c r="I1137">
        <f t="shared" si="48"/>
        <v>4.3481481481481499</v>
      </c>
    </row>
    <row r="1138" spans="1:9" x14ac:dyDescent="0.35">
      <c r="A1138">
        <v>4</v>
      </c>
      <c r="B1138" t="s">
        <v>64</v>
      </c>
      <c r="C1138">
        <v>34</v>
      </c>
      <c r="D1138">
        <v>95</v>
      </c>
      <c r="E1138" s="29">
        <v>45637</v>
      </c>
      <c r="F1138">
        <v>25.738596076577654</v>
      </c>
      <c r="G1138">
        <v>5.32</v>
      </c>
      <c r="H1138">
        <f t="shared" si="50"/>
        <v>1.0890000000000004</v>
      </c>
      <c r="I1138">
        <f t="shared" si="48"/>
        <v>4.033333333333335</v>
      </c>
    </row>
    <row r="1139" spans="1:9" x14ac:dyDescent="0.35">
      <c r="A1139">
        <v>2</v>
      </c>
      <c r="B1139" t="s">
        <v>65</v>
      </c>
      <c r="C1139">
        <v>46</v>
      </c>
      <c r="D1139">
        <v>95</v>
      </c>
      <c r="E1139" s="29">
        <v>45637</v>
      </c>
      <c r="F1139">
        <v>21.530531324345763</v>
      </c>
      <c r="G1139">
        <v>6.13</v>
      </c>
      <c r="H1139">
        <f t="shared" si="50"/>
        <v>1.0860000000000003</v>
      </c>
      <c r="I1139">
        <f t="shared" si="48"/>
        <v>4.0222222222222239</v>
      </c>
    </row>
    <row r="1140" spans="1:9" x14ac:dyDescent="0.35">
      <c r="A1140">
        <v>2</v>
      </c>
      <c r="B1140" t="s">
        <v>65</v>
      </c>
      <c r="C1140">
        <v>50</v>
      </c>
      <c r="D1140">
        <v>95</v>
      </c>
      <c r="E1140" s="29">
        <v>45637</v>
      </c>
      <c r="F1140">
        <v>20.17008689221668</v>
      </c>
      <c r="G1140">
        <v>6.5</v>
      </c>
      <c r="H1140">
        <f t="shared" si="50"/>
        <v>1.0910000000000002</v>
      </c>
      <c r="I1140">
        <f t="shared" si="48"/>
        <v>4.0407407407407412</v>
      </c>
    </row>
    <row r="1141" spans="1:9" x14ac:dyDescent="0.35">
      <c r="A1141">
        <v>2</v>
      </c>
      <c r="B1141" t="s">
        <v>65</v>
      </c>
      <c r="C1141">
        <v>54</v>
      </c>
      <c r="D1141">
        <v>95</v>
      </c>
      <c r="E1141" s="29">
        <v>45637</v>
      </c>
      <c r="F1141">
        <v>20.386473429951703</v>
      </c>
      <c r="G1141">
        <v>6.23</v>
      </c>
      <c r="H1141">
        <f t="shared" si="50"/>
        <v>1.0550000000000006</v>
      </c>
      <c r="I1141">
        <f t="shared" si="48"/>
        <v>3.9074074074074092</v>
      </c>
    </row>
    <row r="1142" spans="1:9" x14ac:dyDescent="0.35">
      <c r="A1142">
        <v>4</v>
      </c>
      <c r="B1142" t="s">
        <v>65</v>
      </c>
      <c r="C1142">
        <v>67</v>
      </c>
      <c r="D1142">
        <v>95</v>
      </c>
      <c r="E1142" s="29">
        <v>45637</v>
      </c>
      <c r="F1142">
        <v>23.798882681564258</v>
      </c>
      <c r="G1142">
        <v>5.54</v>
      </c>
      <c r="H1142">
        <f t="shared" si="50"/>
        <v>1.0650000000000004</v>
      </c>
      <c r="I1142">
        <f t="shared" si="48"/>
        <v>3.9444444444444455</v>
      </c>
    </row>
    <row r="1143" spans="1:9" x14ac:dyDescent="0.35">
      <c r="A1143">
        <v>4</v>
      </c>
      <c r="B1143" t="s">
        <v>65</v>
      </c>
      <c r="C1143">
        <v>71</v>
      </c>
      <c r="D1143">
        <v>95</v>
      </c>
      <c r="E1143" s="29">
        <v>45637</v>
      </c>
      <c r="F1143">
        <v>23.380922822263599</v>
      </c>
      <c r="G1143">
        <v>5.9630000000000001</v>
      </c>
      <c r="H1143">
        <f t="shared" si="50"/>
        <v>1.1299999999999999</v>
      </c>
      <c r="I1143">
        <f t="shared" si="48"/>
        <v>4.1851851851851851</v>
      </c>
    </row>
    <row r="1144" spans="1:9" x14ac:dyDescent="0.35">
      <c r="A1144">
        <v>4</v>
      </c>
      <c r="B1144" t="s">
        <v>65</v>
      </c>
      <c r="C1144">
        <v>75</v>
      </c>
      <c r="D1144">
        <v>95</v>
      </c>
      <c r="E1144" s="29">
        <v>45637</v>
      </c>
      <c r="F1144">
        <v>23.883263847528298</v>
      </c>
      <c r="G1144">
        <v>6.24</v>
      </c>
      <c r="H1144">
        <f t="shared" si="50"/>
        <v>1.2030000000000003</v>
      </c>
      <c r="I1144">
        <f t="shared" si="48"/>
        <v>4.4555555555555566</v>
      </c>
    </row>
    <row r="1145" spans="1:9" x14ac:dyDescent="0.35">
      <c r="A1145">
        <v>2</v>
      </c>
      <c r="B1145" t="s">
        <v>66</v>
      </c>
      <c r="C1145">
        <v>87</v>
      </c>
      <c r="D1145">
        <v>95</v>
      </c>
      <c r="E1145" s="29">
        <v>45637</v>
      </c>
      <c r="F1145">
        <v>19.644924739482818</v>
      </c>
      <c r="G1145">
        <v>6.2</v>
      </c>
      <c r="H1145">
        <f t="shared" si="50"/>
        <v>1.0179999999999998</v>
      </c>
      <c r="I1145">
        <f t="shared" si="48"/>
        <v>3.7703703703703697</v>
      </c>
    </row>
    <row r="1146" spans="1:9" x14ac:dyDescent="0.35">
      <c r="A1146">
        <v>2</v>
      </c>
      <c r="B1146" t="s">
        <v>66</v>
      </c>
      <c r="C1146">
        <v>91</v>
      </c>
      <c r="D1146">
        <v>95</v>
      </c>
      <c r="E1146" s="29">
        <v>45637</v>
      </c>
      <c r="F1146">
        <v>19.586809694080252</v>
      </c>
      <c r="G1146">
        <v>6.02</v>
      </c>
      <c r="H1146">
        <f t="shared" si="50"/>
        <v>0.98599999999999977</v>
      </c>
      <c r="I1146">
        <f t="shared" si="48"/>
        <v>3.6518518518518515</v>
      </c>
    </row>
    <row r="1147" spans="1:9" x14ac:dyDescent="0.35">
      <c r="A1147">
        <v>2</v>
      </c>
      <c r="B1147" t="s">
        <v>66</v>
      </c>
      <c r="C1147">
        <v>95</v>
      </c>
      <c r="D1147">
        <v>95</v>
      </c>
      <c r="E1147" s="29">
        <v>45637</v>
      </c>
      <c r="F1147">
        <v>20.408163265306133</v>
      </c>
      <c r="G1147">
        <v>6.49</v>
      </c>
      <c r="H1147">
        <f t="shared" si="50"/>
        <v>1.1000000000000005</v>
      </c>
      <c r="I1147">
        <f t="shared" si="48"/>
        <v>4.0740740740740762</v>
      </c>
    </row>
    <row r="1148" spans="1:9" x14ac:dyDescent="0.35">
      <c r="A1148">
        <v>4</v>
      </c>
      <c r="B1148" t="s">
        <v>66</v>
      </c>
      <c r="C1148">
        <v>107</v>
      </c>
      <c r="D1148">
        <v>95</v>
      </c>
      <c r="E1148" s="29">
        <v>45637</v>
      </c>
      <c r="F1148">
        <v>23.060833188077385</v>
      </c>
      <c r="G1148">
        <v>7.06</v>
      </c>
      <c r="H1148">
        <f t="shared" si="50"/>
        <v>1.3229999999999995</v>
      </c>
      <c r="I1148">
        <f t="shared" si="48"/>
        <v>4.8999999999999977</v>
      </c>
    </row>
    <row r="1149" spans="1:9" x14ac:dyDescent="0.35">
      <c r="A1149">
        <v>4</v>
      </c>
      <c r="B1149" t="s">
        <v>66</v>
      </c>
      <c r="C1149">
        <v>111</v>
      </c>
      <c r="D1149">
        <v>95</v>
      </c>
      <c r="E1149" s="29">
        <v>45637</v>
      </c>
      <c r="F1149">
        <v>22.179508607721878</v>
      </c>
      <c r="G1149">
        <v>7.31</v>
      </c>
      <c r="H1149">
        <f t="shared" si="50"/>
        <v>1.327</v>
      </c>
      <c r="I1149">
        <f t="shared" si="48"/>
        <v>4.9148148148148145</v>
      </c>
    </row>
    <row r="1150" spans="1:9" x14ac:dyDescent="0.35">
      <c r="A1150">
        <v>4</v>
      </c>
      <c r="B1150" t="s">
        <v>66</v>
      </c>
      <c r="C1150">
        <v>115</v>
      </c>
      <c r="D1150">
        <v>95</v>
      </c>
      <c r="E1150" s="29">
        <v>45637</v>
      </c>
      <c r="F1150">
        <v>23.071466572087253</v>
      </c>
      <c r="G1150">
        <v>6.94</v>
      </c>
      <c r="H1150">
        <f t="shared" si="50"/>
        <v>1.3010000000000002</v>
      </c>
      <c r="I1150">
        <f t="shared" si="48"/>
        <v>4.8185185185185189</v>
      </c>
    </row>
    <row r="1151" spans="1:9" x14ac:dyDescent="0.35">
      <c r="A1151">
        <v>2</v>
      </c>
      <c r="B1151" t="s">
        <v>58</v>
      </c>
      <c r="C1151">
        <v>128</v>
      </c>
      <c r="D1151">
        <v>95</v>
      </c>
      <c r="E1151" s="29">
        <v>45637</v>
      </c>
      <c r="F1151">
        <v>22.149837133550491</v>
      </c>
      <c r="G1151">
        <v>3</v>
      </c>
      <c r="H1151">
        <f t="shared" si="50"/>
        <v>0.54400000000000004</v>
      </c>
      <c r="I1151">
        <f t="shared" si="48"/>
        <v>2.0148148148148151</v>
      </c>
    </row>
    <row r="1152" spans="1:9" x14ac:dyDescent="0.35">
      <c r="A1152">
        <v>2</v>
      </c>
      <c r="B1152" t="s">
        <v>58</v>
      </c>
      <c r="C1152">
        <v>133</v>
      </c>
      <c r="D1152">
        <v>95</v>
      </c>
      <c r="E1152" s="29">
        <v>45637</v>
      </c>
      <c r="F1152">
        <v>21.735467565290648</v>
      </c>
      <c r="G1152">
        <v>2.89</v>
      </c>
      <c r="H1152">
        <f t="shared" si="50"/>
        <v>0.51600000000000001</v>
      </c>
      <c r="I1152">
        <f t="shared" si="48"/>
        <v>1.911111111111111</v>
      </c>
    </row>
    <row r="1153" spans="1:9" x14ac:dyDescent="0.35">
      <c r="A1153">
        <v>2</v>
      </c>
      <c r="B1153" t="s">
        <v>58</v>
      </c>
      <c r="C1153">
        <v>139</v>
      </c>
      <c r="D1153">
        <v>95</v>
      </c>
      <c r="E1153" s="29">
        <v>45637</v>
      </c>
      <c r="F1153">
        <v>23.685317627261263</v>
      </c>
      <c r="G1153">
        <v>2.94</v>
      </c>
      <c r="H1153">
        <f t="shared" si="50"/>
        <v>0.56300000000000017</v>
      </c>
      <c r="I1153">
        <f t="shared" si="48"/>
        <v>2.0851851851851859</v>
      </c>
    </row>
    <row r="1154" spans="1:9" x14ac:dyDescent="0.35">
      <c r="A1154">
        <v>4</v>
      </c>
      <c r="B1154" t="s">
        <v>58</v>
      </c>
      <c r="C1154">
        <v>150</v>
      </c>
      <c r="D1154">
        <v>95</v>
      </c>
      <c r="E1154" s="29">
        <v>45637</v>
      </c>
      <c r="F1154">
        <v>35.333333333333321</v>
      </c>
      <c r="G1154">
        <v>4.0599999999999996</v>
      </c>
      <c r="H1154">
        <f t="shared" si="50"/>
        <v>1.0599999999999996</v>
      </c>
      <c r="I1154">
        <f t="shared" si="48"/>
        <v>3.9259259259259243</v>
      </c>
    </row>
    <row r="1155" spans="1:9" x14ac:dyDescent="0.35">
      <c r="A1155">
        <v>4</v>
      </c>
      <c r="B1155" t="s">
        <v>58</v>
      </c>
      <c r="C1155">
        <v>156</v>
      </c>
      <c r="D1155">
        <v>95</v>
      </c>
      <c r="E1155" s="29">
        <v>45637</v>
      </c>
      <c r="F1155">
        <v>36.734693877551031</v>
      </c>
      <c r="G1155">
        <v>4.6900000000000004</v>
      </c>
      <c r="H1155">
        <f t="shared" si="50"/>
        <v>1.2600000000000002</v>
      </c>
      <c r="I1155">
        <f t="shared" ref="I1155:I1218" si="51">H1155/27*100</f>
        <v>4.6666666666666679</v>
      </c>
    </row>
    <row r="1156" spans="1:9" x14ac:dyDescent="0.35">
      <c r="A1156">
        <v>4</v>
      </c>
      <c r="B1156" t="s">
        <v>58</v>
      </c>
      <c r="C1156">
        <v>158</v>
      </c>
      <c r="D1156">
        <v>95</v>
      </c>
      <c r="E1156" s="29">
        <v>45637</v>
      </c>
      <c r="F1156">
        <v>32.368513942816797</v>
      </c>
      <c r="G1156">
        <v>3.75</v>
      </c>
      <c r="H1156">
        <f t="shared" si="50"/>
        <v>0.91699999999999982</v>
      </c>
      <c r="I1156">
        <f t="shared" si="51"/>
        <v>3.3962962962962959</v>
      </c>
    </row>
    <row r="1157" spans="1:9" x14ac:dyDescent="0.35">
      <c r="A1157">
        <v>2</v>
      </c>
      <c r="B1157" t="s">
        <v>59</v>
      </c>
      <c r="C1157">
        <v>191</v>
      </c>
      <c r="D1157">
        <v>95</v>
      </c>
      <c r="E1157" s="29">
        <v>45637</v>
      </c>
      <c r="F1157">
        <v>31.417500807232816</v>
      </c>
      <c r="G1157">
        <v>4.07</v>
      </c>
      <c r="H1157">
        <f t="shared" si="50"/>
        <v>0.97300000000000031</v>
      </c>
      <c r="I1157">
        <f t="shared" si="51"/>
        <v>3.603703703703705</v>
      </c>
    </row>
    <row r="1158" spans="1:9" x14ac:dyDescent="0.35">
      <c r="A1158">
        <v>2</v>
      </c>
      <c r="B1158" t="s">
        <v>59</v>
      </c>
      <c r="C1158">
        <v>197</v>
      </c>
      <c r="D1158">
        <v>95</v>
      </c>
      <c r="E1158" s="29">
        <v>45637</v>
      </c>
      <c r="F1158">
        <v>32.633587786259532</v>
      </c>
      <c r="G1158">
        <v>4.17</v>
      </c>
      <c r="H1158">
        <f t="shared" si="50"/>
        <v>1.0259999999999998</v>
      </c>
      <c r="I1158">
        <f t="shared" si="51"/>
        <v>3.7999999999999994</v>
      </c>
    </row>
    <row r="1159" spans="1:9" x14ac:dyDescent="0.35">
      <c r="A1159">
        <v>2</v>
      </c>
      <c r="B1159" t="s">
        <v>59</v>
      </c>
      <c r="C1159">
        <v>204</v>
      </c>
      <c r="D1159">
        <v>95</v>
      </c>
      <c r="E1159" s="29">
        <v>45637</v>
      </c>
      <c r="F1159">
        <v>34.660816739790754</v>
      </c>
      <c r="G1159">
        <v>3.99</v>
      </c>
      <c r="H1159">
        <f t="shared" si="50"/>
        <v>1.0270000000000001</v>
      </c>
      <c r="I1159">
        <f t="shared" si="51"/>
        <v>3.8037037037037043</v>
      </c>
    </row>
    <row r="1160" spans="1:9" x14ac:dyDescent="0.35">
      <c r="A1160">
        <v>4</v>
      </c>
      <c r="B1160" t="s">
        <v>59</v>
      </c>
      <c r="C1160">
        <v>233</v>
      </c>
      <c r="D1160">
        <v>95</v>
      </c>
      <c r="E1160" s="29">
        <v>45637</v>
      </c>
      <c r="F1160">
        <v>42.591444513329193</v>
      </c>
      <c r="G1160">
        <v>4.5999999999999996</v>
      </c>
      <c r="H1160">
        <f t="shared" si="50"/>
        <v>1.3739999999999997</v>
      </c>
      <c r="I1160">
        <f t="shared" si="51"/>
        <v>5.0888888888888877</v>
      </c>
    </row>
    <row r="1161" spans="1:9" x14ac:dyDescent="0.35">
      <c r="A1161">
        <v>4</v>
      </c>
      <c r="B1161" t="s">
        <v>59</v>
      </c>
      <c r="C1161">
        <v>239</v>
      </c>
      <c r="D1161">
        <v>95</v>
      </c>
      <c r="E1161" s="29">
        <v>45637</v>
      </c>
      <c r="F1161">
        <v>46.979260595130739</v>
      </c>
      <c r="G1161">
        <v>4.8899999999999997</v>
      </c>
      <c r="H1161">
        <f t="shared" si="50"/>
        <v>1.5629999999999997</v>
      </c>
      <c r="I1161">
        <f t="shared" si="51"/>
        <v>5.7888888888888879</v>
      </c>
    </row>
    <row r="1162" spans="1:9" x14ac:dyDescent="0.35">
      <c r="A1162">
        <v>4</v>
      </c>
      <c r="B1162" t="s">
        <v>59</v>
      </c>
      <c r="C1162">
        <v>242</v>
      </c>
      <c r="D1162">
        <v>95</v>
      </c>
      <c r="E1162" s="29">
        <v>45637</v>
      </c>
      <c r="F1162">
        <v>47.329650092081025</v>
      </c>
      <c r="G1162">
        <v>4.8</v>
      </c>
      <c r="H1162">
        <f t="shared" si="50"/>
        <v>1.5419999999999998</v>
      </c>
      <c r="I1162">
        <f t="shared" si="51"/>
        <v>5.7111111111111104</v>
      </c>
    </row>
    <row r="1163" spans="1:9" x14ac:dyDescent="0.35">
      <c r="A1163">
        <v>2</v>
      </c>
      <c r="B1163" t="s">
        <v>62</v>
      </c>
      <c r="C1163">
        <v>255</v>
      </c>
      <c r="D1163">
        <v>95</v>
      </c>
      <c r="E1163" s="29">
        <v>45637</v>
      </c>
      <c r="F1163">
        <v>20.124364047484463</v>
      </c>
      <c r="G1163">
        <v>4.25</v>
      </c>
      <c r="H1163">
        <f t="shared" si="50"/>
        <v>0.71200000000000019</v>
      </c>
      <c r="I1163">
        <f t="shared" si="51"/>
        <v>2.6370370370370377</v>
      </c>
    </row>
    <row r="1164" spans="1:9" x14ac:dyDescent="0.35">
      <c r="A1164">
        <v>2</v>
      </c>
      <c r="B1164" t="s">
        <v>62</v>
      </c>
      <c r="C1164">
        <v>264</v>
      </c>
      <c r="D1164">
        <v>95</v>
      </c>
      <c r="E1164" s="29">
        <v>45637</v>
      </c>
      <c r="F1164">
        <v>21.312562147828977</v>
      </c>
      <c r="G1164">
        <v>3.66</v>
      </c>
      <c r="H1164">
        <f t="shared" si="50"/>
        <v>0.64300000000000024</v>
      </c>
      <c r="I1164">
        <f t="shared" si="51"/>
        <v>2.3814814814814822</v>
      </c>
    </row>
    <row r="1165" spans="1:9" x14ac:dyDescent="0.35">
      <c r="A1165">
        <v>2</v>
      </c>
      <c r="B1165" t="s">
        <v>62</v>
      </c>
      <c r="C1165">
        <v>270</v>
      </c>
      <c r="D1165">
        <v>95</v>
      </c>
      <c r="E1165" s="29">
        <v>45637</v>
      </c>
      <c r="F1165">
        <v>22.105843439911784</v>
      </c>
      <c r="G1165">
        <v>4.43</v>
      </c>
      <c r="H1165">
        <f t="shared" si="50"/>
        <v>0.8019999999999996</v>
      </c>
      <c r="I1165">
        <f t="shared" si="51"/>
        <v>2.970370370370369</v>
      </c>
    </row>
    <row r="1166" spans="1:9" x14ac:dyDescent="0.35">
      <c r="A1166">
        <v>4</v>
      </c>
      <c r="B1166" t="s">
        <v>62</v>
      </c>
      <c r="C1166">
        <v>274</v>
      </c>
      <c r="D1166">
        <v>95</v>
      </c>
      <c r="E1166" s="29">
        <v>45637</v>
      </c>
      <c r="F1166">
        <v>24.650216229966937</v>
      </c>
      <c r="G1166">
        <v>4.9000000000000004</v>
      </c>
      <c r="H1166">
        <f t="shared" si="50"/>
        <v>0.96900000000000031</v>
      </c>
      <c r="I1166">
        <f t="shared" si="51"/>
        <v>3.5888888888888899</v>
      </c>
    </row>
    <row r="1167" spans="1:9" x14ac:dyDescent="0.35">
      <c r="A1167">
        <v>4</v>
      </c>
      <c r="B1167" t="s">
        <v>62</v>
      </c>
      <c r="C1167">
        <v>277</v>
      </c>
      <c r="D1167">
        <v>95</v>
      </c>
      <c r="E1167" s="29">
        <v>45637</v>
      </c>
      <c r="F1167">
        <v>24.068841510403296</v>
      </c>
      <c r="G1167">
        <v>4.83</v>
      </c>
      <c r="H1167">
        <f t="shared" si="50"/>
        <v>0.93700000000000028</v>
      </c>
      <c r="I1167">
        <f t="shared" si="51"/>
        <v>3.4703703703703717</v>
      </c>
    </row>
    <row r="1168" spans="1:9" x14ac:dyDescent="0.35">
      <c r="A1168">
        <v>4</v>
      </c>
      <c r="B1168" t="s">
        <v>62</v>
      </c>
      <c r="C1168">
        <v>282</v>
      </c>
      <c r="D1168">
        <v>95</v>
      </c>
      <c r="E1168" s="29">
        <v>45637</v>
      </c>
      <c r="F1168">
        <v>25.033976624082626</v>
      </c>
      <c r="G1168">
        <v>4.5999999999999996</v>
      </c>
      <c r="H1168">
        <f t="shared" si="50"/>
        <v>0.92099999999999982</v>
      </c>
      <c r="I1168">
        <f t="shared" si="51"/>
        <v>3.4111111111111105</v>
      </c>
    </row>
    <row r="1169" spans="1:9" x14ac:dyDescent="0.35">
      <c r="A1169">
        <v>2</v>
      </c>
      <c r="B1169" t="s">
        <v>61</v>
      </c>
      <c r="C1169">
        <v>166</v>
      </c>
      <c r="D1169">
        <v>95</v>
      </c>
      <c r="E1169" s="29">
        <v>45637</v>
      </c>
      <c r="F1169">
        <v>21.431290445374959</v>
      </c>
      <c r="G1169">
        <v>3.19</v>
      </c>
      <c r="H1169">
        <f t="shared" si="50"/>
        <v>0.56300000000000017</v>
      </c>
      <c r="I1169">
        <f t="shared" si="51"/>
        <v>2.0851851851851859</v>
      </c>
    </row>
    <row r="1170" spans="1:9" x14ac:dyDescent="0.35">
      <c r="A1170">
        <v>2</v>
      </c>
      <c r="B1170" t="s">
        <v>61</v>
      </c>
      <c r="C1170">
        <v>172</v>
      </c>
      <c r="D1170">
        <v>95</v>
      </c>
      <c r="E1170" s="29">
        <v>45637</v>
      </c>
      <c r="F1170">
        <v>20.838471023427875</v>
      </c>
      <c r="G1170">
        <v>2.94</v>
      </c>
      <c r="H1170">
        <f t="shared" si="50"/>
        <v>0.50700000000000012</v>
      </c>
      <c r="I1170">
        <f t="shared" si="51"/>
        <v>1.8777777777777782</v>
      </c>
    </row>
    <row r="1171" spans="1:9" x14ac:dyDescent="0.35">
      <c r="A1171">
        <v>2</v>
      </c>
      <c r="B1171" t="s">
        <v>61</v>
      </c>
      <c r="C1171">
        <v>175</v>
      </c>
      <c r="D1171">
        <v>95</v>
      </c>
      <c r="E1171" s="29">
        <v>45637</v>
      </c>
      <c r="F1171">
        <v>25.09563886763581</v>
      </c>
      <c r="G1171">
        <v>3.27</v>
      </c>
      <c r="H1171">
        <f t="shared" ref="H1171:H1175" si="52">G1171-G67</f>
        <v>0.65600000000000014</v>
      </c>
      <c r="I1171">
        <f t="shared" si="51"/>
        <v>2.42962962962963</v>
      </c>
    </row>
    <row r="1172" spans="1:9" x14ac:dyDescent="0.35">
      <c r="A1172">
        <v>4</v>
      </c>
      <c r="B1172" t="s">
        <v>61</v>
      </c>
      <c r="C1172">
        <v>211</v>
      </c>
      <c r="D1172">
        <v>95</v>
      </c>
      <c r="E1172" s="29">
        <v>45637</v>
      </c>
      <c r="F1172">
        <v>31.60453808752025</v>
      </c>
      <c r="G1172">
        <v>4.0599999999999996</v>
      </c>
      <c r="H1172">
        <f t="shared" si="52"/>
        <v>0.97499999999999964</v>
      </c>
      <c r="I1172">
        <f t="shared" si="51"/>
        <v>3.6111111111111103</v>
      </c>
    </row>
    <row r="1173" spans="1:9" x14ac:dyDescent="0.35">
      <c r="A1173">
        <v>4</v>
      </c>
      <c r="B1173" t="s">
        <v>61</v>
      </c>
      <c r="C1173">
        <v>217</v>
      </c>
      <c r="D1173">
        <v>95</v>
      </c>
      <c r="E1173" s="29">
        <v>45637</v>
      </c>
      <c r="F1173">
        <v>32.063287051985789</v>
      </c>
      <c r="G1173">
        <v>4.09</v>
      </c>
      <c r="H1173">
        <f t="shared" si="52"/>
        <v>0.99299999999999988</v>
      </c>
      <c r="I1173">
        <f t="shared" si="51"/>
        <v>3.6777777777777771</v>
      </c>
    </row>
    <row r="1174" spans="1:9" x14ac:dyDescent="0.35">
      <c r="A1174">
        <v>4</v>
      </c>
      <c r="B1174" t="s">
        <v>61</v>
      </c>
      <c r="C1174">
        <v>223</v>
      </c>
      <c r="D1174">
        <v>95</v>
      </c>
      <c r="E1174" s="29">
        <v>45637</v>
      </c>
      <c r="F1174">
        <v>38.176638176638185</v>
      </c>
      <c r="G1174">
        <v>3.88</v>
      </c>
      <c r="H1174">
        <f t="shared" si="52"/>
        <v>1.0720000000000001</v>
      </c>
      <c r="I1174">
        <f t="shared" si="51"/>
        <v>3.9703703703703708</v>
      </c>
    </row>
    <row r="1175" spans="1:9" x14ac:dyDescent="0.35">
      <c r="A1175">
        <v>0</v>
      </c>
      <c r="B1175" t="s">
        <v>63</v>
      </c>
      <c r="C1175">
        <v>316</v>
      </c>
      <c r="D1175">
        <v>95</v>
      </c>
      <c r="E1175" s="29">
        <v>45642</v>
      </c>
      <c r="F1175">
        <v>18.93607374943328</v>
      </c>
      <c r="G1175">
        <v>7.87</v>
      </c>
      <c r="H1175">
        <f>G1175-G2</f>
        <v>1.2530000000000001</v>
      </c>
      <c r="I1175">
        <f t="shared" si="51"/>
        <v>4.6407407407407408</v>
      </c>
    </row>
    <row r="1176" spans="1:9" x14ac:dyDescent="0.35">
      <c r="A1176">
        <v>0</v>
      </c>
      <c r="B1176" t="s">
        <v>63</v>
      </c>
      <c r="C1176">
        <v>320</v>
      </c>
      <c r="D1176">
        <v>95</v>
      </c>
      <c r="E1176" s="29">
        <v>45642</v>
      </c>
      <c r="F1176">
        <v>18.646686235130542</v>
      </c>
      <c r="G1176">
        <v>7.68</v>
      </c>
      <c r="H1176">
        <f t="shared" ref="H1176:H1239" si="53">G1176-G3</f>
        <v>1.2069999999999999</v>
      </c>
      <c r="I1176">
        <f t="shared" si="51"/>
        <v>4.4703703703703699</v>
      </c>
    </row>
    <row r="1177" spans="1:9" x14ac:dyDescent="0.35">
      <c r="A1177">
        <v>0</v>
      </c>
      <c r="B1177" t="s">
        <v>63</v>
      </c>
      <c r="C1177">
        <v>325</v>
      </c>
      <c r="D1177">
        <v>95</v>
      </c>
      <c r="E1177" s="29">
        <v>45642</v>
      </c>
      <c r="F1177">
        <v>18.635770234986936</v>
      </c>
      <c r="G1177">
        <v>7.27</v>
      </c>
      <c r="H1177">
        <f t="shared" si="53"/>
        <v>1.1419999999999995</v>
      </c>
      <c r="I1177">
        <f t="shared" si="51"/>
        <v>4.2296296296296276</v>
      </c>
    </row>
    <row r="1178" spans="1:9" x14ac:dyDescent="0.35">
      <c r="A1178">
        <v>0</v>
      </c>
      <c r="B1178" t="s">
        <v>64</v>
      </c>
      <c r="C1178">
        <v>332</v>
      </c>
      <c r="D1178">
        <v>95</v>
      </c>
      <c r="E1178" s="29">
        <v>45642</v>
      </c>
      <c r="F1178">
        <v>17.647058823529417</v>
      </c>
      <c r="G1178">
        <v>4.4000000000000004</v>
      </c>
      <c r="H1178">
        <f t="shared" si="53"/>
        <v>0.66000000000000014</v>
      </c>
      <c r="I1178">
        <f t="shared" si="51"/>
        <v>2.4444444444444451</v>
      </c>
    </row>
    <row r="1179" spans="1:9" x14ac:dyDescent="0.35">
      <c r="A1179">
        <v>0</v>
      </c>
      <c r="B1179" t="s">
        <v>64</v>
      </c>
      <c r="C1179">
        <v>336</v>
      </c>
      <c r="D1179">
        <v>95</v>
      </c>
      <c r="E1179" s="29">
        <v>45642</v>
      </c>
      <c r="F1179">
        <v>17.324274888946963</v>
      </c>
      <c r="G1179">
        <v>4.49</v>
      </c>
      <c r="H1179">
        <f t="shared" si="53"/>
        <v>0.66300000000000026</v>
      </c>
      <c r="I1179">
        <f t="shared" si="51"/>
        <v>2.4555555555555566</v>
      </c>
    </row>
    <row r="1180" spans="1:9" x14ac:dyDescent="0.35">
      <c r="A1180">
        <v>0</v>
      </c>
      <c r="B1180" t="s">
        <v>64</v>
      </c>
      <c r="C1180">
        <v>341</v>
      </c>
      <c r="D1180">
        <v>95</v>
      </c>
      <c r="E1180" s="29">
        <v>45642</v>
      </c>
      <c r="F1180">
        <v>18.326912493120524</v>
      </c>
      <c r="G1180">
        <v>4.3</v>
      </c>
      <c r="H1180">
        <f t="shared" si="53"/>
        <v>0.66599999999999993</v>
      </c>
      <c r="I1180">
        <f t="shared" si="51"/>
        <v>2.4666666666666663</v>
      </c>
    </row>
    <row r="1181" spans="1:9" x14ac:dyDescent="0.35">
      <c r="A1181">
        <v>0</v>
      </c>
      <c r="B1181" t="s">
        <v>65</v>
      </c>
      <c r="C1181">
        <v>348</v>
      </c>
      <c r="D1181">
        <v>95</v>
      </c>
      <c r="E1181" s="29">
        <v>45642</v>
      </c>
      <c r="F1181">
        <v>18.18358237919659</v>
      </c>
      <c r="G1181">
        <v>6.09</v>
      </c>
      <c r="H1181">
        <f t="shared" si="53"/>
        <v>0.93700000000000028</v>
      </c>
      <c r="I1181">
        <f t="shared" si="51"/>
        <v>3.4703703703703717</v>
      </c>
    </row>
    <row r="1182" spans="1:9" x14ac:dyDescent="0.35">
      <c r="A1182">
        <v>0</v>
      </c>
      <c r="B1182" t="s">
        <v>65</v>
      </c>
      <c r="C1182">
        <v>352</v>
      </c>
      <c r="D1182">
        <v>95</v>
      </c>
      <c r="E1182" s="29">
        <v>45642</v>
      </c>
      <c r="F1182">
        <v>18.870444571646651</v>
      </c>
      <c r="G1182">
        <v>6.23</v>
      </c>
      <c r="H1182">
        <f t="shared" si="53"/>
        <v>0.98900000000000077</v>
      </c>
      <c r="I1182">
        <f t="shared" si="51"/>
        <v>3.6629629629629656</v>
      </c>
    </row>
    <row r="1183" spans="1:9" x14ac:dyDescent="0.35">
      <c r="A1183">
        <v>0</v>
      </c>
      <c r="B1183" t="s">
        <v>65</v>
      </c>
      <c r="C1183">
        <v>357</v>
      </c>
      <c r="D1183">
        <v>95</v>
      </c>
      <c r="E1183" s="29">
        <v>45642</v>
      </c>
      <c r="F1183">
        <v>17.555771096023264</v>
      </c>
      <c r="G1183">
        <v>6.06</v>
      </c>
      <c r="H1183">
        <f t="shared" si="53"/>
        <v>0.90499999999999936</v>
      </c>
      <c r="I1183">
        <f t="shared" si="51"/>
        <v>3.3518518518518494</v>
      </c>
    </row>
    <row r="1184" spans="1:9" x14ac:dyDescent="0.35">
      <c r="A1184">
        <v>0</v>
      </c>
      <c r="B1184" t="s">
        <v>66</v>
      </c>
      <c r="C1184">
        <v>368</v>
      </c>
      <c r="D1184">
        <v>95</v>
      </c>
      <c r="E1184" s="29">
        <v>45642</v>
      </c>
      <c r="F1184">
        <v>17.483005054906748</v>
      </c>
      <c r="G1184">
        <v>6.74</v>
      </c>
      <c r="H1184">
        <f t="shared" si="53"/>
        <v>1.0030000000000001</v>
      </c>
      <c r="I1184">
        <f t="shared" si="51"/>
        <v>3.7148148148148152</v>
      </c>
    </row>
    <row r="1185" spans="1:9" x14ac:dyDescent="0.35">
      <c r="A1185">
        <v>0</v>
      </c>
      <c r="B1185" t="s">
        <v>66</v>
      </c>
      <c r="C1185">
        <v>372</v>
      </c>
      <c r="D1185">
        <v>95</v>
      </c>
      <c r="E1185" s="29">
        <v>45642</v>
      </c>
      <c r="F1185">
        <v>17.856564675408787</v>
      </c>
      <c r="G1185">
        <v>7.28</v>
      </c>
      <c r="H1185">
        <f t="shared" si="53"/>
        <v>1.1030000000000006</v>
      </c>
      <c r="I1185">
        <f t="shared" si="51"/>
        <v>4.0851851851851873</v>
      </c>
    </row>
    <row r="1186" spans="1:9" x14ac:dyDescent="0.35">
      <c r="A1186">
        <v>0</v>
      </c>
      <c r="B1186" t="s">
        <v>66</v>
      </c>
      <c r="C1186">
        <v>377</v>
      </c>
      <c r="D1186">
        <v>95</v>
      </c>
      <c r="E1186" s="29">
        <v>45642</v>
      </c>
      <c r="F1186">
        <v>17.520304989225917</v>
      </c>
      <c r="G1186">
        <v>7.09</v>
      </c>
      <c r="H1186">
        <f t="shared" si="53"/>
        <v>1.0569999999999995</v>
      </c>
      <c r="I1186">
        <f t="shared" si="51"/>
        <v>3.9148148148148127</v>
      </c>
    </row>
    <row r="1187" spans="1:9" x14ac:dyDescent="0.35">
      <c r="A1187">
        <v>0</v>
      </c>
      <c r="B1187" t="s">
        <v>58</v>
      </c>
      <c r="C1187">
        <v>384</v>
      </c>
      <c r="D1187">
        <v>95</v>
      </c>
      <c r="E1187" s="29">
        <v>45642</v>
      </c>
      <c r="F1187">
        <v>18.178658324643731</v>
      </c>
      <c r="G1187">
        <v>3.4</v>
      </c>
      <c r="H1187">
        <f t="shared" si="53"/>
        <v>0.52300000000000013</v>
      </c>
      <c r="I1187">
        <f t="shared" si="51"/>
        <v>1.9370370370370376</v>
      </c>
    </row>
    <row r="1188" spans="1:9" x14ac:dyDescent="0.35">
      <c r="A1188">
        <v>0</v>
      </c>
      <c r="B1188" t="s">
        <v>58</v>
      </c>
      <c r="C1188">
        <v>387</v>
      </c>
      <c r="D1188">
        <v>95</v>
      </c>
      <c r="E1188" s="29">
        <v>45642</v>
      </c>
      <c r="F1188">
        <v>18.09210526315789</v>
      </c>
      <c r="G1188">
        <v>3.59</v>
      </c>
      <c r="H1188">
        <f t="shared" si="53"/>
        <v>0.54999999999999982</v>
      </c>
      <c r="I1188">
        <f t="shared" si="51"/>
        <v>2.0370370370370363</v>
      </c>
    </row>
    <row r="1189" spans="1:9" x14ac:dyDescent="0.35">
      <c r="A1189">
        <v>0</v>
      </c>
      <c r="B1189" t="s">
        <v>58</v>
      </c>
      <c r="C1189">
        <v>392</v>
      </c>
      <c r="D1189">
        <v>95</v>
      </c>
      <c r="E1189" s="29">
        <v>45642</v>
      </c>
      <c r="F1189">
        <v>18.000632711167349</v>
      </c>
      <c r="G1189">
        <v>3.73</v>
      </c>
      <c r="H1189">
        <f t="shared" si="53"/>
        <v>0.56899999999999995</v>
      </c>
      <c r="I1189">
        <f t="shared" si="51"/>
        <v>2.1074074074074072</v>
      </c>
    </row>
    <row r="1190" spans="1:9" x14ac:dyDescent="0.35">
      <c r="A1190">
        <v>0</v>
      </c>
      <c r="B1190" t="s">
        <v>59</v>
      </c>
      <c r="C1190">
        <v>399</v>
      </c>
      <c r="D1190">
        <v>95</v>
      </c>
      <c r="E1190" s="29">
        <v>45642</v>
      </c>
      <c r="F1190">
        <v>15.004778591908256</v>
      </c>
      <c r="G1190">
        <v>3.61</v>
      </c>
      <c r="H1190">
        <f t="shared" si="53"/>
        <v>0.47100000000000009</v>
      </c>
      <c r="I1190">
        <f t="shared" si="51"/>
        <v>1.7444444444444447</v>
      </c>
    </row>
    <row r="1191" spans="1:9" x14ac:dyDescent="0.35">
      <c r="A1191">
        <v>0</v>
      </c>
      <c r="B1191" t="s">
        <v>59</v>
      </c>
      <c r="C1191">
        <v>403</v>
      </c>
      <c r="D1191">
        <v>95</v>
      </c>
      <c r="E1191" s="29">
        <v>45642</v>
      </c>
      <c r="F1191">
        <v>17.75700934579439</v>
      </c>
      <c r="G1191">
        <v>3.78</v>
      </c>
      <c r="H1191">
        <f t="shared" si="53"/>
        <v>0.56999999999999984</v>
      </c>
      <c r="I1191">
        <f t="shared" si="51"/>
        <v>2.1111111111111103</v>
      </c>
    </row>
    <row r="1192" spans="1:9" x14ac:dyDescent="0.35">
      <c r="A1192">
        <v>0</v>
      </c>
      <c r="B1192" t="s">
        <v>59</v>
      </c>
      <c r="C1192">
        <v>408</v>
      </c>
      <c r="D1192">
        <v>95</v>
      </c>
      <c r="E1192" s="29">
        <v>45642</v>
      </c>
      <c r="F1192">
        <v>16.837387964148519</v>
      </c>
      <c r="G1192">
        <v>3.65</v>
      </c>
      <c r="H1192">
        <f t="shared" si="53"/>
        <v>0.5259999999999998</v>
      </c>
      <c r="I1192">
        <f t="shared" si="51"/>
        <v>1.9481481481481475</v>
      </c>
    </row>
    <row r="1193" spans="1:9" x14ac:dyDescent="0.35">
      <c r="A1193">
        <v>0</v>
      </c>
      <c r="B1193" t="s">
        <v>60</v>
      </c>
      <c r="C1193">
        <v>419</v>
      </c>
      <c r="D1193">
        <v>95</v>
      </c>
      <c r="E1193" s="29">
        <v>45642</v>
      </c>
      <c r="F1193">
        <v>16.931479642502495</v>
      </c>
      <c r="G1193">
        <v>4.71</v>
      </c>
      <c r="H1193">
        <f t="shared" si="53"/>
        <v>0.68200000000000038</v>
      </c>
      <c r="I1193">
        <f t="shared" si="51"/>
        <v>2.5259259259259275</v>
      </c>
    </row>
    <row r="1194" spans="1:9" x14ac:dyDescent="0.35">
      <c r="A1194">
        <v>0</v>
      </c>
      <c r="B1194" t="s">
        <v>60</v>
      </c>
      <c r="C1194">
        <v>423</v>
      </c>
      <c r="D1194">
        <v>95</v>
      </c>
      <c r="E1194" s="29">
        <v>45642</v>
      </c>
      <c r="F1194">
        <v>15.949119373776909</v>
      </c>
      <c r="G1194">
        <v>4.74</v>
      </c>
      <c r="H1194">
        <f t="shared" si="53"/>
        <v>0.65200000000000014</v>
      </c>
      <c r="I1194">
        <f t="shared" si="51"/>
        <v>2.4148148148148154</v>
      </c>
    </row>
    <row r="1195" spans="1:9" x14ac:dyDescent="0.35">
      <c r="A1195">
        <v>0</v>
      </c>
      <c r="B1195" t="s">
        <v>60</v>
      </c>
      <c r="C1195">
        <v>428</v>
      </c>
      <c r="D1195">
        <v>95</v>
      </c>
      <c r="E1195" s="29">
        <v>45642</v>
      </c>
      <c r="F1195">
        <v>13.891060724524365</v>
      </c>
      <c r="G1195">
        <v>4.37</v>
      </c>
      <c r="H1195">
        <f t="shared" si="53"/>
        <v>0.53299999999999992</v>
      </c>
      <c r="I1195">
        <f t="shared" si="51"/>
        <v>1.9740740740740739</v>
      </c>
    </row>
    <row r="1196" spans="1:9" x14ac:dyDescent="0.35">
      <c r="A1196">
        <v>0</v>
      </c>
      <c r="B1196" t="s">
        <v>61</v>
      </c>
      <c r="C1196">
        <v>439</v>
      </c>
      <c r="D1196">
        <v>95</v>
      </c>
      <c r="E1196" s="29">
        <v>45642</v>
      </c>
      <c r="F1196">
        <v>14.702815432742442</v>
      </c>
      <c r="G1196">
        <v>3.3</v>
      </c>
      <c r="H1196">
        <f t="shared" si="53"/>
        <v>0.42300000000000004</v>
      </c>
      <c r="I1196">
        <f t="shared" si="51"/>
        <v>1.5666666666666669</v>
      </c>
    </row>
    <row r="1197" spans="1:9" x14ac:dyDescent="0.35">
      <c r="A1197">
        <v>0</v>
      </c>
      <c r="B1197" t="s">
        <v>61</v>
      </c>
      <c r="C1197">
        <v>443</v>
      </c>
      <c r="D1197">
        <v>95</v>
      </c>
      <c r="E1197" s="29">
        <v>45642</v>
      </c>
      <c r="F1197">
        <v>14.08934707903779</v>
      </c>
      <c r="G1197">
        <v>3.32</v>
      </c>
      <c r="H1197">
        <f t="shared" si="53"/>
        <v>0.4099999999999997</v>
      </c>
      <c r="I1197">
        <f t="shared" si="51"/>
        <v>1.5185185185185175</v>
      </c>
    </row>
    <row r="1198" spans="1:9" x14ac:dyDescent="0.35">
      <c r="A1198">
        <v>0</v>
      </c>
      <c r="B1198" t="s">
        <v>61</v>
      </c>
      <c r="C1198">
        <v>448</v>
      </c>
      <c r="D1198">
        <v>95</v>
      </c>
      <c r="E1198" s="29">
        <v>45642</v>
      </c>
      <c r="F1198">
        <v>13.612381287372493</v>
      </c>
      <c r="G1198">
        <v>3.23</v>
      </c>
      <c r="H1198">
        <f t="shared" si="53"/>
        <v>0.38700000000000001</v>
      </c>
      <c r="I1198">
        <f t="shared" si="51"/>
        <v>1.4333333333333333</v>
      </c>
    </row>
    <row r="1199" spans="1:9" x14ac:dyDescent="0.35">
      <c r="A1199">
        <v>2</v>
      </c>
      <c r="B1199" t="s">
        <v>63</v>
      </c>
      <c r="C1199">
        <v>295</v>
      </c>
      <c r="D1199">
        <v>95</v>
      </c>
      <c r="E1199" s="29">
        <v>45642</v>
      </c>
      <c r="F1199">
        <v>12.957467853610293</v>
      </c>
      <c r="G1199">
        <v>5.71</v>
      </c>
      <c r="H1199">
        <f t="shared" si="53"/>
        <v>0.65500000000000025</v>
      </c>
      <c r="I1199">
        <f t="shared" si="51"/>
        <v>2.4259259259259269</v>
      </c>
    </row>
    <row r="1200" spans="1:9" x14ac:dyDescent="0.35">
      <c r="A1200">
        <v>2</v>
      </c>
      <c r="B1200" t="s">
        <v>63</v>
      </c>
      <c r="C1200">
        <v>298</v>
      </c>
      <c r="D1200">
        <v>95</v>
      </c>
      <c r="E1200" s="29">
        <v>45642</v>
      </c>
      <c r="F1200">
        <v>18.528106508875734</v>
      </c>
      <c r="G1200">
        <v>6.41</v>
      </c>
      <c r="H1200">
        <f t="shared" si="53"/>
        <v>1.0019999999999998</v>
      </c>
      <c r="I1200">
        <f t="shared" si="51"/>
        <v>3.7111111111111104</v>
      </c>
    </row>
    <row r="1201" spans="1:9" x14ac:dyDescent="0.35">
      <c r="A1201">
        <v>2</v>
      </c>
      <c r="B1201" t="s">
        <v>63</v>
      </c>
      <c r="C1201">
        <v>301</v>
      </c>
      <c r="D1201">
        <v>95</v>
      </c>
      <c r="E1201" s="29">
        <v>45642</v>
      </c>
      <c r="F1201">
        <v>18.819471061709471</v>
      </c>
      <c r="G1201">
        <v>6.2</v>
      </c>
      <c r="H1201">
        <f t="shared" si="53"/>
        <v>0.98200000000000021</v>
      </c>
      <c r="I1201">
        <f t="shared" si="51"/>
        <v>3.6370370370370377</v>
      </c>
    </row>
    <row r="1202" spans="1:9" x14ac:dyDescent="0.35">
      <c r="A1202">
        <v>2</v>
      </c>
      <c r="B1202" t="s">
        <v>64</v>
      </c>
      <c r="C1202">
        <v>6</v>
      </c>
      <c r="D1202">
        <v>95</v>
      </c>
      <c r="E1202" s="29">
        <v>45642</v>
      </c>
      <c r="F1202">
        <v>17.07841031149302</v>
      </c>
      <c r="G1202">
        <v>4.3600000000000003</v>
      </c>
      <c r="H1202">
        <f t="shared" si="53"/>
        <v>0.63600000000000012</v>
      </c>
      <c r="I1202">
        <f t="shared" si="51"/>
        <v>2.3555555555555561</v>
      </c>
    </row>
    <row r="1203" spans="1:9" x14ac:dyDescent="0.35">
      <c r="A1203">
        <v>2</v>
      </c>
      <c r="B1203" t="s">
        <v>64</v>
      </c>
      <c r="C1203">
        <v>10</v>
      </c>
      <c r="D1203">
        <v>95</v>
      </c>
      <c r="E1203" s="29">
        <v>45642</v>
      </c>
      <c r="F1203">
        <v>17.679106510487617</v>
      </c>
      <c r="G1203">
        <v>4.32</v>
      </c>
      <c r="H1203">
        <f t="shared" si="53"/>
        <v>0.64900000000000047</v>
      </c>
      <c r="I1203">
        <f t="shared" si="51"/>
        <v>2.4037037037037057</v>
      </c>
    </row>
    <row r="1204" spans="1:9" x14ac:dyDescent="0.35">
      <c r="A1204">
        <v>2</v>
      </c>
      <c r="B1204" t="s">
        <v>64</v>
      </c>
      <c r="C1204">
        <v>14</v>
      </c>
      <c r="D1204">
        <v>95</v>
      </c>
      <c r="E1204" s="29">
        <v>45642</v>
      </c>
      <c r="F1204">
        <v>19.275549805950842</v>
      </c>
      <c r="G1204">
        <v>4.6100000000000003</v>
      </c>
      <c r="H1204">
        <f t="shared" si="53"/>
        <v>0.74500000000000011</v>
      </c>
      <c r="I1204">
        <f t="shared" si="51"/>
        <v>2.7592592592592595</v>
      </c>
    </row>
    <row r="1205" spans="1:9" x14ac:dyDescent="0.35">
      <c r="A1205">
        <v>4</v>
      </c>
      <c r="B1205" t="s">
        <v>64</v>
      </c>
      <c r="C1205">
        <v>26</v>
      </c>
      <c r="D1205">
        <v>95</v>
      </c>
      <c r="E1205" s="29">
        <v>45642</v>
      </c>
      <c r="F1205">
        <v>20.85308056872038</v>
      </c>
      <c r="G1205">
        <v>5.0999999999999996</v>
      </c>
      <c r="H1205">
        <f t="shared" si="53"/>
        <v>0.87999999999999989</v>
      </c>
      <c r="I1205">
        <f t="shared" si="51"/>
        <v>3.2592592592592591</v>
      </c>
    </row>
    <row r="1206" spans="1:9" x14ac:dyDescent="0.35">
      <c r="A1206">
        <v>4</v>
      </c>
      <c r="B1206" t="s">
        <v>64</v>
      </c>
      <c r="C1206">
        <v>30</v>
      </c>
      <c r="D1206">
        <v>95</v>
      </c>
      <c r="E1206" s="29">
        <v>45642</v>
      </c>
      <c r="F1206">
        <v>19.637750238322209</v>
      </c>
      <c r="G1206">
        <v>5.0199999999999996</v>
      </c>
      <c r="H1206">
        <f t="shared" si="53"/>
        <v>0.82399999999999984</v>
      </c>
      <c r="I1206">
        <f t="shared" si="51"/>
        <v>3.0518518518518514</v>
      </c>
    </row>
    <row r="1207" spans="1:9" x14ac:dyDescent="0.35">
      <c r="A1207">
        <v>4</v>
      </c>
      <c r="B1207" t="s">
        <v>64</v>
      </c>
      <c r="C1207">
        <v>34</v>
      </c>
      <c r="D1207">
        <v>95</v>
      </c>
      <c r="E1207" s="29">
        <v>45642</v>
      </c>
      <c r="F1207">
        <v>16.284566296383833</v>
      </c>
      <c r="G1207">
        <v>4.92</v>
      </c>
      <c r="H1207">
        <f t="shared" si="53"/>
        <v>0.68900000000000006</v>
      </c>
      <c r="I1207">
        <f t="shared" si="51"/>
        <v>2.5518518518518518</v>
      </c>
    </row>
    <row r="1208" spans="1:9" x14ac:dyDescent="0.35">
      <c r="A1208">
        <v>2</v>
      </c>
      <c r="B1208" t="s">
        <v>65</v>
      </c>
      <c r="C1208">
        <v>46</v>
      </c>
      <c r="D1208">
        <v>95</v>
      </c>
      <c r="E1208" s="29">
        <v>45642</v>
      </c>
      <c r="F1208">
        <v>18.556701030927851</v>
      </c>
      <c r="G1208">
        <v>5.98</v>
      </c>
      <c r="H1208">
        <f t="shared" si="53"/>
        <v>0.93600000000000083</v>
      </c>
      <c r="I1208">
        <f t="shared" si="51"/>
        <v>3.4666666666666699</v>
      </c>
    </row>
    <row r="1209" spans="1:9" x14ac:dyDescent="0.35">
      <c r="A1209">
        <v>2</v>
      </c>
      <c r="B1209" t="s">
        <v>65</v>
      </c>
      <c r="C1209">
        <v>50</v>
      </c>
      <c r="D1209">
        <v>95</v>
      </c>
      <c r="E1209" s="29">
        <v>45642</v>
      </c>
      <c r="F1209">
        <v>17.76668515437235</v>
      </c>
      <c r="G1209">
        <v>6.37</v>
      </c>
      <c r="H1209">
        <f t="shared" si="53"/>
        <v>0.9610000000000003</v>
      </c>
      <c r="I1209">
        <f t="shared" si="51"/>
        <v>3.5592592592592607</v>
      </c>
    </row>
    <row r="1210" spans="1:9" x14ac:dyDescent="0.35">
      <c r="A1210">
        <v>2</v>
      </c>
      <c r="B1210" t="s">
        <v>65</v>
      </c>
      <c r="C1210">
        <v>54</v>
      </c>
      <c r="D1210">
        <v>95</v>
      </c>
      <c r="E1210" s="29">
        <v>45642</v>
      </c>
      <c r="F1210">
        <v>17.101449275362317</v>
      </c>
      <c r="G1210">
        <v>6.06</v>
      </c>
      <c r="H1210">
        <f t="shared" si="53"/>
        <v>0.88499999999999979</v>
      </c>
      <c r="I1210">
        <f t="shared" si="51"/>
        <v>3.2777777777777768</v>
      </c>
    </row>
    <row r="1211" spans="1:9" x14ac:dyDescent="0.35">
      <c r="A1211">
        <v>4</v>
      </c>
      <c r="B1211" t="s">
        <v>65</v>
      </c>
      <c r="C1211">
        <v>67</v>
      </c>
      <c r="D1211">
        <v>95</v>
      </c>
      <c r="E1211" s="29">
        <v>45642</v>
      </c>
      <c r="F1211">
        <v>20.670391061452531</v>
      </c>
      <c r="G1211">
        <v>5.4</v>
      </c>
      <c r="H1211">
        <f t="shared" si="53"/>
        <v>0.92500000000000071</v>
      </c>
      <c r="I1211">
        <f t="shared" si="51"/>
        <v>3.4259259259259287</v>
      </c>
    </row>
    <row r="1212" spans="1:9" x14ac:dyDescent="0.35">
      <c r="A1212">
        <v>4</v>
      </c>
      <c r="B1212" t="s">
        <v>65</v>
      </c>
      <c r="C1212">
        <v>71</v>
      </c>
      <c r="D1212">
        <v>95</v>
      </c>
      <c r="E1212" s="29">
        <v>45642</v>
      </c>
      <c r="F1212">
        <v>20.215187254293387</v>
      </c>
      <c r="G1212">
        <v>5.81</v>
      </c>
      <c r="H1212">
        <f t="shared" si="53"/>
        <v>0.97699999999999942</v>
      </c>
      <c r="I1212">
        <f t="shared" si="51"/>
        <v>3.618518518518516</v>
      </c>
    </row>
    <row r="1213" spans="1:9" x14ac:dyDescent="0.35">
      <c r="A1213">
        <v>4</v>
      </c>
      <c r="B1213" t="s">
        <v>65</v>
      </c>
      <c r="C1213">
        <v>75</v>
      </c>
      <c r="D1213">
        <v>95</v>
      </c>
      <c r="E1213" s="29">
        <v>45642</v>
      </c>
      <c r="F1213">
        <v>19.91264641651777</v>
      </c>
      <c r="G1213">
        <v>6.04</v>
      </c>
      <c r="H1213">
        <f t="shared" si="53"/>
        <v>1.0030000000000001</v>
      </c>
      <c r="I1213">
        <f t="shared" si="51"/>
        <v>3.7148148148148152</v>
      </c>
    </row>
    <row r="1214" spans="1:9" x14ac:dyDescent="0.35">
      <c r="A1214">
        <v>2</v>
      </c>
      <c r="B1214" t="s">
        <v>66</v>
      </c>
      <c r="C1214">
        <v>87</v>
      </c>
      <c r="D1214">
        <v>95</v>
      </c>
      <c r="E1214" s="29">
        <v>45642</v>
      </c>
      <c r="F1214">
        <v>19.258973369355449</v>
      </c>
      <c r="G1214">
        <v>6.18</v>
      </c>
      <c r="H1214">
        <f t="shared" si="53"/>
        <v>0.99799999999999933</v>
      </c>
      <c r="I1214">
        <f t="shared" si="51"/>
        <v>3.696296296296294</v>
      </c>
    </row>
    <row r="1215" spans="1:9" x14ac:dyDescent="0.35">
      <c r="A1215">
        <v>2</v>
      </c>
      <c r="B1215" t="s">
        <v>66</v>
      </c>
      <c r="C1215">
        <v>91</v>
      </c>
      <c r="D1215">
        <v>95</v>
      </c>
      <c r="E1215" s="29">
        <v>45642</v>
      </c>
      <c r="F1215">
        <v>18.79221295192691</v>
      </c>
      <c r="G1215">
        <v>5.98</v>
      </c>
      <c r="H1215">
        <f t="shared" si="53"/>
        <v>0.94600000000000062</v>
      </c>
      <c r="I1215">
        <f t="shared" si="51"/>
        <v>3.5037037037037062</v>
      </c>
    </row>
    <row r="1216" spans="1:9" x14ac:dyDescent="0.35">
      <c r="A1216">
        <v>2</v>
      </c>
      <c r="B1216" t="s">
        <v>66</v>
      </c>
      <c r="C1216">
        <v>95</v>
      </c>
      <c r="D1216">
        <v>95</v>
      </c>
      <c r="E1216" s="29">
        <v>45642</v>
      </c>
      <c r="F1216">
        <v>18.55287569573284</v>
      </c>
      <c r="G1216">
        <v>6.39</v>
      </c>
      <c r="H1216">
        <f t="shared" si="53"/>
        <v>1</v>
      </c>
      <c r="I1216">
        <f t="shared" si="51"/>
        <v>3.7037037037037033</v>
      </c>
    </row>
    <row r="1217" spans="1:9" x14ac:dyDescent="0.35">
      <c r="A1217">
        <v>4</v>
      </c>
      <c r="B1217" t="s">
        <v>66</v>
      </c>
      <c r="C1217">
        <v>107</v>
      </c>
      <c r="D1217">
        <v>95</v>
      </c>
      <c r="E1217" s="29">
        <v>45642</v>
      </c>
      <c r="F1217">
        <v>20.446226250653652</v>
      </c>
      <c r="G1217">
        <v>6.91</v>
      </c>
      <c r="H1217">
        <f t="shared" si="53"/>
        <v>1.173</v>
      </c>
      <c r="I1217">
        <f t="shared" si="51"/>
        <v>4.3444444444444441</v>
      </c>
    </row>
    <row r="1218" spans="1:9" x14ac:dyDescent="0.35">
      <c r="A1218">
        <v>4</v>
      </c>
      <c r="B1218" t="s">
        <v>66</v>
      </c>
      <c r="C1218">
        <v>111</v>
      </c>
      <c r="D1218">
        <v>95</v>
      </c>
      <c r="E1218" s="29">
        <v>45642</v>
      </c>
      <c r="F1218">
        <v>20.5081063011867</v>
      </c>
      <c r="G1218">
        <v>7.21</v>
      </c>
      <c r="H1218">
        <f t="shared" si="53"/>
        <v>1.2270000000000003</v>
      </c>
      <c r="I1218">
        <f t="shared" si="51"/>
        <v>4.5444444444444452</v>
      </c>
    </row>
    <row r="1219" spans="1:9" x14ac:dyDescent="0.35">
      <c r="A1219">
        <v>4</v>
      </c>
      <c r="B1219" t="s">
        <v>66</v>
      </c>
      <c r="C1219">
        <v>115</v>
      </c>
      <c r="D1219">
        <v>95</v>
      </c>
      <c r="E1219" s="29">
        <v>45642</v>
      </c>
      <c r="F1219">
        <v>21.120766093278949</v>
      </c>
      <c r="G1219">
        <v>6.83</v>
      </c>
      <c r="H1219">
        <f t="shared" si="53"/>
        <v>1.1909999999999998</v>
      </c>
      <c r="I1219">
        <f t="shared" ref="I1219:I1243" si="54">H1219/27*100</f>
        <v>4.4111111111111105</v>
      </c>
    </row>
    <row r="1220" spans="1:9" x14ac:dyDescent="0.35">
      <c r="A1220">
        <v>2</v>
      </c>
      <c r="B1220" t="s">
        <v>58</v>
      </c>
      <c r="C1220">
        <v>128</v>
      </c>
      <c r="D1220">
        <v>95</v>
      </c>
      <c r="E1220" s="29">
        <v>45642</v>
      </c>
      <c r="F1220">
        <v>18.485342019543982</v>
      </c>
      <c r="G1220">
        <v>2.91</v>
      </c>
      <c r="H1220">
        <f t="shared" si="53"/>
        <v>0.45400000000000018</v>
      </c>
      <c r="I1220">
        <f t="shared" si="54"/>
        <v>1.681481481481482</v>
      </c>
    </row>
    <row r="1221" spans="1:9" x14ac:dyDescent="0.35">
      <c r="A1221">
        <v>2</v>
      </c>
      <c r="B1221" t="s">
        <v>58</v>
      </c>
      <c r="C1221">
        <v>133</v>
      </c>
      <c r="D1221">
        <v>95</v>
      </c>
      <c r="E1221" s="29">
        <v>45642</v>
      </c>
      <c r="F1221">
        <v>14.995787700084239</v>
      </c>
      <c r="G1221">
        <v>2.73</v>
      </c>
      <c r="H1221">
        <f t="shared" si="53"/>
        <v>0.35599999999999987</v>
      </c>
      <c r="I1221">
        <f t="shared" si="54"/>
        <v>1.318518518518518</v>
      </c>
    </row>
    <row r="1222" spans="1:9" x14ac:dyDescent="0.35">
      <c r="A1222">
        <v>2</v>
      </c>
      <c r="B1222" t="s">
        <v>58</v>
      </c>
      <c r="C1222">
        <v>139</v>
      </c>
      <c r="D1222">
        <v>95</v>
      </c>
      <c r="E1222" s="29">
        <v>45642</v>
      </c>
      <c r="F1222">
        <v>17.374842238115285</v>
      </c>
      <c r="G1222">
        <v>2.79</v>
      </c>
      <c r="H1222">
        <f t="shared" si="53"/>
        <v>0.41300000000000026</v>
      </c>
      <c r="I1222">
        <f t="shared" si="54"/>
        <v>1.5296296296296306</v>
      </c>
    </row>
    <row r="1223" spans="1:9" x14ac:dyDescent="0.35">
      <c r="A1223">
        <v>4</v>
      </c>
      <c r="B1223" t="s">
        <v>58</v>
      </c>
      <c r="C1223">
        <v>150</v>
      </c>
      <c r="D1223">
        <v>95</v>
      </c>
      <c r="E1223" s="29">
        <v>45642</v>
      </c>
      <c r="F1223">
        <v>24.666666666666671</v>
      </c>
      <c r="G1223">
        <v>3.74</v>
      </c>
      <c r="H1223">
        <f t="shared" si="53"/>
        <v>0.74000000000000021</v>
      </c>
      <c r="I1223">
        <f t="shared" si="54"/>
        <v>2.7407407407407414</v>
      </c>
    </row>
    <row r="1224" spans="1:9" x14ac:dyDescent="0.35">
      <c r="A1224">
        <v>4</v>
      </c>
      <c r="B1224" t="s">
        <v>58</v>
      </c>
      <c r="C1224">
        <v>156</v>
      </c>
      <c r="D1224">
        <v>95</v>
      </c>
      <c r="E1224" s="29">
        <v>45642</v>
      </c>
      <c r="F1224">
        <v>21.865889212827973</v>
      </c>
      <c r="G1224">
        <v>4.18</v>
      </c>
      <c r="H1224">
        <f t="shared" si="53"/>
        <v>0.74999999999999956</v>
      </c>
      <c r="I1224">
        <f t="shared" si="54"/>
        <v>2.7777777777777763</v>
      </c>
    </row>
    <row r="1225" spans="1:9" x14ac:dyDescent="0.35">
      <c r="A1225">
        <v>4</v>
      </c>
      <c r="B1225" t="s">
        <v>58</v>
      </c>
      <c r="C1225">
        <v>158</v>
      </c>
      <c r="D1225">
        <v>95</v>
      </c>
      <c r="E1225" s="29">
        <v>45642</v>
      </c>
      <c r="F1225">
        <v>19.661136604306385</v>
      </c>
      <c r="G1225">
        <v>3.39</v>
      </c>
      <c r="H1225">
        <f t="shared" si="53"/>
        <v>0.55699999999999994</v>
      </c>
      <c r="I1225">
        <f t="shared" si="54"/>
        <v>2.0629629629629624</v>
      </c>
    </row>
    <row r="1226" spans="1:9" x14ac:dyDescent="0.35">
      <c r="A1226">
        <v>2</v>
      </c>
      <c r="B1226" t="s">
        <v>59</v>
      </c>
      <c r="C1226">
        <v>191</v>
      </c>
      <c r="D1226">
        <v>95</v>
      </c>
      <c r="E1226" s="29">
        <v>45642</v>
      </c>
      <c r="F1226">
        <v>19.793348401679044</v>
      </c>
      <c r="G1226">
        <v>3.71</v>
      </c>
      <c r="H1226">
        <f t="shared" si="53"/>
        <v>0.61299999999999999</v>
      </c>
      <c r="I1226">
        <f t="shared" si="54"/>
        <v>2.2703703703703701</v>
      </c>
    </row>
    <row r="1227" spans="1:9" x14ac:dyDescent="0.35">
      <c r="A1227">
        <v>2</v>
      </c>
      <c r="B1227" t="s">
        <v>59</v>
      </c>
      <c r="C1227">
        <v>197</v>
      </c>
      <c r="D1227">
        <v>95</v>
      </c>
      <c r="E1227" s="29">
        <v>45642</v>
      </c>
      <c r="F1227">
        <v>18.956743002544531</v>
      </c>
      <c r="G1227">
        <v>3.74</v>
      </c>
      <c r="H1227">
        <f t="shared" si="53"/>
        <v>0.59600000000000009</v>
      </c>
      <c r="I1227">
        <f t="shared" si="54"/>
        <v>2.2074074074074077</v>
      </c>
    </row>
    <row r="1228" spans="1:9" x14ac:dyDescent="0.35">
      <c r="A1228">
        <v>2</v>
      </c>
      <c r="B1228" t="s">
        <v>59</v>
      </c>
      <c r="C1228">
        <v>204</v>
      </c>
      <c r="D1228">
        <v>95</v>
      </c>
      <c r="E1228" s="29">
        <v>45642</v>
      </c>
      <c r="F1228">
        <v>18.461019237259524</v>
      </c>
      <c r="G1228">
        <v>3.51</v>
      </c>
      <c r="H1228">
        <f t="shared" si="53"/>
        <v>0.54699999999999971</v>
      </c>
      <c r="I1228">
        <f t="shared" si="54"/>
        <v>2.0259259259259248</v>
      </c>
    </row>
    <row r="1229" spans="1:9" x14ac:dyDescent="0.35">
      <c r="A1229">
        <v>4</v>
      </c>
      <c r="B1229" t="s">
        <v>59</v>
      </c>
      <c r="C1229">
        <v>233</v>
      </c>
      <c r="D1229">
        <v>95</v>
      </c>
      <c r="E1229" s="29">
        <v>45642</v>
      </c>
      <c r="F1229">
        <v>16.553006819590816</v>
      </c>
      <c r="G1229">
        <v>3.76</v>
      </c>
      <c r="H1229">
        <f t="shared" si="53"/>
        <v>0.53399999999999981</v>
      </c>
      <c r="I1229">
        <f t="shared" si="54"/>
        <v>1.977777777777777</v>
      </c>
    </row>
    <row r="1230" spans="1:9" x14ac:dyDescent="0.35">
      <c r="A1230">
        <v>4</v>
      </c>
      <c r="B1230" t="s">
        <v>59</v>
      </c>
      <c r="C1230">
        <v>239</v>
      </c>
      <c r="D1230">
        <v>95</v>
      </c>
      <c r="E1230" s="29">
        <v>45642</v>
      </c>
      <c r="F1230">
        <v>22.933573790201383</v>
      </c>
      <c r="G1230">
        <v>4.09</v>
      </c>
      <c r="H1230">
        <f t="shared" si="53"/>
        <v>0.7629999999999999</v>
      </c>
      <c r="I1230">
        <f t="shared" si="54"/>
        <v>2.8259259259259255</v>
      </c>
    </row>
    <row r="1231" spans="1:9" x14ac:dyDescent="0.35">
      <c r="A1231">
        <v>4</v>
      </c>
      <c r="B1231" t="s">
        <v>59</v>
      </c>
      <c r="C1231">
        <v>242</v>
      </c>
      <c r="D1231">
        <v>95</v>
      </c>
      <c r="E1231" s="29">
        <v>45642</v>
      </c>
      <c r="F1231">
        <v>15.715162676488644</v>
      </c>
      <c r="G1231">
        <v>3.77</v>
      </c>
      <c r="H1231">
        <f t="shared" si="53"/>
        <v>0.51200000000000001</v>
      </c>
      <c r="I1231">
        <f t="shared" si="54"/>
        <v>1.8962962962962964</v>
      </c>
    </row>
    <row r="1232" spans="1:9" x14ac:dyDescent="0.35">
      <c r="A1232">
        <v>2</v>
      </c>
      <c r="B1232" t="s">
        <v>62</v>
      </c>
      <c r="C1232">
        <v>255</v>
      </c>
      <c r="D1232">
        <v>95</v>
      </c>
      <c r="E1232" s="29">
        <v>45642</v>
      </c>
      <c r="F1232">
        <v>14.47145279819107</v>
      </c>
      <c r="G1232">
        <v>4.05</v>
      </c>
      <c r="H1232">
        <f t="shared" si="53"/>
        <v>0.51200000000000001</v>
      </c>
      <c r="I1232">
        <f t="shared" si="54"/>
        <v>1.8962962962962964</v>
      </c>
    </row>
    <row r="1233" spans="1:9" x14ac:dyDescent="0.35">
      <c r="A1233">
        <v>2</v>
      </c>
      <c r="B1233" t="s">
        <v>62</v>
      </c>
      <c r="C1233">
        <v>264</v>
      </c>
      <c r="D1233">
        <v>95</v>
      </c>
      <c r="E1233" s="29">
        <v>45642</v>
      </c>
      <c r="F1233">
        <v>16.672190918130596</v>
      </c>
      <c r="G1233">
        <v>3.52</v>
      </c>
      <c r="H1233">
        <f t="shared" si="53"/>
        <v>0.50300000000000011</v>
      </c>
      <c r="I1233">
        <f t="shared" si="54"/>
        <v>1.8629629629629636</v>
      </c>
    </row>
    <row r="1234" spans="1:9" x14ac:dyDescent="0.35">
      <c r="A1234">
        <v>2</v>
      </c>
      <c r="B1234" t="s">
        <v>62</v>
      </c>
      <c r="C1234">
        <v>270</v>
      </c>
      <c r="D1234">
        <v>95</v>
      </c>
      <c r="E1234" s="29">
        <v>45642</v>
      </c>
      <c r="F1234">
        <v>19.349503858875412</v>
      </c>
      <c r="G1234">
        <v>4.33</v>
      </c>
      <c r="H1234">
        <f t="shared" si="53"/>
        <v>0.70199999999999996</v>
      </c>
      <c r="I1234">
        <f t="shared" si="54"/>
        <v>2.6</v>
      </c>
    </row>
    <row r="1235" spans="1:9" x14ac:dyDescent="0.35">
      <c r="A1235">
        <v>4</v>
      </c>
      <c r="B1235" t="s">
        <v>62</v>
      </c>
      <c r="C1235">
        <v>274</v>
      </c>
      <c r="D1235">
        <v>95</v>
      </c>
      <c r="E1235" s="29">
        <v>45642</v>
      </c>
      <c r="F1235">
        <v>18.799287713050113</v>
      </c>
      <c r="G1235">
        <v>4.67</v>
      </c>
      <c r="H1235">
        <f t="shared" si="53"/>
        <v>0.73899999999999988</v>
      </c>
      <c r="I1235">
        <f t="shared" si="54"/>
        <v>2.7370370370370365</v>
      </c>
    </row>
    <row r="1236" spans="1:9" x14ac:dyDescent="0.35">
      <c r="A1236">
        <v>4</v>
      </c>
      <c r="B1236" t="s">
        <v>62</v>
      </c>
      <c r="C1236">
        <v>277</v>
      </c>
      <c r="D1236">
        <v>95</v>
      </c>
      <c r="E1236" s="29">
        <v>45642</v>
      </c>
      <c r="F1236">
        <v>18.160801438479318</v>
      </c>
      <c r="G1236">
        <v>4.5999999999999996</v>
      </c>
      <c r="H1236">
        <f t="shared" si="53"/>
        <v>0.70699999999999985</v>
      </c>
      <c r="I1236">
        <f t="shared" si="54"/>
        <v>2.6185185185185178</v>
      </c>
    </row>
    <row r="1237" spans="1:9" x14ac:dyDescent="0.35">
      <c r="A1237">
        <v>4</v>
      </c>
      <c r="B1237" t="s">
        <v>62</v>
      </c>
      <c r="C1237">
        <v>282</v>
      </c>
      <c r="D1237">
        <v>95</v>
      </c>
      <c r="E1237" s="29">
        <v>45642</v>
      </c>
      <c r="F1237">
        <v>23.131285675455299</v>
      </c>
      <c r="G1237">
        <v>4.53</v>
      </c>
      <c r="H1237">
        <f t="shared" si="53"/>
        <v>0.85100000000000042</v>
      </c>
      <c r="I1237">
        <f t="shared" si="54"/>
        <v>3.1518518518518537</v>
      </c>
    </row>
    <row r="1238" spans="1:9" x14ac:dyDescent="0.35">
      <c r="A1238">
        <v>2</v>
      </c>
      <c r="B1238" t="s">
        <v>61</v>
      </c>
      <c r="C1238">
        <v>166</v>
      </c>
      <c r="D1238">
        <v>95</v>
      </c>
      <c r="E1238" s="29">
        <v>45642</v>
      </c>
      <c r="F1238">
        <v>15.34069280548154</v>
      </c>
      <c r="G1238">
        <v>3.03</v>
      </c>
      <c r="H1238">
        <f t="shared" si="53"/>
        <v>0.40300000000000002</v>
      </c>
      <c r="I1238">
        <f t="shared" si="54"/>
        <v>1.4925925925925927</v>
      </c>
    </row>
    <row r="1239" spans="1:9" x14ac:dyDescent="0.35">
      <c r="A1239">
        <v>2</v>
      </c>
      <c r="B1239" t="s">
        <v>61</v>
      </c>
      <c r="C1239">
        <v>172</v>
      </c>
      <c r="D1239">
        <v>95</v>
      </c>
      <c r="E1239" s="29">
        <v>45642</v>
      </c>
      <c r="F1239">
        <v>17.139334155363763</v>
      </c>
      <c r="G1239">
        <v>2.85</v>
      </c>
      <c r="H1239">
        <f t="shared" si="53"/>
        <v>0.41700000000000026</v>
      </c>
      <c r="I1239">
        <f t="shared" si="54"/>
        <v>1.5444444444444454</v>
      </c>
    </row>
    <row r="1240" spans="1:9" x14ac:dyDescent="0.35">
      <c r="A1240">
        <v>2</v>
      </c>
      <c r="B1240" t="s">
        <v>61</v>
      </c>
      <c r="C1240">
        <v>175</v>
      </c>
      <c r="D1240">
        <v>95</v>
      </c>
      <c r="E1240" s="29">
        <v>45642</v>
      </c>
      <c r="F1240">
        <v>17.82708492731447</v>
      </c>
      <c r="G1240">
        <v>3.08</v>
      </c>
      <c r="H1240">
        <f t="shared" ref="H1240:H1243" si="55">G1240-G67</f>
        <v>0.46600000000000019</v>
      </c>
      <c r="I1240">
        <f t="shared" si="54"/>
        <v>1.7259259259259265</v>
      </c>
    </row>
    <row r="1241" spans="1:9" x14ac:dyDescent="0.35">
      <c r="A1241">
        <v>4</v>
      </c>
      <c r="B1241" t="s">
        <v>61</v>
      </c>
      <c r="C1241">
        <v>211</v>
      </c>
      <c r="D1241">
        <v>95</v>
      </c>
      <c r="E1241" s="29">
        <v>45642</v>
      </c>
      <c r="F1241">
        <v>22.852512155591576</v>
      </c>
      <c r="G1241">
        <v>3.79</v>
      </c>
      <c r="H1241">
        <f t="shared" si="55"/>
        <v>0.70500000000000007</v>
      </c>
      <c r="I1241">
        <f t="shared" si="54"/>
        <v>2.6111111111111112</v>
      </c>
    </row>
    <row r="1242" spans="1:9" x14ac:dyDescent="0.35">
      <c r="A1242">
        <v>4</v>
      </c>
      <c r="B1242" t="s">
        <v>61</v>
      </c>
      <c r="C1242">
        <v>217</v>
      </c>
      <c r="D1242">
        <v>95</v>
      </c>
      <c r="E1242" s="29">
        <v>45642</v>
      </c>
      <c r="F1242">
        <v>21.730707135938008</v>
      </c>
      <c r="G1242">
        <v>3.77</v>
      </c>
      <c r="H1242">
        <f t="shared" si="55"/>
        <v>0.67300000000000004</v>
      </c>
      <c r="I1242">
        <f t="shared" si="54"/>
        <v>2.4925925925925929</v>
      </c>
    </row>
    <row r="1243" spans="1:9" x14ac:dyDescent="0.35">
      <c r="A1243">
        <v>4</v>
      </c>
      <c r="B1243" t="s">
        <v>61</v>
      </c>
      <c r="C1243">
        <v>223</v>
      </c>
      <c r="D1243">
        <v>95</v>
      </c>
      <c r="E1243" s="29">
        <v>45642</v>
      </c>
      <c r="F1243">
        <v>20.726495726495738</v>
      </c>
      <c r="G1243">
        <v>3.39</v>
      </c>
      <c r="H1243">
        <f t="shared" si="55"/>
        <v>0.58200000000000029</v>
      </c>
      <c r="I1243">
        <f t="shared" si="54"/>
        <v>2.1555555555555568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EF37B-43E2-4FFF-AC6E-65D488D5A9E2}">
  <dimension ref="A1:E139"/>
  <sheetViews>
    <sheetView workbookViewId="0">
      <selection activeCell="G7" sqref="G7"/>
    </sheetView>
  </sheetViews>
  <sheetFormatPr defaultRowHeight="14.5" x14ac:dyDescent="0.35"/>
  <cols>
    <col min="1" max="1" width="11" style="31" customWidth="1"/>
    <col min="2" max="2" width="13.81640625" style="31" customWidth="1"/>
    <col min="3" max="3" width="15" style="31" customWidth="1"/>
    <col min="4" max="4" width="23" style="31" customWidth="1"/>
    <col min="5" max="5" width="20.453125" style="31" customWidth="1"/>
  </cols>
  <sheetData>
    <row r="1" spans="1:5" x14ac:dyDescent="0.35">
      <c r="A1" s="30" t="s">
        <v>50</v>
      </c>
      <c r="B1" s="30" t="s">
        <v>51</v>
      </c>
      <c r="C1" s="30" t="s">
        <v>52</v>
      </c>
      <c r="D1" s="30" t="s">
        <v>53</v>
      </c>
      <c r="E1" s="30" t="s">
        <v>54</v>
      </c>
    </row>
    <row r="2" spans="1:5" x14ac:dyDescent="0.35">
      <c r="A2" s="31" t="s">
        <v>55</v>
      </c>
      <c r="B2" s="31" t="s">
        <v>63</v>
      </c>
      <c r="C2" s="31" t="s">
        <v>67</v>
      </c>
      <c r="D2" s="32">
        <v>5.5788382018094929</v>
      </c>
      <c r="E2" s="32">
        <v>9.1935619160278967E-2</v>
      </c>
    </row>
    <row r="3" spans="1:5" x14ac:dyDescent="0.35">
      <c r="A3" s="31" t="s">
        <v>55</v>
      </c>
      <c r="B3" s="31" t="s">
        <v>63</v>
      </c>
      <c r="C3" s="31" t="s">
        <v>68</v>
      </c>
      <c r="D3" s="32">
        <v>6.7241988174090359</v>
      </c>
      <c r="E3" s="32">
        <v>0.18093039761405971</v>
      </c>
    </row>
    <row r="4" spans="1:5" x14ac:dyDescent="0.35">
      <c r="A4" s="31" t="s">
        <v>55</v>
      </c>
      <c r="B4" s="31" t="s">
        <v>63</v>
      </c>
      <c r="C4" s="31" t="s">
        <v>69</v>
      </c>
      <c r="D4" s="32">
        <v>7.969189363305845</v>
      </c>
      <c r="E4" s="32">
        <v>9.5987932077744295E-2</v>
      </c>
    </row>
    <row r="5" spans="1:5" x14ac:dyDescent="0.35">
      <c r="A5" s="31" t="s">
        <v>55</v>
      </c>
      <c r="B5" s="31" t="s">
        <v>63</v>
      </c>
      <c r="C5" s="31" t="s">
        <v>70</v>
      </c>
      <c r="D5" s="32">
        <v>11.146012915250919</v>
      </c>
      <c r="E5" s="32">
        <v>7.823031878775448E-2</v>
      </c>
    </row>
    <row r="6" spans="1:5" x14ac:dyDescent="0.35">
      <c r="A6" s="31" t="s">
        <v>55</v>
      </c>
      <c r="B6" s="31" t="s">
        <v>63</v>
      </c>
      <c r="C6" s="31" t="s">
        <v>71</v>
      </c>
      <c r="D6" s="32">
        <v>16.459069825693099</v>
      </c>
      <c r="E6" s="32">
        <v>0.23186471075608081</v>
      </c>
    </row>
    <row r="7" spans="1:5" x14ac:dyDescent="0.35">
      <c r="A7" s="31" t="s">
        <v>55</v>
      </c>
      <c r="B7" s="31" t="s">
        <v>63</v>
      </c>
      <c r="C7" s="31" t="s">
        <v>72</v>
      </c>
      <c r="D7" s="32">
        <v>20.09263302606935</v>
      </c>
      <c r="E7" s="32">
        <v>0.13314303382272191</v>
      </c>
    </row>
    <row r="8" spans="1:5" x14ac:dyDescent="0.35">
      <c r="A8" s="31" t="s">
        <v>55</v>
      </c>
      <c r="B8" s="31" t="s">
        <v>64</v>
      </c>
      <c r="C8" s="31" t="s">
        <v>67</v>
      </c>
      <c r="D8" s="32">
        <v>5.5273318333071968</v>
      </c>
      <c r="E8" s="32">
        <v>0.16395105664120219</v>
      </c>
    </row>
    <row r="9" spans="1:5" x14ac:dyDescent="0.35">
      <c r="A9" s="31" t="s">
        <v>55</v>
      </c>
      <c r="B9" s="31" t="s">
        <v>64</v>
      </c>
      <c r="C9" s="31" t="s">
        <v>68</v>
      </c>
      <c r="D9" s="32">
        <v>6.6810459030651366</v>
      </c>
      <c r="E9" s="32">
        <v>0.40208381405828458</v>
      </c>
    </row>
    <row r="10" spans="1:5" x14ac:dyDescent="0.35">
      <c r="A10" s="31" t="s">
        <v>55</v>
      </c>
      <c r="B10" s="31" t="s">
        <v>64</v>
      </c>
      <c r="C10" s="31" t="s">
        <v>69</v>
      </c>
      <c r="D10" s="32">
        <v>7.8451588889813202</v>
      </c>
      <c r="E10" s="32">
        <v>0.346723815534485</v>
      </c>
    </row>
    <row r="11" spans="1:5" x14ac:dyDescent="0.35">
      <c r="A11" s="31" t="s">
        <v>55</v>
      </c>
      <c r="B11" s="31" t="s">
        <v>64</v>
      </c>
      <c r="C11" s="31" t="s">
        <v>70</v>
      </c>
      <c r="D11" s="32">
        <v>11.06262432503895</v>
      </c>
      <c r="E11" s="32">
        <v>0.1051753111374638</v>
      </c>
    </row>
    <row r="12" spans="1:5" x14ac:dyDescent="0.35">
      <c r="A12" s="31" t="s">
        <v>55</v>
      </c>
      <c r="B12" s="31" t="s">
        <v>64</v>
      </c>
      <c r="C12" s="31" t="s">
        <v>71</v>
      </c>
      <c r="D12" s="32">
        <v>16.86846982107151</v>
      </c>
      <c r="E12" s="32">
        <v>0.32944708090836222</v>
      </c>
    </row>
    <row r="13" spans="1:5" x14ac:dyDescent="0.35">
      <c r="A13" s="31" t="s">
        <v>55</v>
      </c>
      <c r="B13" s="31" t="s">
        <v>64</v>
      </c>
      <c r="C13" s="31" t="s">
        <v>72</v>
      </c>
      <c r="D13" s="32">
        <v>20.79806879415851</v>
      </c>
      <c r="E13" s="32">
        <v>0.31339337141201801</v>
      </c>
    </row>
    <row r="14" spans="1:5" x14ac:dyDescent="0.35">
      <c r="A14" s="31" t="s">
        <v>55</v>
      </c>
      <c r="B14" s="31" t="s">
        <v>65</v>
      </c>
      <c r="C14" s="31" t="s">
        <v>67</v>
      </c>
      <c r="D14" s="32">
        <v>5.4717180381481523</v>
      </c>
      <c r="E14" s="32">
        <v>0.2030752321670978</v>
      </c>
    </row>
    <row r="15" spans="1:5" x14ac:dyDescent="0.35">
      <c r="A15" s="31" t="s">
        <v>55</v>
      </c>
      <c r="B15" s="31" t="s">
        <v>65</v>
      </c>
      <c r="C15" s="31" t="s">
        <v>68</v>
      </c>
      <c r="D15" s="32">
        <v>6.3728442046368814</v>
      </c>
      <c r="E15" s="32">
        <v>0.19206676520855989</v>
      </c>
    </row>
    <row r="16" spans="1:5" x14ac:dyDescent="0.35">
      <c r="A16" s="31" t="s">
        <v>55</v>
      </c>
      <c r="B16" s="31" t="s">
        <v>65</v>
      </c>
      <c r="C16" s="31" t="s">
        <v>69</v>
      </c>
      <c r="D16" s="32">
        <v>7.788159645200043</v>
      </c>
      <c r="E16" s="32">
        <v>0.27046585237269383</v>
      </c>
    </row>
    <row r="17" spans="1:5" x14ac:dyDescent="0.35">
      <c r="A17" s="31" t="s">
        <v>55</v>
      </c>
      <c r="B17" s="31" t="s">
        <v>65</v>
      </c>
      <c r="C17" s="31" t="s">
        <v>70</v>
      </c>
      <c r="D17" s="32">
        <v>10.938993379450251</v>
      </c>
      <c r="E17" s="32">
        <v>0.1205479228048336</v>
      </c>
    </row>
    <row r="18" spans="1:5" x14ac:dyDescent="0.35">
      <c r="A18" s="31" t="s">
        <v>55</v>
      </c>
      <c r="B18" s="31" t="s">
        <v>65</v>
      </c>
      <c r="C18" s="31" t="s">
        <v>71</v>
      </c>
      <c r="D18" s="32">
        <v>16.468833865204399</v>
      </c>
      <c r="E18" s="32">
        <v>0.28819059980670197</v>
      </c>
    </row>
    <row r="19" spans="1:5" x14ac:dyDescent="0.35">
      <c r="A19" s="31" t="s">
        <v>55</v>
      </c>
      <c r="B19" s="31" t="s">
        <v>65</v>
      </c>
      <c r="C19" s="31" t="s">
        <v>72</v>
      </c>
      <c r="D19" s="32">
        <v>20.135928772502591</v>
      </c>
      <c r="E19" s="32">
        <v>0.18120554940897279</v>
      </c>
    </row>
    <row r="20" spans="1:5" x14ac:dyDescent="0.35">
      <c r="A20" s="31" t="s">
        <v>55</v>
      </c>
      <c r="B20" s="31" t="s">
        <v>66</v>
      </c>
      <c r="C20" s="31" t="s">
        <v>67</v>
      </c>
      <c r="D20" s="32">
        <v>5.4749984496858</v>
      </c>
      <c r="E20" s="32">
        <v>0.23075609136104891</v>
      </c>
    </row>
    <row r="21" spans="1:5" x14ac:dyDescent="0.35">
      <c r="A21" s="31" t="s">
        <v>55</v>
      </c>
      <c r="B21" s="31" t="s">
        <v>66</v>
      </c>
      <c r="C21" s="31" t="s">
        <v>68</v>
      </c>
      <c r="D21" s="32">
        <v>6.8148279026515528</v>
      </c>
      <c r="E21" s="32">
        <v>5.9419320546338653E-2</v>
      </c>
    </row>
    <row r="22" spans="1:5" x14ac:dyDescent="0.35">
      <c r="A22" s="31" t="s">
        <v>55</v>
      </c>
      <c r="B22" s="31" t="s">
        <v>66</v>
      </c>
      <c r="C22" s="31" t="s">
        <v>69</v>
      </c>
      <c r="D22" s="32">
        <v>8.1492305648958148</v>
      </c>
      <c r="E22" s="32">
        <v>0.1349055591305009</v>
      </c>
    </row>
    <row r="23" spans="1:5" x14ac:dyDescent="0.35">
      <c r="A23" s="31" t="s">
        <v>55</v>
      </c>
      <c r="B23" s="31" t="s">
        <v>66</v>
      </c>
      <c r="C23" s="31" t="s">
        <v>70</v>
      </c>
      <c r="D23" s="32">
        <v>10.99078035637047</v>
      </c>
      <c r="E23" s="32">
        <v>0.1138375784967834</v>
      </c>
    </row>
    <row r="24" spans="1:5" x14ac:dyDescent="0.35">
      <c r="A24" s="31" t="s">
        <v>55</v>
      </c>
      <c r="B24" s="31" t="s">
        <v>66</v>
      </c>
      <c r="C24" s="31" t="s">
        <v>71</v>
      </c>
      <c r="D24" s="32">
        <v>14.83779886760837</v>
      </c>
      <c r="E24" s="32">
        <v>0.1229199526121544</v>
      </c>
    </row>
    <row r="25" spans="1:5" x14ac:dyDescent="0.35">
      <c r="A25" s="31" t="s">
        <v>55</v>
      </c>
      <c r="B25" s="31" t="s">
        <v>66</v>
      </c>
      <c r="C25" s="31" t="s">
        <v>72</v>
      </c>
      <c r="D25" s="32">
        <v>17.840964925299389</v>
      </c>
      <c r="E25" s="32">
        <v>0.35042051379402772</v>
      </c>
    </row>
    <row r="26" spans="1:5" x14ac:dyDescent="0.35">
      <c r="A26" s="31" t="s">
        <v>55</v>
      </c>
      <c r="B26" s="31" t="s">
        <v>58</v>
      </c>
      <c r="C26" s="31" t="s">
        <v>67</v>
      </c>
      <c r="D26" s="32">
        <v>4.8623784509979053</v>
      </c>
      <c r="E26" s="32">
        <v>0.21288337193209189</v>
      </c>
    </row>
    <row r="27" spans="1:5" x14ac:dyDescent="0.35">
      <c r="A27" s="31" t="s">
        <v>55</v>
      </c>
      <c r="B27" s="31" t="s">
        <v>58</v>
      </c>
      <c r="C27" s="31" t="s">
        <v>68</v>
      </c>
      <c r="D27" s="32">
        <v>5.9711271220151874</v>
      </c>
      <c r="E27" s="32">
        <v>4.6594884715076709E-2</v>
      </c>
    </row>
    <row r="28" spans="1:5" x14ac:dyDescent="0.35">
      <c r="A28" s="31" t="s">
        <v>55</v>
      </c>
      <c r="B28" s="31" t="s">
        <v>58</v>
      </c>
      <c r="C28" s="31" t="s">
        <v>69</v>
      </c>
      <c r="D28" s="32">
        <v>6.8481529335723739</v>
      </c>
      <c r="E28" s="32">
        <v>0.1214741799554928</v>
      </c>
    </row>
    <row r="29" spans="1:5" x14ac:dyDescent="0.35">
      <c r="A29" s="31" t="s">
        <v>55</v>
      </c>
      <c r="B29" s="31" t="s">
        <v>58</v>
      </c>
      <c r="C29" s="31" t="s">
        <v>70</v>
      </c>
      <c r="D29" s="32">
        <v>10.273638500926531</v>
      </c>
      <c r="E29" s="32">
        <v>0.22973077774064291</v>
      </c>
    </row>
    <row r="30" spans="1:5" x14ac:dyDescent="0.35">
      <c r="A30" s="31" t="s">
        <v>55</v>
      </c>
      <c r="B30" s="31" t="s">
        <v>58</v>
      </c>
      <c r="C30" s="31" t="s">
        <v>71</v>
      </c>
      <c r="D30" s="32">
        <v>16.53489291847993</v>
      </c>
      <c r="E30" s="32">
        <v>0.38311003958158057</v>
      </c>
    </row>
    <row r="31" spans="1:5" x14ac:dyDescent="0.35">
      <c r="A31" s="31" t="s">
        <v>55</v>
      </c>
      <c r="B31" s="31" t="s">
        <v>58</v>
      </c>
      <c r="C31" s="31" t="s">
        <v>72</v>
      </c>
      <c r="D31" s="32">
        <v>22.293737257598679</v>
      </c>
      <c r="E31" s="32">
        <v>0.66168360801273063</v>
      </c>
    </row>
    <row r="32" spans="1:5" x14ac:dyDescent="0.35">
      <c r="A32" s="31" t="s">
        <v>55</v>
      </c>
      <c r="B32" s="31" t="s">
        <v>59</v>
      </c>
      <c r="C32" s="31" t="s">
        <v>67</v>
      </c>
      <c r="D32" s="32">
        <v>5.2438754024254406</v>
      </c>
      <c r="E32" s="32">
        <v>0.40307546963091151</v>
      </c>
    </row>
    <row r="33" spans="1:5" x14ac:dyDescent="0.35">
      <c r="A33" s="31" t="s">
        <v>55</v>
      </c>
      <c r="B33" s="31" t="s">
        <v>59</v>
      </c>
      <c r="C33" s="31" t="s">
        <v>68</v>
      </c>
      <c r="D33" s="32">
        <v>6.1959160005839564</v>
      </c>
      <c r="E33" s="32">
        <v>0.22669460181649151</v>
      </c>
    </row>
    <row r="34" spans="1:5" x14ac:dyDescent="0.35">
      <c r="A34" s="31" t="s">
        <v>55</v>
      </c>
      <c r="B34" s="31" t="s">
        <v>59</v>
      </c>
      <c r="C34" s="31" t="s">
        <v>69</v>
      </c>
      <c r="D34" s="32">
        <v>7.1437689356190832</v>
      </c>
      <c r="E34" s="32">
        <v>0.29510107558887499</v>
      </c>
    </row>
    <row r="35" spans="1:5" x14ac:dyDescent="0.35">
      <c r="A35" s="31" t="s">
        <v>55</v>
      </c>
      <c r="B35" s="31" t="s">
        <v>59</v>
      </c>
      <c r="C35" s="31" t="s">
        <v>70</v>
      </c>
      <c r="D35" s="32">
        <v>10.627331979500511</v>
      </c>
      <c r="E35" s="32">
        <v>0.44394024266324711</v>
      </c>
    </row>
    <row r="36" spans="1:5" x14ac:dyDescent="0.35">
      <c r="A36" s="31" t="s">
        <v>55</v>
      </c>
      <c r="B36" s="31" t="s">
        <v>59</v>
      </c>
      <c r="C36" s="31" t="s">
        <v>71</v>
      </c>
      <c r="D36" s="32">
        <v>16.861026513343958</v>
      </c>
      <c r="E36" s="32">
        <v>0.36252083878195912</v>
      </c>
    </row>
    <row r="37" spans="1:5" x14ac:dyDescent="0.35">
      <c r="A37" s="31" t="s">
        <v>55</v>
      </c>
      <c r="B37" s="31" t="s">
        <v>59</v>
      </c>
      <c r="C37" s="31" t="s">
        <v>72</v>
      </c>
      <c r="D37" s="32">
        <v>21.608666514766369</v>
      </c>
      <c r="E37" s="32">
        <v>0.67380419912535316</v>
      </c>
    </row>
    <row r="38" spans="1:5" x14ac:dyDescent="0.35">
      <c r="A38" s="31" t="s">
        <v>55</v>
      </c>
      <c r="B38" s="31" t="s">
        <v>60</v>
      </c>
      <c r="C38" s="31" t="s">
        <v>67</v>
      </c>
      <c r="D38" s="32">
        <v>5.2465531610648268</v>
      </c>
      <c r="E38" s="32">
        <v>5.4280278870934943E-2</v>
      </c>
    </row>
    <row r="39" spans="1:5" x14ac:dyDescent="0.35">
      <c r="A39" s="31" t="s">
        <v>55</v>
      </c>
      <c r="B39" s="31" t="s">
        <v>60</v>
      </c>
      <c r="C39" s="31" t="s">
        <v>68</v>
      </c>
      <c r="D39" s="32">
        <v>6.2512209429406909</v>
      </c>
      <c r="E39" s="32">
        <v>8.4455015779183573E-2</v>
      </c>
    </row>
    <row r="40" spans="1:5" x14ac:dyDescent="0.35">
      <c r="A40" s="31" t="s">
        <v>55</v>
      </c>
      <c r="B40" s="31" t="s">
        <v>60</v>
      </c>
      <c r="C40" s="31" t="s">
        <v>69</v>
      </c>
      <c r="D40" s="32">
        <v>6.9993878190295238</v>
      </c>
      <c r="E40" s="32">
        <v>0.1442786361569231</v>
      </c>
    </row>
    <row r="41" spans="1:5" x14ac:dyDescent="0.35">
      <c r="A41" s="31" t="s">
        <v>55</v>
      </c>
      <c r="B41" s="31" t="s">
        <v>60</v>
      </c>
      <c r="C41" s="31" t="s">
        <v>70</v>
      </c>
      <c r="D41" s="32">
        <v>9.5110572737191941</v>
      </c>
      <c r="E41" s="32">
        <v>6.8516381379989222E-2</v>
      </c>
    </row>
    <row r="42" spans="1:5" x14ac:dyDescent="0.35">
      <c r="A42" s="31" t="s">
        <v>55</v>
      </c>
      <c r="B42" s="31" t="s">
        <v>60</v>
      </c>
      <c r="C42" s="31" t="s">
        <v>71</v>
      </c>
      <c r="D42" s="32">
        <v>15.693904154235639</v>
      </c>
      <c r="E42" s="32">
        <v>0.43282230377585718</v>
      </c>
    </row>
    <row r="43" spans="1:5" x14ac:dyDescent="0.35">
      <c r="A43" s="31" t="s">
        <v>55</v>
      </c>
      <c r="B43" s="31" t="s">
        <v>60</v>
      </c>
      <c r="C43" s="31" t="s">
        <v>72</v>
      </c>
      <c r="D43" s="32">
        <v>19.71378987158667</v>
      </c>
      <c r="E43" s="32">
        <v>0.4058969737427765</v>
      </c>
    </row>
    <row r="44" spans="1:5" x14ac:dyDescent="0.35">
      <c r="A44" s="31" t="s">
        <v>55</v>
      </c>
      <c r="B44" s="31" t="s">
        <v>61</v>
      </c>
      <c r="C44" s="31" t="s">
        <v>67</v>
      </c>
      <c r="D44" s="32">
        <v>4.4032509714484807</v>
      </c>
      <c r="E44" s="32">
        <v>0.110820326373345</v>
      </c>
    </row>
    <row r="45" spans="1:5" x14ac:dyDescent="0.35">
      <c r="A45" s="31" t="s">
        <v>55</v>
      </c>
      <c r="B45" s="31" t="s">
        <v>61</v>
      </c>
      <c r="C45" s="31" t="s">
        <v>68</v>
      </c>
      <c r="D45" s="32">
        <v>5.7911754950451524</v>
      </c>
      <c r="E45" s="32">
        <v>0.34898622966282389</v>
      </c>
    </row>
    <row r="46" spans="1:5" x14ac:dyDescent="0.35">
      <c r="A46" s="31" t="s">
        <v>55</v>
      </c>
      <c r="B46" s="31" t="s">
        <v>61</v>
      </c>
      <c r="C46" s="31" t="s">
        <v>69</v>
      </c>
      <c r="D46" s="32">
        <v>5.9083508172772916</v>
      </c>
      <c r="E46" s="32">
        <v>0.4231570136137518</v>
      </c>
    </row>
    <row r="47" spans="1:5" x14ac:dyDescent="0.35">
      <c r="A47" s="31" t="s">
        <v>55</v>
      </c>
      <c r="B47" s="31" t="s">
        <v>61</v>
      </c>
      <c r="C47" s="31" t="s">
        <v>70</v>
      </c>
      <c r="D47" s="32">
        <v>8.2233819305546625</v>
      </c>
      <c r="E47" s="32">
        <v>0.51657075319384682</v>
      </c>
    </row>
    <row r="48" spans="1:5" x14ac:dyDescent="0.35">
      <c r="A48" s="31" t="s">
        <v>55</v>
      </c>
      <c r="B48" s="31" t="s">
        <v>61</v>
      </c>
      <c r="C48" s="31" t="s">
        <v>71</v>
      </c>
      <c r="D48" s="32">
        <v>13.32367449038038</v>
      </c>
      <c r="E48" s="32">
        <v>0.38166751341569222</v>
      </c>
    </row>
    <row r="49" spans="1:5" x14ac:dyDescent="0.35">
      <c r="A49" s="31" t="s">
        <v>55</v>
      </c>
      <c r="B49" s="31" t="s">
        <v>61</v>
      </c>
      <c r="C49" s="31" t="s">
        <v>72</v>
      </c>
      <c r="D49" s="32">
        <v>16.10492254214234</v>
      </c>
      <c r="E49" s="32">
        <v>0.36118510932968939</v>
      </c>
    </row>
    <row r="50" spans="1:5" x14ac:dyDescent="0.35">
      <c r="A50" s="31" t="s">
        <v>56</v>
      </c>
      <c r="B50" s="31" t="s">
        <v>63</v>
      </c>
      <c r="C50" s="31" t="s">
        <v>67</v>
      </c>
      <c r="D50" s="32">
        <v>5.3756921761046046</v>
      </c>
      <c r="E50" s="32">
        <v>3.975062244735863</v>
      </c>
    </row>
    <row r="51" spans="1:5" x14ac:dyDescent="0.35">
      <c r="A51" s="31" t="s">
        <v>56</v>
      </c>
      <c r="B51" s="31" t="s">
        <v>63</v>
      </c>
      <c r="C51" s="31" t="s">
        <v>68</v>
      </c>
      <c r="D51" s="32">
        <v>4.7957171042105937</v>
      </c>
      <c r="E51" s="32">
        <v>2.3544010232338199</v>
      </c>
    </row>
    <row r="52" spans="1:5" x14ac:dyDescent="0.35">
      <c r="A52" s="31" t="s">
        <v>56</v>
      </c>
      <c r="B52" s="31" t="s">
        <v>63</v>
      </c>
      <c r="C52" s="31" t="s">
        <v>69</v>
      </c>
      <c r="D52" s="32">
        <v>6.7082555195796214</v>
      </c>
      <c r="E52" s="32">
        <v>2.473048905775082</v>
      </c>
    </row>
    <row r="53" spans="1:5" x14ac:dyDescent="0.35">
      <c r="A53" s="31" t="s">
        <v>56</v>
      </c>
      <c r="B53" s="31" t="s">
        <v>63</v>
      </c>
      <c r="C53" s="31" t="s">
        <v>70</v>
      </c>
      <c r="D53" s="32">
        <v>9.4460259772482509</v>
      </c>
      <c r="E53" s="32">
        <v>2.6125916478873572</v>
      </c>
    </row>
    <row r="54" spans="1:5" x14ac:dyDescent="0.35">
      <c r="A54" s="31" t="s">
        <v>56</v>
      </c>
      <c r="B54" s="31" t="s">
        <v>63</v>
      </c>
      <c r="C54" s="31" t="s">
        <v>71</v>
      </c>
      <c r="D54" s="32">
        <v>15.24715370139122</v>
      </c>
      <c r="E54" s="32">
        <v>2.6692979232827732</v>
      </c>
    </row>
    <row r="55" spans="1:5" x14ac:dyDescent="0.35">
      <c r="A55" s="31" t="s">
        <v>56</v>
      </c>
      <c r="B55" s="31" t="s">
        <v>63</v>
      </c>
      <c r="C55" s="31" t="s">
        <v>72</v>
      </c>
      <c r="D55" s="32">
        <v>20.54208760548919</v>
      </c>
      <c r="E55" s="32">
        <v>2.628162281166702</v>
      </c>
    </row>
    <row r="56" spans="1:5" x14ac:dyDescent="0.35">
      <c r="A56" s="31" t="s">
        <v>56</v>
      </c>
      <c r="B56" s="31" t="s">
        <v>64</v>
      </c>
      <c r="C56" s="31" t="s">
        <v>67</v>
      </c>
      <c r="D56" s="32">
        <v>6.0336513576138913</v>
      </c>
      <c r="E56" s="32">
        <v>0.3242610803170301</v>
      </c>
    </row>
    <row r="57" spans="1:5" x14ac:dyDescent="0.35">
      <c r="A57" s="31" t="s">
        <v>56</v>
      </c>
      <c r="B57" s="31" t="s">
        <v>64</v>
      </c>
      <c r="C57" s="31" t="s">
        <v>68</v>
      </c>
      <c r="D57" s="32">
        <v>7.0168940579423351</v>
      </c>
      <c r="E57" s="32">
        <v>0.34361117787770862</v>
      </c>
    </row>
    <row r="58" spans="1:5" x14ac:dyDescent="0.35">
      <c r="A58" s="31" t="s">
        <v>56</v>
      </c>
      <c r="B58" s="31" t="s">
        <v>64</v>
      </c>
      <c r="C58" s="31" t="s">
        <v>69</v>
      </c>
      <c r="D58" s="32">
        <v>9.2355808361884648</v>
      </c>
      <c r="E58" s="32">
        <v>0.30193409119565862</v>
      </c>
    </row>
    <row r="59" spans="1:5" x14ac:dyDescent="0.35">
      <c r="A59" s="31" t="s">
        <v>56</v>
      </c>
      <c r="B59" s="31" t="s">
        <v>64</v>
      </c>
      <c r="C59" s="31" t="s">
        <v>70</v>
      </c>
      <c r="D59" s="32">
        <v>12.699507944209049</v>
      </c>
      <c r="E59" s="32">
        <v>0.55950186904483445</v>
      </c>
    </row>
    <row r="60" spans="1:5" x14ac:dyDescent="0.35">
      <c r="A60" s="31" t="s">
        <v>56</v>
      </c>
      <c r="B60" s="31" t="s">
        <v>64</v>
      </c>
      <c r="C60" s="31" t="s">
        <v>71</v>
      </c>
      <c r="D60" s="32">
        <v>19.540437255662791</v>
      </c>
      <c r="E60" s="32">
        <v>0.42632265535653951</v>
      </c>
    </row>
    <row r="61" spans="1:5" x14ac:dyDescent="0.35">
      <c r="A61" s="31" t="s">
        <v>56</v>
      </c>
      <c r="B61" s="31" t="s">
        <v>64</v>
      </c>
      <c r="C61" s="31" t="s">
        <v>72</v>
      </c>
      <c r="D61" s="32">
        <v>25.044712999785339</v>
      </c>
      <c r="E61" s="32">
        <v>1.0373648667537541</v>
      </c>
    </row>
    <row r="62" spans="1:5" x14ac:dyDescent="0.35">
      <c r="A62" s="31" t="s">
        <v>56</v>
      </c>
      <c r="B62" s="31" t="s">
        <v>65</v>
      </c>
      <c r="C62" s="31" t="s">
        <v>67</v>
      </c>
      <c r="D62" s="32">
        <v>5.9033366901621784</v>
      </c>
      <c r="E62" s="32">
        <v>0.15868737083925499</v>
      </c>
    </row>
    <row r="63" spans="1:5" x14ac:dyDescent="0.35">
      <c r="A63" s="31" t="s">
        <v>56</v>
      </c>
      <c r="B63" s="31" t="s">
        <v>65</v>
      </c>
      <c r="C63" s="31" t="s">
        <v>68</v>
      </c>
      <c r="D63" s="32">
        <v>6.9227910307211182</v>
      </c>
      <c r="E63" s="32">
        <v>0.2219218143759763</v>
      </c>
    </row>
    <row r="64" spans="1:5" x14ac:dyDescent="0.35">
      <c r="A64" s="31" t="s">
        <v>56</v>
      </c>
      <c r="B64" s="31" t="s">
        <v>65</v>
      </c>
      <c r="C64" s="31" t="s">
        <v>69</v>
      </c>
      <c r="D64" s="32">
        <v>8.6474389725582537</v>
      </c>
      <c r="E64" s="32">
        <v>0.24341359751530359</v>
      </c>
    </row>
    <row r="65" spans="1:5" x14ac:dyDescent="0.35">
      <c r="A65" s="31" t="s">
        <v>56</v>
      </c>
      <c r="B65" s="31" t="s">
        <v>65</v>
      </c>
      <c r="C65" s="31" t="s">
        <v>70</v>
      </c>
      <c r="D65" s="32">
        <v>11.66256850439272</v>
      </c>
      <c r="E65" s="32">
        <v>0.16935371923041151</v>
      </c>
    </row>
    <row r="66" spans="1:5" x14ac:dyDescent="0.35">
      <c r="A66" s="31" t="s">
        <v>56</v>
      </c>
      <c r="B66" s="31" t="s">
        <v>65</v>
      </c>
      <c r="C66" s="31" t="s">
        <v>71</v>
      </c>
      <c r="D66" s="32">
        <v>16.71995247595752</v>
      </c>
      <c r="E66" s="32">
        <v>0.618327462257797</v>
      </c>
    </row>
    <row r="67" spans="1:5" x14ac:dyDescent="0.35">
      <c r="A67" s="31" t="s">
        <v>56</v>
      </c>
      <c r="B67" s="31" t="s">
        <v>65</v>
      </c>
      <c r="C67" s="31" t="s">
        <v>72</v>
      </c>
      <c r="D67" s="32">
        <v>20.695697215504719</v>
      </c>
      <c r="E67" s="32">
        <v>0.73103814906717191</v>
      </c>
    </row>
    <row r="68" spans="1:5" x14ac:dyDescent="0.35">
      <c r="A68" s="31" t="s">
        <v>56</v>
      </c>
      <c r="B68" s="31" t="s">
        <v>66</v>
      </c>
      <c r="C68" s="31" t="s">
        <v>67</v>
      </c>
      <c r="D68" s="32">
        <v>5.9201957381769219</v>
      </c>
      <c r="E68" s="32">
        <v>3.4959136294034188E-2</v>
      </c>
    </row>
    <row r="69" spans="1:5" x14ac:dyDescent="0.35">
      <c r="A69" s="31" t="s">
        <v>56</v>
      </c>
      <c r="B69" s="31" t="s">
        <v>66</v>
      </c>
      <c r="C69" s="31" t="s">
        <v>68</v>
      </c>
      <c r="D69" s="32">
        <v>6.9439613697616087</v>
      </c>
      <c r="E69" s="32">
        <v>9.3588767798290312E-2</v>
      </c>
    </row>
    <row r="70" spans="1:5" x14ac:dyDescent="0.35">
      <c r="A70" s="31" t="s">
        <v>56</v>
      </c>
      <c r="B70" s="31" t="s">
        <v>66</v>
      </c>
      <c r="C70" s="31" t="s">
        <v>69</v>
      </c>
      <c r="D70" s="32">
        <v>8.6092058572602141</v>
      </c>
      <c r="E70" s="32">
        <v>0.13244198580139249</v>
      </c>
    </row>
    <row r="71" spans="1:5" x14ac:dyDescent="0.35">
      <c r="A71" s="31" t="s">
        <v>56</v>
      </c>
      <c r="B71" s="31" t="s">
        <v>66</v>
      </c>
      <c r="C71" s="31" t="s">
        <v>70</v>
      </c>
      <c r="D71" s="32">
        <v>11.74671914719374</v>
      </c>
      <c r="E71" s="32">
        <v>0.27542250963173259</v>
      </c>
    </row>
    <row r="72" spans="1:5" x14ac:dyDescent="0.35">
      <c r="A72" s="31" t="s">
        <v>56</v>
      </c>
      <c r="B72" s="31" t="s">
        <v>66</v>
      </c>
      <c r="C72" s="31" t="s">
        <v>71</v>
      </c>
      <c r="D72" s="32">
        <v>16.230924234765741</v>
      </c>
      <c r="E72" s="32">
        <v>0.45645621242840562</v>
      </c>
    </row>
    <row r="73" spans="1:5" x14ac:dyDescent="0.35">
      <c r="A73" s="31" t="s">
        <v>56</v>
      </c>
      <c r="B73" s="31" t="s">
        <v>66</v>
      </c>
      <c r="C73" s="31" t="s">
        <v>72</v>
      </c>
      <c r="D73" s="32">
        <v>20.00365173759462</v>
      </c>
      <c r="E73" s="32">
        <v>0.67229074318499427</v>
      </c>
    </row>
    <row r="74" spans="1:5" x14ac:dyDescent="0.35">
      <c r="A74" s="31" t="s">
        <v>56</v>
      </c>
      <c r="B74" s="31" t="s">
        <v>58</v>
      </c>
      <c r="C74" s="31" t="s">
        <v>67</v>
      </c>
      <c r="D74" s="32">
        <v>5.5933473741444839</v>
      </c>
      <c r="E74" s="32">
        <v>0.13636127245273341</v>
      </c>
    </row>
    <row r="75" spans="1:5" x14ac:dyDescent="0.35">
      <c r="A75" s="31" t="s">
        <v>56</v>
      </c>
      <c r="B75" s="31" t="s">
        <v>58</v>
      </c>
      <c r="C75" s="31" t="s">
        <v>68</v>
      </c>
      <c r="D75" s="32">
        <v>6.1499449854467239</v>
      </c>
      <c r="E75" s="32">
        <v>0.28674635747657978</v>
      </c>
    </row>
    <row r="76" spans="1:5" x14ac:dyDescent="0.35">
      <c r="A76" s="31" t="s">
        <v>56</v>
      </c>
      <c r="B76" s="31" t="s">
        <v>58</v>
      </c>
      <c r="C76" s="31" t="s">
        <v>69</v>
      </c>
      <c r="D76" s="32">
        <v>7.810893539787827</v>
      </c>
      <c r="E76" s="32">
        <v>0.1022532762652395</v>
      </c>
    </row>
    <row r="77" spans="1:5" x14ac:dyDescent="0.35">
      <c r="A77" s="31" t="s">
        <v>56</v>
      </c>
      <c r="B77" s="31" t="s">
        <v>58</v>
      </c>
      <c r="C77" s="31" t="s">
        <v>70</v>
      </c>
      <c r="D77" s="32">
        <v>12.259518106572401</v>
      </c>
      <c r="E77" s="32">
        <v>0.82297850026910646</v>
      </c>
    </row>
    <row r="78" spans="1:5" x14ac:dyDescent="0.35">
      <c r="A78" s="31" t="s">
        <v>56</v>
      </c>
      <c r="B78" s="31" t="s">
        <v>58</v>
      </c>
      <c r="C78" s="31" t="s">
        <v>71</v>
      </c>
      <c r="D78" s="32">
        <v>17.373043433390229</v>
      </c>
      <c r="E78" s="32">
        <v>1.3731915367208121</v>
      </c>
    </row>
    <row r="79" spans="1:5" x14ac:dyDescent="0.35">
      <c r="A79" s="31" t="s">
        <v>56</v>
      </c>
      <c r="B79" s="31" t="s">
        <v>58</v>
      </c>
      <c r="C79" s="31" t="s">
        <v>72</v>
      </c>
      <c r="D79" s="32">
        <v>22.523540775367469</v>
      </c>
      <c r="E79" s="32">
        <v>1.027238835408862</v>
      </c>
    </row>
    <row r="80" spans="1:5" x14ac:dyDescent="0.35">
      <c r="A80" s="31" t="s">
        <v>56</v>
      </c>
      <c r="B80" s="31" t="s">
        <v>59</v>
      </c>
      <c r="C80" s="31" t="s">
        <v>67</v>
      </c>
      <c r="D80" s="32">
        <v>6.2590350214464632</v>
      </c>
      <c r="E80" s="32">
        <v>4.516530838758942E-2</v>
      </c>
    </row>
    <row r="81" spans="1:5" x14ac:dyDescent="0.35">
      <c r="A81" s="31" t="s">
        <v>56</v>
      </c>
      <c r="B81" s="31" t="s">
        <v>59</v>
      </c>
      <c r="C81" s="31" t="s">
        <v>68</v>
      </c>
      <c r="D81" s="32">
        <v>7.6745313755955404</v>
      </c>
      <c r="E81" s="32">
        <v>0.41964968486165771</v>
      </c>
    </row>
    <row r="82" spans="1:5" x14ac:dyDescent="0.35">
      <c r="A82" s="31" t="s">
        <v>56</v>
      </c>
      <c r="B82" s="31" t="s">
        <v>59</v>
      </c>
      <c r="C82" s="31" t="s">
        <v>69</v>
      </c>
      <c r="D82" s="32">
        <v>8.9807471123874905</v>
      </c>
      <c r="E82" s="32">
        <v>0.31911681721688773</v>
      </c>
    </row>
    <row r="83" spans="1:5" x14ac:dyDescent="0.35">
      <c r="A83" s="31" t="s">
        <v>56</v>
      </c>
      <c r="B83" s="31" t="s">
        <v>59</v>
      </c>
      <c r="C83" s="31" t="s">
        <v>70</v>
      </c>
      <c r="D83" s="32">
        <v>15.3945408263237</v>
      </c>
      <c r="E83" s="32">
        <v>0.73779583710164565</v>
      </c>
    </row>
    <row r="84" spans="1:5" x14ac:dyDescent="0.35">
      <c r="A84" s="31" t="s">
        <v>56</v>
      </c>
      <c r="B84" s="31" t="s">
        <v>59</v>
      </c>
      <c r="C84" s="31" t="s">
        <v>71</v>
      </c>
      <c r="D84" s="32">
        <v>22.568268955345449</v>
      </c>
      <c r="E84" s="32">
        <v>1.0726539066694309</v>
      </c>
    </row>
    <row r="85" spans="1:5" x14ac:dyDescent="0.35">
      <c r="A85" s="31" t="s">
        <v>56</v>
      </c>
      <c r="B85" s="31" t="s">
        <v>59</v>
      </c>
      <c r="C85" s="31" t="s">
        <v>72</v>
      </c>
      <c r="D85" s="32">
        <v>33.466461413265591</v>
      </c>
      <c r="E85" s="32">
        <v>2.5687435246002011</v>
      </c>
    </row>
    <row r="86" spans="1:5" x14ac:dyDescent="0.35">
      <c r="A86" s="31" t="s">
        <v>56</v>
      </c>
      <c r="B86" s="31" t="s">
        <v>61</v>
      </c>
      <c r="C86" s="31" t="s">
        <v>67</v>
      </c>
      <c r="D86" s="32">
        <v>5.6801174022293086</v>
      </c>
      <c r="E86" s="32">
        <v>0.1267887575667862</v>
      </c>
    </row>
    <row r="87" spans="1:5" x14ac:dyDescent="0.35">
      <c r="A87" s="31" t="s">
        <v>56</v>
      </c>
      <c r="B87" s="31" t="s">
        <v>61</v>
      </c>
      <c r="C87" s="31" t="s">
        <v>68</v>
      </c>
      <c r="D87" s="32">
        <v>6.3366830111476622</v>
      </c>
      <c r="E87" s="32">
        <v>0.46544078617692042</v>
      </c>
    </row>
    <row r="88" spans="1:5" x14ac:dyDescent="0.35">
      <c r="A88" s="31" t="s">
        <v>56</v>
      </c>
      <c r="B88" s="31" t="s">
        <v>61</v>
      </c>
      <c r="C88" s="31" t="s">
        <v>69</v>
      </c>
      <c r="D88" s="32">
        <v>8.0190968844213284</v>
      </c>
      <c r="E88" s="32">
        <v>0.29872426429616789</v>
      </c>
    </row>
    <row r="89" spans="1:5" x14ac:dyDescent="0.35">
      <c r="A89" s="31" t="s">
        <v>56</v>
      </c>
      <c r="B89" s="31" t="s">
        <v>61</v>
      </c>
      <c r="C89" s="31" t="s">
        <v>70</v>
      </c>
      <c r="D89" s="32">
        <v>12.706542427811829</v>
      </c>
      <c r="E89" s="32">
        <v>0.5153105934133887</v>
      </c>
    </row>
    <row r="90" spans="1:5" x14ac:dyDescent="0.35">
      <c r="A90" s="31" t="s">
        <v>56</v>
      </c>
      <c r="B90" s="31" t="s">
        <v>61</v>
      </c>
      <c r="C90" s="31" t="s">
        <v>71</v>
      </c>
      <c r="D90" s="32">
        <v>17.6597736092709</v>
      </c>
      <c r="E90" s="32">
        <v>1.506324314120455</v>
      </c>
    </row>
    <row r="91" spans="1:5" x14ac:dyDescent="0.35">
      <c r="A91" s="31" t="s">
        <v>56</v>
      </c>
      <c r="B91" s="31" t="s">
        <v>61</v>
      </c>
      <c r="C91" s="31" t="s">
        <v>72</v>
      </c>
      <c r="D91" s="32">
        <v>22.97343190651041</v>
      </c>
      <c r="E91" s="32">
        <v>2.219853411593296</v>
      </c>
    </row>
    <row r="92" spans="1:5" x14ac:dyDescent="0.35">
      <c r="A92" s="31" t="s">
        <v>56</v>
      </c>
      <c r="B92" s="31" t="s">
        <v>62</v>
      </c>
      <c r="C92" s="31" t="s">
        <v>67</v>
      </c>
      <c r="D92" s="32">
        <v>5.4634356934581261</v>
      </c>
      <c r="E92" s="32">
        <v>0.35357721498620209</v>
      </c>
    </row>
    <row r="93" spans="1:5" x14ac:dyDescent="0.35">
      <c r="A93" s="31" t="s">
        <v>56</v>
      </c>
      <c r="B93" s="31" t="s">
        <v>62</v>
      </c>
      <c r="C93" s="31" t="s">
        <v>68</v>
      </c>
      <c r="D93" s="32">
        <v>6.150807286548952</v>
      </c>
      <c r="E93" s="32">
        <v>0.21440083667505361</v>
      </c>
    </row>
    <row r="94" spans="1:5" x14ac:dyDescent="0.35">
      <c r="A94" s="31" t="s">
        <v>56</v>
      </c>
      <c r="B94" s="31" t="s">
        <v>62</v>
      </c>
      <c r="C94" s="31" t="s">
        <v>69</v>
      </c>
      <c r="D94" s="32">
        <v>7.3161758530564933</v>
      </c>
      <c r="E94" s="32">
        <v>0.64368741850678346</v>
      </c>
    </row>
    <row r="95" spans="1:5" x14ac:dyDescent="0.35">
      <c r="A95" s="31" t="s">
        <v>56</v>
      </c>
      <c r="B95" s="31" t="s">
        <v>62</v>
      </c>
      <c r="C95" s="31" t="s">
        <v>70</v>
      </c>
      <c r="D95" s="32">
        <v>11.33684141829853</v>
      </c>
      <c r="E95" s="32">
        <v>1.006102234534161</v>
      </c>
    </row>
    <row r="96" spans="1:5" x14ac:dyDescent="0.35">
      <c r="A96" s="31" t="s">
        <v>56</v>
      </c>
      <c r="B96" s="31" t="s">
        <v>62</v>
      </c>
      <c r="C96" s="31" t="s">
        <v>71</v>
      </c>
      <c r="D96" s="32">
        <v>16.362401024130349</v>
      </c>
      <c r="E96" s="32">
        <v>0.77142677841939211</v>
      </c>
    </row>
    <row r="97" spans="1:5" x14ac:dyDescent="0.35">
      <c r="A97" s="31" t="s">
        <v>56</v>
      </c>
      <c r="B97" s="31" t="s">
        <v>62</v>
      </c>
      <c r="C97" s="31" t="s">
        <v>72</v>
      </c>
      <c r="D97" s="32">
        <v>21.180923211741739</v>
      </c>
      <c r="E97" s="32">
        <v>0.99727716948407619</v>
      </c>
    </row>
    <row r="98" spans="1:5" x14ac:dyDescent="0.35">
      <c r="A98" s="31" t="s">
        <v>57</v>
      </c>
      <c r="B98" s="31" t="s">
        <v>64</v>
      </c>
      <c r="C98" s="31" t="s">
        <v>67</v>
      </c>
      <c r="D98" s="32">
        <v>6.1122073263262244</v>
      </c>
      <c r="E98" s="32">
        <v>0.26149543793820562</v>
      </c>
    </row>
    <row r="99" spans="1:5" x14ac:dyDescent="0.35">
      <c r="A99" s="31" t="s">
        <v>57</v>
      </c>
      <c r="B99" s="31" t="s">
        <v>64</v>
      </c>
      <c r="C99" s="31" t="s">
        <v>68</v>
      </c>
      <c r="D99" s="32">
        <v>7.2985200632407006</v>
      </c>
      <c r="E99" s="32">
        <v>0.187200947306156</v>
      </c>
    </row>
    <row r="100" spans="1:5" x14ac:dyDescent="0.35">
      <c r="A100" s="31" t="s">
        <v>57</v>
      </c>
      <c r="B100" s="31" t="s">
        <v>64</v>
      </c>
      <c r="C100" s="31" t="s">
        <v>69</v>
      </c>
      <c r="D100" s="32">
        <v>9.2750097268210325</v>
      </c>
      <c r="E100" s="32">
        <v>0.23493534569823671</v>
      </c>
    </row>
    <row r="101" spans="1:5" x14ac:dyDescent="0.35">
      <c r="A101" s="31" t="s">
        <v>57</v>
      </c>
      <c r="B101" s="31" t="s">
        <v>64</v>
      </c>
      <c r="C101" s="31" t="s">
        <v>70</v>
      </c>
      <c r="D101" s="32">
        <v>12.754178613601731</v>
      </c>
      <c r="E101" s="32">
        <v>0.26619927479303018</v>
      </c>
    </row>
    <row r="102" spans="1:5" x14ac:dyDescent="0.35">
      <c r="A102" s="31" t="s">
        <v>57</v>
      </c>
      <c r="B102" s="31" t="s">
        <v>64</v>
      </c>
      <c r="C102" s="31" t="s">
        <v>71</v>
      </c>
      <c r="D102" s="32">
        <v>20.425100834835071</v>
      </c>
      <c r="E102" s="32">
        <v>0.52643272999373647</v>
      </c>
    </row>
    <row r="103" spans="1:5" x14ac:dyDescent="0.35">
      <c r="A103" s="31" t="s">
        <v>57</v>
      </c>
      <c r="B103" s="31" t="s">
        <v>64</v>
      </c>
      <c r="C103" s="31" t="s">
        <v>72</v>
      </c>
      <c r="D103" s="32">
        <v>30.30759019271137</v>
      </c>
      <c r="E103" s="32">
        <v>5.8987378047690422</v>
      </c>
    </row>
    <row r="104" spans="1:5" x14ac:dyDescent="0.35">
      <c r="A104" s="31" t="s">
        <v>57</v>
      </c>
      <c r="B104" s="31" t="s">
        <v>65</v>
      </c>
      <c r="C104" s="31" t="s">
        <v>67</v>
      </c>
      <c r="D104" s="32">
        <v>6.0247148547469216</v>
      </c>
      <c r="E104" s="32">
        <v>0.1641486259763888</v>
      </c>
    </row>
    <row r="105" spans="1:5" x14ac:dyDescent="0.35">
      <c r="A105" s="31" t="s">
        <v>57</v>
      </c>
      <c r="B105" s="31" t="s">
        <v>65</v>
      </c>
      <c r="C105" s="31" t="s">
        <v>68</v>
      </c>
      <c r="D105" s="32">
        <v>6.7887674658797366</v>
      </c>
      <c r="E105" s="32">
        <v>0.20891435275103859</v>
      </c>
    </row>
    <row r="106" spans="1:5" x14ac:dyDescent="0.35">
      <c r="A106" s="31" t="s">
        <v>57</v>
      </c>
      <c r="B106" s="31" t="s">
        <v>65</v>
      </c>
      <c r="C106" s="31" t="s">
        <v>69</v>
      </c>
      <c r="D106" s="32">
        <v>8.4603308576743146</v>
      </c>
      <c r="E106" s="32">
        <v>0.26367023259518452</v>
      </c>
    </row>
    <row r="107" spans="1:5" x14ac:dyDescent="0.35">
      <c r="A107" s="31" t="s">
        <v>57</v>
      </c>
      <c r="B107" s="31" t="s">
        <v>65</v>
      </c>
      <c r="C107" s="31" t="s">
        <v>70</v>
      </c>
      <c r="D107" s="32">
        <v>12.366117052865279</v>
      </c>
      <c r="E107" s="32">
        <v>0.19447050533280569</v>
      </c>
    </row>
    <row r="108" spans="1:5" x14ac:dyDescent="0.35">
      <c r="A108" s="31" t="s">
        <v>57</v>
      </c>
      <c r="B108" s="31" t="s">
        <v>65</v>
      </c>
      <c r="C108" s="31" t="s">
        <v>71</v>
      </c>
      <c r="D108" s="32">
        <v>18.522816939871529</v>
      </c>
      <c r="E108" s="32">
        <v>0.37976687465795222</v>
      </c>
    </row>
    <row r="109" spans="1:5" x14ac:dyDescent="0.35">
      <c r="A109" s="31" t="s">
        <v>57</v>
      </c>
      <c r="B109" s="31" t="s">
        <v>65</v>
      </c>
      <c r="C109" s="31" t="s">
        <v>72</v>
      </c>
      <c r="D109" s="32">
        <v>23.953915040699659</v>
      </c>
      <c r="E109" s="32">
        <v>0.26376421264679739</v>
      </c>
    </row>
    <row r="110" spans="1:5" x14ac:dyDescent="0.35">
      <c r="A110" s="31" t="s">
        <v>57</v>
      </c>
      <c r="B110" s="31" t="s">
        <v>66</v>
      </c>
      <c r="C110" s="31" t="s">
        <v>67</v>
      </c>
      <c r="D110" s="32">
        <v>5.8793798115166114</v>
      </c>
      <c r="E110" s="32">
        <v>0.16195183834529739</v>
      </c>
    </row>
    <row r="111" spans="1:5" x14ac:dyDescent="0.35">
      <c r="A111" s="31" t="s">
        <v>57</v>
      </c>
      <c r="B111" s="31" t="s">
        <v>66</v>
      </c>
      <c r="C111" s="31" t="s">
        <v>68</v>
      </c>
      <c r="D111" s="32">
        <v>6.6302036365440644</v>
      </c>
      <c r="E111" s="32">
        <v>4.8605389330379618E-2</v>
      </c>
    </row>
    <row r="112" spans="1:5" x14ac:dyDescent="0.35">
      <c r="A112" s="31" t="s">
        <v>57</v>
      </c>
      <c r="B112" s="31" t="s">
        <v>66</v>
      </c>
      <c r="C112" s="31" t="s">
        <v>69</v>
      </c>
      <c r="D112" s="32">
        <v>8.3013804834218483</v>
      </c>
      <c r="E112" s="32">
        <v>5.4117960736754317E-2</v>
      </c>
    </row>
    <row r="113" spans="1:5" x14ac:dyDescent="0.35">
      <c r="A113" s="31" t="s">
        <v>57</v>
      </c>
      <c r="B113" s="31" t="s">
        <v>66</v>
      </c>
      <c r="C113" s="31" t="s">
        <v>70</v>
      </c>
      <c r="D113" s="32">
        <v>11.582602522787401</v>
      </c>
      <c r="E113" s="32">
        <v>0.19085673362781891</v>
      </c>
    </row>
    <row r="114" spans="1:5" x14ac:dyDescent="0.35">
      <c r="A114" s="31" t="s">
        <v>57</v>
      </c>
      <c r="B114" s="31" t="s">
        <v>66</v>
      </c>
      <c r="C114" s="31" t="s">
        <v>71</v>
      </c>
      <c r="D114" s="32">
        <v>17.235530068012501</v>
      </c>
      <c r="E114" s="32">
        <v>0.30096560904953612</v>
      </c>
    </row>
    <row r="115" spans="1:5" x14ac:dyDescent="0.35">
      <c r="A115" s="31" t="s">
        <v>57</v>
      </c>
      <c r="B115" s="31" t="s">
        <v>66</v>
      </c>
      <c r="C115" s="31" t="s">
        <v>72</v>
      </c>
      <c r="D115" s="32">
        <v>22.770602789295509</v>
      </c>
      <c r="E115" s="32">
        <v>0.51193018648202659</v>
      </c>
    </row>
    <row r="116" spans="1:5" x14ac:dyDescent="0.35">
      <c r="A116" s="31" t="s">
        <v>57</v>
      </c>
      <c r="B116" s="31" t="s">
        <v>58</v>
      </c>
      <c r="C116" s="31" t="s">
        <v>67</v>
      </c>
      <c r="D116" s="32">
        <v>6.4288888500116173</v>
      </c>
      <c r="E116" s="32">
        <v>0.24337394762516781</v>
      </c>
    </row>
    <row r="117" spans="1:5" x14ac:dyDescent="0.35">
      <c r="A117" s="31" t="s">
        <v>57</v>
      </c>
      <c r="B117" s="31" t="s">
        <v>58</v>
      </c>
      <c r="C117" s="31" t="s">
        <v>68</v>
      </c>
      <c r="D117" s="32">
        <v>7.7056748573061373</v>
      </c>
      <c r="E117" s="32">
        <v>0.65627485294873578</v>
      </c>
    </row>
    <row r="118" spans="1:5" x14ac:dyDescent="0.35">
      <c r="A118" s="31" t="s">
        <v>57</v>
      </c>
      <c r="B118" s="31" t="s">
        <v>58</v>
      </c>
      <c r="C118" s="31" t="s">
        <v>69</v>
      </c>
      <c r="D118" s="32">
        <v>9.7283816960801719</v>
      </c>
      <c r="E118" s="32">
        <v>0.90500451170149399</v>
      </c>
    </row>
    <row r="119" spans="1:5" x14ac:dyDescent="0.35">
      <c r="A119" s="31" t="s">
        <v>57</v>
      </c>
      <c r="B119" s="31" t="s">
        <v>58</v>
      </c>
      <c r="C119" s="31" t="s">
        <v>70</v>
      </c>
      <c r="D119" s="32">
        <v>15.890262628507941</v>
      </c>
      <c r="E119" s="32">
        <v>1.0239611126733901</v>
      </c>
    </row>
    <row r="120" spans="1:5" x14ac:dyDescent="0.35">
      <c r="A120" s="31" t="s">
        <v>57</v>
      </c>
      <c r="B120" s="31" t="s">
        <v>58</v>
      </c>
      <c r="C120" s="31" t="s">
        <v>71</v>
      </c>
      <c r="D120" s="32">
        <v>23.839528597144739</v>
      </c>
      <c r="E120" s="32">
        <v>1.795963727354148</v>
      </c>
    </row>
    <row r="121" spans="1:5" x14ac:dyDescent="0.35">
      <c r="A121" s="31" t="s">
        <v>57</v>
      </c>
      <c r="B121" s="31" t="s">
        <v>58</v>
      </c>
      <c r="C121" s="31" t="s">
        <v>72</v>
      </c>
      <c r="D121" s="32">
        <v>34.81218038456705</v>
      </c>
      <c r="E121" s="32">
        <v>2.2292559526947091</v>
      </c>
    </row>
    <row r="122" spans="1:5" x14ac:dyDescent="0.35">
      <c r="A122" s="31" t="s">
        <v>57</v>
      </c>
      <c r="B122" s="31" t="s">
        <v>59</v>
      </c>
      <c r="C122" s="31" t="s">
        <v>67</v>
      </c>
      <c r="D122" s="32">
        <v>6.9224172232182957</v>
      </c>
      <c r="E122" s="32">
        <v>0.20990086658633361</v>
      </c>
    </row>
    <row r="123" spans="1:5" x14ac:dyDescent="0.35">
      <c r="A123" s="31" t="s">
        <v>57</v>
      </c>
      <c r="B123" s="31" t="s">
        <v>59</v>
      </c>
      <c r="C123" s="31" t="s">
        <v>68</v>
      </c>
      <c r="D123" s="32">
        <v>8.3492537282144337</v>
      </c>
      <c r="E123" s="32">
        <v>0.1439507411774501</v>
      </c>
    </row>
    <row r="124" spans="1:5" x14ac:dyDescent="0.35">
      <c r="A124" s="31" t="s">
        <v>57</v>
      </c>
      <c r="B124" s="31" t="s">
        <v>59</v>
      </c>
      <c r="C124" s="31" t="s">
        <v>69</v>
      </c>
      <c r="D124" s="32">
        <v>10.283407727610159</v>
      </c>
      <c r="E124" s="32">
        <v>0.22804997079175029</v>
      </c>
    </row>
    <row r="125" spans="1:5" x14ac:dyDescent="0.35">
      <c r="A125" s="31" t="s">
        <v>57</v>
      </c>
      <c r="B125" s="31" t="s">
        <v>59</v>
      </c>
      <c r="C125" s="31" t="s">
        <v>70</v>
      </c>
      <c r="D125" s="32">
        <v>17.41869727121513</v>
      </c>
      <c r="E125" s="32">
        <v>0.1476137641739462</v>
      </c>
    </row>
    <row r="126" spans="1:5" x14ac:dyDescent="0.35">
      <c r="A126" s="31" t="s">
        <v>57</v>
      </c>
      <c r="B126" s="31" t="s">
        <v>59</v>
      </c>
      <c r="C126" s="31" t="s">
        <v>71</v>
      </c>
      <c r="D126" s="32">
        <v>29.341905966135439</v>
      </c>
      <c r="E126" s="32">
        <v>0.33757200856537067</v>
      </c>
    </row>
    <row r="127" spans="1:5" x14ac:dyDescent="0.35">
      <c r="A127" s="31" t="s">
        <v>57</v>
      </c>
      <c r="B127" s="31" t="s">
        <v>59</v>
      </c>
      <c r="C127" s="31" t="s">
        <v>72</v>
      </c>
      <c r="D127" s="32">
        <v>46.563395936861461</v>
      </c>
      <c r="E127" s="32">
        <v>1.038627395554574</v>
      </c>
    </row>
    <row r="128" spans="1:5" x14ac:dyDescent="0.35">
      <c r="A128" s="31" t="s">
        <v>57</v>
      </c>
      <c r="B128" s="31" t="s">
        <v>61</v>
      </c>
      <c r="C128" s="31" t="s">
        <v>67</v>
      </c>
      <c r="D128" s="32">
        <v>6.3447421202839553</v>
      </c>
      <c r="E128" s="32">
        <v>0.12651727842034449</v>
      </c>
    </row>
    <row r="129" spans="1:5" x14ac:dyDescent="0.35">
      <c r="A129" s="31" t="s">
        <v>57</v>
      </c>
      <c r="B129" s="31" t="s">
        <v>61</v>
      </c>
      <c r="C129" s="31" t="s">
        <v>68</v>
      </c>
      <c r="D129" s="32">
        <v>7.6716401538945567</v>
      </c>
      <c r="E129" s="32">
        <v>0.2342117403004296</v>
      </c>
    </row>
    <row r="130" spans="1:5" x14ac:dyDescent="0.35">
      <c r="A130" s="31" t="s">
        <v>57</v>
      </c>
      <c r="B130" s="31" t="s">
        <v>61</v>
      </c>
      <c r="C130" s="31" t="s">
        <v>69</v>
      </c>
      <c r="D130" s="32">
        <v>8.6522342564159604</v>
      </c>
      <c r="E130" s="32">
        <v>0.7792617772049848</v>
      </c>
    </row>
    <row r="131" spans="1:5" x14ac:dyDescent="0.35">
      <c r="A131" s="31" t="s">
        <v>57</v>
      </c>
      <c r="B131" s="31" t="s">
        <v>61</v>
      </c>
      <c r="C131" s="31" t="s">
        <v>70</v>
      </c>
      <c r="D131" s="32">
        <v>14.347509332447959</v>
      </c>
      <c r="E131" s="32">
        <v>0.587431766514248</v>
      </c>
    </row>
    <row r="132" spans="1:5" x14ac:dyDescent="0.35">
      <c r="A132" s="31" t="s">
        <v>57</v>
      </c>
      <c r="B132" s="31" t="s">
        <v>61</v>
      </c>
      <c r="C132" s="31" t="s">
        <v>71</v>
      </c>
      <c r="D132" s="32">
        <v>23.171832945939471</v>
      </c>
      <c r="E132" s="32">
        <v>0.97018772259283148</v>
      </c>
    </row>
    <row r="133" spans="1:5" x14ac:dyDescent="0.35">
      <c r="A133" s="31" t="s">
        <v>57</v>
      </c>
      <c r="B133" s="31" t="s">
        <v>61</v>
      </c>
      <c r="C133" s="31" t="s">
        <v>72</v>
      </c>
      <c r="D133" s="32">
        <v>34.271466223162399</v>
      </c>
      <c r="E133" s="32">
        <v>3.404412813713106</v>
      </c>
    </row>
    <row r="134" spans="1:5" x14ac:dyDescent="0.35">
      <c r="A134" s="31" t="s">
        <v>57</v>
      </c>
      <c r="B134" s="31" t="s">
        <v>62</v>
      </c>
      <c r="C134" s="31" t="s">
        <v>67</v>
      </c>
      <c r="D134" s="32">
        <v>5.8878451715895759</v>
      </c>
      <c r="E134" s="32">
        <v>0.103285720958463</v>
      </c>
    </row>
    <row r="135" spans="1:5" x14ac:dyDescent="0.35">
      <c r="A135" s="31" t="s">
        <v>57</v>
      </c>
      <c r="B135" s="31" t="s">
        <v>62</v>
      </c>
      <c r="C135" s="31" t="s">
        <v>68</v>
      </c>
      <c r="D135" s="32">
        <v>6.931941833621166</v>
      </c>
      <c r="E135" s="32">
        <v>0.14083408549504289</v>
      </c>
    </row>
    <row r="136" spans="1:5" x14ac:dyDescent="0.35">
      <c r="A136" s="31" t="s">
        <v>57</v>
      </c>
      <c r="B136" s="31" t="s">
        <v>62</v>
      </c>
      <c r="C136" s="31" t="s">
        <v>69</v>
      </c>
      <c r="D136" s="32">
        <v>8.3226864303189689</v>
      </c>
      <c r="E136" s="32">
        <v>0.1818683800423844</v>
      </c>
    </row>
    <row r="137" spans="1:5" x14ac:dyDescent="0.35">
      <c r="A137" s="31" t="s">
        <v>57</v>
      </c>
      <c r="B137" s="31" t="s">
        <v>62</v>
      </c>
      <c r="C137" s="31" t="s">
        <v>70</v>
      </c>
      <c r="D137" s="32">
        <v>13.191541244082</v>
      </c>
      <c r="E137" s="32">
        <v>0.2131539320070161</v>
      </c>
    </row>
    <row r="138" spans="1:5" x14ac:dyDescent="0.35">
      <c r="A138" s="31" t="s">
        <v>57</v>
      </c>
      <c r="B138" s="31" t="s">
        <v>62</v>
      </c>
      <c r="C138" s="31" t="s">
        <v>71</v>
      </c>
      <c r="D138" s="32">
        <v>18.574980716044859</v>
      </c>
      <c r="E138" s="32">
        <v>0.44991991817281157</v>
      </c>
    </row>
    <row r="139" spans="1:5" x14ac:dyDescent="0.35">
      <c r="A139" s="31" t="s">
        <v>57</v>
      </c>
      <c r="B139" s="31" t="s">
        <v>62</v>
      </c>
      <c r="C139" s="31" t="s">
        <v>72</v>
      </c>
      <c r="D139" s="32">
        <v>24.851177219083301</v>
      </c>
      <c r="E139" s="32">
        <v>0.64968915789940052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4</vt:i4>
      </vt:variant>
    </vt:vector>
  </HeadingPairs>
  <TitlesOfParts>
    <vt:vector size="4" baseType="lpstr">
      <vt:lpstr>Kubiņu masa</vt:lpstr>
      <vt:lpstr>Masas izmaiņa %</vt:lpstr>
      <vt:lpstr>Statistikai</vt:lpstr>
      <vt:lpstr>Mean_SD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Māra</dc:creator>
  <cp:lastModifiedBy>Mikus Kampuss</cp:lastModifiedBy>
  <dcterms:created xsi:type="dcterms:W3CDTF">2022-08-04T11:55:54Z</dcterms:created>
  <dcterms:modified xsi:type="dcterms:W3CDTF">2026-05-12T20:48:51Z</dcterms:modified>
</cp:coreProperties>
</file>