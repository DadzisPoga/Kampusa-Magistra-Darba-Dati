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cuments\MikusKampuss\"/>
    </mc:Choice>
  </mc:AlternateContent>
  <xr:revisionPtr revIDLastSave="0" documentId="13_ncr:1_{C94B378E-C230-4D3E-A287-6B3D5441F917}" xr6:coauthVersionLast="47" xr6:coauthVersionMax="47" xr10:uidLastSave="{00000000-0000-0000-0000-000000000000}"/>
  <bookViews>
    <workbookView xWindow="-120" yWindow="-120" windowWidth="20730" windowHeight="11040" activeTab="5" xr2:uid="{00000000-000D-0000-FFFF-FFFF00000000}"/>
  </bookViews>
  <sheets>
    <sheet name="liece" sheetId="1" r:id="rId1"/>
    <sheet name="spiede visa" sheetId="3" r:id="rId2"/>
    <sheet name="lieceStatistikai" sheetId="4" r:id="rId3"/>
    <sheet name="spiedeStatistikai" sheetId="5" r:id="rId4"/>
    <sheet name="Liece_mean_SD" sheetId="6" r:id="rId5"/>
    <sheet name="Spiede_mean_SD" sheetId="7" r:id="rId6"/>
  </sheets>
  <calcPr calcId="181029"/>
</workbook>
</file>

<file path=xl/calcChain.xml><?xml version="1.0" encoding="utf-8"?>
<calcChain xmlns="http://schemas.openxmlformats.org/spreadsheetml/2006/main">
  <c r="H3" i="5" l="1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2" i="5"/>
  <c r="X224" i="1"/>
  <c r="X223" i="1"/>
  <c r="W224" i="1"/>
  <c r="W225" i="1" s="1"/>
  <c r="W223" i="1"/>
  <c r="V224" i="1"/>
  <c r="V223" i="1"/>
  <c r="U224" i="1"/>
  <c r="U223" i="1"/>
  <c r="T224" i="1"/>
  <c r="T223" i="1"/>
  <c r="S223" i="1"/>
  <c r="S224" i="1"/>
  <c r="R224" i="1"/>
  <c r="R223" i="1"/>
  <c r="R225" i="1" s="1"/>
  <c r="R215" i="1"/>
  <c r="X216" i="1"/>
  <c r="X217" i="1" s="1"/>
  <c r="W216" i="1"/>
  <c r="V216" i="1"/>
  <c r="V217" i="1" s="1"/>
  <c r="U216" i="1"/>
  <c r="T216" i="1"/>
  <c r="T217" i="1" s="1"/>
  <c r="S216" i="1"/>
  <c r="R216" i="1"/>
  <c r="R217" i="1" s="1"/>
  <c r="X215" i="1"/>
  <c r="W215" i="1"/>
  <c r="V215" i="1"/>
  <c r="U215" i="1"/>
  <c r="T215" i="1"/>
  <c r="S215" i="1"/>
  <c r="U217" i="1" l="1"/>
  <c r="S217" i="1"/>
  <c r="W217" i="1"/>
  <c r="X225" i="1"/>
  <c r="V225" i="1"/>
  <c r="U225" i="1"/>
  <c r="T225" i="1"/>
  <c r="S225" i="1"/>
  <c r="M217" i="1"/>
  <c r="N217" i="1" s="1"/>
  <c r="M216" i="1"/>
  <c r="N216" i="1" s="1"/>
  <c r="M218" i="1"/>
  <c r="N218" i="1" s="1"/>
  <c r="M219" i="1"/>
  <c r="N219" i="1" s="1"/>
  <c r="M223" i="1"/>
  <c r="N223" i="1" s="1"/>
  <c r="M224" i="1"/>
  <c r="N224" i="1" s="1"/>
  <c r="M225" i="1"/>
  <c r="N225" i="1" s="1"/>
  <c r="M226" i="1"/>
  <c r="N226" i="1" s="1"/>
  <c r="M227" i="1"/>
  <c r="N227" i="1" s="1"/>
  <c r="M228" i="1"/>
  <c r="N228" i="1" s="1"/>
  <c r="M215" i="1"/>
  <c r="N215" i="1" s="1"/>
  <c r="K85" i="3" l="1"/>
  <c r="L85" i="3" s="1"/>
  <c r="K84" i="3"/>
  <c r="L84" i="3" s="1"/>
  <c r="K83" i="3"/>
  <c r="L83" i="3" s="1"/>
  <c r="K82" i="3"/>
  <c r="L82" i="3" s="1"/>
  <c r="K81" i="3"/>
  <c r="L81" i="3" s="1"/>
  <c r="K80" i="3"/>
  <c r="L80" i="3" s="1"/>
  <c r="M84" i="1"/>
  <c r="N84" i="1" s="1"/>
  <c r="M83" i="1"/>
  <c r="N83" i="1" s="1"/>
  <c r="M82" i="1"/>
  <c r="N82" i="1" s="1"/>
  <c r="M81" i="1"/>
  <c r="N81" i="1" s="1"/>
  <c r="M80" i="1"/>
  <c r="N80" i="1" s="1"/>
  <c r="K184" i="3" l="1"/>
  <c r="L184" i="3" s="1"/>
  <c r="K183" i="3"/>
  <c r="L183" i="3" s="1"/>
  <c r="K182" i="3"/>
  <c r="L182" i="3" s="1"/>
  <c r="K181" i="3"/>
  <c r="L181" i="3" s="1"/>
  <c r="K180" i="3"/>
  <c r="L180" i="3" s="1"/>
  <c r="K175" i="3"/>
  <c r="L175" i="3" s="1"/>
  <c r="K174" i="3"/>
  <c r="L174" i="3" s="1"/>
  <c r="K173" i="3"/>
  <c r="L173" i="3" s="1"/>
  <c r="K172" i="3"/>
  <c r="L172" i="3" s="1"/>
  <c r="K171" i="3"/>
  <c r="L171" i="3" s="1"/>
  <c r="K166" i="3"/>
  <c r="L166" i="3" s="1"/>
  <c r="K165" i="3"/>
  <c r="L165" i="3" s="1"/>
  <c r="K164" i="3"/>
  <c r="L164" i="3" s="1"/>
  <c r="K163" i="3"/>
  <c r="L163" i="3" s="1"/>
  <c r="K162" i="3"/>
  <c r="L162" i="3" s="1"/>
  <c r="K200" i="3"/>
  <c r="L200" i="3" s="1"/>
  <c r="K199" i="3"/>
  <c r="L199" i="3" s="1"/>
  <c r="K198" i="3"/>
  <c r="L198" i="3" s="1"/>
  <c r="K197" i="3"/>
  <c r="L197" i="3" s="1"/>
  <c r="K196" i="3"/>
  <c r="L196" i="3" s="1"/>
  <c r="K158" i="3"/>
  <c r="L158" i="3" s="1"/>
  <c r="K157" i="3"/>
  <c r="L157" i="3" s="1"/>
  <c r="K156" i="3"/>
  <c r="L156" i="3" s="1"/>
  <c r="K155" i="3"/>
  <c r="L155" i="3" s="1"/>
  <c r="K154" i="3"/>
  <c r="L154" i="3" s="1"/>
  <c r="K192" i="3"/>
  <c r="L192" i="3" s="1"/>
  <c r="K191" i="3"/>
  <c r="L191" i="3" s="1"/>
  <c r="K190" i="3"/>
  <c r="L190" i="3" s="1"/>
  <c r="K189" i="3"/>
  <c r="L189" i="3" s="1"/>
  <c r="K188" i="3"/>
  <c r="L188" i="3" s="1"/>
  <c r="K150" i="3"/>
  <c r="L150" i="3" s="1"/>
  <c r="K149" i="3"/>
  <c r="L149" i="3" s="1"/>
  <c r="K148" i="3"/>
  <c r="L148" i="3" s="1"/>
  <c r="K147" i="3"/>
  <c r="L147" i="3" s="1"/>
  <c r="K146" i="3"/>
  <c r="L146" i="3" s="1"/>
  <c r="K141" i="3"/>
  <c r="L141" i="3" s="1"/>
  <c r="K140" i="3"/>
  <c r="L140" i="3" s="1"/>
  <c r="K139" i="3"/>
  <c r="L139" i="3" s="1"/>
  <c r="K138" i="3"/>
  <c r="L138" i="3" s="1"/>
  <c r="K137" i="3"/>
  <c r="L137" i="3" s="1"/>
  <c r="K133" i="3"/>
  <c r="L133" i="3" s="1"/>
  <c r="K132" i="3"/>
  <c r="L132" i="3" s="1"/>
  <c r="K131" i="3"/>
  <c r="L131" i="3" s="1"/>
  <c r="U130" i="3"/>
  <c r="T130" i="3"/>
  <c r="S130" i="3"/>
  <c r="P130" i="3"/>
  <c r="O130" i="3"/>
  <c r="K130" i="3"/>
  <c r="L130" i="3" s="1"/>
  <c r="U129" i="3"/>
  <c r="T129" i="3"/>
  <c r="S129" i="3"/>
  <c r="P129" i="3"/>
  <c r="O129" i="3"/>
  <c r="K129" i="3"/>
  <c r="L129" i="3" s="1"/>
  <c r="K125" i="3"/>
  <c r="L125" i="3" s="1"/>
  <c r="K124" i="3"/>
  <c r="L124" i="3" s="1"/>
  <c r="K123" i="3"/>
  <c r="L123" i="3" s="1"/>
  <c r="U122" i="3"/>
  <c r="T122" i="3"/>
  <c r="S122" i="3"/>
  <c r="P122" i="3"/>
  <c r="O122" i="3"/>
  <c r="K122" i="3"/>
  <c r="L122" i="3" s="1"/>
  <c r="U121" i="3"/>
  <c r="T121" i="3"/>
  <c r="T123" i="3" s="1"/>
  <c r="S121" i="3"/>
  <c r="P121" i="3"/>
  <c r="O121" i="3"/>
  <c r="K121" i="3"/>
  <c r="L121" i="3" s="1"/>
  <c r="K117" i="3"/>
  <c r="L117" i="3" s="1"/>
  <c r="K116" i="3"/>
  <c r="L116" i="3" s="1"/>
  <c r="K115" i="3"/>
  <c r="L115" i="3" s="1"/>
  <c r="U114" i="3"/>
  <c r="U115" i="3" s="1"/>
  <c r="T114" i="3"/>
  <c r="S114" i="3"/>
  <c r="P114" i="3"/>
  <c r="O114" i="3"/>
  <c r="O115" i="3" s="1"/>
  <c r="K114" i="3"/>
  <c r="L114" i="3" s="1"/>
  <c r="U113" i="3"/>
  <c r="T113" i="3"/>
  <c r="S113" i="3"/>
  <c r="P113" i="3"/>
  <c r="O113" i="3"/>
  <c r="K113" i="3"/>
  <c r="L113" i="3" s="1"/>
  <c r="K109" i="3"/>
  <c r="L109" i="3" s="1"/>
  <c r="K108" i="3"/>
  <c r="L108" i="3" s="1"/>
  <c r="K107" i="3"/>
  <c r="L107" i="3" s="1"/>
  <c r="U106" i="3"/>
  <c r="T106" i="3"/>
  <c r="T107" i="3" s="1"/>
  <c r="S106" i="3"/>
  <c r="P106" i="3"/>
  <c r="O106" i="3"/>
  <c r="K106" i="3"/>
  <c r="L106" i="3" s="1"/>
  <c r="U105" i="3"/>
  <c r="T105" i="3"/>
  <c r="S105" i="3"/>
  <c r="P105" i="3"/>
  <c r="O105" i="3"/>
  <c r="K105" i="3"/>
  <c r="L105" i="3" s="1"/>
  <c r="K101" i="3"/>
  <c r="L101" i="3" s="1"/>
  <c r="K100" i="3"/>
  <c r="L100" i="3" s="1"/>
  <c r="K99" i="3"/>
  <c r="L99" i="3" s="1"/>
  <c r="U98" i="3"/>
  <c r="T98" i="3"/>
  <c r="S98" i="3"/>
  <c r="S99" i="3" s="1"/>
  <c r="P98" i="3"/>
  <c r="O98" i="3"/>
  <c r="K98" i="3"/>
  <c r="L98" i="3" s="1"/>
  <c r="U97" i="3"/>
  <c r="T97" i="3"/>
  <c r="S97" i="3"/>
  <c r="P97" i="3"/>
  <c r="O97" i="3"/>
  <c r="K97" i="3"/>
  <c r="L97" i="3" s="1"/>
  <c r="K93" i="3"/>
  <c r="L93" i="3" s="1"/>
  <c r="K92" i="3"/>
  <c r="L92" i="3" s="1"/>
  <c r="K91" i="3"/>
  <c r="L91" i="3" s="1"/>
  <c r="U90" i="3"/>
  <c r="T90" i="3"/>
  <c r="S90" i="3"/>
  <c r="P90" i="3"/>
  <c r="O90" i="3"/>
  <c r="K90" i="3"/>
  <c r="L90" i="3" s="1"/>
  <c r="U89" i="3"/>
  <c r="T89" i="3"/>
  <c r="T91" i="3" s="1"/>
  <c r="S89" i="3"/>
  <c r="P89" i="3"/>
  <c r="O89" i="3"/>
  <c r="K89" i="3"/>
  <c r="L89" i="3" s="1"/>
  <c r="T99" i="3" l="1"/>
  <c r="U107" i="3"/>
  <c r="P115" i="3"/>
  <c r="O107" i="3"/>
  <c r="T131" i="3"/>
  <c r="S107" i="3"/>
  <c r="O91" i="3"/>
  <c r="U91" i="3"/>
  <c r="O99" i="3"/>
  <c r="U99" i="3"/>
  <c r="O123" i="3"/>
  <c r="U123" i="3"/>
  <c r="O131" i="3"/>
  <c r="U131" i="3"/>
  <c r="P91" i="3"/>
  <c r="P107" i="3"/>
  <c r="P123" i="3"/>
  <c r="S91" i="3"/>
  <c r="P99" i="3"/>
  <c r="S115" i="3"/>
  <c r="S123" i="3"/>
  <c r="P131" i="3"/>
  <c r="T115" i="3"/>
  <c r="S131" i="3"/>
  <c r="L75" i="3"/>
  <c r="M75" i="3" s="1"/>
  <c r="L74" i="3"/>
  <c r="M74" i="3" s="1"/>
  <c r="L73" i="3"/>
  <c r="M73" i="3" s="1"/>
  <c r="L72" i="3"/>
  <c r="M72" i="3" s="1"/>
  <c r="L71" i="3"/>
  <c r="M71" i="3" s="1"/>
  <c r="L70" i="3"/>
  <c r="M70" i="3" s="1"/>
  <c r="L65" i="3"/>
  <c r="M65" i="3" s="1"/>
  <c r="L64" i="3"/>
  <c r="M64" i="3" s="1"/>
  <c r="L63" i="3"/>
  <c r="M63" i="3" s="1"/>
  <c r="L62" i="3"/>
  <c r="M62" i="3" s="1"/>
  <c r="L61" i="3"/>
  <c r="M61" i="3" s="1"/>
  <c r="L60" i="3"/>
  <c r="M60" i="3" s="1"/>
  <c r="L55" i="3"/>
  <c r="M55" i="3" s="1"/>
  <c r="L54" i="3"/>
  <c r="M54" i="3" s="1"/>
  <c r="L53" i="3"/>
  <c r="M53" i="3" s="1"/>
  <c r="L52" i="3"/>
  <c r="M52" i="3" s="1"/>
  <c r="L51" i="3"/>
  <c r="M51" i="3" s="1"/>
  <c r="L50" i="3"/>
  <c r="M50" i="3" s="1"/>
  <c r="L45" i="3"/>
  <c r="M45" i="3" s="1"/>
  <c r="L44" i="3"/>
  <c r="M44" i="3" s="1"/>
  <c r="L43" i="3"/>
  <c r="M43" i="3" s="1"/>
  <c r="L42" i="3"/>
  <c r="M42" i="3" s="1"/>
  <c r="L41" i="3"/>
  <c r="M41" i="3" s="1"/>
  <c r="L36" i="3"/>
  <c r="M36" i="3" s="1"/>
  <c r="L35" i="3"/>
  <c r="M35" i="3" s="1"/>
  <c r="L34" i="3"/>
  <c r="M34" i="3" s="1"/>
  <c r="L33" i="3"/>
  <c r="M33" i="3" s="1"/>
  <c r="L32" i="3"/>
  <c r="M32" i="3" s="1"/>
  <c r="L27" i="3"/>
  <c r="M27" i="3" s="1"/>
  <c r="L26" i="3"/>
  <c r="M26" i="3" s="1"/>
  <c r="L25" i="3"/>
  <c r="M25" i="3" s="1"/>
  <c r="L24" i="3"/>
  <c r="M24" i="3" s="1"/>
  <c r="L23" i="3"/>
  <c r="M23" i="3" s="1"/>
  <c r="L18" i="3"/>
  <c r="M18" i="3" s="1"/>
  <c r="L17" i="3"/>
  <c r="M17" i="3" s="1"/>
  <c r="L16" i="3"/>
  <c r="M16" i="3" s="1"/>
  <c r="L15" i="3"/>
  <c r="M15" i="3" s="1"/>
  <c r="L14" i="3"/>
  <c r="M14" i="3" s="1"/>
  <c r="L13" i="3"/>
  <c r="M13" i="3" s="1"/>
  <c r="L8" i="3"/>
  <c r="M8" i="3" s="1"/>
  <c r="L7" i="3"/>
  <c r="M7" i="3" s="1"/>
  <c r="L6" i="3"/>
  <c r="M6" i="3" s="1"/>
  <c r="L5" i="3"/>
  <c r="M5" i="3" s="1"/>
  <c r="L4" i="3"/>
  <c r="M4" i="3" s="1"/>
  <c r="M196" i="1"/>
  <c r="N196" i="1" s="1"/>
  <c r="M164" i="1"/>
  <c r="N164" i="1" s="1"/>
  <c r="M163" i="1"/>
  <c r="N163" i="1" s="1"/>
  <c r="M162" i="1"/>
  <c r="N162" i="1" s="1"/>
  <c r="M161" i="1"/>
  <c r="N161" i="1" s="1"/>
  <c r="M160" i="1"/>
  <c r="N160" i="1" s="1"/>
  <c r="M173" i="1"/>
  <c r="N173" i="1" s="1"/>
  <c r="M172" i="1"/>
  <c r="N172" i="1" s="1"/>
  <c r="M171" i="1"/>
  <c r="N171" i="1" s="1"/>
  <c r="M170" i="1"/>
  <c r="N170" i="1" s="1"/>
  <c r="M169" i="1"/>
  <c r="N169" i="1" s="1"/>
  <c r="M191" i="1"/>
  <c r="N191" i="1" s="1"/>
  <c r="M190" i="1"/>
  <c r="N190" i="1" s="1"/>
  <c r="M189" i="1"/>
  <c r="N189" i="1" s="1"/>
  <c r="M188" i="1"/>
  <c r="N188" i="1" s="1"/>
  <c r="M187" i="1"/>
  <c r="N187" i="1" s="1"/>
  <c r="M155" i="1"/>
  <c r="N155" i="1" s="1"/>
  <c r="M154" i="1"/>
  <c r="N154" i="1" s="1"/>
  <c r="M153" i="1"/>
  <c r="N153" i="1" s="1"/>
  <c r="M152" i="1"/>
  <c r="N152" i="1" s="1"/>
  <c r="M151" i="1"/>
  <c r="N151" i="1" s="1"/>
  <c r="M200" i="1"/>
  <c r="N200" i="1" s="1"/>
  <c r="M199" i="1"/>
  <c r="N199" i="1" s="1"/>
  <c r="M198" i="1"/>
  <c r="N198" i="1" s="1"/>
  <c r="M197" i="1"/>
  <c r="N197" i="1" s="1"/>
  <c r="M209" i="1"/>
  <c r="N209" i="1" s="1"/>
  <c r="M208" i="1"/>
  <c r="N208" i="1" s="1"/>
  <c r="M207" i="1"/>
  <c r="N207" i="1" s="1"/>
  <c r="M206" i="1"/>
  <c r="N206" i="1" s="1"/>
  <c r="M205" i="1"/>
  <c r="N205" i="1" s="1"/>
  <c r="M146" i="1"/>
  <c r="N146" i="1" s="1"/>
  <c r="M145" i="1"/>
  <c r="N145" i="1" s="1"/>
  <c r="M144" i="1"/>
  <c r="N144" i="1" s="1"/>
  <c r="M143" i="1"/>
  <c r="N143" i="1" s="1"/>
  <c r="M142" i="1"/>
  <c r="N142" i="1" s="1"/>
  <c r="M182" i="1"/>
  <c r="N182" i="1" s="1"/>
  <c r="M181" i="1"/>
  <c r="N181" i="1" s="1"/>
  <c r="M180" i="1"/>
  <c r="N180" i="1" s="1"/>
  <c r="M179" i="1"/>
  <c r="N179" i="1" s="1"/>
  <c r="M178" i="1"/>
  <c r="N178" i="1" s="1"/>
  <c r="M133" i="1"/>
  <c r="X134" i="1" l="1"/>
  <c r="W134" i="1"/>
  <c r="V134" i="1"/>
  <c r="U134" i="1"/>
  <c r="T134" i="1"/>
  <c r="S134" i="1"/>
  <c r="R134" i="1"/>
  <c r="X133" i="1"/>
  <c r="W133" i="1"/>
  <c r="V133" i="1"/>
  <c r="U133" i="1"/>
  <c r="T133" i="1"/>
  <c r="S133" i="1"/>
  <c r="R133" i="1"/>
  <c r="X125" i="1"/>
  <c r="W125" i="1"/>
  <c r="V125" i="1"/>
  <c r="U125" i="1"/>
  <c r="T125" i="1"/>
  <c r="S125" i="1"/>
  <c r="R125" i="1"/>
  <c r="X124" i="1"/>
  <c r="W124" i="1"/>
  <c r="V124" i="1"/>
  <c r="U124" i="1"/>
  <c r="T124" i="1"/>
  <c r="S124" i="1"/>
  <c r="R124" i="1"/>
  <c r="X116" i="1"/>
  <c r="W116" i="1"/>
  <c r="V116" i="1"/>
  <c r="U116" i="1"/>
  <c r="T116" i="1"/>
  <c r="S116" i="1"/>
  <c r="R116" i="1"/>
  <c r="X115" i="1"/>
  <c r="W115" i="1"/>
  <c r="V115" i="1"/>
  <c r="U115" i="1"/>
  <c r="T115" i="1"/>
  <c r="S115" i="1"/>
  <c r="R115" i="1"/>
  <c r="X107" i="1"/>
  <c r="W107" i="1"/>
  <c r="V107" i="1"/>
  <c r="U107" i="1"/>
  <c r="T107" i="1"/>
  <c r="S107" i="1"/>
  <c r="R107" i="1"/>
  <c r="X106" i="1"/>
  <c r="W106" i="1"/>
  <c r="V106" i="1"/>
  <c r="U106" i="1"/>
  <c r="T106" i="1"/>
  <c r="S106" i="1"/>
  <c r="R106" i="1"/>
  <c r="X98" i="1"/>
  <c r="W98" i="1"/>
  <c r="V98" i="1"/>
  <c r="U98" i="1"/>
  <c r="T98" i="1"/>
  <c r="S98" i="1"/>
  <c r="R98" i="1"/>
  <c r="X97" i="1"/>
  <c r="W97" i="1"/>
  <c r="V97" i="1"/>
  <c r="U97" i="1"/>
  <c r="T97" i="1"/>
  <c r="S97" i="1"/>
  <c r="R97" i="1"/>
  <c r="X89" i="1"/>
  <c r="W89" i="1"/>
  <c r="V89" i="1"/>
  <c r="U89" i="1"/>
  <c r="T89" i="1"/>
  <c r="T90" i="1" s="1"/>
  <c r="S89" i="1"/>
  <c r="R89" i="1"/>
  <c r="X88" i="1"/>
  <c r="W88" i="1"/>
  <c r="V88" i="1"/>
  <c r="U88" i="1"/>
  <c r="T88" i="1"/>
  <c r="S88" i="1"/>
  <c r="R88" i="1"/>
  <c r="S72" i="1"/>
  <c r="T72" i="1"/>
  <c r="U72" i="1"/>
  <c r="V72" i="1"/>
  <c r="V73" i="1" s="1"/>
  <c r="W72" i="1"/>
  <c r="X72" i="1"/>
  <c r="R72" i="1"/>
  <c r="T71" i="1"/>
  <c r="U71" i="1"/>
  <c r="V71" i="1"/>
  <c r="W71" i="1"/>
  <c r="X71" i="1"/>
  <c r="S71" i="1"/>
  <c r="R71" i="1"/>
  <c r="T108" i="1" l="1"/>
  <c r="X108" i="1"/>
  <c r="R135" i="1"/>
  <c r="W126" i="1"/>
  <c r="X73" i="1"/>
  <c r="S99" i="1"/>
  <c r="W99" i="1"/>
  <c r="U108" i="1"/>
  <c r="S117" i="1"/>
  <c r="W117" i="1"/>
  <c r="W73" i="1"/>
  <c r="T99" i="1"/>
  <c r="R108" i="1"/>
  <c r="S73" i="1"/>
  <c r="X90" i="1"/>
  <c r="R73" i="1"/>
  <c r="S90" i="1"/>
  <c r="W90" i="1"/>
  <c r="U99" i="1"/>
  <c r="U135" i="1"/>
  <c r="V108" i="1"/>
  <c r="T135" i="1"/>
  <c r="V135" i="1"/>
  <c r="U73" i="1"/>
  <c r="T73" i="1"/>
  <c r="X99" i="1"/>
  <c r="T117" i="1"/>
  <c r="X117" i="1"/>
  <c r="U126" i="1"/>
  <c r="R126" i="1"/>
  <c r="V126" i="1"/>
  <c r="S135" i="1"/>
  <c r="W135" i="1"/>
  <c r="U90" i="1"/>
  <c r="U117" i="1"/>
  <c r="S126" i="1"/>
  <c r="X135" i="1"/>
  <c r="R90" i="1"/>
  <c r="V90" i="1"/>
  <c r="R99" i="1"/>
  <c r="V99" i="1"/>
  <c r="S108" i="1"/>
  <c r="W108" i="1"/>
  <c r="R117" i="1"/>
  <c r="V117" i="1"/>
  <c r="T126" i="1"/>
  <c r="X126" i="1"/>
  <c r="M75" i="1" l="1"/>
  <c r="N75" i="1" s="1"/>
  <c r="M74" i="1"/>
  <c r="N74" i="1" s="1"/>
  <c r="M73" i="1"/>
  <c r="N73" i="1" s="1"/>
  <c r="M72" i="1"/>
  <c r="N72" i="1" s="1"/>
  <c r="M71" i="1"/>
  <c r="N71" i="1" s="1"/>
  <c r="M98" i="1" l="1"/>
  <c r="N98" i="1" s="1"/>
  <c r="M99" i="1"/>
  <c r="N99" i="1" s="1"/>
  <c r="M100" i="1"/>
  <c r="N100" i="1" s="1"/>
  <c r="M101" i="1"/>
  <c r="N101" i="1" s="1"/>
  <c r="M89" i="1"/>
  <c r="N89" i="1" s="1"/>
  <c r="M90" i="1"/>
  <c r="N90" i="1" s="1"/>
  <c r="M91" i="1"/>
  <c r="N91" i="1" s="1"/>
  <c r="M92" i="1"/>
  <c r="N92" i="1" s="1"/>
  <c r="M134" i="1"/>
  <c r="N134" i="1" s="1"/>
  <c r="M135" i="1"/>
  <c r="N135" i="1" s="1"/>
  <c r="M136" i="1"/>
  <c r="N136" i="1" s="1"/>
  <c r="M137" i="1"/>
  <c r="N137" i="1" s="1"/>
  <c r="M125" i="1"/>
  <c r="N125" i="1" s="1"/>
  <c r="M126" i="1"/>
  <c r="N126" i="1" s="1"/>
  <c r="M127" i="1"/>
  <c r="N127" i="1" s="1"/>
  <c r="M128" i="1"/>
  <c r="N128" i="1" s="1"/>
  <c r="M116" i="1"/>
  <c r="N116" i="1" s="1"/>
  <c r="M117" i="1"/>
  <c r="N117" i="1" s="1"/>
  <c r="M118" i="1"/>
  <c r="N118" i="1" s="1"/>
  <c r="M119" i="1"/>
  <c r="N119" i="1" s="1"/>
  <c r="M107" i="1"/>
  <c r="N107" i="1" s="1"/>
  <c r="M108" i="1"/>
  <c r="N108" i="1" s="1"/>
  <c r="M109" i="1"/>
  <c r="N109" i="1" s="1"/>
  <c r="M110" i="1"/>
  <c r="N110" i="1" s="1"/>
  <c r="N133" i="1" l="1"/>
  <c r="M124" i="1"/>
  <c r="N124" i="1" s="1"/>
  <c r="M115" i="1"/>
  <c r="N115" i="1" s="1"/>
  <c r="M106" i="1"/>
  <c r="N106" i="1" s="1"/>
  <c r="M97" i="1"/>
  <c r="N97" i="1" s="1"/>
  <c r="M88" i="1"/>
  <c r="N88" i="1" s="1"/>
  <c r="M64" i="1" l="1"/>
  <c r="N64" i="1" s="1"/>
  <c r="M65" i="1"/>
  <c r="N65" i="1" s="1"/>
  <c r="M66" i="1"/>
  <c r="N66" i="1" s="1"/>
  <c r="M63" i="1"/>
  <c r="N63" i="1" s="1"/>
  <c r="M55" i="1"/>
  <c r="N55" i="1" s="1"/>
  <c r="M56" i="1"/>
  <c r="N56" i="1" s="1"/>
  <c r="M57" i="1"/>
  <c r="N57" i="1" s="1"/>
  <c r="M58" i="1"/>
  <c r="N58" i="1" s="1"/>
  <c r="M54" i="1"/>
  <c r="N54" i="1" s="1"/>
  <c r="M46" i="1"/>
  <c r="N46" i="1" s="1"/>
  <c r="M47" i="1"/>
  <c r="N47" i="1" s="1"/>
  <c r="M48" i="1"/>
  <c r="N48" i="1" s="1"/>
  <c r="M49" i="1"/>
  <c r="N49" i="1" s="1"/>
  <c r="M45" i="1"/>
  <c r="N45" i="1" s="1"/>
  <c r="M38" i="1"/>
  <c r="N38" i="1" s="1"/>
  <c r="M39" i="1"/>
  <c r="N39" i="1" s="1"/>
  <c r="M40" i="1"/>
  <c r="N40" i="1" s="1"/>
  <c r="M37" i="1"/>
  <c r="N37" i="1" s="1"/>
  <c r="M30" i="1"/>
  <c r="N30" i="1" s="1"/>
  <c r="M31" i="1"/>
  <c r="N31" i="1" s="1"/>
  <c r="M32" i="1"/>
  <c r="N32" i="1" s="1"/>
  <c r="M29" i="1"/>
  <c r="N29" i="1" s="1"/>
  <c r="M21" i="1"/>
  <c r="N21" i="1" s="1"/>
  <c r="M22" i="1"/>
  <c r="N22" i="1" s="1"/>
  <c r="M23" i="1"/>
  <c r="N23" i="1" s="1"/>
  <c r="M24" i="1"/>
  <c r="N24" i="1" s="1"/>
  <c r="M20" i="1"/>
  <c r="N20" i="1" s="1"/>
  <c r="M13" i="1"/>
  <c r="N13" i="1" s="1"/>
  <c r="M14" i="1"/>
  <c r="N14" i="1" s="1"/>
  <c r="M15" i="1"/>
  <c r="N15" i="1" s="1"/>
  <c r="M12" i="1"/>
  <c r="N12" i="1" s="1"/>
  <c r="M5" i="1"/>
  <c r="N5" i="1" s="1"/>
  <c r="M6" i="1"/>
  <c r="N6" i="1" s="1"/>
  <c r="M7" i="1"/>
  <c r="N7" i="1" s="1"/>
  <c r="M4" i="1"/>
  <c r="N4" i="1" s="1"/>
</calcChain>
</file>

<file path=xl/sharedStrings.xml><?xml version="1.0" encoding="utf-8"?>
<sst xmlns="http://schemas.openxmlformats.org/spreadsheetml/2006/main" count="2743" uniqueCount="139">
  <si>
    <t>Nr</t>
  </si>
  <si>
    <t xml:space="preserve">  MPa  </t>
  </si>
  <si>
    <t xml:space="preserve">     MPa      </t>
  </si>
  <si>
    <t xml:space="preserve">       %        </t>
  </si>
  <si>
    <t xml:space="preserve"> mm  </t>
  </si>
  <si>
    <t xml:space="preserve">        mm        </t>
  </si>
  <si>
    <t>Series</t>
  </si>
  <si>
    <t xml:space="preserve">n = 4 </t>
  </si>
  <si>
    <t xml:space="preserve">  mm  </t>
  </si>
  <si>
    <t>{ol x}</t>
  </si>
  <si>
    <t xml:space="preserve">  s   </t>
  </si>
  <si>
    <t xml:space="preserve"> {ny} </t>
  </si>
  <si>
    <t>Sl-1</t>
  </si>
  <si>
    <t>Sl-2</t>
  </si>
  <si>
    <t xml:space="preserve">n = 5 </t>
  </si>
  <si>
    <t>Sl-3</t>
  </si>
  <si>
    <t>Sl-4</t>
  </si>
  <si>
    <t>Sa-1</t>
  </si>
  <si>
    <t>Sa-2</t>
  </si>
  <si>
    <t>Sa-3</t>
  </si>
  <si>
    <t>Sa-4</t>
  </si>
  <si>
    <r>
      <t>Modulis E</t>
    </r>
    <r>
      <rPr>
        <vertAlign val="subscript"/>
        <sz val="11"/>
        <color theme="1"/>
        <rFont val="Calibri (Body)"/>
      </rPr>
      <t>f</t>
    </r>
  </si>
  <si>
    <t>Max stipr. 𝜎fM</t>
  </si>
  <si>
    <r>
      <t>Def. pie max stipr. 𝜀</t>
    </r>
    <r>
      <rPr>
        <vertAlign val="subscript"/>
        <sz val="11"/>
        <color theme="1"/>
        <rFont val="Calibri (Body)"/>
      </rPr>
      <t>fM</t>
    </r>
  </si>
  <si>
    <r>
      <t>Stipr. pie salūšanas 𝜎</t>
    </r>
    <r>
      <rPr>
        <vertAlign val="subscript"/>
        <sz val="11"/>
        <color theme="1"/>
        <rFont val="Calibri (Body)"/>
      </rPr>
      <t>fB</t>
    </r>
  </si>
  <si>
    <r>
      <t>Def. pie salūšanas 𝜀</t>
    </r>
    <r>
      <rPr>
        <vertAlign val="subscript"/>
        <sz val="11"/>
        <color theme="1"/>
        <rFont val="Calibri (Body)"/>
      </rPr>
      <t>fM</t>
    </r>
  </si>
  <si>
    <t>augstums</t>
  </si>
  <si>
    <t>platums</t>
  </si>
  <si>
    <t>garums</t>
  </si>
  <si>
    <t>Support separ.</t>
  </si>
  <si>
    <t>masa</t>
  </si>
  <si>
    <t>tilpums</t>
  </si>
  <si>
    <t>blīvums</t>
  </si>
  <si>
    <t>g</t>
  </si>
  <si>
    <t>cm3</t>
  </si>
  <si>
    <t>g/cm3</t>
  </si>
  <si>
    <t>biezums</t>
  </si>
  <si>
    <t>Ef</t>
  </si>
  <si>
    <t>σfM</t>
  </si>
  <si>
    <t>εfM</t>
  </si>
  <si>
    <t>σfB</t>
  </si>
  <si>
    <t>εfB</t>
  </si>
  <si>
    <t xml:space="preserve"> platums</t>
  </si>
  <si>
    <t>20/05/2024</t>
  </si>
  <si>
    <t>Sl-31 hito</t>
  </si>
  <si>
    <t>Sl-22 hito</t>
  </si>
  <si>
    <t>Sl-32 hito</t>
  </si>
  <si>
    <t>Sl-41 hito</t>
  </si>
  <si>
    <t>Sl-42 hito</t>
  </si>
  <si>
    <t>Sl-23 hito</t>
  </si>
  <si>
    <t>03.09.2024 / 24.09.2024</t>
  </si>
  <si>
    <t>Hitozāna pārklājums</t>
  </si>
  <si>
    <t>n = 5</t>
  </si>
  <si>
    <t>Saz32 hito</t>
  </si>
  <si>
    <t>Sa11 hito</t>
  </si>
  <si>
    <t>Sa43 hito</t>
  </si>
  <si>
    <t>Sa42 hito</t>
  </si>
  <si>
    <t>Sa12 hito</t>
  </si>
  <si>
    <t>Saz33 hito</t>
  </si>
  <si>
    <t>Sa22 hito</t>
  </si>
  <si>
    <t>Sl11 hito</t>
  </si>
  <si>
    <t>Sa21 hito</t>
  </si>
  <si>
    <t xml:space="preserve">      -      </t>
  </si>
  <si>
    <t xml:space="preserve">       -       </t>
  </si>
  <si>
    <t>27/05/2024</t>
  </si>
  <si>
    <t>Sl_1</t>
  </si>
  <si>
    <r>
      <t>Modulis E</t>
    </r>
    <r>
      <rPr>
        <vertAlign val="subscript"/>
        <sz val="11"/>
        <color theme="1"/>
        <rFont val="Calibri (Body)"/>
      </rPr>
      <t>d</t>
    </r>
  </si>
  <si>
    <r>
      <t>Stiprība 𝜎</t>
    </r>
    <r>
      <rPr>
        <vertAlign val="subscript"/>
        <sz val="11"/>
        <color theme="1"/>
        <rFont val="Calibri (Body)"/>
      </rPr>
      <t>10</t>
    </r>
  </si>
  <si>
    <r>
      <t>max stipr. 𝜎</t>
    </r>
    <r>
      <rPr>
        <vertAlign val="subscript"/>
        <sz val="11"/>
        <color theme="1"/>
        <rFont val="Calibri (Body)"/>
      </rPr>
      <t>m</t>
    </r>
  </si>
  <si>
    <r>
      <t>max deform. 𝜀</t>
    </r>
    <r>
      <rPr>
        <vertAlign val="subscript"/>
        <sz val="11"/>
        <color theme="1"/>
        <rFont val="Calibri (Body)"/>
      </rPr>
      <t>m</t>
    </r>
  </si>
  <si>
    <t>Biezums</t>
  </si>
  <si>
    <t>Garums</t>
  </si>
  <si>
    <t>Platums</t>
  </si>
  <si>
    <t>Ed</t>
  </si>
  <si>
    <t>σ10</t>
  </si>
  <si>
    <t xml:space="preserve">σm </t>
  </si>
  <si>
    <t xml:space="preserve">εm </t>
  </si>
  <si>
    <t xml:space="preserve">     MPa     </t>
  </si>
  <si>
    <t xml:space="preserve">       %       </t>
  </si>
  <si>
    <t xml:space="preserve">  mm   </t>
  </si>
  <si>
    <t xml:space="preserve">x
</t>
  </si>
  <si>
    <t xml:space="preserve">  stdev</t>
  </si>
  <si>
    <t>Ed σ10 σm εm h0 a0 b0</t>
  </si>
  <si>
    <t>ν</t>
  </si>
  <si>
    <t xml:space="preserve">      -       </t>
  </si>
  <si>
    <t>Sl_2</t>
  </si>
  <si>
    <t xml:space="preserve">n = 6 </t>
  </si>
  <si>
    <t xml:space="preserve">   -   </t>
  </si>
  <si>
    <t>E{lo d}</t>
  </si>
  <si>
    <t>{sigma}{lo 10}</t>
  </si>
  <si>
    <t>{sigma}{lo m}</t>
  </si>
  <si>
    <t>{epsilon}{lo m}</t>
  </si>
  <si>
    <t>h{lo 0}</t>
  </si>
  <si>
    <t>a{lo 0}</t>
  </si>
  <si>
    <t>b{lo 0}</t>
  </si>
  <si>
    <t>Sl22 hito</t>
  </si>
  <si>
    <t>Sl23 hito</t>
  </si>
  <si>
    <t>Sl31 hito</t>
  </si>
  <si>
    <t>Sl32 hito</t>
  </si>
  <si>
    <t>Sl41 hito</t>
  </si>
  <si>
    <t>Sl42 hito</t>
  </si>
  <si>
    <t>Sa3 hito</t>
  </si>
  <si>
    <t>Def. pie max stipr. 𝜀fM</t>
  </si>
  <si>
    <t>Stipr. pie salūšanas 𝜎fB</t>
  </si>
  <si>
    <t>Def. pie salūšanas 𝜀fM</t>
  </si>
  <si>
    <t>density</t>
  </si>
  <si>
    <t>volume</t>
  </si>
  <si>
    <t>mass</t>
  </si>
  <si>
    <t>substrate</t>
  </si>
  <si>
    <t>layers</t>
  </si>
  <si>
    <t>nr</t>
  </si>
  <si>
    <t xml:space="preserve"> Ef</t>
  </si>
  <si>
    <t>Stiprība 𝜎10</t>
  </si>
  <si>
    <t>BSD2</t>
  </si>
  <si>
    <t>BSD3</t>
  </si>
  <si>
    <t>BSD4</t>
  </si>
  <si>
    <t>BSD1</t>
  </si>
  <si>
    <t>WS1</t>
  </si>
  <si>
    <t>WS2</t>
  </si>
  <si>
    <t>WS3</t>
  </si>
  <si>
    <t>WS4</t>
  </si>
  <si>
    <t>WSz3</t>
  </si>
  <si>
    <t>mean_ef</t>
  </si>
  <si>
    <t>sd_ef</t>
  </si>
  <si>
    <t>mean_max_stipr_σf_m</t>
  </si>
  <si>
    <t>sd_max_stipr_σf_m</t>
  </si>
  <si>
    <t>mean_def_pie_max_stipr_εf_m</t>
  </si>
  <si>
    <t>sd_def_pie_max_stipr_εf_m</t>
  </si>
  <si>
    <t>mean_stipr_pie_salusanas_σf_b</t>
  </si>
  <si>
    <t>sd_stipr_pie_salusanas_σf_b</t>
  </si>
  <si>
    <t>mean_def_pie_salusanas_εf_m</t>
  </si>
  <si>
    <t>sd_def_pie_salusanas_εf_m</t>
  </si>
  <si>
    <t>mean_density</t>
  </si>
  <si>
    <t>sd_density</t>
  </si>
  <si>
    <t>0</t>
  </si>
  <si>
    <t>2</t>
  </si>
  <si>
    <t>4</t>
  </si>
  <si>
    <t>mean_stipriba_σ10</t>
  </si>
  <si>
    <t>sd_stipriba_σ10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</si>
</sst>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6">
    <font>
      <sz val="11"/>
      <color theme="1"/>
      <name val="Calibri"/>
      <family val="2"/>
      <scheme val="minor"/>
    </font>
    <font>
      <vertAlign val="subscript"/>
      <sz val="11"/>
      <color theme="1"/>
      <name val="Calibri (Body)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  <charset val="186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2" fontId="0" fillId="0" borderId="2" xfId="0" applyNumberFormat="1" applyBorder="1"/>
    <xf numFmtId="164" fontId="0" fillId="0" borderId="2" xfId="0" applyNumberFormat="1" applyBorder="1"/>
    <xf numFmtId="164" fontId="0" fillId="0" borderId="3" xfId="0" applyNumberFormat="1" applyBorder="1"/>
    <xf numFmtId="2" fontId="0" fillId="2" borderId="9" xfId="0" applyNumberFormat="1" applyFill="1" applyBorder="1"/>
    <xf numFmtId="2" fontId="0" fillId="2" borderId="10" xfId="0" applyNumberFormat="1" applyFill="1" applyBorder="1"/>
    <xf numFmtId="2" fontId="0" fillId="2" borderId="11" xfId="0" applyNumberFormat="1" applyFill="1" applyBorder="1"/>
    <xf numFmtId="2" fontId="0" fillId="2" borderId="2" xfId="0" applyNumberFormat="1" applyFill="1" applyBorder="1"/>
    <xf numFmtId="164" fontId="0" fillId="0" borderId="5" xfId="0" applyNumberFormat="1" applyBorder="1"/>
    <xf numFmtId="2" fontId="0" fillId="2" borderId="7" xfId="0" applyNumberFormat="1" applyFill="1" applyBorder="1"/>
    <xf numFmtId="2" fontId="0" fillId="0" borderId="7" xfId="0" applyNumberFormat="1" applyBorder="1"/>
    <xf numFmtId="164" fontId="0" fillId="0" borderId="8" xfId="0" applyNumberFormat="1" applyBorder="1"/>
    <xf numFmtId="0" fontId="0" fillId="2" borderId="10" xfId="0" applyFill="1" applyBorder="1"/>
    <xf numFmtId="14" fontId="0" fillId="0" borderId="0" xfId="0" applyNumberFormat="1"/>
    <xf numFmtId="2" fontId="0" fillId="0" borderId="0" xfId="0" applyNumberFormat="1"/>
    <xf numFmtId="0" fontId="0" fillId="0" borderId="12" xfId="0" applyBorder="1"/>
    <xf numFmtId="2" fontId="0" fillId="2" borderId="0" xfId="0" applyNumberFormat="1" applyFill="1"/>
    <xf numFmtId="164" fontId="0" fillId="0" borderId="7" xfId="0" applyNumberFormat="1" applyBorder="1"/>
    <xf numFmtId="1" fontId="0" fillId="0" borderId="2" xfId="0" applyNumberFormat="1" applyBorder="1"/>
    <xf numFmtId="1" fontId="0" fillId="0" borderId="0" xfId="0" applyNumberFormat="1"/>
    <xf numFmtId="1" fontId="0" fillId="0" borderId="7" xfId="0" applyNumberFormat="1" applyBorder="1"/>
    <xf numFmtId="2" fontId="0" fillId="0" borderId="7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2" fontId="0" fillId="2" borderId="1" xfId="0" applyNumberFormat="1" applyFill="1" applyBorder="1"/>
    <xf numFmtId="0" fontId="0" fillId="0" borderId="4" xfId="0" applyBorder="1" applyAlignment="1">
      <alignment wrapText="1"/>
    </xf>
    <xf numFmtId="2" fontId="0" fillId="2" borderId="4" xfId="0" applyNumberFormat="1" applyFill="1" applyBorder="1"/>
    <xf numFmtId="2" fontId="2" fillId="2" borderId="4" xfId="0" applyNumberFormat="1" applyFont="1" applyFill="1" applyBorder="1"/>
    <xf numFmtId="2" fontId="0" fillId="2" borderId="6" xfId="0" applyNumberFormat="1" applyFill="1" applyBorder="1"/>
    <xf numFmtId="0" fontId="2" fillId="0" borderId="2" xfId="0" applyFont="1" applyBorder="1"/>
    <xf numFmtId="0" fontId="2" fillId="0" borderId="3" xfId="0" applyFont="1" applyBorder="1"/>
    <xf numFmtId="2" fontId="0" fillId="0" borderId="4" xfId="0" applyNumberFormat="1" applyBorder="1"/>
    <xf numFmtId="2" fontId="0" fillId="3" borderId="13" xfId="0" applyNumberFormat="1" applyFill="1" applyBorder="1"/>
    <xf numFmtId="2" fontId="2" fillId="2" borderId="1" xfId="0" applyNumberFormat="1" applyFont="1" applyFill="1" applyBorder="1"/>
    <xf numFmtId="164" fontId="0" fillId="0" borderId="0" xfId="0" applyNumberFormat="1"/>
    <xf numFmtId="0" fontId="3" fillId="0" borderId="0" xfId="0" applyFont="1" applyAlignment="1">
      <alignment horizontal="right" wrapText="1"/>
    </xf>
    <xf numFmtId="0" fontId="3" fillId="0" borderId="2" xfId="0" applyFont="1" applyBorder="1" applyAlignment="1">
      <alignment horizontal="right" wrapText="1"/>
    </xf>
    <xf numFmtId="0" fontId="3" fillId="0" borderId="7" xfId="0" applyFont="1" applyBorder="1" applyAlignment="1">
      <alignment horizontal="right" wrapText="1"/>
    </xf>
    <xf numFmtId="165" fontId="3" fillId="0" borderId="2" xfId="0" applyNumberFormat="1" applyFont="1" applyBorder="1" applyAlignment="1">
      <alignment horizontal="right" wrapText="1"/>
    </xf>
    <xf numFmtId="165" fontId="3" fillId="0" borderId="0" xfId="0" applyNumberFormat="1" applyFont="1" applyAlignment="1">
      <alignment horizontal="right" wrapText="1"/>
    </xf>
    <xf numFmtId="165" fontId="3" fillId="0" borderId="7" xfId="0" applyNumberFormat="1" applyFont="1" applyBorder="1" applyAlignment="1">
      <alignment horizontal="right" wrapText="1"/>
    </xf>
    <xf numFmtId="2" fontId="0" fillId="0" borderId="5" xfId="0" applyNumberFormat="1" applyBorder="1"/>
    <xf numFmtId="2" fontId="0" fillId="0" borderId="8" xfId="0" applyNumberFormat="1" applyBorder="1"/>
    <xf numFmtId="166" fontId="0" fillId="0" borderId="0" xfId="0" applyNumberFormat="1"/>
    <xf numFmtId="166" fontId="0" fillId="0" borderId="7" xfId="0" applyNumberFormat="1" applyBorder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28"/>
  <sheetViews>
    <sheetView zoomScaleNormal="100" workbookViewId="0">
      <selection activeCell="C4" sqref="C4:C7"/>
    </sheetView>
  </sheetViews>
  <sheetFormatPr defaultColWidth="8.85546875" defaultRowHeight="15"/>
  <cols>
    <col min="2" max="2" width="11" customWidth="1"/>
    <col min="4" max="4" width="12.28515625" bestFit="1" customWidth="1"/>
    <col min="5" max="5" width="17.85546875" bestFit="1" customWidth="1"/>
    <col min="6" max="6" width="18.28515625" bestFit="1" customWidth="1"/>
    <col min="7" max="7" width="17.42578125" bestFit="1" customWidth="1"/>
    <col min="8" max="8" width="8.28515625" bestFit="1" customWidth="1"/>
    <col min="9" max="9" width="7.28515625" bestFit="1" customWidth="1"/>
    <col min="11" max="11" width="12.140625" bestFit="1" customWidth="1"/>
  </cols>
  <sheetData>
    <row r="1" spans="1:24" ht="15.75" thickBot="1">
      <c r="A1" s="1"/>
      <c r="F1" t="s">
        <v>43</v>
      </c>
    </row>
    <row r="2" spans="1:24" ht="18.75">
      <c r="B2" s="1" t="s">
        <v>12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9" t="s">
        <v>30</v>
      </c>
      <c r="M2" s="10" t="s">
        <v>31</v>
      </c>
      <c r="N2" s="11" t="s">
        <v>32</v>
      </c>
      <c r="Q2" s="1" t="s">
        <v>6</v>
      </c>
      <c r="R2" s="2" t="s">
        <v>37</v>
      </c>
      <c r="S2" s="2" t="s">
        <v>38</v>
      </c>
      <c r="T2" s="2" t="s">
        <v>39</v>
      </c>
      <c r="U2" s="2" t="s">
        <v>40</v>
      </c>
      <c r="V2" s="2" t="s">
        <v>41</v>
      </c>
      <c r="W2" s="2" t="s">
        <v>36</v>
      </c>
      <c r="X2" s="3" t="s">
        <v>42</v>
      </c>
    </row>
    <row r="3" spans="1:24" ht="15.75" thickBot="1">
      <c r="B3" s="6" t="s">
        <v>0</v>
      </c>
      <c r="C3" s="7" t="s">
        <v>1</v>
      </c>
      <c r="D3" s="7" t="s">
        <v>2</v>
      </c>
      <c r="E3" s="7" t="s">
        <v>3</v>
      </c>
      <c r="F3" s="7" t="s">
        <v>2</v>
      </c>
      <c r="G3" s="7" t="s">
        <v>3</v>
      </c>
      <c r="H3" s="7" t="s">
        <v>4</v>
      </c>
      <c r="I3" s="7" t="s">
        <v>4</v>
      </c>
      <c r="J3" s="7" t="s">
        <v>5</v>
      </c>
      <c r="K3" s="7"/>
      <c r="L3" s="7" t="s">
        <v>33</v>
      </c>
      <c r="M3" s="7" t="s">
        <v>34</v>
      </c>
      <c r="N3" s="8" t="s">
        <v>35</v>
      </c>
      <c r="Q3" s="4" t="s">
        <v>7</v>
      </c>
      <c r="R3" t="s">
        <v>1</v>
      </c>
      <c r="S3" t="s">
        <v>2</v>
      </c>
      <c r="T3" t="s">
        <v>3</v>
      </c>
      <c r="U3" t="s">
        <v>2</v>
      </c>
      <c r="V3" t="s">
        <v>3</v>
      </c>
      <c r="W3" t="s">
        <v>8</v>
      </c>
      <c r="X3" s="5" t="s">
        <v>8</v>
      </c>
    </row>
    <row r="4" spans="1:24">
      <c r="B4" s="1">
        <v>1</v>
      </c>
      <c r="C4" s="2">
        <v>9.6300000000000008</v>
      </c>
      <c r="D4" s="2">
        <v>0.129</v>
      </c>
      <c r="E4" s="2">
        <v>2.2000000000000002</v>
      </c>
      <c r="F4" s="2">
        <v>8.4900000000000003E-2</v>
      </c>
      <c r="G4" s="2">
        <v>3</v>
      </c>
      <c r="H4" s="2">
        <v>30.33</v>
      </c>
      <c r="I4" s="2">
        <v>30.19</v>
      </c>
      <c r="J4" s="2">
        <v>170</v>
      </c>
      <c r="K4" s="2">
        <v>150</v>
      </c>
      <c r="L4" s="15">
        <v>38.6</v>
      </c>
      <c r="M4" s="9">
        <f>(H4*I4*J4)/1000</f>
        <v>155.66265899999999</v>
      </c>
      <c r="N4" s="11">
        <f>L4/M4</f>
        <v>0.24797212284546677</v>
      </c>
      <c r="Q4" s="4" t="s">
        <v>9</v>
      </c>
      <c r="R4">
        <v>7.47</v>
      </c>
      <c r="S4">
        <v>0.10299999999999999</v>
      </c>
      <c r="T4">
        <v>2</v>
      </c>
      <c r="U4">
        <v>5.6800000000000003E-2</v>
      </c>
      <c r="V4">
        <v>2.5</v>
      </c>
      <c r="W4">
        <v>30.22</v>
      </c>
      <c r="X4" s="5">
        <v>30.09</v>
      </c>
    </row>
    <row r="5" spans="1:24">
      <c r="B5" s="4">
        <v>2</v>
      </c>
      <c r="C5">
        <v>5.67</v>
      </c>
      <c r="D5">
        <v>0.105</v>
      </c>
      <c r="E5">
        <v>2.1</v>
      </c>
      <c r="F5">
        <v>5.2499999999999998E-2</v>
      </c>
      <c r="G5">
        <v>2.8</v>
      </c>
      <c r="H5">
        <v>30.28</v>
      </c>
      <c r="I5">
        <v>30.24</v>
      </c>
      <c r="J5">
        <v>170</v>
      </c>
      <c r="K5">
        <v>150</v>
      </c>
      <c r="L5" s="24">
        <v>37.6</v>
      </c>
      <c r="M5" s="22">
        <f>(H5*I5*J5)/1000</f>
        <v>155.66342399999999</v>
      </c>
      <c r="N5" s="16">
        <f>L5/M5</f>
        <v>0.24154678750995484</v>
      </c>
      <c r="Q5" s="4" t="s">
        <v>10</v>
      </c>
      <c r="R5">
        <v>1.86</v>
      </c>
      <c r="S5">
        <v>1.9099999999999999E-2</v>
      </c>
      <c r="T5">
        <v>0.2</v>
      </c>
      <c r="U5">
        <v>1.9199999999999998E-2</v>
      </c>
      <c r="V5">
        <v>0.4</v>
      </c>
      <c r="W5">
        <v>0.1066</v>
      </c>
      <c r="X5" s="5">
        <v>0.15509999999999999</v>
      </c>
    </row>
    <row r="6" spans="1:24" ht="15.75" thickBot="1">
      <c r="B6" s="4">
        <v>3</v>
      </c>
      <c r="C6">
        <v>8.39</v>
      </c>
      <c r="D6">
        <v>9.6000000000000002E-2</v>
      </c>
      <c r="E6">
        <v>1.8</v>
      </c>
      <c r="F6">
        <v>4.7899999999999998E-2</v>
      </c>
      <c r="G6">
        <v>2</v>
      </c>
      <c r="H6">
        <v>30.14</v>
      </c>
      <c r="I6">
        <v>29.9</v>
      </c>
      <c r="J6">
        <v>170</v>
      </c>
      <c r="K6">
        <v>150</v>
      </c>
      <c r="L6" s="24">
        <v>37.299999999999997</v>
      </c>
      <c r="M6" s="22">
        <f>(H6*I6*J6)/1000</f>
        <v>153.20161999999999</v>
      </c>
      <c r="N6" s="16">
        <f>L6/M6</f>
        <v>0.24347001030406859</v>
      </c>
      <c r="Q6" s="6" t="s">
        <v>11</v>
      </c>
      <c r="R6" s="7">
        <v>24.92</v>
      </c>
      <c r="S6" s="7">
        <v>18.440000000000001</v>
      </c>
      <c r="T6" s="7">
        <v>12.36</v>
      </c>
      <c r="U6" s="7">
        <v>33.869999999999997</v>
      </c>
      <c r="V6" s="7">
        <v>17.54</v>
      </c>
      <c r="W6" s="7">
        <v>0.35</v>
      </c>
      <c r="X6" s="8">
        <v>0.52</v>
      </c>
    </row>
    <row r="7" spans="1:24" ht="15.75" thickBot="1">
      <c r="B7" s="6">
        <v>4</v>
      </c>
      <c r="C7" s="7">
        <v>6.19</v>
      </c>
      <c r="D7" s="7">
        <v>8.3699999999999997E-2</v>
      </c>
      <c r="E7" s="7">
        <v>1.8</v>
      </c>
      <c r="F7" s="7">
        <v>4.1799999999999997E-2</v>
      </c>
      <c r="G7" s="7">
        <v>2.2999999999999998</v>
      </c>
      <c r="H7" s="7">
        <v>30.11</v>
      </c>
      <c r="I7" s="7">
        <v>30.03</v>
      </c>
      <c r="J7" s="7">
        <v>170</v>
      </c>
      <c r="K7" s="7">
        <v>150</v>
      </c>
      <c r="L7" s="17">
        <v>37.5</v>
      </c>
      <c r="M7" s="18">
        <f>(H7*I7*J7)/1000</f>
        <v>153.714561</v>
      </c>
      <c r="N7" s="19">
        <f>L7/M7</f>
        <v>0.24395867090301224</v>
      </c>
    </row>
    <row r="9" spans="1:24" ht="15.75" thickBot="1"/>
    <row r="10" spans="1:24" ht="18.75">
      <c r="B10" s="1" t="s">
        <v>13</v>
      </c>
      <c r="C10" s="2" t="s">
        <v>21</v>
      </c>
      <c r="D10" s="2" t="s">
        <v>22</v>
      </c>
      <c r="E10" s="2" t="s">
        <v>23</v>
      </c>
      <c r="F10" s="2" t="s">
        <v>24</v>
      </c>
      <c r="G10" s="2" t="s">
        <v>25</v>
      </c>
      <c r="H10" s="2" t="s">
        <v>26</v>
      </c>
      <c r="I10" s="2" t="s">
        <v>27</v>
      </c>
      <c r="J10" s="2" t="s">
        <v>28</v>
      </c>
      <c r="K10" s="2" t="s">
        <v>29</v>
      </c>
      <c r="L10" s="9" t="s">
        <v>30</v>
      </c>
      <c r="M10" s="10" t="s">
        <v>31</v>
      </c>
      <c r="N10" s="11" t="s">
        <v>32</v>
      </c>
      <c r="Q10" s="1" t="s">
        <v>6</v>
      </c>
      <c r="R10" s="2" t="s">
        <v>37</v>
      </c>
      <c r="S10" s="2" t="s">
        <v>38</v>
      </c>
      <c r="T10" s="2" t="s">
        <v>39</v>
      </c>
      <c r="U10" s="2" t="s">
        <v>40</v>
      </c>
      <c r="V10" s="2" t="s">
        <v>41</v>
      </c>
      <c r="W10" s="2" t="s">
        <v>36</v>
      </c>
      <c r="X10" s="3" t="s">
        <v>42</v>
      </c>
    </row>
    <row r="11" spans="1:24" ht="15.75" thickBot="1">
      <c r="B11" s="6" t="s">
        <v>0</v>
      </c>
      <c r="C11" s="7" t="s">
        <v>1</v>
      </c>
      <c r="D11" s="7" t="s">
        <v>2</v>
      </c>
      <c r="E11" s="7" t="s">
        <v>3</v>
      </c>
      <c r="F11" s="7" t="s">
        <v>2</v>
      </c>
      <c r="G11" s="7" t="s">
        <v>3</v>
      </c>
      <c r="H11" s="7" t="s">
        <v>4</v>
      </c>
      <c r="I11" s="7" t="s">
        <v>4</v>
      </c>
      <c r="J11" s="7" t="s">
        <v>5</v>
      </c>
      <c r="K11" s="7"/>
      <c r="L11" s="7"/>
      <c r="M11" s="7"/>
      <c r="N11" s="8"/>
      <c r="Q11" s="4" t="s">
        <v>7</v>
      </c>
      <c r="R11" t="s">
        <v>1</v>
      </c>
      <c r="S11" t="s">
        <v>2</v>
      </c>
      <c r="T11" t="s">
        <v>3</v>
      </c>
      <c r="U11" t="s">
        <v>2</v>
      </c>
      <c r="V11" t="s">
        <v>3</v>
      </c>
      <c r="W11" t="s">
        <v>8</v>
      </c>
      <c r="X11" s="5" t="s">
        <v>8</v>
      </c>
    </row>
    <row r="12" spans="1:24">
      <c r="B12" s="1">
        <v>1</v>
      </c>
      <c r="C12" s="2">
        <v>5.55</v>
      </c>
      <c r="D12" s="2">
        <v>0.14199999999999999</v>
      </c>
      <c r="E12" s="2">
        <v>3.9</v>
      </c>
      <c r="F12" s="2">
        <v>7.0699999999999999E-2</v>
      </c>
      <c r="G12" s="2">
        <v>4.8</v>
      </c>
      <c r="H12" s="2">
        <v>29.63</v>
      </c>
      <c r="I12" s="2">
        <v>29.73</v>
      </c>
      <c r="J12" s="2">
        <v>170</v>
      </c>
      <c r="K12" s="2">
        <v>150</v>
      </c>
      <c r="L12" s="12">
        <v>21.9</v>
      </c>
      <c r="M12" s="9">
        <f>(H12*I12*J12)/1000</f>
        <v>149.752983</v>
      </c>
      <c r="N12" s="11">
        <f t="shared" ref="N12:N15" si="0">L12/M12</f>
        <v>0.14624082646821132</v>
      </c>
      <c r="Q12" s="4" t="s">
        <v>9</v>
      </c>
      <c r="R12">
        <v>4.25</v>
      </c>
      <c r="S12">
        <v>9.8400000000000001E-2</v>
      </c>
      <c r="T12">
        <v>3.4</v>
      </c>
      <c r="U12">
        <v>4.9200000000000001E-2</v>
      </c>
      <c r="V12">
        <v>6</v>
      </c>
      <c r="W12">
        <v>29.73</v>
      </c>
      <c r="X12" s="5">
        <v>29.99</v>
      </c>
    </row>
    <row r="13" spans="1:24">
      <c r="B13" s="4">
        <v>2</v>
      </c>
      <c r="C13">
        <v>3.64</v>
      </c>
      <c r="D13">
        <v>9.4100000000000003E-2</v>
      </c>
      <c r="E13">
        <v>4.0999999999999996</v>
      </c>
      <c r="F13">
        <v>4.7E-2</v>
      </c>
      <c r="G13">
        <v>6.7</v>
      </c>
      <c r="H13">
        <v>29.46</v>
      </c>
      <c r="I13">
        <v>30.22</v>
      </c>
      <c r="J13">
        <v>170</v>
      </c>
      <c r="K13">
        <v>150</v>
      </c>
      <c r="L13" s="13">
        <v>22.1</v>
      </c>
      <c r="M13" s="22">
        <f>(H13*I13*J13)/1000</f>
        <v>151.347804</v>
      </c>
      <c r="N13" s="16">
        <f t="shared" si="0"/>
        <v>0.1460212795687475</v>
      </c>
      <c r="Q13" s="4" t="s">
        <v>10</v>
      </c>
      <c r="R13">
        <v>0.88400000000000001</v>
      </c>
      <c r="S13">
        <v>2.9899999999999999E-2</v>
      </c>
      <c r="T13">
        <v>0.7</v>
      </c>
      <c r="U13">
        <v>1.49E-2</v>
      </c>
      <c r="V13">
        <v>1.1000000000000001</v>
      </c>
      <c r="W13">
        <v>0.2661</v>
      </c>
      <c r="X13" s="5">
        <v>0.2011</v>
      </c>
    </row>
    <row r="14" spans="1:24" ht="15.75" thickBot="1">
      <c r="B14" s="4">
        <v>3</v>
      </c>
      <c r="C14" s="22">
        <v>4</v>
      </c>
      <c r="D14">
        <v>7.46E-2</v>
      </c>
      <c r="E14">
        <v>2.6</v>
      </c>
      <c r="F14">
        <v>3.73E-2</v>
      </c>
      <c r="G14">
        <v>7.1</v>
      </c>
      <c r="H14">
        <v>29.72</v>
      </c>
      <c r="I14">
        <v>30.01</v>
      </c>
      <c r="J14">
        <v>170</v>
      </c>
      <c r="K14">
        <v>150</v>
      </c>
      <c r="L14" s="13">
        <v>22.4</v>
      </c>
      <c r="M14" s="22">
        <f>(H14*I14*J14)/1000</f>
        <v>151.622524</v>
      </c>
      <c r="N14" s="16">
        <f t="shared" si="0"/>
        <v>0.14773530613433133</v>
      </c>
      <c r="Q14" s="6" t="s">
        <v>11</v>
      </c>
      <c r="R14" s="7">
        <v>20.82</v>
      </c>
      <c r="S14" s="7">
        <v>30.33</v>
      </c>
      <c r="T14" s="7">
        <v>20.75</v>
      </c>
      <c r="U14" s="7">
        <v>30.3</v>
      </c>
      <c r="V14" s="7">
        <v>18</v>
      </c>
      <c r="W14" s="7">
        <v>0.9</v>
      </c>
      <c r="X14" s="8">
        <v>0.67</v>
      </c>
    </row>
    <row r="15" spans="1:24" ht="15.75" thickBot="1">
      <c r="B15" s="6">
        <v>4</v>
      </c>
      <c r="C15" s="7">
        <v>3.78</v>
      </c>
      <c r="D15" s="7">
        <v>8.3400000000000002E-2</v>
      </c>
      <c r="E15" s="7">
        <v>3.1</v>
      </c>
      <c r="F15" s="7">
        <v>4.1700000000000001E-2</v>
      </c>
      <c r="G15" s="7">
        <v>5.4</v>
      </c>
      <c r="H15" s="7">
        <v>30.09</v>
      </c>
      <c r="I15" s="7">
        <v>30.01</v>
      </c>
      <c r="J15" s="7">
        <v>170</v>
      </c>
      <c r="K15" s="7">
        <v>150</v>
      </c>
      <c r="L15" s="14">
        <v>22.4</v>
      </c>
      <c r="M15" s="18">
        <f>(H15*I15*J15)/1000</f>
        <v>153.510153</v>
      </c>
      <c r="N15" s="19">
        <f t="shared" si="0"/>
        <v>0.14591868721543128</v>
      </c>
    </row>
    <row r="17" spans="2:24" ht="15.75" thickBot="1"/>
    <row r="18" spans="2:24" ht="18.75">
      <c r="B18" s="1" t="s">
        <v>15</v>
      </c>
      <c r="C18" s="2" t="s">
        <v>21</v>
      </c>
      <c r="D18" s="2" t="s">
        <v>22</v>
      </c>
      <c r="E18" s="2" t="s">
        <v>23</v>
      </c>
      <c r="F18" s="2" t="s">
        <v>24</v>
      </c>
      <c r="G18" s="2" t="s">
        <v>25</v>
      </c>
      <c r="H18" s="2" t="s">
        <v>26</v>
      </c>
      <c r="I18" s="2" t="s">
        <v>27</v>
      </c>
      <c r="J18" s="2" t="s">
        <v>28</v>
      </c>
      <c r="K18" s="2" t="s">
        <v>29</v>
      </c>
      <c r="L18" s="9" t="s">
        <v>30</v>
      </c>
      <c r="M18" s="10" t="s">
        <v>31</v>
      </c>
      <c r="N18" s="11" t="s">
        <v>32</v>
      </c>
      <c r="Q18" s="1" t="s">
        <v>6</v>
      </c>
      <c r="R18" s="2" t="s">
        <v>37</v>
      </c>
      <c r="S18" s="2" t="s">
        <v>38</v>
      </c>
      <c r="T18" s="2" t="s">
        <v>39</v>
      </c>
      <c r="U18" s="2" t="s">
        <v>40</v>
      </c>
      <c r="V18" s="2" t="s">
        <v>41</v>
      </c>
      <c r="W18" s="2" t="s">
        <v>36</v>
      </c>
      <c r="X18" s="3" t="s">
        <v>42</v>
      </c>
    </row>
    <row r="19" spans="2:24" ht="15.75" thickBot="1">
      <c r="B19" s="6" t="s">
        <v>0</v>
      </c>
      <c r="C19" s="7" t="s">
        <v>1</v>
      </c>
      <c r="D19" s="7" t="s">
        <v>2</v>
      </c>
      <c r="E19" s="7" t="s">
        <v>3</v>
      </c>
      <c r="F19" s="7" t="s">
        <v>2</v>
      </c>
      <c r="G19" s="7" t="s">
        <v>3</v>
      </c>
      <c r="H19" s="7" t="s">
        <v>4</v>
      </c>
      <c r="I19" s="7" t="s">
        <v>4</v>
      </c>
      <c r="J19" s="7" t="s">
        <v>5</v>
      </c>
      <c r="K19" s="7"/>
      <c r="L19" s="7"/>
      <c r="M19" s="7"/>
      <c r="N19" s="8"/>
      <c r="Q19" s="4" t="s">
        <v>14</v>
      </c>
      <c r="R19" t="s">
        <v>1</v>
      </c>
      <c r="S19" t="s">
        <v>2</v>
      </c>
      <c r="T19" t="s">
        <v>3</v>
      </c>
      <c r="U19" t="s">
        <v>2</v>
      </c>
      <c r="V19" t="s">
        <v>3</v>
      </c>
      <c r="W19" t="s">
        <v>8</v>
      </c>
      <c r="X19" s="5" t="s">
        <v>8</v>
      </c>
    </row>
    <row r="20" spans="2:24">
      <c r="B20" s="1">
        <v>1</v>
      </c>
      <c r="C20" s="2">
        <v>4.03</v>
      </c>
      <c r="D20" s="2">
        <v>0.125</v>
      </c>
      <c r="E20" s="2">
        <v>4.0999999999999996</v>
      </c>
      <c r="F20" s="2">
        <v>6.2399999999999997E-2</v>
      </c>
      <c r="G20" s="2">
        <v>5.4</v>
      </c>
      <c r="H20" s="2">
        <v>29.98</v>
      </c>
      <c r="I20" s="2">
        <v>29.56</v>
      </c>
      <c r="J20" s="2">
        <v>170</v>
      </c>
      <c r="K20" s="2">
        <v>150</v>
      </c>
      <c r="L20" s="12">
        <v>31.4</v>
      </c>
      <c r="M20" s="9">
        <f>(H20*I20*J20)/1000</f>
        <v>150.65549600000003</v>
      </c>
      <c r="N20" s="11">
        <f>L20/M20</f>
        <v>0.20842253242457209</v>
      </c>
      <c r="Q20" s="4" t="s">
        <v>9</v>
      </c>
      <c r="R20">
        <v>3.65</v>
      </c>
      <c r="S20">
        <v>8.1600000000000006E-2</v>
      </c>
      <c r="T20">
        <v>3</v>
      </c>
      <c r="U20">
        <v>4.0800000000000003E-2</v>
      </c>
      <c r="V20">
        <v>5.0999999999999996</v>
      </c>
      <c r="W20">
        <v>30.02</v>
      </c>
      <c r="X20" s="5">
        <v>29.29</v>
      </c>
    </row>
    <row r="21" spans="2:24">
      <c r="B21" s="4">
        <v>2</v>
      </c>
      <c r="C21">
        <v>3.95</v>
      </c>
      <c r="D21">
        <v>8.1699999999999995E-2</v>
      </c>
      <c r="E21">
        <v>2.9</v>
      </c>
      <c r="F21">
        <v>4.0800000000000003E-2</v>
      </c>
      <c r="G21">
        <v>4.7</v>
      </c>
      <c r="H21">
        <v>30.43</v>
      </c>
      <c r="I21">
        <v>29.53</v>
      </c>
      <c r="J21">
        <v>170</v>
      </c>
      <c r="K21">
        <v>150</v>
      </c>
      <c r="L21" s="13">
        <v>32.9</v>
      </c>
      <c r="M21" s="22">
        <f>(H21*I21*J21)/1000</f>
        <v>152.76164300000002</v>
      </c>
      <c r="N21" s="16">
        <f>L21/M21</f>
        <v>0.21536819946352628</v>
      </c>
      <c r="Q21" s="4" t="s">
        <v>10</v>
      </c>
      <c r="R21">
        <v>0.33900000000000002</v>
      </c>
      <c r="S21">
        <v>2.5600000000000001E-2</v>
      </c>
      <c r="T21">
        <v>0.7</v>
      </c>
      <c r="U21">
        <v>1.2800000000000001E-2</v>
      </c>
      <c r="V21">
        <v>0.4</v>
      </c>
      <c r="W21">
        <v>0.24829999999999999</v>
      </c>
      <c r="X21" s="5">
        <v>0.2636</v>
      </c>
    </row>
    <row r="22" spans="2:24" ht="15.75" thickBot="1">
      <c r="B22" s="4">
        <v>3</v>
      </c>
      <c r="C22">
        <v>3.57</v>
      </c>
      <c r="D22">
        <v>7.6200000000000004E-2</v>
      </c>
      <c r="E22">
        <v>3</v>
      </c>
      <c r="F22">
        <v>3.8100000000000002E-2</v>
      </c>
      <c r="G22">
        <v>4.5</v>
      </c>
      <c r="H22">
        <v>29.77</v>
      </c>
      <c r="I22">
        <v>29.32</v>
      </c>
      <c r="J22">
        <v>170</v>
      </c>
      <c r="K22">
        <v>150</v>
      </c>
      <c r="L22" s="13">
        <v>32.799999999999997</v>
      </c>
      <c r="M22" s="22">
        <f>(H22*I22*J22)/1000</f>
        <v>148.38558799999998</v>
      </c>
      <c r="N22" s="16">
        <f>L22/M22</f>
        <v>0.22104572581536691</v>
      </c>
      <c r="Q22" s="6" t="s">
        <v>11</v>
      </c>
      <c r="R22" s="7">
        <v>9.2799999999999994</v>
      </c>
      <c r="S22" s="7">
        <v>31.33</v>
      </c>
      <c r="T22" s="7">
        <v>23.22</v>
      </c>
      <c r="U22" s="7">
        <v>31.32</v>
      </c>
      <c r="V22" s="7">
        <v>8.6300000000000008</v>
      </c>
      <c r="W22" s="7">
        <v>0.83</v>
      </c>
      <c r="X22" s="8">
        <v>0.9</v>
      </c>
    </row>
    <row r="23" spans="2:24">
      <c r="B23" s="4">
        <v>4</v>
      </c>
      <c r="C23">
        <v>3.22</v>
      </c>
      <c r="D23">
        <v>6.1800000000000001E-2</v>
      </c>
      <c r="E23">
        <v>2.6</v>
      </c>
      <c r="F23">
        <v>3.09E-2</v>
      </c>
      <c r="G23">
        <v>5.4</v>
      </c>
      <c r="H23">
        <v>29.9</v>
      </c>
      <c r="I23">
        <v>29.08</v>
      </c>
      <c r="J23">
        <v>170</v>
      </c>
      <c r="K23">
        <v>150</v>
      </c>
      <c r="L23" s="13">
        <v>32.200000000000003</v>
      </c>
      <c r="M23" s="22">
        <f>(H23*I23*J23)/1000</f>
        <v>147.81363999999999</v>
      </c>
      <c r="N23" s="16">
        <f>L23/M23</f>
        <v>0.21784187169736166</v>
      </c>
    </row>
    <row r="24" spans="2:24" ht="15.75" thickBot="1">
      <c r="B24" s="6">
        <v>5</v>
      </c>
      <c r="C24" s="7">
        <v>3.48</v>
      </c>
      <c r="D24" s="7">
        <v>6.3500000000000001E-2</v>
      </c>
      <c r="E24" s="7">
        <v>2.2000000000000002</v>
      </c>
      <c r="F24" s="7">
        <v>3.1800000000000002E-2</v>
      </c>
      <c r="G24" s="7">
        <v>5.4</v>
      </c>
      <c r="H24" s="7">
        <v>30.01</v>
      </c>
      <c r="I24" s="7">
        <v>28.97</v>
      </c>
      <c r="J24" s="7">
        <v>170</v>
      </c>
      <c r="K24" s="7">
        <v>150</v>
      </c>
      <c r="L24" s="14">
        <v>32</v>
      </c>
      <c r="M24" s="18">
        <f>(H24*I24*J24)/1000</f>
        <v>147.79624900000002</v>
      </c>
      <c r="N24" s="19">
        <f>L24/M24</f>
        <v>0.21651429056227264</v>
      </c>
    </row>
    <row r="26" spans="2:24" ht="15.75" thickBot="1"/>
    <row r="27" spans="2:24" ht="18.75">
      <c r="B27" s="1" t="s">
        <v>16</v>
      </c>
      <c r="C27" s="2" t="s">
        <v>21</v>
      </c>
      <c r="D27" s="2" t="s">
        <v>22</v>
      </c>
      <c r="E27" s="2" t="s">
        <v>23</v>
      </c>
      <c r="F27" s="2" t="s">
        <v>24</v>
      </c>
      <c r="G27" s="2" t="s">
        <v>25</v>
      </c>
      <c r="H27" s="2" t="s">
        <v>26</v>
      </c>
      <c r="I27" s="2" t="s">
        <v>27</v>
      </c>
      <c r="J27" s="2" t="s">
        <v>28</v>
      </c>
      <c r="K27" s="2" t="s">
        <v>29</v>
      </c>
      <c r="L27" s="9" t="s">
        <v>30</v>
      </c>
      <c r="M27" s="10" t="s">
        <v>31</v>
      </c>
      <c r="N27" s="11" t="s">
        <v>32</v>
      </c>
      <c r="Q27" s="1" t="s">
        <v>6</v>
      </c>
      <c r="R27" s="2" t="s">
        <v>37</v>
      </c>
      <c r="S27" s="2" t="s">
        <v>38</v>
      </c>
      <c r="T27" s="2" t="s">
        <v>39</v>
      </c>
      <c r="U27" s="2" t="s">
        <v>40</v>
      </c>
      <c r="V27" s="2" t="s">
        <v>41</v>
      </c>
      <c r="W27" s="2" t="s">
        <v>36</v>
      </c>
      <c r="X27" s="3" t="s">
        <v>42</v>
      </c>
    </row>
    <row r="28" spans="2:24" ht="15.75" thickBot="1">
      <c r="B28" s="6" t="s">
        <v>0</v>
      </c>
      <c r="C28" s="7" t="s">
        <v>1</v>
      </c>
      <c r="D28" s="7" t="s">
        <v>2</v>
      </c>
      <c r="E28" s="7" t="s">
        <v>3</v>
      </c>
      <c r="F28" s="7" t="s">
        <v>2</v>
      </c>
      <c r="G28" s="7" t="s">
        <v>3</v>
      </c>
      <c r="H28" s="7" t="s">
        <v>4</v>
      </c>
      <c r="I28" s="7" t="s">
        <v>4</v>
      </c>
      <c r="J28" s="7" t="s">
        <v>5</v>
      </c>
      <c r="K28" s="7"/>
      <c r="L28" s="7"/>
      <c r="M28" s="7"/>
      <c r="N28" s="8"/>
      <c r="Q28" s="4" t="s">
        <v>7</v>
      </c>
      <c r="R28" t="s">
        <v>1</v>
      </c>
      <c r="S28" t="s">
        <v>2</v>
      </c>
      <c r="T28" t="s">
        <v>3</v>
      </c>
      <c r="U28" t="s">
        <v>2</v>
      </c>
      <c r="V28" t="s">
        <v>3</v>
      </c>
      <c r="W28" t="s">
        <v>8</v>
      </c>
      <c r="X28" s="5" t="s">
        <v>8</v>
      </c>
    </row>
    <row r="29" spans="2:24">
      <c r="B29" s="1">
        <v>1</v>
      </c>
      <c r="C29" s="2">
        <v>2.68</v>
      </c>
      <c r="D29" s="2">
        <v>6.3200000000000006E-2</v>
      </c>
      <c r="E29" s="2">
        <v>2.9</v>
      </c>
      <c r="F29" s="2">
        <v>3.1600000000000003E-2</v>
      </c>
      <c r="G29" s="2">
        <v>3.5</v>
      </c>
      <c r="H29" s="2">
        <v>31.17</v>
      </c>
      <c r="I29" s="2">
        <v>29.7</v>
      </c>
      <c r="J29" s="2">
        <v>170</v>
      </c>
      <c r="K29" s="2">
        <v>150</v>
      </c>
      <c r="L29" s="12">
        <v>36.1</v>
      </c>
      <c r="M29" s="9">
        <f>(H29*I29*J29)/1000</f>
        <v>157.37733000000003</v>
      </c>
      <c r="N29" s="11">
        <f t="shared" ref="N29:N32" si="1">L29/M29</f>
        <v>0.22938500735779413</v>
      </c>
      <c r="Q29" s="4" t="s">
        <v>9</v>
      </c>
      <c r="R29">
        <v>4.51</v>
      </c>
      <c r="S29">
        <v>4.7E-2</v>
      </c>
      <c r="T29">
        <v>1.6</v>
      </c>
      <c r="U29">
        <v>2.5499999999999998E-2</v>
      </c>
      <c r="V29">
        <v>2.2000000000000002</v>
      </c>
      <c r="W29">
        <v>31.35</v>
      </c>
      <c r="X29" s="5">
        <v>29.9</v>
      </c>
    </row>
    <row r="30" spans="2:24">
      <c r="B30" s="4">
        <v>2</v>
      </c>
      <c r="C30">
        <v>5.61</v>
      </c>
      <c r="D30">
        <v>5.0700000000000002E-2</v>
      </c>
      <c r="E30">
        <v>1.4</v>
      </c>
      <c r="F30">
        <v>2.52E-2</v>
      </c>
      <c r="G30">
        <v>2.1</v>
      </c>
      <c r="H30">
        <v>31.38</v>
      </c>
      <c r="I30">
        <v>29.8</v>
      </c>
      <c r="J30">
        <v>170</v>
      </c>
      <c r="K30">
        <v>150</v>
      </c>
      <c r="L30" s="13">
        <v>36.299999999999997</v>
      </c>
      <c r="M30" s="22">
        <f>(H30*I30*J30)/1000</f>
        <v>158.97108000000003</v>
      </c>
      <c r="N30" s="16">
        <f t="shared" si="1"/>
        <v>0.22834341944459327</v>
      </c>
      <c r="Q30" s="4" t="s">
        <v>10</v>
      </c>
      <c r="R30">
        <v>1.28</v>
      </c>
      <c r="S30">
        <v>1.26E-2</v>
      </c>
      <c r="T30">
        <v>0.8</v>
      </c>
      <c r="U30">
        <v>5.5700000000000003E-3</v>
      </c>
      <c r="V30">
        <v>0.9</v>
      </c>
      <c r="W30">
        <v>0.21590000000000001</v>
      </c>
      <c r="X30" s="5">
        <v>0.22570000000000001</v>
      </c>
    </row>
    <row r="31" spans="2:24" ht="15.75" thickBot="1">
      <c r="B31" s="4">
        <v>3</v>
      </c>
      <c r="C31">
        <v>5.04</v>
      </c>
      <c r="D31">
        <v>3.7699999999999997E-2</v>
      </c>
      <c r="E31">
        <v>1.2</v>
      </c>
      <c r="F31">
        <v>2.7E-2</v>
      </c>
      <c r="G31">
        <v>1.5</v>
      </c>
      <c r="H31">
        <v>31.2</v>
      </c>
      <c r="I31">
        <v>30.22</v>
      </c>
      <c r="J31">
        <v>170</v>
      </c>
      <c r="K31">
        <v>150</v>
      </c>
      <c r="L31" s="13">
        <v>36.700000000000003</v>
      </c>
      <c r="M31" s="22">
        <f>(H31*I31*J31)/1000</f>
        <v>160.28687999999997</v>
      </c>
      <c r="N31" s="16">
        <f t="shared" si="1"/>
        <v>0.22896446671118689</v>
      </c>
      <c r="Q31" s="6" t="s">
        <v>11</v>
      </c>
      <c r="R31" s="7">
        <v>28.27</v>
      </c>
      <c r="S31" s="7">
        <v>26.81</v>
      </c>
      <c r="T31" s="7">
        <v>50.2</v>
      </c>
      <c r="U31" s="7">
        <v>21.84</v>
      </c>
      <c r="V31" s="7">
        <v>39.44</v>
      </c>
      <c r="W31" s="7">
        <v>0.69</v>
      </c>
      <c r="X31" s="8">
        <v>0.75</v>
      </c>
    </row>
    <row r="32" spans="2:24" ht="15.75" thickBot="1">
      <c r="B32" s="6">
        <v>4</v>
      </c>
      <c r="C32" s="7">
        <v>4.74</v>
      </c>
      <c r="D32" s="7">
        <v>3.6400000000000002E-2</v>
      </c>
      <c r="E32" s="7">
        <v>1.1000000000000001</v>
      </c>
      <c r="F32" s="7">
        <v>1.8200000000000001E-2</v>
      </c>
      <c r="G32" s="7">
        <v>1.9</v>
      </c>
      <c r="H32" s="7">
        <v>31.64</v>
      </c>
      <c r="I32" s="7">
        <v>29.88</v>
      </c>
      <c r="J32" s="7">
        <v>170</v>
      </c>
      <c r="K32" s="7">
        <v>150</v>
      </c>
      <c r="L32" s="14">
        <v>36.9</v>
      </c>
      <c r="M32" s="18">
        <f>(H32*I32*J32)/1000</f>
        <v>160.71854400000001</v>
      </c>
      <c r="N32" s="19">
        <f t="shared" si="1"/>
        <v>0.22959391667958365</v>
      </c>
    </row>
    <row r="34" spans="2:24" ht="15.75" thickBot="1"/>
    <row r="35" spans="2:24" ht="18.75">
      <c r="B35" s="1" t="s">
        <v>17</v>
      </c>
      <c r="C35" s="2" t="s">
        <v>21</v>
      </c>
      <c r="D35" s="2" t="s">
        <v>22</v>
      </c>
      <c r="E35" s="2" t="s">
        <v>23</v>
      </c>
      <c r="F35" s="2" t="s">
        <v>24</v>
      </c>
      <c r="G35" s="2" t="s">
        <v>25</v>
      </c>
      <c r="H35" s="2" t="s">
        <v>26</v>
      </c>
      <c r="I35" s="2" t="s">
        <v>27</v>
      </c>
      <c r="J35" s="2" t="s">
        <v>28</v>
      </c>
      <c r="K35" s="2" t="s">
        <v>29</v>
      </c>
      <c r="L35" s="9" t="s">
        <v>30</v>
      </c>
      <c r="M35" s="10" t="s">
        <v>31</v>
      </c>
      <c r="N35" s="11" t="s">
        <v>32</v>
      </c>
      <c r="Q35" s="1" t="s">
        <v>6</v>
      </c>
      <c r="R35" s="2" t="s">
        <v>37</v>
      </c>
      <c r="S35" s="2" t="s">
        <v>38</v>
      </c>
      <c r="T35" s="2" t="s">
        <v>39</v>
      </c>
      <c r="U35" s="2" t="s">
        <v>40</v>
      </c>
      <c r="V35" s="2" t="s">
        <v>41</v>
      </c>
      <c r="W35" s="2" t="s">
        <v>36</v>
      </c>
      <c r="X35" s="3" t="s">
        <v>42</v>
      </c>
    </row>
    <row r="36" spans="2:24" ht="15.75" thickBot="1">
      <c r="B36" s="6" t="s">
        <v>0</v>
      </c>
      <c r="C36" s="7" t="s">
        <v>1</v>
      </c>
      <c r="D36" s="7" t="s">
        <v>2</v>
      </c>
      <c r="E36" s="7" t="s">
        <v>3</v>
      </c>
      <c r="F36" s="7" t="s">
        <v>2</v>
      </c>
      <c r="G36" s="7" t="s">
        <v>3</v>
      </c>
      <c r="H36" s="7" t="s">
        <v>4</v>
      </c>
      <c r="I36" s="7" t="s">
        <v>4</v>
      </c>
      <c r="J36" s="7" t="s">
        <v>5</v>
      </c>
      <c r="K36" s="7"/>
      <c r="L36" s="7"/>
      <c r="M36" s="7"/>
      <c r="N36" s="8"/>
      <c r="Q36" s="4" t="s">
        <v>7</v>
      </c>
      <c r="R36" t="s">
        <v>1</v>
      </c>
      <c r="S36" t="s">
        <v>2</v>
      </c>
      <c r="T36" t="s">
        <v>3</v>
      </c>
      <c r="U36" t="s">
        <v>2</v>
      </c>
      <c r="V36" t="s">
        <v>3</v>
      </c>
      <c r="W36" t="s">
        <v>8</v>
      </c>
      <c r="X36" s="5" t="s">
        <v>8</v>
      </c>
    </row>
    <row r="37" spans="2:24">
      <c r="B37" s="1">
        <v>1</v>
      </c>
      <c r="C37" s="2">
        <v>2.73</v>
      </c>
      <c r="D37" s="2">
        <v>5.96E-2</v>
      </c>
      <c r="E37" s="2">
        <v>2.7</v>
      </c>
      <c r="F37" s="2">
        <v>2.9700000000000001E-2</v>
      </c>
      <c r="G37" s="2">
        <v>4.9000000000000004</v>
      </c>
      <c r="H37" s="2">
        <v>28.73</v>
      </c>
      <c r="I37" s="2">
        <v>29.26</v>
      </c>
      <c r="J37" s="2">
        <v>170</v>
      </c>
      <c r="K37" s="2">
        <v>150</v>
      </c>
      <c r="L37" s="12">
        <v>18.8</v>
      </c>
      <c r="M37" s="9">
        <f>(H37*I37*J37)/1000</f>
        <v>142.90876600000001</v>
      </c>
      <c r="N37" s="11">
        <f t="shared" ref="N37:N40" si="2">L37/M37</f>
        <v>0.13155246193924869</v>
      </c>
      <c r="Q37" s="4" t="s">
        <v>9</v>
      </c>
      <c r="R37">
        <v>2.5099999999999998</v>
      </c>
      <c r="S37">
        <v>5.16E-2</v>
      </c>
      <c r="T37">
        <v>2.2999999999999998</v>
      </c>
      <c r="U37">
        <v>2.5600000000000001E-2</v>
      </c>
      <c r="V37">
        <v>3.8</v>
      </c>
      <c r="W37">
        <v>29.53</v>
      </c>
      <c r="X37" s="5">
        <v>28.93</v>
      </c>
    </row>
    <row r="38" spans="2:24">
      <c r="B38" s="4">
        <v>2</v>
      </c>
      <c r="C38">
        <v>2.56</v>
      </c>
      <c r="D38">
        <v>4.2000000000000003E-2</v>
      </c>
      <c r="E38">
        <v>1.8</v>
      </c>
      <c r="F38">
        <v>2.1000000000000001E-2</v>
      </c>
      <c r="G38">
        <v>4</v>
      </c>
      <c r="H38">
        <v>29.37</v>
      </c>
      <c r="I38">
        <v>29.01</v>
      </c>
      <c r="J38">
        <v>170</v>
      </c>
      <c r="K38">
        <v>150</v>
      </c>
      <c r="L38" s="13">
        <v>19.3</v>
      </c>
      <c r="M38" s="22">
        <f>(H38*I38*J38)/1000</f>
        <v>144.84402900000001</v>
      </c>
      <c r="N38" s="16">
        <f t="shared" si="2"/>
        <v>0.13324677677945565</v>
      </c>
      <c r="Q38" s="4" t="s">
        <v>10</v>
      </c>
      <c r="R38">
        <v>0.25700000000000001</v>
      </c>
      <c r="S38">
        <v>7.2399999999999999E-3</v>
      </c>
      <c r="T38">
        <v>0.4</v>
      </c>
      <c r="U38">
        <v>3.5500000000000002E-3</v>
      </c>
      <c r="V38">
        <v>0.8</v>
      </c>
      <c r="W38">
        <v>0.61550000000000005</v>
      </c>
      <c r="X38" s="5">
        <v>0.2772</v>
      </c>
    </row>
    <row r="39" spans="2:24" ht="15.75" thickBot="1">
      <c r="B39" s="4">
        <v>3</v>
      </c>
      <c r="C39">
        <v>2.6</v>
      </c>
      <c r="D39">
        <v>5.2400000000000002E-2</v>
      </c>
      <c r="E39">
        <v>2.4</v>
      </c>
      <c r="F39">
        <v>2.5700000000000001E-2</v>
      </c>
      <c r="G39">
        <v>3.6</v>
      </c>
      <c r="H39">
        <v>30.03</v>
      </c>
      <c r="I39">
        <v>28.6</v>
      </c>
      <c r="J39">
        <v>170</v>
      </c>
      <c r="K39">
        <v>150</v>
      </c>
      <c r="L39" s="13">
        <v>20.399999999999999</v>
      </c>
      <c r="M39" s="22">
        <f>(H39*I39*J39)/1000</f>
        <v>146.00586000000001</v>
      </c>
      <c r="N39" s="16">
        <f t="shared" si="2"/>
        <v>0.13972041944069913</v>
      </c>
      <c r="Q39" s="6" t="s">
        <v>11</v>
      </c>
      <c r="R39" s="7">
        <v>10.27</v>
      </c>
      <c r="S39" s="7">
        <v>14.02</v>
      </c>
      <c r="T39" s="7">
        <v>17.53</v>
      </c>
      <c r="U39" s="7">
        <v>13.9</v>
      </c>
      <c r="V39" s="7">
        <v>21.86</v>
      </c>
      <c r="W39" s="7">
        <v>2.08</v>
      </c>
      <c r="X39" s="8">
        <v>0.96</v>
      </c>
    </row>
    <row r="40" spans="2:24" ht="15.75" thickBot="1">
      <c r="B40" s="6">
        <v>4</v>
      </c>
      <c r="C40" s="7">
        <v>2.13</v>
      </c>
      <c r="D40" s="7">
        <v>5.2499999999999998E-2</v>
      </c>
      <c r="E40" s="7">
        <v>2.2000000000000002</v>
      </c>
      <c r="F40" s="7">
        <v>2.5899999999999999E-2</v>
      </c>
      <c r="G40" s="7">
        <v>2.9</v>
      </c>
      <c r="H40" s="7">
        <v>30</v>
      </c>
      <c r="I40" s="7">
        <v>28.85</v>
      </c>
      <c r="J40" s="7">
        <v>170</v>
      </c>
      <c r="K40" s="7">
        <v>150</v>
      </c>
      <c r="L40" s="14">
        <v>20.399999999999999</v>
      </c>
      <c r="M40" s="18">
        <f>(H40*I40*J40)/1000</f>
        <v>147.13499999999999</v>
      </c>
      <c r="N40" s="19">
        <f t="shared" si="2"/>
        <v>0.13864818024263431</v>
      </c>
    </row>
    <row r="42" spans="2:24" ht="15.75" thickBot="1"/>
    <row r="43" spans="2:24" ht="18.75">
      <c r="B43" s="1" t="s">
        <v>18</v>
      </c>
      <c r="C43" s="2" t="s">
        <v>21</v>
      </c>
      <c r="D43" s="2" t="s">
        <v>22</v>
      </c>
      <c r="E43" s="2" t="s">
        <v>23</v>
      </c>
      <c r="F43" s="2" t="s">
        <v>24</v>
      </c>
      <c r="G43" s="2" t="s">
        <v>25</v>
      </c>
      <c r="H43" s="2" t="s">
        <v>26</v>
      </c>
      <c r="I43" s="2" t="s">
        <v>27</v>
      </c>
      <c r="J43" s="2" t="s">
        <v>28</v>
      </c>
      <c r="K43" s="2" t="s">
        <v>29</v>
      </c>
      <c r="L43" s="9" t="s">
        <v>30</v>
      </c>
      <c r="M43" s="10" t="s">
        <v>31</v>
      </c>
      <c r="N43" s="11" t="s">
        <v>32</v>
      </c>
      <c r="Q43" s="1" t="s">
        <v>6</v>
      </c>
      <c r="R43" s="2" t="s">
        <v>37</v>
      </c>
      <c r="S43" s="2" t="s">
        <v>38</v>
      </c>
      <c r="T43" s="2" t="s">
        <v>39</v>
      </c>
      <c r="U43" s="2" t="s">
        <v>40</v>
      </c>
      <c r="V43" s="2" t="s">
        <v>41</v>
      </c>
      <c r="W43" s="2" t="s">
        <v>36</v>
      </c>
      <c r="X43" s="3" t="s">
        <v>42</v>
      </c>
    </row>
    <row r="44" spans="2:24" ht="15.75" thickBot="1">
      <c r="B44" s="6" t="s">
        <v>0</v>
      </c>
      <c r="C44" s="7" t="s">
        <v>1</v>
      </c>
      <c r="D44" s="7" t="s">
        <v>2</v>
      </c>
      <c r="E44" s="7" t="s">
        <v>3</v>
      </c>
      <c r="F44" s="7" t="s">
        <v>2</v>
      </c>
      <c r="G44" s="7" t="s">
        <v>3</v>
      </c>
      <c r="H44" s="7" t="s">
        <v>4</v>
      </c>
      <c r="I44" s="7" t="s">
        <v>4</v>
      </c>
      <c r="J44" s="7" t="s">
        <v>5</v>
      </c>
      <c r="K44" s="7"/>
      <c r="L44" s="7"/>
      <c r="M44" s="7"/>
      <c r="N44" s="8"/>
      <c r="Q44" s="4" t="s">
        <v>14</v>
      </c>
      <c r="R44" t="s">
        <v>1</v>
      </c>
      <c r="S44" t="s">
        <v>2</v>
      </c>
      <c r="T44" t="s">
        <v>3</v>
      </c>
      <c r="U44" t="s">
        <v>2</v>
      </c>
      <c r="V44" t="s">
        <v>3</v>
      </c>
      <c r="W44" t="s">
        <v>8</v>
      </c>
      <c r="X44" s="5" t="s">
        <v>8</v>
      </c>
    </row>
    <row r="45" spans="2:24">
      <c r="B45" s="1">
        <v>1</v>
      </c>
      <c r="C45" s="2">
        <v>2.4500000000000002</v>
      </c>
      <c r="D45" s="2">
        <v>6.3799999999999996E-2</v>
      </c>
      <c r="E45" s="2">
        <v>3.9</v>
      </c>
      <c r="F45" s="2">
        <v>3.1899999999999998E-2</v>
      </c>
      <c r="G45" s="2">
        <v>5.4</v>
      </c>
      <c r="H45" s="2">
        <v>32.11</v>
      </c>
      <c r="I45" s="2">
        <v>29</v>
      </c>
      <c r="J45" s="2">
        <v>170</v>
      </c>
      <c r="K45" s="2">
        <v>150</v>
      </c>
      <c r="L45" s="12">
        <v>18.7</v>
      </c>
      <c r="M45" s="9">
        <f>(H45*I45*J45)/1000</f>
        <v>158.3023</v>
      </c>
      <c r="N45" s="11">
        <f t="shared" ref="N45:N49" si="3">L45/M45</f>
        <v>0.11812841632749492</v>
      </c>
      <c r="Q45" s="4" t="s">
        <v>9</v>
      </c>
      <c r="R45">
        <v>2.5499999999999998</v>
      </c>
      <c r="S45">
        <v>8.0299999999999996E-2</v>
      </c>
      <c r="T45">
        <v>4.2</v>
      </c>
      <c r="U45">
        <v>4.02E-2</v>
      </c>
      <c r="V45">
        <v>6.5</v>
      </c>
      <c r="W45">
        <v>32.47</v>
      </c>
      <c r="X45" s="5">
        <v>29.3</v>
      </c>
    </row>
    <row r="46" spans="2:24">
      <c r="B46" s="4">
        <v>2</v>
      </c>
      <c r="C46">
        <v>2.4</v>
      </c>
      <c r="D46">
        <v>8.8800000000000004E-2</v>
      </c>
      <c r="E46">
        <v>4</v>
      </c>
      <c r="F46">
        <v>4.4400000000000002E-2</v>
      </c>
      <c r="G46">
        <v>6.1</v>
      </c>
      <c r="H46">
        <v>32.450000000000003</v>
      </c>
      <c r="I46">
        <v>29.32</v>
      </c>
      <c r="J46">
        <v>170</v>
      </c>
      <c r="K46">
        <v>150</v>
      </c>
      <c r="L46" s="13">
        <v>19.399999999999999</v>
      </c>
      <c r="M46" s="22">
        <f>(H46*I46*J46)/1000</f>
        <v>161.74378000000002</v>
      </c>
      <c r="N46" s="16">
        <f t="shared" si="3"/>
        <v>0.11994278852639648</v>
      </c>
      <c r="Q46" s="4" t="s">
        <v>10</v>
      </c>
      <c r="R46">
        <v>0.20799999999999999</v>
      </c>
      <c r="S46">
        <v>9.9500000000000005E-3</v>
      </c>
      <c r="T46">
        <v>0.3</v>
      </c>
      <c r="U46">
        <v>4.9800000000000001E-3</v>
      </c>
      <c r="V46">
        <v>0.8</v>
      </c>
      <c r="W46">
        <v>0.32919999999999999</v>
      </c>
      <c r="X46" s="5">
        <v>0.18410000000000001</v>
      </c>
    </row>
    <row r="47" spans="2:24" ht="15.75" thickBot="1">
      <c r="B47" s="4">
        <v>3</v>
      </c>
      <c r="C47">
        <v>2.84</v>
      </c>
      <c r="D47">
        <v>8.5800000000000001E-2</v>
      </c>
      <c r="E47">
        <v>4.5</v>
      </c>
      <c r="F47">
        <v>4.2900000000000001E-2</v>
      </c>
      <c r="G47">
        <v>6.9</v>
      </c>
      <c r="H47">
        <v>33</v>
      </c>
      <c r="I47">
        <v>29.5</v>
      </c>
      <c r="J47">
        <v>170</v>
      </c>
      <c r="K47">
        <v>150</v>
      </c>
      <c r="L47" s="13">
        <v>19.7</v>
      </c>
      <c r="M47" s="22">
        <f>(H47*I47*J47)/1000</f>
        <v>165.495</v>
      </c>
      <c r="N47" s="16">
        <f t="shared" si="3"/>
        <v>0.11903682890721773</v>
      </c>
      <c r="Q47" s="6" t="s">
        <v>11</v>
      </c>
      <c r="R47" s="7">
        <v>8.15</v>
      </c>
      <c r="S47" s="7">
        <v>12.39</v>
      </c>
      <c r="T47" s="7">
        <v>6.9</v>
      </c>
      <c r="U47" s="7">
        <v>12.4</v>
      </c>
      <c r="V47" s="7">
        <v>12.56</v>
      </c>
      <c r="W47" s="7">
        <v>1.01</v>
      </c>
      <c r="X47" s="8">
        <v>0.63</v>
      </c>
    </row>
    <row r="48" spans="2:24">
      <c r="B48" s="4">
        <v>4</v>
      </c>
      <c r="C48">
        <v>2.7</v>
      </c>
      <c r="D48">
        <v>8.4500000000000006E-2</v>
      </c>
      <c r="E48">
        <v>4.2</v>
      </c>
      <c r="F48">
        <v>4.2200000000000001E-2</v>
      </c>
      <c r="G48">
        <v>6.7</v>
      </c>
      <c r="H48">
        <v>32.46</v>
      </c>
      <c r="I48">
        <v>29.34</v>
      </c>
      <c r="J48">
        <v>170</v>
      </c>
      <c r="K48">
        <v>150</v>
      </c>
      <c r="L48" s="13">
        <v>19.600000000000001</v>
      </c>
      <c r="M48" s="22">
        <f>(H48*I48*J48)/1000</f>
        <v>161.903988</v>
      </c>
      <c r="N48" s="16">
        <f t="shared" si="3"/>
        <v>0.12105940219335426</v>
      </c>
    </row>
    <row r="49" spans="2:24" ht="15.75" thickBot="1">
      <c r="B49" s="6">
        <v>5</v>
      </c>
      <c r="C49" s="7">
        <v>2.36</v>
      </c>
      <c r="D49" s="7">
        <v>7.8799999999999995E-2</v>
      </c>
      <c r="E49" s="7">
        <v>4.5</v>
      </c>
      <c r="F49" s="7">
        <v>3.9399999999999998E-2</v>
      </c>
      <c r="G49" s="7">
        <v>7.6</v>
      </c>
      <c r="H49" s="7">
        <v>32.32</v>
      </c>
      <c r="I49" s="7">
        <v>29.36</v>
      </c>
      <c r="J49" s="7">
        <v>170</v>
      </c>
      <c r="K49" s="7">
        <v>150</v>
      </c>
      <c r="L49" s="14">
        <v>19.399999999999999</v>
      </c>
      <c r="M49" s="18">
        <f>(H49*I49*J49)/1000</f>
        <v>161.315584</v>
      </c>
      <c r="N49" s="19">
        <f t="shared" si="3"/>
        <v>0.12026116460019137</v>
      </c>
    </row>
    <row r="51" spans="2:24" ht="15.75" thickBot="1"/>
    <row r="52" spans="2:24" ht="18.75">
      <c r="B52" s="1" t="s">
        <v>19</v>
      </c>
      <c r="C52" s="2" t="s">
        <v>21</v>
      </c>
      <c r="D52" s="2" t="s">
        <v>22</v>
      </c>
      <c r="E52" s="2" t="s">
        <v>23</v>
      </c>
      <c r="F52" s="2" t="s">
        <v>24</v>
      </c>
      <c r="G52" s="2" t="s">
        <v>25</v>
      </c>
      <c r="H52" s="2" t="s">
        <v>26</v>
      </c>
      <c r="I52" s="2" t="s">
        <v>27</v>
      </c>
      <c r="J52" s="2" t="s">
        <v>28</v>
      </c>
      <c r="K52" s="2" t="s">
        <v>29</v>
      </c>
      <c r="L52" s="9" t="s">
        <v>30</v>
      </c>
      <c r="M52" s="10" t="s">
        <v>31</v>
      </c>
      <c r="N52" s="11" t="s">
        <v>32</v>
      </c>
      <c r="Q52" s="1" t="s">
        <v>6</v>
      </c>
      <c r="R52" s="2" t="s">
        <v>37</v>
      </c>
      <c r="S52" s="2" t="s">
        <v>38</v>
      </c>
      <c r="T52" s="2" t="s">
        <v>39</v>
      </c>
      <c r="U52" s="2" t="s">
        <v>40</v>
      </c>
      <c r="V52" s="2" t="s">
        <v>41</v>
      </c>
      <c r="W52" s="2" t="s">
        <v>36</v>
      </c>
      <c r="X52" s="3" t="s">
        <v>42</v>
      </c>
    </row>
    <row r="53" spans="2:24" ht="15.75" thickBot="1">
      <c r="B53" s="6" t="s">
        <v>0</v>
      </c>
      <c r="C53" s="7" t="s">
        <v>1</v>
      </c>
      <c r="D53" s="7" t="s">
        <v>2</v>
      </c>
      <c r="E53" s="7" t="s">
        <v>3</v>
      </c>
      <c r="F53" s="7" t="s">
        <v>2</v>
      </c>
      <c r="G53" s="7" t="s">
        <v>3</v>
      </c>
      <c r="H53" s="7" t="s">
        <v>4</v>
      </c>
      <c r="I53" s="7" t="s">
        <v>4</v>
      </c>
      <c r="J53" s="7" t="s">
        <v>5</v>
      </c>
      <c r="K53" s="7"/>
      <c r="L53" s="7"/>
      <c r="M53" s="7"/>
      <c r="N53" s="8"/>
      <c r="Q53" s="4" t="s">
        <v>14</v>
      </c>
      <c r="R53" t="s">
        <v>1</v>
      </c>
      <c r="S53" t="s">
        <v>2</v>
      </c>
      <c r="T53" t="s">
        <v>3</v>
      </c>
      <c r="U53" t="s">
        <v>2</v>
      </c>
      <c r="V53" t="s">
        <v>3</v>
      </c>
      <c r="W53" t="s">
        <v>8</v>
      </c>
      <c r="X53" s="5" t="s">
        <v>8</v>
      </c>
    </row>
    <row r="54" spans="2:24">
      <c r="B54" s="1">
        <v>1</v>
      </c>
      <c r="C54" s="2">
        <v>2.4900000000000002</v>
      </c>
      <c r="D54" s="2">
        <v>8.9099999999999999E-2</v>
      </c>
      <c r="E54" s="2">
        <v>4.0999999999999996</v>
      </c>
      <c r="F54" s="2">
        <v>4.4499999999999998E-2</v>
      </c>
      <c r="G54" s="2">
        <v>6.3</v>
      </c>
      <c r="H54" s="2">
        <v>31.57</v>
      </c>
      <c r="I54" s="2">
        <v>28.62</v>
      </c>
      <c r="J54" s="2">
        <v>170</v>
      </c>
      <c r="K54" s="2">
        <v>150</v>
      </c>
      <c r="L54" s="12">
        <v>24.5</v>
      </c>
      <c r="M54" s="9">
        <f>(H54*I54*J54)/1000</f>
        <v>153.60067800000002</v>
      </c>
      <c r="N54" s="11">
        <f t="shared" ref="N54:N58" si="4">L54/M54</f>
        <v>0.15950450427048243</v>
      </c>
      <c r="Q54" s="4" t="s">
        <v>9</v>
      </c>
      <c r="R54">
        <v>2.69</v>
      </c>
      <c r="S54">
        <v>8.7099999999999997E-2</v>
      </c>
      <c r="T54">
        <v>3.6</v>
      </c>
      <c r="U54">
        <v>4.36E-2</v>
      </c>
      <c r="V54">
        <v>5.2</v>
      </c>
      <c r="W54">
        <v>31.95</v>
      </c>
      <c r="X54" s="5">
        <v>28.75</v>
      </c>
    </row>
    <row r="55" spans="2:24">
      <c r="B55" s="4">
        <v>2</v>
      </c>
      <c r="C55">
        <v>3.14</v>
      </c>
      <c r="D55">
        <v>8.2600000000000007E-2</v>
      </c>
      <c r="E55">
        <v>3.3</v>
      </c>
      <c r="F55">
        <v>4.1300000000000003E-2</v>
      </c>
      <c r="G55">
        <v>5.2</v>
      </c>
      <c r="H55">
        <v>31.69</v>
      </c>
      <c r="I55">
        <v>28.83</v>
      </c>
      <c r="J55">
        <v>170</v>
      </c>
      <c r="K55">
        <v>150</v>
      </c>
      <c r="L55" s="13">
        <v>24.1</v>
      </c>
      <c r="M55" s="22">
        <f>(H55*I55*J55)/1000</f>
        <v>155.31585899999999</v>
      </c>
      <c r="N55" s="16">
        <f t="shared" si="4"/>
        <v>0.15516767028922657</v>
      </c>
      <c r="Q55" s="4" t="s">
        <v>10</v>
      </c>
      <c r="R55">
        <v>0.69599999999999995</v>
      </c>
      <c r="S55">
        <v>8.6E-3</v>
      </c>
      <c r="T55">
        <v>0.3</v>
      </c>
      <c r="U55">
        <v>4.2900000000000004E-3</v>
      </c>
      <c r="V55">
        <v>1</v>
      </c>
      <c r="W55">
        <v>0.30630000000000002</v>
      </c>
      <c r="X55" s="5">
        <v>0.31859999999999999</v>
      </c>
    </row>
    <row r="56" spans="2:24" ht="15.75" thickBot="1">
      <c r="B56" s="4">
        <v>3</v>
      </c>
      <c r="C56">
        <v>2.77</v>
      </c>
      <c r="D56">
        <v>7.6700000000000004E-2</v>
      </c>
      <c r="E56">
        <v>3.3</v>
      </c>
      <c r="F56">
        <v>3.8300000000000001E-2</v>
      </c>
      <c r="G56">
        <v>6.1</v>
      </c>
      <c r="H56">
        <v>32.11</v>
      </c>
      <c r="I56">
        <v>29.16</v>
      </c>
      <c r="J56">
        <v>170</v>
      </c>
      <c r="K56">
        <v>150</v>
      </c>
      <c r="L56" s="20">
        <v>24.1</v>
      </c>
      <c r="M56" s="22">
        <f>(H56*I56*J56)/1000</f>
        <v>159.17569199999997</v>
      </c>
      <c r="N56" s="16">
        <f t="shared" si="4"/>
        <v>0.15140502734550704</v>
      </c>
      <c r="Q56" s="6" t="s">
        <v>11</v>
      </c>
      <c r="R56" s="7">
        <v>25.84</v>
      </c>
      <c r="S56" s="7">
        <v>9.8699999999999992</v>
      </c>
      <c r="T56" s="7">
        <v>8.82</v>
      </c>
      <c r="U56" s="7">
        <v>9.85</v>
      </c>
      <c r="V56" s="7">
        <v>18.170000000000002</v>
      </c>
      <c r="W56" s="7">
        <v>0.96</v>
      </c>
      <c r="X56" s="8">
        <v>1.1100000000000001</v>
      </c>
    </row>
    <row r="57" spans="2:24">
      <c r="B57" s="4">
        <v>4</v>
      </c>
      <c r="C57">
        <v>3.44</v>
      </c>
      <c r="D57">
        <v>9.9900000000000003E-2</v>
      </c>
      <c r="E57">
        <v>3.6</v>
      </c>
      <c r="F57">
        <v>4.99E-2</v>
      </c>
      <c r="G57">
        <v>4.4000000000000004</v>
      </c>
      <c r="H57">
        <v>32.119999999999997</v>
      </c>
      <c r="I57">
        <v>28.3</v>
      </c>
      <c r="J57">
        <v>170</v>
      </c>
      <c r="K57">
        <v>150</v>
      </c>
      <c r="L57" s="13">
        <v>24.5</v>
      </c>
      <c r="M57" s="22">
        <f>(H57*I57*J57)/1000</f>
        <v>154.52932000000001</v>
      </c>
      <c r="N57" s="16">
        <f t="shared" si="4"/>
        <v>0.15854596396334364</v>
      </c>
    </row>
    <row r="58" spans="2:24" ht="15.75" thickBot="1">
      <c r="B58" s="6">
        <v>5</v>
      </c>
      <c r="C58" s="7">
        <v>1.63</v>
      </c>
      <c r="D58" s="7">
        <v>8.7499999999999994E-2</v>
      </c>
      <c r="E58" s="7">
        <v>3.5</v>
      </c>
      <c r="F58" s="7">
        <v>4.3700000000000003E-2</v>
      </c>
      <c r="G58" s="7">
        <v>4.2</v>
      </c>
      <c r="H58" s="7">
        <v>32.28</v>
      </c>
      <c r="I58" s="7">
        <v>28.86</v>
      </c>
      <c r="J58" s="7">
        <v>170</v>
      </c>
      <c r="K58" s="7">
        <v>150</v>
      </c>
      <c r="L58" s="14">
        <v>24.8</v>
      </c>
      <c r="M58" s="18">
        <f>(H58*I58*J58)/1000</f>
        <v>158.37213600000001</v>
      </c>
      <c r="N58" s="19">
        <f t="shared" si="4"/>
        <v>0.15659320273359198</v>
      </c>
    </row>
    <row r="60" spans="2:24" ht="15.75" thickBot="1"/>
    <row r="61" spans="2:24" ht="18.75">
      <c r="B61" s="1" t="s">
        <v>20</v>
      </c>
      <c r="C61" s="2" t="s">
        <v>21</v>
      </c>
      <c r="D61" s="2" t="s">
        <v>22</v>
      </c>
      <c r="E61" s="2" t="s">
        <v>23</v>
      </c>
      <c r="F61" s="2" t="s">
        <v>24</v>
      </c>
      <c r="G61" s="2" t="s">
        <v>25</v>
      </c>
      <c r="H61" s="2" t="s">
        <v>26</v>
      </c>
      <c r="I61" s="2" t="s">
        <v>27</v>
      </c>
      <c r="J61" s="2" t="s">
        <v>28</v>
      </c>
      <c r="K61" s="2" t="s">
        <v>29</v>
      </c>
      <c r="L61" s="9" t="s">
        <v>30</v>
      </c>
      <c r="M61" s="10" t="s">
        <v>31</v>
      </c>
      <c r="N61" s="11" t="s">
        <v>32</v>
      </c>
      <c r="Q61" s="1" t="s">
        <v>6</v>
      </c>
      <c r="R61" s="2" t="s">
        <v>37</v>
      </c>
      <c r="S61" s="2" t="s">
        <v>38</v>
      </c>
      <c r="T61" s="2" t="s">
        <v>39</v>
      </c>
      <c r="U61" s="2" t="s">
        <v>40</v>
      </c>
      <c r="V61" s="2" t="s">
        <v>41</v>
      </c>
      <c r="W61" s="2" t="s">
        <v>36</v>
      </c>
      <c r="X61" s="3" t="s">
        <v>42</v>
      </c>
    </row>
    <row r="62" spans="2:24" ht="15.75" thickBot="1">
      <c r="B62" s="6" t="s">
        <v>0</v>
      </c>
      <c r="C62" s="7" t="s">
        <v>1</v>
      </c>
      <c r="D62" s="7" t="s">
        <v>2</v>
      </c>
      <c r="E62" s="7" t="s">
        <v>3</v>
      </c>
      <c r="F62" s="7" t="s">
        <v>2</v>
      </c>
      <c r="G62" s="7" t="s">
        <v>3</v>
      </c>
      <c r="H62" s="7" t="s">
        <v>4</v>
      </c>
      <c r="I62" s="7" t="s">
        <v>4</v>
      </c>
      <c r="J62" s="7" t="s">
        <v>5</v>
      </c>
      <c r="K62" s="7"/>
      <c r="L62" s="7"/>
      <c r="M62" s="7"/>
      <c r="N62" s="8"/>
      <c r="Q62" s="4" t="s">
        <v>7</v>
      </c>
      <c r="R62" t="s">
        <v>1</v>
      </c>
      <c r="S62" t="s">
        <v>2</v>
      </c>
      <c r="T62" t="s">
        <v>3</v>
      </c>
      <c r="U62" t="s">
        <v>2</v>
      </c>
      <c r="V62" t="s">
        <v>3</v>
      </c>
      <c r="W62" t="s">
        <v>8</v>
      </c>
      <c r="X62" s="5" t="s">
        <v>8</v>
      </c>
    </row>
    <row r="63" spans="2:24">
      <c r="B63" s="1">
        <v>1</v>
      </c>
      <c r="C63" s="2">
        <v>0.92800000000000005</v>
      </c>
      <c r="D63" s="2">
        <v>1.9199999999999998E-2</v>
      </c>
      <c r="E63" s="2">
        <v>1.9</v>
      </c>
      <c r="F63" s="2">
        <v>9.5999999999999992E-3</v>
      </c>
      <c r="G63" s="2">
        <v>5.9</v>
      </c>
      <c r="H63" s="2">
        <v>31.62</v>
      </c>
      <c r="I63" s="2">
        <v>28.33</v>
      </c>
      <c r="J63" s="2">
        <v>170</v>
      </c>
      <c r="K63" s="2">
        <v>150</v>
      </c>
      <c r="L63" s="12">
        <v>18</v>
      </c>
      <c r="M63" s="9">
        <f>(H63*I63*J63)/1000</f>
        <v>152.28508199999999</v>
      </c>
      <c r="N63" s="11">
        <f>L63/M63</f>
        <v>0.1181993650566508</v>
      </c>
      <c r="Q63" s="4" t="s">
        <v>9</v>
      </c>
      <c r="R63">
        <v>1.02</v>
      </c>
      <c r="S63">
        <v>2.7099999999999999E-2</v>
      </c>
      <c r="T63">
        <v>2.5</v>
      </c>
      <c r="U63">
        <v>1.35E-2</v>
      </c>
      <c r="V63">
        <v>5.2</v>
      </c>
      <c r="W63">
        <v>32.64</v>
      </c>
      <c r="X63" s="5">
        <v>29.07</v>
      </c>
    </row>
    <row r="64" spans="2:24">
      <c r="B64" s="4">
        <v>2</v>
      </c>
      <c r="C64">
        <v>1.46</v>
      </c>
      <c r="D64">
        <v>3.4599999999999999E-2</v>
      </c>
      <c r="E64">
        <v>2.6</v>
      </c>
      <c r="F64">
        <v>1.72E-2</v>
      </c>
      <c r="G64">
        <v>3.9</v>
      </c>
      <c r="H64">
        <v>32.31</v>
      </c>
      <c r="I64">
        <v>28.35</v>
      </c>
      <c r="J64">
        <v>170</v>
      </c>
      <c r="K64">
        <v>150</v>
      </c>
      <c r="L64" s="13">
        <v>18.100000000000001</v>
      </c>
      <c r="M64" s="22">
        <f>(H64*I64*J64)/1000</f>
        <v>155.71804500000002</v>
      </c>
      <c r="N64" s="16">
        <f t="shared" ref="N64:N66" si="5">L64/M64</f>
        <v>0.11623572592373607</v>
      </c>
      <c r="Q64" s="4" t="s">
        <v>10</v>
      </c>
      <c r="R64">
        <v>0.38700000000000001</v>
      </c>
      <c r="S64">
        <v>1.4E-2</v>
      </c>
      <c r="T64">
        <v>1.4</v>
      </c>
      <c r="U64">
        <v>6.9800000000000001E-3</v>
      </c>
      <c r="V64">
        <v>2</v>
      </c>
      <c r="W64">
        <v>0.82379999999999998</v>
      </c>
      <c r="X64" s="5">
        <v>0.89149999999999996</v>
      </c>
    </row>
    <row r="65" spans="2:24" ht="15.75" thickBot="1">
      <c r="B65" s="4">
        <v>3</v>
      </c>
      <c r="C65">
        <v>1.1499999999999999</v>
      </c>
      <c r="D65">
        <v>4.2599999999999999E-2</v>
      </c>
      <c r="E65">
        <v>4.4000000000000004</v>
      </c>
      <c r="F65">
        <v>2.1299999999999999E-2</v>
      </c>
      <c r="G65">
        <v>7.7</v>
      </c>
      <c r="H65">
        <v>33.340000000000003</v>
      </c>
      <c r="I65">
        <v>29.46</v>
      </c>
      <c r="J65">
        <v>170</v>
      </c>
      <c r="K65">
        <v>150</v>
      </c>
      <c r="L65" s="13">
        <v>18.899999999999999</v>
      </c>
      <c r="M65" s="22">
        <f>(H65*I65*J65)/1000</f>
        <v>166.97338800000003</v>
      </c>
      <c r="N65" s="16">
        <f t="shared" si="5"/>
        <v>0.11319169016322526</v>
      </c>
      <c r="Q65" s="6" t="s">
        <v>11</v>
      </c>
      <c r="R65" s="7">
        <v>37.96</v>
      </c>
      <c r="S65" s="7">
        <v>51.58</v>
      </c>
      <c r="T65" s="7">
        <v>56.03</v>
      </c>
      <c r="U65" s="7">
        <v>51.55</v>
      </c>
      <c r="V65" s="7">
        <v>38.57</v>
      </c>
      <c r="W65" s="7">
        <v>2.52</v>
      </c>
      <c r="X65" s="8">
        <v>3.07</v>
      </c>
    </row>
    <row r="66" spans="2:24" ht="15.75" thickBot="1">
      <c r="B66" s="6">
        <v>4</v>
      </c>
      <c r="C66" s="7">
        <v>0.54100000000000004</v>
      </c>
      <c r="D66" s="7">
        <v>1.2E-2</v>
      </c>
      <c r="E66" s="7">
        <v>1.1000000000000001</v>
      </c>
      <c r="F66" s="7">
        <v>6.0099999999999997E-3</v>
      </c>
      <c r="G66" s="7">
        <v>3.3</v>
      </c>
      <c r="H66" s="7">
        <v>33.270000000000003</v>
      </c>
      <c r="I66" s="7">
        <v>30.15</v>
      </c>
      <c r="J66" s="7">
        <v>170</v>
      </c>
      <c r="K66" s="7">
        <v>150</v>
      </c>
      <c r="L66" s="14">
        <v>19</v>
      </c>
      <c r="M66" s="18">
        <f>(H66*I66*J66)/1000</f>
        <v>170.525385</v>
      </c>
      <c r="N66" s="19">
        <f t="shared" si="5"/>
        <v>0.11142036125589161</v>
      </c>
    </row>
    <row r="68" spans="2:24" ht="15.75" thickBot="1">
      <c r="F68" s="21" t="s">
        <v>50</v>
      </c>
    </row>
    <row r="69" spans="2:24" ht="18.75">
      <c r="B69" s="1" t="s">
        <v>12</v>
      </c>
      <c r="C69" s="2" t="s">
        <v>21</v>
      </c>
      <c r="D69" s="2" t="s">
        <v>22</v>
      </c>
      <c r="E69" s="2" t="s">
        <v>23</v>
      </c>
      <c r="F69" s="2" t="s">
        <v>24</v>
      </c>
      <c r="G69" s="2" t="s">
        <v>25</v>
      </c>
      <c r="H69" s="2" t="s">
        <v>26</v>
      </c>
      <c r="I69" s="2" t="s">
        <v>27</v>
      </c>
      <c r="J69" s="2" t="s">
        <v>28</v>
      </c>
      <c r="K69" s="2" t="s">
        <v>29</v>
      </c>
      <c r="L69" s="9" t="s">
        <v>30</v>
      </c>
      <c r="M69" s="10" t="s">
        <v>31</v>
      </c>
      <c r="N69" s="11" t="s">
        <v>32</v>
      </c>
      <c r="Q69" s="1" t="s">
        <v>6</v>
      </c>
      <c r="R69" s="2" t="s">
        <v>37</v>
      </c>
      <c r="S69" s="2" t="s">
        <v>38</v>
      </c>
      <c r="T69" s="2" t="s">
        <v>39</v>
      </c>
      <c r="U69" s="2" t="s">
        <v>40</v>
      </c>
      <c r="V69" s="2" t="s">
        <v>41</v>
      </c>
      <c r="W69" s="2" t="s">
        <v>36</v>
      </c>
      <c r="X69" s="3" t="s">
        <v>42</v>
      </c>
    </row>
    <row r="70" spans="2:24" ht="15.75" thickBot="1">
      <c r="B70" s="4" t="s">
        <v>0</v>
      </c>
      <c r="C70" t="s">
        <v>1</v>
      </c>
      <c r="D70" t="s">
        <v>2</v>
      </c>
      <c r="E70" t="s">
        <v>3</v>
      </c>
      <c r="F70" t="s">
        <v>2</v>
      </c>
      <c r="G70" t="s">
        <v>3</v>
      </c>
      <c r="H70" t="s">
        <v>4</v>
      </c>
      <c r="I70" t="s">
        <v>4</v>
      </c>
      <c r="J70" t="s">
        <v>5</v>
      </c>
      <c r="N70" s="5"/>
      <c r="Q70" s="4" t="s">
        <v>52</v>
      </c>
      <c r="R70" t="s">
        <v>1</v>
      </c>
      <c r="S70" t="s">
        <v>2</v>
      </c>
      <c r="T70" t="s">
        <v>3</v>
      </c>
      <c r="U70" t="s">
        <v>2</v>
      </c>
      <c r="V70" t="s">
        <v>3</v>
      </c>
      <c r="W70" t="s">
        <v>8</v>
      </c>
      <c r="X70" s="5" t="s">
        <v>8</v>
      </c>
    </row>
    <row r="71" spans="2:24">
      <c r="B71" s="1">
        <v>1</v>
      </c>
      <c r="C71" s="2">
        <v>4.3899999999999997</v>
      </c>
      <c r="D71" s="2">
        <v>9.5899999999999999E-2</v>
      </c>
      <c r="E71" s="2">
        <v>3</v>
      </c>
      <c r="F71" s="2">
        <v>4.7899999999999998E-2</v>
      </c>
      <c r="G71" s="2">
        <v>3.7</v>
      </c>
      <c r="H71" s="2">
        <v>30.72</v>
      </c>
      <c r="I71" s="2">
        <v>30.23</v>
      </c>
      <c r="J71" s="2">
        <v>176</v>
      </c>
      <c r="K71" s="2">
        <v>150</v>
      </c>
      <c r="L71" s="2">
        <v>31.5</v>
      </c>
      <c r="M71" s="9">
        <f>(H71*I71*J71)/1000</f>
        <v>163.44514559999999</v>
      </c>
      <c r="N71" s="11">
        <f>L71/M71</f>
        <v>0.19272520994346376</v>
      </c>
      <c r="Q71" s="4" t="s">
        <v>9</v>
      </c>
      <c r="R71">
        <f>AVERAGE(C71:C75)</f>
        <v>4.1019999999999994</v>
      </c>
      <c r="S71">
        <f>AVERAGE(D71:D75)</f>
        <v>9.5219999999999999E-2</v>
      </c>
      <c r="T71">
        <f t="shared" ref="T71:X71" si="6">AVERAGE(E71:E75)</f>
        <v>3.12</v>
      </c>
      <c r="U71">
        <f t="shared" si="6"/>
        <v>4.7459999999999995E-2</v>
      </c>
      <c r="V71">
        <f t="shared" si="6"/>
        <v>3.88</v>
      </c>
      <c r="W71">
        <f t="shared" si="6"/>
        <v>30.542000000000002</v>
      </c>
      <c r="X71" s="5">
        <f t="shared" si="6"/>
        <v>30.118000000000002</v>
      </c>
    </row>
    <row r="72" spans="2:24">
      <c r="B72" s="4">
        <v>2</v>
      </c>
      <c r="C72">
        <v>4.01</v>
      </c>
      <c r="D72">
        <v>0.105</v>
      </c>
      <c r="E72">
        <v>3.5</v>
      </c>
      <c r="F72">
        <v>5.1999999999999998E-2</v>
      </c>
      <c r="G72">
        <v>4.2</v>
      </c>
      <c r="H72">
        <v>30.81</v>
      </c>
      <c r="I72">
        <v>30.13</v>
      </c>
      <c r="J72">
        <v>176</v>
      </c>
      <c r="K72">
        <v>150</v>
      </c>
      <c r="L72">
        <v>31.1</v>
      </c>
      <c r="M72" s="22">
        <f t="shared" ref="M72:M75" si="7">(H72*I72*J72)/1000</f>
        <v>163.38173279999998</v>
      </c>
      <c r="N72" s="16">
        <f t="shared" ref="N72:N75" si="8">L72/M72</f>
        <v>0.19035175761093412</v>
      </c>
      <c r="Q72" s="4" t="s">
        <v>10</v>
      </c>
      <c r="R72">
        <f>_xlfn.STDEV.S(C71:C75)</f>
        <v>0.1718138527593161</v>
      </c>
      <c r="S72">
        <f t="shared" ref="S72:X72" si="9">_xlfn.STDEV.S(D71:D75)</f>
        <v>1.0979389782679276E-2</v>
      </c>
      <c r="T72">
        <f t="shared" si="9"/>
        <v>0.57183913821983345</v>
      </c>
      <c r="U72">
        <f t="shared" si="9"/>
        <v>5.4316664109645011E-3</v>
      </c>
      <c r="V72">
        <f t="shared" si="9"/>
        <v>0.82583291288250449</v>
      </c>
      <c r="W72">
        <f t="shared" si="9"/>
        <v>0.21661024906499635</v>
      </c>
      <c r="X72" s="5">
        <f t="shared" si="9"/>
        <v>6.7230945255886493E-2</v>
      </c>
    </row>
    <row r="73" spans="2:24" ht="15.75" thickBot="1">
      <c r="B73" s="4">
        <v>3</v>
      </c>
      <c r="C73">
        <v>4.13</v>
      </c>
      <c r="D73">
        <v>8.4099999999999994E-2</v>
      </c>
      <c r="E73">
        <v>2.6</v>
      </c>
      <c r="F73">
        <v>4.19E-2</v>
      </c>
      <c r="G73">
        <v>2.9</v>
      </c>
      <c r="H73">
        <v>30.36</v>
      </c>
      <c r="I73">
        <v>30.07</v>
      </c>
      <c r="J73">
        <v>177</v>
      </c>
      <c r="K73">
        <v>150</v>
      </c>
      <c r="L73">
        <v>31.1</v>
      </c>
      <c r="M73" s="22">
        <f t="shared" si="7"/>
        <v>161.58776040000001</v>
      </c>
      <c r="N73" s="16">
        <f t="shared" si="8"/>
        <v>0.19246507237314245</v>
      </c>
      <c r="Q73" s="6" t="s">
        <v>11</v>
      </c>
      <c r="R73" s="7">
        <f>R72/R71*100</f>
        <v>4.1885385850637764</v>
      </c>
      <c r="S73" s="7">
        <f t="shared" ref="S73:X73" si="10">S72/S71*100</f>
        <v>11.530550076327744</v>
      </c>
      <c r="T73" s="7">
        <f t="shared" si="10"/>
        <v>18.328177507045943</v>
      </c>
      <c r="U73" s="7">
        <f t="shared" si="10"/>
        <v>11.444724844004428</v>
      </c>
      <c r="V73" s="7">
        <f t="shared" si="10"/>
        <v>21.284353424806817</v>
      </c>
      <c r="W73" s="7">
        <f t="shared" si="10"/>
        <v>0.70922090585094733</v>
      </c>
      <c r="X73" s="8">
        <f t="shared" si="10"/>
        <v>0.22322513200041996</v>
      </c>
    </row>
    <row r="74" spans="2:24">
      <c r="B74" s="4">
        <v>4</v>
      </c>
      <c r="C74">
        <v>4.01</v>
      </c>
      <c r="D74">
        <v>8.4099999999999994E-2</v>
      </c>
      <c r="E74">
        <v>2.6</v>
      </c>
      <c r="F74">
        <v>4.2000000000000003E-2</v>
      </c>
      <c r="G74">
        <v>3.5</v>
      </c>
      <c r="H74">
        <v>30.32</v>
      </c>
      <c r="I74">
        <v>30.09</v>
      </c>
      <c r="J74">
        <v>177</v>
      </c>
      <c r="K74">
        <v>150</v>
      </c>
      <c r="L74">
        <v>31.5</v>
      </c>
      <c r="M74" s="22">
        <f t="shared" si="7"/>
        <v>161.48219760000001</v>
      </c>
      <c r="N74" s="16">
        <f t="shared" si="8"/>
        <v>0.19506794227576205</v>
      </c>
    </row>
    <row r="75" spans="2:24" ht="15.75" thickBot="1">
      <c r="B75" s="6">
        <v>5</v>
      </c>
      <c r="C75" s="7">
        <v>3.97</v>
      </c>
      <c r="D75" s="7">
        <v>0.107</v>
      </c>
      <c r="E75" s="7">
        <v>3.9</v>
      </c>
      <c r="F75" s="7">
        <v>5.3499999999999999E-2</v>
      </c>
      <c r="G75" s="7">
        <v>5.0999999999999996</v>
      </c>
      <c r="H75" s="7">
        <v>30.5</v>
      </c>
      <c r="I75" s="7">
        <v>30.07</v>
      </c>
      <c r="J75" s="7">
        <v>177</v>
      </c>
      <c r="K75" s="7">
        <v>150</v>
      </c>
      <c r="L75" s="7">
        <v>31.1</v>
      </c>
      <c r="M75" s="18">
        <f t="shared" si="7"/>
        <v>162.33289499999998</v>
      </c>
      <c r="N75" s="19">
        <f t="shared" si="8"/>
        <v>0.19158162613929855</v>
      </c>
    </row>
    <row r="77" spans="2:24" ht="15.75" thickBot="1">
      <c r="F77" t="s">
        <v>51</v>
      </c>
    </row>
    <row r="78" spans="2:24" ht="18.75">
      <c r="B78" s="1" t="s">
        <v>60</v>
      </c>
      <c r="C78" s="2" t="s">
        <v>21</v>
      </c>
      <c r="D78" s="2" t="s">
        <v>22</v>
      </c>
      <c r="E78" s="2" t="s">
        <v>23</v>
      </c>
      <c r="F78" s="2" t="s">
        <v>24</v>
      </c>
      <c r="G78" s="2" t="s">
        <v>25</v>
      </c>
      <c r="H78" s="2" t="s">
        <v>26</v>
      </c>
      <c r="I78" s="2" t="s">
        <v>27</v>
      </c>
      <c r="J78" s="26" t="s">
        <v>28</v>
      </c>
      <c r="K78" s="2" t="s">
        <v>29</v>
      </c>
      <c r="L78" s="9" t="s">
        <v>30</v>
      </c>
      <c r="M78" s="10" t="s">
        <v>31</v>
      </c>
      <c r="N78" s="11" t="s">
        <v>32</v>
      </c>
      <c r="Q78" s="1" t="s">
        <v>6</v>
      </c>
      <c r="R78" s="2" t="s">
        <v>37</v>
      </c>
      <c r="S78" s="2" t="s">
        <v>38</v>
      </c>
      <c r="T78" s="2" t="s">
        <v>39</v>
      </c>
      <c r="U78" s="2" t="s">
        <v>40</v>
      </c>
      <c r="V78" s="2" t="s">
        <v>41</v>
      </c>
      <c r="W78" s="2" t="s">
        <v>36</v>
      </c>
      <c r="X78" s="3" t="s">
        <v>42</v>
      </c>
    </row>
    <row r="79" spans="2:24" ht="15.75" thickBot="1">
      <c r="B79" s="4" t="s">
        <v>0</v>
      </c>
      <c r="C79" t="s">
        <v>1</v>
      </c>
      <c r="D79" t="s">
        <v>2</v>
      </c>
      <c r="E79" t="s">
        <v>3</v>
      </c>
      <c r="F79" t="s">
        <v>2</v>
      </c>
      <c r="G79" t="s">
        <v>3</v>
      </c>
      <c r="H79" t="s">
        <v>4</v>
      </c>
      <c r="I79" t="s">
        <v>4</v>
      </c>
      <c r="J79" s="27" t="s">
        <v>5</v>
      </c>
      <c r="N79" s="5"/>
      <c r="Q79" s="4" t="s">
        <v>14</v>
      </c>
      <c r="R79" t="s">
        <v>1</v>
      </c>
      <c r="S79" t="s">
        <v>2</v>
      </c>
      <c r="T79" t="s">
        <v>3</v>
      </c>
      <c r="U79" t="s">
        <v>2</v>
      </c>
      <c r="V79" t="s">
        <v>3</v>
      </c>
      <c r="W79" t="s">
        <v>8</v>
      </c>
      <c r="X79" s="5" t="s">
        <v>8</v>
      </c>
    </row>
    <row r="80" spans="2:24">
      <c r="B80" s="1">
        <v>1</v>
      </c>
      <c r="C80" s="2">
        <v>4.59</v>
      </c>
      <c r="D80" s="2">
        <v>0.13</v>
      </c>
      <c r="E80" s="2">
        <v>4.2</v>
      </c>
      <c r="F80" s="2">
        <v>6.5199999999999994E-2</v>
      </c>
      <c r="G80" s="2">
        <v>4.5</v>
      </c>
      <c r="H80" s="2">
        <v>31.13</v>
      </c>
      <c r="I80" s="2">
        <v>29.72</v>
      </c>
      <c r="J80" s="26">
        <v>172</v>
      </c>
      <c r="K80" s="2">
        <v>150</v>
      </c>
      <c r="L80" s="2">
        <v>29.3</v>
      </c>
      <c r="M80" s="9">
        <f>(H80*I80*J80)/1000</f>
        <v>159.13157919999998</v>
      </c>
      <c r="N80" s="11">
        <f>L80/M80</f>
        <v>0.18412435889406423</v>
      </c>
      <c r="Q80" s="4" t="s">
        <v>9</v>
      </c>
      <c r="R80">
        <v>3.67</v>
      </c>
      <c r="S80">
        <v>0.105</v>
      </c>
      <c r="T80">
        <v>4</v>
      </c>
      <c r="U80">
        <v>5.2400000000000002E-2</v>
      </c>
      <c r="V80">
        <v>4.5</v>
      </c>
      <c r="W80">
        <v>31.46</v>
      </c>
      <c r="X80" s="5">
        <v>29.75</v>
      </c>
    </row>
    <row r="81" spans="2:24">
      <c r="B81" s="4">
        <v>2</v>
      </c>
      <c r="C81">
        <v>3.51</v>
      </c>
      <c r="D81">
        <v>8.7800000000000003E-2</v>
      </c>
      <c r="E81">
        <v>3.3</v>
      </c>
      <c r="F81">
        <v>4.3799999999999999E-2</v>
      </c>
      <c r="G81">
        <v>3.6</v>
      </c>
      <c r="H81">
        <v>31.35</v>
      </c>
      <c r="I81">
        <v>29.98</v>
      </c>
      <c r="J81" s="27">
        <v>172</v>
      </c>
      <c r="K81">
        <v>150</v>
      </c>
      <c r="L81">
        <v>30.3</v>
      </c>
      <c r="M81" s="22">
        <f>(H81*I81*J81)/1000</f>
        <v>161.65815600000002</v>
      </c>
      <c r="N81" s="16">
        <f>L81/M81</f>
        <v>0.18743254748000465</v>
      </c>
      <c r="Q81" s="4" t="s">
        <v>10</v>
      </c>
      <c r="R81">
        <v>0.55300000000000005</v>
      </c>
      <c r="S81">
        <v>2.1499999999999998E-2</v>
      </c>
      <c r="T81">
        <v>0.9</v>
      </c>
      <c r="U81">
        <v>1.0699999999999999E-2</v>
      </c>
      <c r="V81">
        <v>0.9</v>
      </c>
      <c r="W81">
        <v>0.21629999999999999</v>
      </c>
      <c r="X81" s="5">
        <v>0.19</v>
      </c>
    </row>
    <row r="82" spans="2:24" ht="15.75" thickBot="1">
      <c r="B82" s="4">
        <v>3</v>
      </c>
      <c r="C82">
        <v>3.26</v>
      </c>
      <c r="D82">
        <v>9.9099999999999994E-2</v>
      </c>
      <c r="E82">
        <v>3.7</v>
      </c>
      <c r="F82">
        <v>4.9500000000000002E-2</v>
      </c>
      <c r="G82">
        <v>4.5</v>
      </c>
      <c r="H82">
        <v>31.59</v>
      </c>
      <c r="I82">
        <v>29.76</v>
      </c>
      <c r="J82" s="27">
        <v>173</v>
      </c>
      <c r="K82">
        <v>150</v>
      </c>
      <c r="L82">
        <v>30.2</v>
      </c>
      <c r="M82" s="22">
        <f>(H82*I82*J82)/1000</f>
        <v>162.64048320000001</v>
      </c>
      <c r="N82" s="16">
        <f>L82/M82</f>
        <v>0.18568562639390879</v>
      </c>
      <c r="Q82" s="6" t="s">
        <v>11</v>
      </c>
      <c r="R82" s="7">
        <v>15.06</v>
      </c>
      <c r="S82" s="7">
        <v>20.440000000000001</v>
      </c>
      <c r="T82" s="7">
        <v>23.08</v>
      </c>
      <c r="U82" s="7">
        <v>20.38</v>
      </c>
      <c r="V82" s="7">
        <v>21.02</v>
      </c>
      <c r="W82" s="7">
        <v>0.69</v>
      </c>
      <c r="X82" s="8">
        <v>0.64</v>
      </c>
    </row>
    <row r="83" spans="2:24">
      <c r="B83" s="4">
        <v>4</v>
      </c>
      <c r="C83">
        <v>3.74</v>
      </c>
      <c r="D83">
        <v>0.125</v>
      </c>
      <c r="E83">
        <v>5.5</v>
      </c>
      <c r="F83">
        <v>6.2100000000000002E-2</v>
      </c>
      <c r="G83">
        <v>6</v>
      </c>
      <c r="H83">
        <v>31.64</v>
      </c>
      <c r="I83">
        <v>29.46</v>
      </c>
      <c r="J83" s="27">
        <v>172</v>
      </c>
      <c r="K83">
        <v>150</v>
      </c>
      <c r="L83">
        <v>30</v>
      </c>
      <c r="M83" s="22">
        <f>(H83*I83*J83)/1000</f>
        <v>160.32367680000002</v>
      </c>
      <c r="N83" s="16">
        <f>L83/M83</f>
        <v>0.18712145703484762</v>
      </c>
    </row>
    <row r="84" spans="2:24" ht="15.75" thickBot="1">
      <c r="B84" s="6">
        <v>5</v>
      </c>
      <c r="C84" s="7">
        <v>3.25</v>
      </c>
      <c r="D84" s="7">
        <v>8.3299999999999999E-2</v>
      </c>
      <c r="E84" s="7">
        <v>3.4</v>
      </c>
      <c r="F84" s="7">
        <v>4.1599999999999998E-2</v>
      </c>
      <c r="G84" s="7">
        <v>3.8</v>
      </c>
      <c r="H84" s="7">
        <v>31.59</v>
      </c>
      <c r="I84" s="7">
        <v>29.83</v>
      </c>
      <c r="J84" s="28">
        <v>172</v>
      </c>
      <c r="K84" s="7">
        <v>150</v>
      </c>
      <c r="L84" s="7">
        <v>29.1</v>
      </c>
      <c r="M84" s="18">
        <f>(H84*I84*J84)/1000</f>
        <v>162.08070839999996</v>
      </c>
      <c r="N84" s="19">
        <f>L84/M84</f>
        <v>0.17954018271060326</v>
      </c>
    </row>
    <row r="85" spans="2:24" ht="15.75" thickBot="1">
      <c r="P85" s="23"/>
    </row>
    <row r="86" spans="2:24" ht="18.75">
      <c r="B86" s="1" t="s">
        <v>45</v>
      </c>
      <c r="C86" s="2" t="s">
        <v>21</v>
      </c>
      <c r="D86" s="2" t="s">
        <v>22</v>
      </c>
      <c r="E86" s="2" t="s">
        <v>23</v>
      </c>
      <c r="F86" s="2" t="s">
        <v>24</v>
      </c>
      <c r="G86" s="2" t="s">
        <v>25</v>
      </c>
      <c r="H86" s="2" t="s">
        <v>26</v>
      </c>
      <c r="I86" s="2" t="s">
        <v>27</v>
      </c>
      <c r="J86" s="2" t="s">
        <v>28</v>
      </c>
      <c r="K86" s="2" t="s">
        <v>29</v>
      </c>
      <c r="L86" s="9" t="s">
        <v>30</v>
      </c>
      <c r="M86" s="10" t="s">
        <v>31</v>
      </c>
      <c r="N86" s="11" t="s">
        <v>32</v>
      </c>
      <c r="Q86" s="1" t="s">
        <v>6</v>
      </c>
      <c r="R86" s="2" t="s">
        <v>37</v>
      </c>
      <c r="S86" s="2" t="s">
        <v>38</v>
      </c>
      <c r="T86" s="2" t="s">
        <v>39</v>
      </c>
      <c r="U86" s="2" t="s">
        <v>40</v>
      </c>
      <c r="V86" s="2" t="s">
        <v>41</v>
      </c>
      <c r="W86" s="2" t="s">
        <v>36</v>
      </c>
      <c r="X86" s="3" t="s">
        <v>42</v>
      </c>
    </row>
    <row r="87" spans="2:24" ht="15.75" thickBot="1">
      <c r="B87" s="4" t="s">
        <v>0</v>
      </c>
      <c r="C87" t="s">
        <v>1</v>
      </c>
      <c r="D87" t="s">
        <v>2</v>
      </c>
      <c r="E87" t="s">
        <v>3</v>
      </c>
      <c r="F87" t="s">
        <v>2</v>
      </c>
      <c r="G87" t="s">
        <v>3</v>
      </c>
      <c r="H87" t="s">
        <v>4</v>
      </c>
      <c r="I87" t="s">
        <v>4</v>
      </c>
      <c r="J87" t="s">
        <v>5</v>
      </c>
      <c r="N87" s="5"/>
      <c r="Q87" s="4" t="s">
        <v>52</v>
      </c>
      <c r="R87" t="s">
        <v>1</v>
      </c>
      <c r="S87" t="s">
        <v>2</v>
      </c>
      <c r="T87" t="s">
        <v>3</v>
      </c>
      <c r="U87" t="s">
        <v>2</v>
      </c>
      <c r="V87" t="s">
        <v>3</v>
      </c>
      <c r="W87" t="s">
        <v>8</v>
      </c>
      <c r="X87" s="5" t="s">
        <v>8</v>
      </c>
    </row>
    <row r="88" spans="2:24">
      <c r="B88" s="1">
        <v>1</v>
      </c>
      <c r="C88" s="2">
        <v>3.9</v>
      </c>
      <c r="D88" s="2">
        <v>0.14599999999999999</v>
      </c>
      <c r="E88" s="2">
        <v>6.3</v>
      </c>
      <c r="F88" s="2">
        <v>7.3099999999999998E-2</v>
      </c>
      <c r="G88" s="2">
        <v>8.6</v>
      </c>
      <c r="H88" s="2">
        <v>30.87</v>
      </c>
      <c r="I88" s="2">
        <v>29.93</v>
      </c>
      <c r="J88" s="2">
        <v>184</v>
      </c>
      <c r="K88" s="2">
        <v>150</v>
      </c>
      <c r="L88" s="2">
        <v>23.7</v>
      </c>
      <c r="M88" s="9">
        <f>(H88*I88*J88)/1000</f>
        <v>170.00479440000001</v>
      </c>
      <c r="N88" s="11">
        <f t="shared" ref="N88" si="11">L88/M88</f>
        <v>0.13940783307697113</v>
      </c>
      <c r="Q88" s="4" t="s">
        <v>9</v>
      </c>
      <c r="R88">
        <f>AVERAGE(C88:C92)</f>
        <v>3.714</v>
      </c>
      <c r="S88">
        <f>AVERAGE(D88:D92)</f>
        <v>0.12457999999999998</v>
      </c>
      <c r="T88">
        <f t="shared" ref="T88" si="12">AVERAGE(E88:E92)</f>
        <v>5.0200000000000005</v>
      </c>
      <c r="U88">
        <f t="shared" ref="U88" si="13">AVERAGE(F88:F92)</f>
        <v>6.2280000000000002E-2</v>
      </c>
      <c r="V88">
        <f t="shared" ref="V88" si="14">AVERAGE(G88:G92)</f>
        <v>6.839999999999999</v>
      </c>
      <c r="W88">
        <f t="shared" ref="W88" si="15">AVERAGE(H88:H92)</f>
        <v>31.380000000000003</v>
      </c>
      <c r="X88" s="5">
        <f t="shared" ref="X88" si="16">AVERAGE(I88:I92)</f>
        <v>30.035999999999994</v>
      </c>
    </row>
    <row r="89" spans="2:24">
      <c r="B89" s="4">
        <v>2</v>
      </c>
      <c r="C89">
        <v>4.26</v>
      </c>
      <c r="D89">
        <v>0.17899999999999999</v>
      </c>
      <c r="E89">
        <v>6.4</v>
      </c>
      <c r="F89">
        <v>8.9599999999999999E-2</v>
      </c>
      <c r="G89">
        <v>8.3000000000000007</v>
      </c>
      <c r="H89">
        <v>31.67</v>
      </c>
      <c r="I89">
        <v>30.2</v>
      </c>
      <c r="J89">
        <v>185</v>
      </c>
      <c r="K89">
        <v>150</v>
      </c>
      <c r="L89">
        <v>24.7</v>
      </c>
      <c r="M89" s="22">
        <f t="shared" ref="M89:M92" si="17">(H89*I89*J89)/1000</f>
        <v>176.94029</v>
      </c>
      <c r="N89" s="16">
        <f t="shared" ref="N89:N92" si="18">L89/M89</f>
        <v>0.13959511426142682</v>
      </c>
      <c r="Q89" s="4" t="s">
        <v>10</v>
      </c>
      <c r="R89">
        <f>_xlfn.STDEV.S(C88:C92)</f>
        <v>0.59768720916546114</v>
      </c>
      <c r="S89">
        <f t="shared" ref="S89" si="19">_xlfn.STDEV.S(D88:D92)</f>
        <v>3.8834675227173016E-2</v>
      </c>
      <c r="T89">
        <f t="shared" ref="T89" si="20">_xlfn.STDEV.S(E88:E92)</f>
        <v>1.4481022063376596</v>
      </c>
      <c r="U89">
        <f t="shared" ref="U89" si="21">_xlfn.STDEV.S(F88:F92)</f>
        <v>1.9500051281983833E-2</v>
      </c>
      <c r="V89">
        <f t="shared" ref="V89" si="22">_xlfn.STDEV.S(G88:G92)</f>
        <v>1.5339491516996326</v>
      </c>
      <c r="W89">
        <f t="shared" ref="W89" si="23">_xlfn.STDEV.S(H88:H92)</f>
        <v>0.31511902513177431</v>
      </c>
      <c r="X89" s="5">
        <f t="shared" ref="X89" si="24">_xlfn.STDEV.S(I88:I92)</f>
        <v>0.10139033484509249</v>
      </c>
    </row>
    <row r="90" spans="2:24" ht="15.75" thickBot="1">
      <c r="B90" s="4">
        <v>3</v>
      </c>
      <c r="C90">
        <v>3.25</v>
      </c>
      <c r="D90">
        <v>0.112</v>
      </c>
      <c r="E90">
        <v>5.4</v>
      </c>
      <c r="F90">
        <v>5.5899999999999998E-2</v>
      </c>
      <c r="G90">
        <v>6.4</v>
      </c>
      <c r="H90">
        <v>31.31</v>
      </c>
      <c r="I90">
        <v>29.99</v>
      </c>
      <c r="J90">
        <v>184</v>
      </c>
      <c r="K90">
        <v>150</v>
      </c>
      <c r="L90">
        <v>24.6</v>
      </c>
      <c r="M90" s="22">
        <f t="shared" si="17"/>
        <v>172.77358959999998</v>
      </c>
      <c r="N90" s="16">
        <f t="shared" si="18"/>
        <v>0.14238287261932309</v>
      </c>
      <c r="Q90" s="6" t="s">
        <v>11</v>
      </c>
      <c r="R90" s="7">
        <f>R89/R88*100</f>
        <v>16.092816617271435</v>
      </c>
      <c r="S90" s="7">
        <f t="shared" ref="S90" si="25">S89/S88*100</f>
        <v>31.172479713576035</v>
      </c>
      <c r="T90" s="7">
        <f t="shared" ref="T90" si="26">T89/T88*100</f>
        <v>28.846657496766127</v>
      </c>
      <c r="U90" s="7">
        <f t="shared" ref="U90" si="27">U89/U88*100</f>
        <v>31.3102942870646</v>
      </c>
      <c r="V90" s="7">
        <f t="shared" ref="V90" si="28">V89/V88*100</f>
        <v>22.426157188591123</v>
      </c>
      <c r="W90" s="7">
        <f t="shared" ref="W90" si="29">W89/W88*100</f>
        <v>1.0042033943013839</v>
      </c>
      <c r="X90" s="8">
        <f t="shared" ref="X90" si="30">X89/X88*100</f>
        <v>0.33756270756789358</v>
      </c>
    </row>
    <row r="91" spans="2:24">
      <c r="B91" s="4">
        <v>4</v>
      </c>
      <c r="C91">
        <v>2.93</v>
      </c>
      <c r="D91">
        <v>7.7899999999999997E-2</v>
      </c>
      <c r="E91">
        <v>3.3</v>
      </c>
      <c r="F91">
        <v>3.8899999999999997E-2</v>
      </c>
      <c r="G91">
        <v>5.2</v>
      </c>
      <c r="H91">
        <v>31.47</v>
      </c>
      <c r="I91">
        <v>30.05</v>
      </c>
      <c r="J91">
        <v>184</v>
      </c>
      <c r="K91">
        <v>150</v>
      </c>
      <c r="L91">
        <v>24.9</v>
      </c>
      <c r="M91" s="22">
        <f t="shared" si="17"/>
        <v>174.00392400000001</v>
      </c>
      <c r="N91" s="16">
        <f t="shared" si="18"/>
        <v>0.1431002211191513</v>
      </c>
    </row>
    <row r="92" spans="2:24" ht="15.75" thickBot="1">
      <c r="B92" s="6">
        <v>5</v>
      </c>
      <c r="C92" s="7">
        <v>4.2300000000000004</v>
      </c>
      <c r="D92" s="7">
        <v>0.108</v>
      </c>
      <c r="E92" s="7">
        <v>3.7</v>
      </c>
      <c r="F92" s="7">
        <v>5.3900000000000003E-2</v>
      </c>
      <c r="G92" s="7">
        <v>5.7</v>
      </c>
      <c r="H92" s="7">
        <v>31.58</v>
      </c>
      <c r="I92" s="7">
        <v>30.01</v>
      </c>
      <c r="J92" s="7">
        <v>184</v>
      </c>
      <c r="K92" s="7">
        <v>150</v>
      </c>
      <c r="L92" s="7">
        <v>25</v>
      </c>
      <c r="M92" s="18">
        <f t="shared" si="17"/>
        <v>174.37970720000001</v>
      </c>
      <c r="N92" s="19">
        <f t="shared" si="18"/>
        <v>0.14336530552449511</v>
      </c>
    </row>
    <row r="94" spans="2:24" ht="15.75" thickBot="1"/>
    <row r="95" spans="2:24" ht="18.75">
      <c r="B95" s="1" t="s">
        <v>49</v>
      </c>
      <c r="C95" s="2" t="s">
        <v>21</v>
      </c>
      <c r="D95" s="2" t="s">
        <v>22</v>
      </c>
      <c r="E95" s="2" t="s">
        <v>23</v>
      </c>
      <c r="F95" s="2" t="s">
        <v>24</v>
      </c>
      <c r="G95" s="2" t="s">
        <v>25</v>
      </c>
      <c r="H95" s="2" t="s">
        <v>26</v>
      </c>
      <c r="I95" s="2" t="s">
        <v>27</v>
      </c>
      <c r="J95" s="2" t="s">
        <v>28</v>
      </c>
      <c r="K95" s="2" t="s">
        <v>29</v>
      </c>
      <c r="L95" s="9" t="s">
        <v>30</v>
      </c>
      <c r="M95" s="10" t="s">
        <v>31</v>
      </c>
      <c r="N95" s="11" t="s">
        <v>32</v>
      </c>
      <c r="Q95" s="1" t="s">
        <v>6</v>
      </c>
      <c r="R95" s="2" t="s">
        <v>37</v>
      </c>
      <c r="S95" s="2" t="s">
        <v>38</v>
      </c>
      <c r="T95" s="2" t="s">
        <v>39</v>
      </c>
      <c r="U95" s="2" t="s">
        <v>40</v>
      </c>
      <c r="V95" s="2" t="s">
        <v>41</v>
      </c>
      <c r="W95" s="2" t="s">
        <v>36</v>
      </c>
      <c r="X95" s="3" t="s">
        <v>42</v>
      </c>
    </row>
    <row r="96" spans="2:24" ht="15.75" thickBot="1">
      <c r="B96" s="4" t="s">
        <v>0</v>
      </c>
      <c r="C96" t="s">
        <v>1</v>
      </c>
      <c r="D96" t="s">
        <v>2</v>
      </c>
      <c r="E96" t="s">
        <v>3</v>
      </c>
      <c r="F96" t="s">
        <v>2</v>
      </c>
      <c r="G96" t="s">
        <v>3</v>
      </c>
      <c r="H96" t="s">
        <v>4</v>
      </c>
      <c r="I96" t="s">
        <v>4</v>
      </c>
      <c r="J96" t="s">
        <v>5</v>
      </c>
      <c r="N96" s="5"/>
      <c r="Q96" s="4" t="s">
        <v>52</v>
      </c>
      <c r="R96" t="s">
        <v>1</v>
      </c>
      <c r="S96" t="s">
        <v>2</v>
      </c>
      <c r="T96" t="s">
        <v>3</v>
      </c>
      <c r="U96" t="s">
        <v>2</v>
      </c>
      <c r="V96" t="s">
        <v>3</v>
      </c>
      <c r="W96" t="s">
        <v>8</v>
      </c>
      <c r="X96" s="5" t="s">
        <v>8</v>
      </c>
    </row>
    <row r="97" spans="2:24">
      <c r="B97" s="1">
        <v>1</v>
      </c>
      <c r="C97" s="2">
        <v>2.65</v>
      </c>
      <c r="D97" s="2">
        <v>0.16600000000000001</v>
      </c>
      <c r="E97" s="2">
        <v>8.6999999999999993</v>
      </c>
      <c r="F97" s="2">
        <v>8.2799999999999999E-2</v>
      </c>
      <c r="G97" s="2">
        <v>10.4</v>
      </c>
      <c r="H97" s="2">
        <v>31.29</v>
      </c>
      <c r="I97" s="2">
        <v>29.98</v>
      </c>
      <c r="J97" s="2">
        <v>184</v>
      </c>
      <c r="K97" s="2">
        <v>150</v>
      </c>
      <c r="L97" s="2">
        <v>23.1</v>
      </c>
      <c r="M97" s="9">
        <f>(H97*I97*J97)/1000</f>
        <v>172.6056528</v>
      </c>
      <c r="N97" s="11">
        <f>L97/M97</f>
        <v>0.13383107462167659</v>
      </c>
      <c r="Q97" s="4" t="s">
        <v>9</v>
      </c>
      <c r="R97">
        <f>AVERAGE(C97:C101)</f>
        <v>3.0819999999999999</v>
      </c>
      <c r="S97">
        <f>AVERAGE(D97:D101)</f>
        <v>0.13240000000000002</v>
      </c>
      <c r="T97">
        <f t="shared" ref="T97" si="31">AVERAGE(E97:E101)</f>
        <v>6.4</v>
      </c>
      <c r="U97">
        <f t="shared" ref="U97" si="32">AVERAGE(F97:F101)</f>
        <v>6.6100000000000006E-2</v>
      </c>
      <c r="V97">
        <f t="shared" ref="V97" si="33">AVERAGE(G97:G101)</f>
        <v>7.82</v>
      </c>
      <c r="W97">
        <f t="shared" ref="W97" si="34">AVERAGE(H97:H101)</f>
        <v>31.955999999999996</v>
      </c>
      <c r="X97" s="5">
        <f t="shared" ref="X97" si="35">AVERAGE(I97:I101)</f>
        <v>30.108000000000004</v>
      </c>
    </row>
    <row r="98" spans="2:24">
      <c r="B98" s="4">
        <v>2</v>
      </c>
      <c r="C98">
        <v>3.46</v>
      </c>
      <c r="D98">
        <v>0.13200000000000001</v>
      </c>
      <c r="E98">
        <v>6.9</v>
      </c>
      <c r="F98">
        <v>6.6000000000000003E-2</v>
      </c>
      <c r="G98">
        <v>8.9</v>
      </c>
      <c r="H98">
        <v>32</v>
      </c>
      <c r="I98">
        <v>30.23</v>
      </c>
      <c r="J98">
        <v>184</v>
      </c>
      <c r="K98">
        <v>150</v>
      </c>
      <c r="L98">
        <v>25.2</v>
      </c>
      <c r="M98" s="22">
        <f t="shared" ref="M98:M101" si="36">(H98*I98*J98)/1000</f>
        <v>177.99423999999999</v>
      </c>
      <c r="N98" s="16">
        <f t="shared" ref="N98:N101" si="37">L98/M98</f>
        <v>0.14157761509585928</v>
      </c>
      <c r="Q98" s="4" t="s">
        <v>10</v>
      </c>
      <c r="R98">
        <f>_xlfn.STDEV.S(C97:C101)</f>
        <v>0.32406789412096965</v>
      </c>
      <c r="S98">
        <f t="shared" ref="S98" si="38">_xlfn.STDEV.S(D97:D101)</f>
        <v>2.4047868928451857E-2</v>
      </c>
      <c r="T98">
        <f t="shared" ref="T98" si="39">_xlfn.STDEV.S(E97:E101)</f>
        <v>1.8289341158171859</v>
      </c>
      <c r="U98">
        <f t="shared" ref="U98" si="40">_xlfn.STDEV.S(F97:F101)</f>
        <v>1.1962859190009688E-2</v>
      </c>
      <c r="V98">
        <f t="shared" ref="V98" si="41">_xlfn.STDEV.S(G97:G101)</f>
        <v>2.3402991261802391</v>
      </c>
      <c r="W98">
        <f t="shared" ref="W98" si="42">_xlfn.STDEV.S(H97:H101)</f>
        <v>0.39525940849017116</v>
      </c>
      <c r="X98" s="5">
        <f t="shared" ref="X98" si="43">_xlfn.STDEV.S(I97:I101)</f>
        <v>0.1013410084812657</v>
      </c>
    </row>
    <row r="99" spans="2:24" ht="15.75" thickBot="1">
      <c r="B99" s="4">
        <v>3</v>
      </c>
      <c r="C99">
        <v>2.94</v>
      </c>
      <c r="D99">
        <v>0.14299999999999999</v>
      </c>
      <c r="E99">
        <v>7.2</v>
      </c>
      <c r="F99">
        <v>7.1300000000000002E-2</v>
      </c>
      <c r="G99">
        <v>9.1</v>
      </c>
      <c r="H99">
        <v>32.25</v>
      </c>
      <c r="I99">
        <v>30.03</v>
      </c>
      <c r="J99">
        <v>183</v>
      </c>
      <c r="K99">
        <v>150</v>
      </c>
      <c r="L99">
        <v>25.9</v>
      </c>
      <c r="M99" s="22">
        <f t="shared" si="36"/>
        <v>177.22955250000001</v>
      </c>
      <c r="N99" s="16">
        <f t="shared" si="37"/>
        <v>0.14613815605047017</v>
      </c>
      <c r="Q99" s="6" t="s">
        <v>11</v>
      </c>
      <c r="R99" s="7">
        <f>R98/R97*100</f>
        <v>10.514857044807581</v>
      </c>
      <c r="S99" s="7">
        <f t="shared" ref="S99" si="44">S98/S97*100</f>
        <v>18.16304299732013</v>
      </c>
      <c r="T99" s="7">
        <f t="shared" ref="T99" si="45">T98/T97*100</f>
        <v>28.577095559643528</v>
      </c>
      <c r="U99" s="7">
        <f t="shared" ref="U99" si="46">U98/U97*100</f>
        <v>18.098122829061552</v>
      </c>
      <c r="V99" s="7">
        <f t="shared" ref="V99" si="47">V98/V97*100</f>
        <v>29.927098800258811</v>
      </c>
      <c r="W99" s="7">
        <f t="shared" ref="W99" si="48">W98/W97*100</f>
        <v>1.2368863702909352</v>
      </c>
      <c r="X99" s="8">
        <f t="shared" ref="X99" si="49">X98/X97*100</f>
        <v>0.33659163172999101</v>
      </c>
    </row>
    <row r="100" spans="2:24">
      <c r="B100" s="4">
        <v>4</v>
      </c>
      <c r="C100">
        <v>3.34</v>
      </c>
      <c r="D100">
        <v>0.11799999999999999</v>
      </c>
      <c r="E100">
        <v>5.2</v>
      </c>
      <c r="F100">
        <v>5.8999999999999997E-2</v>
      </c>
      <c r="G100">
        <v>5.7</v>
      </c>
      <c r="H100">
        <v>32.26</v>
      </c>
      <c r="I100">
        <v>30.16</v>
      </c>
      <c r="J100">
        <v>184</v>
      </c>
      <c r="K100">
        <v>150</v>
      </c>
      <c r="L100">
        <v>25.5</v>
      </c>
      <c r="M100" s="22">
        <f t="shared" si="36"/>
        <v>179.02493440000001</v>
      </c>
      <c r="N100" s="16">
        <f t="shared" si="37"/>
        <v>0.14243825914788324</v>
      </c>
    </row>
    <row r="101" spans="2:24" ht="15.75" thickBot="1">
      <c r="B101" s="6">
        <v>5</v>
      </c>
      <c r="C101" s="7">
        <v>3.02</v>
      </c>
      <c r="D101" s="7">
        <v>0.10299999999999999</v>
      </c>
      <c r="E101" s="7">
        <v>4</v>
      </c>
      <c r="F101" s="7">
        <v>5.1400000000000001E-2</v>
      </c>
      <c r="G101" s="7">
        <v>5</v>
      </c>
      <c r="H101" s="7">
        <v>31.98</v>
      </c>
      <c r="I101" s="7">
        <v>30.14</v>
      </c>
      <c r="J101" s="7">
        <v>184</v>
      </c>
      <c r="K101" s="7">
        <v>150</v>
      </c>
      <c r="L101" s="7">
        <v>25.2</v>
      </c>
      <c r="M101" s="18">
        <f t="shared" si="36"/>
        <v>177.35340479999999</v>
      </c>
      <c r="N101" s="19">
        <f t="shared" si="37"/>
        <v>0.14208918079930766</v>
      </c>
    </row>
    <row r="103" spans="2:24" ht="15.75" thickBot="1"/>
    <row r="104" spans="2:24" ht="18.75">
      <c r="B104" s="1" t="s">
        <v>44</v>
      </c>
      <c r="C104" s="2" t="s">
        <v>21</v>
      </c>
      <c r="D104" s="2" t="s">
        <v>22</v>
      </c>
      <c r="E104" s="2" t="s">
        <v>23</v>
      </c>
      <c r="F104" s="2" t="s">
        <v>24</v>
      </c>
      <c r="G104" s="2" t="s">
        <v>25</v>
      </c>
      <c r="H104" s="2" t="s">
        <v>26</v>
      </c>
      <c r="I104" s="2" t="s">
        <v>27</v>
      </c>
      <c r="J104" s="2" t="s">
        <v>28</v>
      </c>
      <c r="K104" s="2" t="s">
        <v>29</v>
      </c>
      <c r="L104" s="9" t="s">
        <v>30</v>
      </c>
      <c r="M104" s="10" t="s">
        <v>31</v>
      </c>
      <c r="N104" s="11" t="s">
        <v>32</v>
      </c>
      <c r="Q104" s="1" t="s">
        <v>6</v>
      </c>
      <c r="R104" s="2" t="s">
        <v>37</v>
      </c>
      <c r="S104" s="2" t="s">
        <v>38</v>
      </c>
      <c r="T104" s="2" t="s">
        <v>39</v>
      </c>
      <c r="U104" s="2" t="s">
        <v>40</v>
      </c>
      <c r="V104" s="2" t="s">
        <v>41</v>
      </c>
      <c r="W104" s="2" t="s">
        <v>36</v>
      </c>
      <c r="X104" s="3" t="s">
        <v>42</v>
      </c>
    </row>
    <row r="105" spans="2:24" ht="15.75" thickBot="1">
      <c r="B105" s="4" t="s">
        <v>0</v>
      </c>
      <c r="C105" t="s">
        <v>1</v>
      </c>
      <c r="D105" t="s">
        <v>2</v>
      </c>
      <c r="E105" t="s">
        <v>3</v>
      </c>
      <c r="F105" t="s">
        <v>2</v>
      </c>
      <c r="G105" t="s">
        <v>3</v>
      </c>
      <c r="H105" t="s">
        <v>4</v>
      </c>
      <c r="I105" t="s">
        <v>4</v>
      </c>
      <c r="J105" t="s">
        <v>5</v>
      </c>
      <c r="N105" s="5"/>
      <c r="Q105" s="4" t="s">
        <v>52</v>
      </c>
      <c r="R105" t="s">
        <v>1</v>
      </c>
      <c r="S105" t="s">
        <v>2</v>
      </c>
      <c r="T105" t="s">
        <v>3</v>
      </c>
      <c r="U105" t="s">
        <v>2</v>
      </c>
      <c r="V105" t="s">
        <v>3</v>
      </c>
      <c r="W105" t="s">
        <v>8</v>
      </c>
      <c r="X105" s="5" t="s">
        <v>8</v>
      </c>
    </row>
    <row r="106" spans="2:24">
      <c r="B106" s="1">
        <v>1</v>
      </c>
      <c r="C106" s="2">
        <v>3.28</v>
      </c>
      <c r="D106" s="2">
        <v>0.14099999999999999</v>
      </c>
      <c r="E106" s="2">
        <v>8.5</v>
      </c>
      <c r="F106" s="2">
        <v>7.0400000000000004E-2</v>
      </c>
      <c r="G106" s="2">
        <v>10.9</v>
      </c>
      <c r="H106" s="2">
        <v>30.58</v>
      </c>
      <c r="I106" s="2">
        <v>29.66</v>
      </c>
      <c r="J106" s="2">
        <v>181</v>
      </c>
      <c r="K106" s="2">
        <v>150</v>
      </c>
      <c r="L106" s="2">
        <v>31.8</v>
      </c>
      <c r="M106" s="9">
        <f>(H106*I106*J106)/1000</f>
        <v>164.16750680000001</v>
      </c>
      <c r="N106" s="11">
        <f t="shared" ref="N106" si="50">L106/M106</f>
        <v>0.19370459246080235</v>
      </c>
      <c r="Q106" s="4" t="s">
        <v>9</v>
      </c>
      <c r="R106">
        <f>AVERAGE(C106:C110)</f>
        <v>4.21</v>
      </c>
      <c r="S106">
        <f>AVERAGE(D106:D110)</f>
        <v>0.10628</v>
      </c>
      <c r="T106">
        <f t="shared" ref="T106" si="51">AVERAGE(E106:E110)</f>
        <v>4.1599999999999993</v>
      </c>
      <c r="U106">
        <f t="shared" ref="U106" si="52">AVERAGE(F106:F110)</f>
        <v>5.314E-2</v>
      </c>
      <c r="V106">
        <f t="shared" ref="V106" si="53">AVERAGE(G106:G110)</f>
        <v>6.2000000000000011</v>
      </c>
      <c r="W106">
        <f t="shared" ref="W106" si="54">AVERAGE(H106:H110)</f>
        <v>31.262</v>
      </c>
      <c r="X106" s="5">
        <f t="shared" ref="X106" si="55">AVERAGE(I106:I110)</f>
        <v>30.032</v>
      </c>
    </row>
    <row r="107" spans="2:24">
      <c r="B107" s="4">
        <v>2</v>
      </c>
      <c r="C107">
        <v>5.61</v>
      </c>
      <c r="D107">
        <v>0.11899999999999999</v>
      </c>
      <c r="E107">
        <v>3.2</v>
      </c>
      <c r="F107">
        <v>5.96E-2</v>
      </c>
      <c r="G107">
        <v>5.7</v>
      </c>
      <c r="H107">
        <v>31.34</v>
      </c>
      <c r="I107">
        <v>29.77</v>
      </c>
      <c r="J107">
        <v>182</v>
      </c>
      <c r="K107">
        <v>150</v>
      </c>
      <c r="L107">
        <v>35.799999999999997</v>
      </c>
      <c r="M107" s="22">
        <f t="shared" ref="M107:M110" si="56">(H107*I107*J107)/1000</f>
        <v>169.80450760000002</v>
      </c>
      <c r="N107" s="16">
        <f t="shared" ref="N107:N110" si="57">L107/M107</f>
        <v>0.21083068115207085</v>
      </c>
      <c r="Q107" s="4" t="s">
        <v>10</v>
      </c>
      <c r="R107">
        <f>_xlfn.STDEV.S(C106:C110)</f>
        <v>0.95386057681403247</v>
      </c>
      <c r="S107">
        <f t="shared" ref="S107" si="58">_xlfn.STDEV.S(D106:D110)</f>
        <v>2.7236960182810438E-2</v>
      </c>
      <c r="T107">
        <f t="shared" ref="T107" si="59">_xlfn.STDEV.S(E106:E110)</f>
        <v>2.4653600142778349</v>
      </c>
      <c r="U107">
        <f t="shared" ref="U107" si="60">_xlfn.STDEV.S(F106:F110)</f>
        <v>1.3598455794684943E-2</v>
      </c>
      <c r="V107">
        <f t="shared" ref="V107" si="61">_xlfn.STDEV.S(G106:G110)</f>
        <v>2.6739483914241857</v>
      </c>
      <c r="W107">
        <f t="shared" ref="W107" si="62">_xlfn.STDEV.S(H106:H110)</f>
        <v>0.51139026193309678</v>
      </c>
      <c r="X107" s="5">
        <f t="shared" ref="X107" si="63">_xlfn.STDEV.S(I106:I110)</f>
        <v>0.2955841673703104</v>
      </c>
    </row>
    <row r="108" spans="2:24" ht="15.75" thickBot="1">
      <c r="B108" s="4">
        <v>3</v>
      </c>
      <c r="C108">
        <v>4.62</v>
      </c>
      <c r="D108">
        <v>7.5600000000000001E-2</v>
      </c>
      <c r="E108">
        <v>2.5</v>
      </c>
      <c r="F108">
        <v>3.78E-2</v>
      </c>
      <c r="G108">
        <v>4.5</v>
      </c>
      <c r="H108">
        <v>31.92</v>
      </c>
      <c r="I108">
        <v>30.31</v>
      </c>
      <c r="J108">
        <v>181</v>
      </c>
      <c r="K108">
        <v>150</v>
      </c>
      <c r="L108">
        <v>36.799999999999997</v>
      </c>
      <c r="M108" s="22">
        <f t="shared" si="56"/>
        <v>175.1166312</v>
      </c>
      <c r="N108" s="16">
        <f t="shared" si="57"/>
        <v>0.21014565976872215</v>
      </c>
      <c r="Q108" s="6" t="s">
        <v>11</v>
      </c>
      <c r="R108" s="7">
        <f>R107/R106*100</f>
        <v>22.657020826936638</v>
      </c>
      <c r="S108" s="7">
        <f t="shared" ref="S108" si="64">S107/S106*100</f>
        <v>25.627550040280806</v>
      </c>
      <c r="T108" s="7">
        <f t="shared" ref="T108" si="65">T107/T106*100</f>
        <v>59.263461881678737</v>
      </c>
      <c r="U108" s="7">
        <f t="shared" ref="U108" si="66">U107/U106*100</f>
        <v>25.589867886121461</v>
      </c>
      <c r="V108" s="7">
        <f t="shared" ref="V108" si="67">V107/V106*100</f>
        <v>43.128199861680407</v>
      </c>
      <c r="W108" s="7">
        <f t="shared" ref="W108" si="68">W107/W106*100</f>
        <v>1.635820683043621</v>
      </c>
      <c r="X108" s="8">
        <f t="shared" ref="X108" si="69">X107/X106*100</f>
        <v>0.98423071180843891</v>
      </c>
    </row>
    <row r="109" spans="2:24">
      <c r="B109" s="4">
        <v>4</v>
      </c>
      <c r="C109">
        <v>4.13</v>
      </c>
      <c r="D109">
        <v>8.1799999999999998E-2</v>
      </c>
      <c r="E109">
        <v>2.9</v>
      </c>
      <c r="F109">
        <v>4.0899999999999999E-2</v>
      </c>
      <c r="G109">
        <v>4.5999999999999996</v>
      </c>
      <c r="H109">
        <v>31.5</v>
      </c>
      <c r="I109">
        <v>30.18</v>
      </c>
      <c r="J109">
        <v>183</v>
      </c>
      <c r="K109">
        <v>150</v>
      </c>
      <c r="L109">
        <v>36.6</v>
      </c>
      <c r="M109" s="22">
        <f t="shared" si="56"/>
        <v>173.97260999999997</v>
      </c>
      <c r="N109" s="16">
        <f t="shared" si="57"/>
        <v>0.21037794397635357</v>
      </c>
    </row>
    <row r="110" spans="2:24" ht="15.75" thickBot="1">
      <c r="B110" s="6">
        <v>5</v>
      </c>
      <c r="C110" s="7">
        <v>3.41</v>
      </c>
      <c r="D110" s="7">
        <v>0.114</v>
      </c>
      <c r="E110" s="7">
        <v>3.7</v>
      </c>
      <c r="F110" s="7">
        <v>5.7000000000000002E-2</v>
      </c>
      <c r="G110" s="7">
        <v>5.3</v>
      </c>
      <c r="H110" s="7">
        <v>30.97</v>
      </c>
      <c r="I110" s="7">
        <v>30.24</v>
      </c>
      <c r="J110" s="7">
        <v>182</v>
      </c>
      <c r="K110" s="7">
        <v>150</v>
      </c>
      <c r="L110" s="7">
        <v>35.799999999999997</v>
      </c>
      <c r="M110" s="18">
        <f t="shared" si="56"/>
        <v>170.44896959999997</v>
      </c>
      <c r="N110" s="19">
        <f t="shared" si="57"/>
        <v>0.21003353721652537</v>
      </c>
    </row>
    <row r="112" spans="2:24" ht="15.75" thickBot="1"/>
    <row r="113" spans="2:24" ht="18.75">
      <c r="B113" s="1" t="s">
        <v>46</v>
      </c>
      <c r="C113" s="2" t="s">
        <v>21</v>
      </c>
      <c r="D113" s="2" t="s">
        <v>22</v>
      </c>
      <c r="E113" s="2" t="s">
        <v>23</v>
      </c>
      <c r="F113" s="2" t="s">
        <v>24</v>
      </c>
      <c r="G113" s="2" t="s">
        <v>25</v>
      </c>
      <c r="H113" s="2" t="s">
        <v>26</v>
      </c>
      <c r="I113" s="2" t="s">
        <v>27</v>
      </c>
      <c r="J113" s="2" t="s">
        <v>28</v>
      </c>
      <c r="K113" s="2" t="s">
        <v>29</v>
      </c>
      <c r="L113" s="9" t="s">
        <v>30</v>
      </c>
      <c r="M113" s="10" t="s">
        <v>31</v>
      </c>
      <c r="N113" s="11" t="s">
        <v>32</v>
      </c>
      <c r="Q113" s="1" t="s">
        <v>6</v>
      </c>
      <c r="R113" s="2" t="s">
        <v>37</v>
      </c>
      <c r="S113" s="2" t="s">
        <v>38</v>
      </c>
      <c r="T113" s="2" t="s">
        <v>39</v>
      </c>
      <c r="U113" s="2" t="s">
        <v>40</v>
      </c>
      <c r="V113" s="2" t="s">
        <v>41</v>
      </c>
      <c r="W113" s="2" t="s">
        <v>36</v>
      </c>
      <c r="X113" s="3" t="s">
        <v>42</v>
      </c>
    </row>
    <row r="114" spans="2:24" ht="15.75" thickBot="1">
      <c r="B114" s="4" t="s">
        <v>0</v>
      </c>
      <c r="C114" t="s">
        <v>1</v>
      </c>
      <c r="D114" t="s">
        <v>2</v>
      </c>
      <c r="E114" t="s">
        <v>3</v>
      </c>
      <c r="F114" t="s">
        <v>2</v>
      </c>
      <c r="G114" t="s">
        <v>3</v>
      </c>
      <c r="H114" t="s">
        <v>4</v>
      </c>
      <c r="I114" t="s">
        <v>4</v>
      </c>
      <c r="J114" t="s">
        <v>5</v>
      </c>
      <c r="N114" s="5"/>
      <c r="Q114" s="4" t="s">
        <v>52</v>
      </c>
      <c r="R114" t="s">
        <v>1</v>
      </c>
      <c r="S114" t="s">
        <v>2</v>
      </c>
      <c r="T114" t="s">
        <v>3</v>
      </c>
      <c r="U114" t="s">
        <v>2</v>
      </c>
      <c r="V114" t="s">
        <v>3</v>
      </c>
      <c r="W114" t="s">
        <v>8</v>
      </c>
      <c r="X114" s="5" t="s">
        <v>8</v>
      </c>
    </row>
    <row r="115" spans="2:24">
      <c r="B115" s="1">
        <v>1</v>
      </c>
      <c r="C115" s="2">
        <v>2.04</v>
      </c>
      <c r="D115" s="2">
        <v>9.6600000000000005E-2</v>
      </c>
      <c r="E115" s="2">
        <v>7</v>
      </c>
      <c r="F115" s="2">
        <v>4.8300000000000003E-2</v>
      </c>
      <c r="G115" s="2">
        <v>8.8000000000000007</v>
      </c>
      <c r="H115" s="2">
        <v>30.28</v>
      </c>
      <c r="I115" s="2">
        <v>29.47</v>
      </c>
      <c r="J115" s="2">
        <v>182</v>
      </c>
      <c r="K115" s="2">
        <v>150</v>
      </c>
      <c r="L115" s="2">
        <v>27.7</v>
      </c>
      <c r="M115" s="9">
        <f>(H115*I115*J115)/1000</f>
        <v>162.4079912</v>
      </c>
      <c r="N115" s="11">
        <f>L115/M115</f>
        <v>0.17055810982778782</v>
      </c>
      <c r="Q115" s="4" t="s">
        <v>9</v>
      </c>
      <c r="R115">
        <f>AVERAGE(C115:C119)</f>
        <v>2.2320000000000002</v>
      </c>
      <c r="S115">
        <f>AVERAGE(D115:D119)</f>
        <v>8.2040000000000002E-2</v>
      </c>
      <c r="T115">
        <f t="shared" ref="T115" si="70">AVERAGE(E115:E119)</f>
        <v>5.76</v>
      </c>
      <c r="U115">
        <f t="shared" ref="U115" si="71">AVERAGE(F115:F119)</f>
        <v>4.1000000000000002E-2</v>
      </c>
      <c r="V115">
        <f t="shared" ref="V115" si="72">AVERAGE(G115:G119)</f>
        <v>7.3600000000000012</v>
      </c>
      <c r="W115">
        <f t="shared" ref="W115" si="73">AVERAGE(H115:H119)</f>
        <v>30.509999999999998</v>
      </c>
      <c r="X115" s="5">
        <f t="shared" ref="X115" si="74">AVERAGE(I115:I119)</f>
        <v>29.945999999999998</v>
      </c>
    </row>
    <row r="116" spans="2:24">
      <c r="B116" s="4">
        <v>2</v>
      </c>
      <c r="C116">
        <v>2.66</v>
      </c>
      <c r="D116">
        <v>9.5299999999999996E-2</v>
      </c>
      <c r="E116">
        <v>6.1</v>
      </c>
      <c r="F116">
        <v>4.7600000000000003E-2</v>
      </c>
      <c r="G116">
        <v>7.5</v>
      </c>
      <c r="H116">
        <v>31.13</v>
      </c>
      <c r="I116">
        <v>30</v>
      </c>
      <c r="J116">
        <v>181</v>
      </c>
      <c r="K116">
        <v>150</v>
      </c>
      <c r="L116">
        <v>30.9</v>
      </c>
      <c r="M116" s="22">
        <f t="shared" ref="M116:M119" si="75">(H116*I116*J116)/1000</f>
        <v>169.0359</v>
      </c>
      <c r="N116" s="16">
        <f t="shared" ref="N116:N119" si="76">L116/M116</f>
        <v>0.1828014049086614</v>
      </c>
      <c r="Q116" s="4" t="s">
        <v>10</v>
      </c>
      <c r="R116">
        <f>_xlfn.STDEV.S(C115:C119)</f>
        <v>0.27598913022073784</v>
      </c>
      <c r="S116">
        <f t="shared" ref="S116" si="77">_xlfn.STDEV.S(D115:D119)</f>
        <v>1.4046458628423077E-2</v>
      </c>
      <c r="T116">
        <f t="shared" ref="T116" si="78">_xlfn.STDEV.S(E115:E119)</f>
        <v>1.1588787684654553</v>
      </c>
      <c r="U116">
        <f t="shared" ref="U116" si="79">_xlfn.STDEV.S(F115:F119)</f>
        <v>7.0124888591711733E-3</v>
      </c>
      <c r="V116">
        <f t="shared" ref="V116" si="80">_xlfn.STDEV.S(G115:G119)</f>
        <v>1.1545561917897216</v>
      </c>
      <c r="W116">
        <f t="shared" ref="W116" si="81">_xlfn.STDEV.S(H115:H119)</f>
        <v>0.4704784798479093</v>
      </c>
      <c r="X116" s="5">
        <f t="shared" ref="X116" si="82">_xlfn.STDEV.S(I115:I119)</f>
        <v>0.27391604553220333</v>
      </c>
    </row>
    <row r="117" spans="2:24" ht="15.75" thickBot="1">
      <c r="B117" s="4">
        <v>3</v>
      </c>
      <c r="C117">
        <v>1.95</v>
      </c>
      <c r="D117">
        <v>7.3400000000000007E-2</v>
      </c>
      <c r="E117">
        <v>5.3</v>
      </c>
      <c r="F117">
        <v>3.6700000000000003E-2</v>
      </c>
      <c r="G117">
        <v>7.2</v>
      </c>
      <c r="H117">
        <v>30.35</v>
      </c>
      <c r="I117">
        <v>30.13</v>
      </c>
      <c r="J117">
        <v>182</v>
      </c>
      <c r="K117">
        <v>150</v>
      </c>
      <c r="L117">
        <v>30.6</v>
      </c>
      <c r="M117" s="22">
        <f t="shared" si="75"/>
        <v>166.429081</v>
      </c>
      <c r="N117" s="16">
        <f t="shared" si="76"/>
        <v>0.18386209799476091</v>
      </c>
      <c r="Q117" s="6" t="s">
        <v>11</v>
      </c>
      <c r="R117" s="7">
        <f>R116/R115*100</f>
        <v>12.36510440057069</v>
      </c>
      <c r="S117" s="7">
        <f t="shared" ref="S117" si="83">S116/S115*100</f>
        <v>17.121475656293363</v>
      </c>
      <c r="T117" s="7">
        <f t="shared" ref="T117" si="84">T116/T115*100</f>
        <v>20.119423063636376</v>
      </c>
      <c r="U117" s="7">
        <f t="shared" ref="U117" si="85">U116/U115*100</f>
        <v>17.103631363832129</v>
      </c>
      <c r="V117" s="7">
        <f t="shared" ref="V117" si="86">V116/V115*100</f>
        <v>15.686904779751648</v>
      </c>
      <c r="W117" s="7">
        <f t="shared" ref="W117" si="87">W116/W115*100</f>
        <v>1.5420468038279558</v>
      </c>
      <c r="X117" s="8">
        <f t="shared" ref="X117" si="88">X116/X115*100</f>
        <v>0.91469994500835949</v>
      </c>
    </row>
    <row r="118" spans="2:24">
      <c r="B118" s="4">
        <v>4</v>
      </c>
      <c r="C118">
        <v>2.21</v>
      </c>
      <c r="D118">
        <v>6.4000000000000001E-2</v>
      </c>
      <c r="E118">
        <v>4</v>
      </c>
      <c r="F118">
        <v>3.2000000000000001E-2</v>
      </c>
      <c r="G118">
        <v>5.6</v>
      </c>
      <c r="H118">
        <v>30.84</v>
      </c>
      <c r="I118">
        <v>30.13</v>
      </c>
      <c r="J118">
        <v>182</v>
      </c>
      <c r="K118">
        <v>150</v>
      </c>
      <c r="L118">
        <v>30.6</v>
      </c>
      <c r="M118" s="22">
        <f t="shared" si="75"/>
        <v>169.1160744</v>
      </c>
      <c r="N118" s="16">
        <f t="shared" si="76"/>
        <v>0.18094081303959123</v>
      </c>
    </row>
    <row r="119" spans="2:24" ht="15.75" thickBot="1">
      <c r="B119" s="6">
        <v>5</v>
      </c>
      <c r="C119" s="7">
        <v>2.2999999999999998</v>
      </c>
      <c r="D119" s="7">
        <v>8.09E-2</v>
      </c>
      <c r="E119" s="7">
        <v>6.4</v>
      </c>
      <c r="F119" s="7">
        <v>4.0399999999999998E-2</v>
      </c>
      <c r="G119" s="7">
        <v>7.7</v>
      </c>
      <c r="H119" s="7">
        <v>29.95</v>
      </c>
      <c r="I119" s="7">
        <v>30</v>
      </c>
      <c r="J119" s="7">
        <v>183</v>
      </c>
      <c r="K119" s="7">
        <v>150</v>
      </c>
      <c r="L119" s="7">
        <v>29.2</v>
      </c>
      <c r="M119" s="18">
        <f t="shared" si="75"/>
        <v>164.4255</v>
      </c>
      <c r="N119" s="19">
        <f t="shared" si="76"/>
        <v>0.17758802618815209</v>
      </c>
    </row>
    <row r="121" spans="2:24" ht="15.75" thickBot="1"/>
    <row r="122" spans="2:24" ht="18.75">
      <c r="B122" s="1" t="s">
        <v>47</v>
      </c>
      <c r="C122" s="2" t="s">
        <v>21</v>
      </c>
      <c r="D122" s="2" t="s">
        <v>22</v>
      </c>
      <c r="E122" s="2" t="s">
        <v>23</v>
      </c>
      <c r="F122" s="2" t="s">
        <v>24</v>
      </c>
      <c r="G122" s="2" t="s">
        <v>25</v>
      </c>
      <c r="H122" s="2" t="s">
        <v>26</v>
      </c>
      <c r="I122" s="2" t="s">
        <v>27</v>
      </c>
      <c r="J122" s="2" t="s">
        <v>28</v>
      </c>
      <c r="K122" s="2" t="s">
        <v>29</v>
      </c>
      <c r="L122" s="9" t="s">
        <v>30</v>
      </c>
      <c r="M122" s="10" t="s">
        <v>31</v>
      </c>
      <c r="N122" s="11" t="s">
        <v>32</v>
      </c>
      <c r="Q122" s="1" t="s">
        <v>6</v>
      </c>
      <c r="R122" s="2" t="s">
        <v>37</v>
      </c>
      <c r="S122" s="2" t="s">
        <v>38</v>
      </c>
      <c r="T122" s="2" t="s">
        <v>39</v>
      </c>
      <c r="U122" s="2" t="s">
        <v>40</v>
      </c>
      <c r="V122" s="2" t="s">
        <v>41</v>
      </c>
      <c r="W122" s="2" t="s">
        <v>36</v>
      </c>
      <c r="X122" s="3" t="s">
        <v>42</v>
      </c>
    </row>
    <row r="123" spans="2:24" ht="15.75" thickBot="1">
      <c r="B123" s="4" t="s">
        <v>0</v>
      </c>
      <c r="C123" t="s">
        <v>1</v>
      </c>
      <c r="D123" t="s">
        <v>2</v>
      </c>
      <c r="E123" t="s">
        <v>3</v>
      </c>
      <c r="F123" t="s">
        <v>2</v>
      </c>
      <c r="G123" t="s">
        <v>3</v>
      </c>
      <c r="H123" t="s">
        <v>4</v>
      </c>
      <c r="I123" t="s">
        <v>4</v>
      </c>
      <c r="J123" t="s">
        <v>5</v>
      </c>
      <c r="N123" s="5"/>
      <c r="Q123" s="4" t="s">
        <v>52</v>
      </c>
      <c r="R123" t="s">
        <v>1</v>
      </c>
      <c r="S123" t="s">
        <v>2</v>
      </c>
      <c r="T123" t="s">
        <v>3</v>
      </c>
      <c r="U123" t="s">
        <v>2</v>
      </c>
      <c r="V123" t="s">
        <v>3</v>
      </c>
      <c r="W123" t="s">
        <v>8</v>
      </c>
      <c r="X123" s="5" t="s">
        <v>8</v>
      </c>
    </row>
    <row r="124" spans="2:24">
      <c r="B124" s="1">
        <v>1</v>
      </c>
      <c r="C124" s="2">
        <v>1.17</v>
      </c>
      <c r="D124" s="2">
        <v>4.4499999999999998E-2</v>
      </c>
      <c r="E124" s="2">
        <v>4.8</v>
      </c>
      <c r="F124" s="2">
        <v>2.6200000000000001E-2</v>
      </c>
      <c r="G124" s="2">
        <v>5.6</v>
      </c>
      <c r="H124" s="2">
        <v>31.32</v>
      </c>
      <c r="I124" s="2">
        <v>29.77</v>
      </c>
      <c r="J124" s="2">
        <v>173</v>
      </c>
      <c r="K124" s="2">
        <v>150</v>
      </c>
      <c r="L124" s="2">
        <v>29.1</v>
      </c>
      <c r="M124" s="9">
        <f>(H124*I124*J124)/1000</f>
        <v>161.30457720000001</v>
      </c>
      <c r="N124" s="11">
        <f t="shared" ref="N124" si="89">L124/M124</f>
        <v>0.18040405613486832</v>
      </c>
      <c r="Q124" s="4" t="s">
        <v>9</v>
      </c>
      <c r="R124">
        <f>AVERAGE(C124:C128)</f>
        <v>1.3840000000000001</v>
      </c>
      <c r="S124">
        <f>AVERAGE(D124:D128)</f>
        <v>6.2E-2</v>
      </c>
      <c r="T124">
        <f t="shared" ref="T124" si="90">AVERAGE(E124:E128)</f>
        <v>5.4799999999999995</v>
      </c>
      <c r="U124">
        <f t="shared" ref="U124" si="91">AVERAGE(F124:F128)</f>
        <v>3.4779999999999998E-2</v>
      </c>
      <c r="V124">
        <f t="shared" ref="V124" si="92">AVERAGE(G124:G128)</f>
        <v>6.08</v>
      </c>
      <c r="W124">
        <f t="shared" ref="W124" si="93">AVERAGE(H124:H128)</f>
        <v>31.905999999999999</v>
      </c>
      <c r="X124" s="5">
        <f t="shared" ref="X124" si="94">AVERAGE(I124:I128)</f>
        <v>29.925999999999998</v>
      </c>
    </row>
    <row r="125" spans="2:24">
      <c r="B125" s="4">
        <v>2</v>
      </c>
      <c r="C125">
        <v>1.32</v>
      </c>
      <c r="D125">
        <v>6.25E-2</v>
      </c>
      <c r="E125">
        <v>5.0999999999999996</v>
      </c>
      <c r="F125">
        <v>3.1300000000000001E-2</v>
      </c>
      <c r="G125">
        <v>6</v>
      </c>
      <c r="H125">
        <v>31.48</v>
      </c>
      <c r="I125">
        <v>29.74</v>
      </c>
      <c r="J125">
        <v>174</v>
      </c>
      <c r="K125">
        <v>150</v>
      </c>
      <c r="L125">
        <v>31.2</v>
      </c>
      <c r="M125" s="22">
        <f t="shared" ref="M125:M128" si="95">(H125*I125*J125)/1000</f>
        <v>162.90144480000001</v>
      </c>
      <c r="N125" s="16">
        <f t="shared" ref="N125:N128" si="96">L125/M125</f>
        <v>0.19152684642119269</v>
      </c>
      <c r="Q125" s="4" t="s">
        <v>10</v>
      </c>
      <c r="R125">
        <f>_xlfn.STDEV.S(C124:C128)</f>
        <v>0.15931101656821883</v>
      </c>
      <c r="S125">
        <f t="shared" ref="S125" si="97">_xlfn.STDEV.S(D124:D128)</f>
        <v>1.0767543823918254E-2</v>
      </c>
      <c r="T125">
        <f t="shared" ref="T125" si="98">_xlfn.STDEV.S(E124:E128)</f>
        <v>0.67601775124622332</v>
      </c>
      <c r="U125">
        <f t="shared" ref="U125" si="99">_xlfn.STDEV.S(F124:F128)</f>
        <v>1.0366146825122633E-2</v>
      </c>
      <c r="V125">
        <f t="shared" ref="V125" si="100">_xlfn.STDEV.S(G124:G128)</f>
        <v>0.49699094559156731</v>
      </c>
      <c r="W125">
        <f t="shared" ref="W125" si="101">_xlfn.STDEV.S(H124:H128)</f>
        <v>0.53607835248217262</v>
      </c>
      <c r="X125" s="5">
        <f t="shared" ref="X125" si="102">_xlfn.STDEV.S(I124:I128)</f>
        <v>0.19060430215501492</v>
      </c>
    </row>
    <row r="126" spans="2:24" ht="15.75" thickBot="1">
      <c r="B126" s="4">
        <v>3</v>
      </c>
      <c r="C126">
        <v>1.35</v>
      </c>
      <c r="D126">
        <v>6.3100000000000003E-2</v>
      </c>
      <c r="E126">
        <v>5.8</v>
      </c>
      <c r="F126">
        <v>3.09E-2</v>
      </c>
      <c r="G126">
        <v>6.1</v>
      </c>
      <c r="H126">
        <v>31.85</v>
      </c>
      <c r="I126">
        <v>30.17</v>
      </c>
      <c r="J126">
        <v>175</v>
      </c>
      <c r="K126">
        <v>150</v>
      </c>
      <c r="L126">
        <v>31.7</v>
      </c>
      <c r="M126" s="22">
        <f t="shared" si="95"/>
        <v>168.16003750000002</v>
      </c>
      <c r="N126" s="16">
        <f t="shared" si="96"/>
        <v>0.18851089992174863</v>
      </c>
      <c r="Q126" s="6" t="s">
        <v>11</v>
      </c>
      <c r="R126" s="7">
        <f>R125/R124*100</f>
        <v>11.510911601749916</v>
      </c>
      <c r="S126" s="7">
        <f t="shared" ref="S126" si="103">S125/S124*100</f>
        <v>17.367006167610089</v>
      </c>
      <c r="T126" s="7">
        <f t="shared" ref="T126" si="104">T125/T124*100</f>
        <v>12.336090351208457</v>
      </c>
      <c r="U126" s="7">
        <f t="shared" ref="U126" si="105">U125/U124*100</f>
        <v>29.804907490289345</v>
      </c>
      <c r="V126" s="7">
        <f t="shared" ref="V126" si="106">V125/V124*100</f>
        <v>8.1741931840718305</v>
      </c>
      <c r="W126" s="7">
        <f t="shared" ref="W126" si="107">W125/W124*100</f>
        <v>1.6801803813770846</v>
      </c>
      <c r="X126" s="8">
        <f t="shared" ref="X126" si="108">X125/X124*100</f>
        <v>0.63691874007556948</v>
      </c>
    </row>
    <row r="127" spans="2:24">
      <c r="B127" s="4">
        <v>4</v>
      </c>
      <c r="C127">
        <v>1.51</v>
      </c>
      <c r="D127">
        <v>7.3800000000000004E-2</v>
      </c>
      <c r="E127">
        <v>6.5</v>
      </c>
      <c r="F127">
        <v>5.28E-2</v>
      </c>
      <c r="G127">
        <v>6.9</v>
      </c>
      <c r="H127">
        <v>32.28</v>
      </c>
      <c r="I127">
        <v>29.87</v>
      </c>
      <c r="J127">
        <v>174</v>
      </c>
      <c r="K127">
        <v>150</v>
      </c>
      <c r="L127">
        <v>32.299999999999997</v>
      </c>
      <c r="M127" s="22">
        <f t="shared" si="95"/>
        <v>167.7714264</v>
      </c>
      <c r="N127" s="16">
        <f t="shared" si="96"/>
        <v>0.19252384445364648</v>
      </c>
    </row>
    <row r="128" spans="2:24" ht="15.75" thickBot="1">
      <c r="B128" s="6">
        <v>5</v>
      </c>
      <c r="C128" s="7">
        <v>1.57</v>
      </c>
      <c r="D128" s="7">
        <v>6.6100000000000006E-2</v>
      </c>
      <c r="E128" s="7">
        <v>5.2</v>
      </c>
      <c r="F128" s="7">
        <v>3.27E-2</v>
      </c>
      <c r="G128" s="7">
        <v>5.8</v>
      </c>
      <c r="H128" s="7">
        <v>32.6</v>
      </c>
      <c r="I128" s="7">
        <v>30.08</v>
      </c>
      <c r="J128" s="7">
        <v>174</v>
      </c>
      <c r="K128" s="7">
        <v>150</v>
      </c>
      <c r="L128" s="7">
        <v>32.6</v>
      </c>
      <c r="M128" s="18">
        <f t="shared" si="95"/>
        <v>170.62579199999999</v>
      </c>
      <c r="N128" s="19">
        <f t="shared" si="96"/>
        <v>0.19106138420151628</v>
      </c>
    </row>
    <row r="130" spans="2:24" ht="15.75" thickBot="1"/>
    <row r="131" spans="2:24" ht="18.75">
      <c r="B131" s="1" t="s">
        <v>48</v>
      </c>
      <c r="C131" s="2" t="s">
        <v>21</v>
      </c>
      <c r="D131" s="2" t="s">
        <v>22</v>
      </c>
      <c r="E131" s="2" t="s">
        <v>23</v>
      </c>
      <c r="F131" s="2" t="s">
        <v>24</v>
      </c>
      <c r="G131" s="2" t="s">
        <v>25</v>
      </c>
      <c r="H131" s="2" t="s">
        <v>26</v>
      </c>
      <c r="I131" s="2" t="s">
        <v>27</v>
      </c>
      <c r="J131" s="2" t="s">
        <v>28</v>
      </c>
      <c r="K131" s="2" t="s">
        <v>29</v>
      </c>
      <c r="L131" s="9" t="s">
        <v>30</v>
      </c>
      <c r="M131" s="10" t="s">
        <v>31</v>
      </c>
      <c r="N131" s="11" t="s">
        <v>32</v>
      </c>
      <c r="Q131" s="1" t="s">
        <v>6</v>
      </c>
      <c r="R131" s="2" t="s">
        <v>37</v>
      </c>
      <c r="S131" s="2" t="s">
        <v>38</v>
      </c>
      <c r="T131" s="2" t="s">
        <v>39</v>
      </c>
      <c r="U131" s="2" t="s">
        <v>40</v>
      </c>
      <c r="V131" s="2" t="s">
        <v>41</v>
      </c>
      <c r="W131" s="2" t="s">
        <v>36</v>
      </c>
      <c r="X131" s="3" t="s">
        <v>42</v>
      </c>
    </row>
    <row r="132" spans="2:24" ht="15.75" thickBot="1">
      <c r="B132" s="4" t="s">
        <v>0</v>
      </c>
      <c r="C132" t="s">
        <v>1</v>
      </c>
      <c r="D132" t="s">
        <v>2</v>
      </c>
      <c r="E132" t="s">
        <v>3</v>
      </c>
      <c r="F132" t="s">
        <v>2</v>
      </c>
      <c r="G132" t="s">
        <v>3</v>
      </c>
      <c r="H132" t="s">
        <v>4</v>
      </c>
      <c r="I132" t="s">
        <v>4</v>
      </c>
      <c r="J132" t="s">
        <v>5</v>
      </c>
      <c r="N132" s="5"/>
      <c r="Q132" s="4" t="s">
        <v>52</v>
      </c>
      <c r="R132" t="s">
        <v>1</v>
      </c>
      <c r="S132" t="s">
        <v>2</v>
      </c>
      <c r="T132" t="s">
        <v>3</v>
      </c>
      <c r="U132" t="s">
        <v>2</v>
      </c>
      <c r="V132" t="s">
        <v>3</v>
      </c>
      <c r="W132" t="s">
        <v>8</v>
      </c>
      <c r="X132" s="5" t="s">
        <v>8</v>
      </c>
    </row>
    <row r="133" spans="2:24">
      <c r="B133" s="1">
        <v>1</v>
      </c>
      <c r="C133" s="2">
        <v>1.75</v>
      </c>
      <c r="D133" s="2">
        <v>9.5299999999999996E-2</v>
      </c>
      <c r="E133" s="2">
        <v>6.8</v>
      </c>
      <c r="F133" s="2">
        <v>4.65E-2</v>
      </c>
      <c r="G133" s="2">
        <v>7.3</v>
      </c>
      <c r="H133" s="2">
        <v>33.42</v>
      </c>
      <c r="I133" s="2">
        <v>30.2</v>
      </c>
      <c r="J133" s="2">
        <v>175</v>
      </c>
      <c r="K133" s="2">
        <v>150</v>
      </c>
      <c r="L133" s="2">
        <v>34.4</v>
      </c>
      <c r="M133" s="9">
        <f>(H133*I133*J133)/1000</f>
        <v>176.62470000000002</v>
      </c>
      <c r="N133" s="11">
        <f>L133/M133</f>
        <v>0.19476324659008618</v>
      </c>
      <c r="Q133" s="4" t="s">
        <v>9</v>
      </c>
      <c r="R133">
        <f>AVERAGE(C133:C137)</f>
        <v>1.8579999999999999</v>
      </c>
      <c r="S133">
        <f>AVERAGE(D133:D137)</f>
        <v>6.7180000000000004E-2</v>
      </c>
      <c r="T133">
        <f t="shared" ref="T133" si="109">AVERAGE(E133:E137)</f>
        <v>4.5</v>
      </c>
      <c r="U133">
        <f t="shared" ref="U133" si="110">AVERAGE(F133:F137)</f>
        <v>3.3140000000000003E-2</v>
      </c>
      <c r="V133">
        <f t="shared" ref="V133" si="111">AVERAGE(G133:G137)</f>
        <v>4.9399999999999995</v>
      </c>
      <c r="W133">
        <f t="shared" ref="W133" si="112">AVERAGE(H133:H137)</f>
        <v>33.188000000000002</v>
      </c>
      <c r="X133" s="5">
        <f t="shared" ref="X133" si="113">AVERAGE(I133:I137)</f>
        <v>30.129999999999995</v>
      </c>
    </row>
    <row r="134" spans="2:24">
      <c r="B134" s="4">
        <v>2</v>
      </c>
      <c r="C134">
        <v>1.7</v>
      </c>
      <c r="D134">
        <v>6.1899999999999997E-2</v>
      </c>
      <c r="E134">
        <v>4.8</v>
      </c>
      <c r="F134">
        <v>3.0599999999999999E-2</v>
      </c>
      <c r="G134">
        <v>5.4</v>
      </c>
      <c r="H134">
        <v>33.36</v>
      </c>
      <c r="I134">
        <v>30.16</v>
      </c>
      <c r="J134">
        <v>174</v>
      </c>
      <c r="K134">
        <v>150</v>
      </c>
      <c r="L134">
        <v>34.200000000000003</v>
      </c>
      <c r="M134" s="22">
        <f t="shared" ref="M134:M137" si="114">(H134*I134*J134)/1000</f>
        <v>175.06794239999999</v>
      </c>
      <c r="N134" s="16">
        <f t="shared" ref="N134:N137" si="115">L134/M134</f>
        <v>0.19535272723922759</v>
      </c>
      <c r="Q134" s="4" t="s">
        <v>10</v>
      </c>
      <c r="R134">
        <f>_xlfn.STDEV.S(C133:C137)</f>
        <v>0.36629223305988912</v>
      </c>
      <c r="S134">
        <f t="shared" ref="S134" si="116">_xlfn.STDEV.S(D133:D137)</f>
        <v>1.9559575660018765E-2</v>
      </c>
      <c r="T134">
        <f t="shared" ref="T134" si="117">_xlfn.STDEV.S(E133:E137)</f>
        <v>1.4560219778561041</v>
      </c>
      <c r="U134">
        <f t="shared" ref="U134" si="118">_xlfn.STDEV.S(F133:F137)</f>
        <v>9.4677346815381317E-3</v>
      </c>
      <c r="V134">
        <f t="shared" ref="V134" si="119">_xlfn.STDEV.S(G133:G137)</f>
        <v>1.5469324484281801</v>
      </c>
      <c r="W134">
        <f t="shared" ref="W134" si="120">_xlfn.STDEV.S(H133:H137)</f>
        <v>0.56459720155168958</v>
      </c>
      <c r="X134" s="5">
        <f t="shared" ref="X134" si="121">_xlfn.STDEV.S(I133:I137)</f>
        <v>7.6811457478685952E-2</v>
      </c>
    </row>
    <row r="135" spans="2:24" ht="15.75" thickBot="1">
      <c r="B135" s="4">
        <v>3</v>
      </c>
      <c r="C135">
        <v>1.65</v>
      </c>
      <c r="D135">
        <v>5.4100000000000002E-2</v>
      </c>
      <c r="E135">
        <v>3.6</v>
      </c>
      <c r="F135">
        <v>2.6599999999999999E-2</v>
      </c>
      <c r="G135">
        <v>3.9</v>
      </c>
      <c r="H135">
        <v>33.630000000000003</v>
      </c>
      <c r="I135">
        <v>30.13</v>
      </c>
      <c r="J135">
        <v>175</v>
      </c>
      <c r="K135">
        <v>150</v>
      </c>
      <c r="L135">
        <v>34.6</v>
      </c>
      <c r="M135" s="22">
        <f t="shared" si="114"/>
        <v>177.32258250000001</v>
      </c>
      <c r="N135" s="16">
        <f t="shared" si="115"/>
        <v>0.19512461138445239</v>
      </c>
      <c r="Q135" s="6" t="s">
        <v>11</v>
      </c>
      <c r="R135" s="7">
        <f>R134/R133*100</f>
        <v>19.714329012911151</v>
      </c>
      <c r="S135" s="7">
        <f t="shared" ref="S135" si="122">S134/S133*100</f>
        <v>29.11517662997732</v>
      </c>
      <c r="T135" s="7">
        <f t="shared" ref="T135" si="123">T134/T133*100</f>
        <v>32.356043952357872</v>
      </c>
      <c r="U135" s="7">
        <f t="shared" ref="U135" si="124">U134/U133*100</f>
        <v>28.568903685993153</v>
      </c>
      <c r="V135" s="7">
        <f t="shared" ref="V135" si="125">V134/V133*100</f>
        <v>31.314422032959115</v>
      </c>
      <c r="W135" s="7">
        <f t="shared" ref="W135" si="126">W134/W133*100</f>
        <v>1.7012088753516015</v>
      </c>
      <c r="X135" s="8">
        <f t="shared" ref="X135" si="127">X134/X133*100</f>
        <v>0.2549334798496049</v>
      </c>
    </row>
    <row r="136" spans="2:24">
      <c r="B136" s="4">
        <v>4</v>
      </c>
      <c r="C136">
        <v>1.68</v>
      </c>
      <c r="D136">
        <v>4.6600000000000003E-2</v>
      </c>
      <c r="E136">
        <v>3</v>
      </c>
      <c r="F136">
        <v>2.3199999999999998E-2</v>
      </c>
      <c r="G136">
        <v>3.3</v>
      </c>
      <c r="H136">
        <v>33.33</v>
      </c>
      <c r="I136">
        <v>30.16</v>
      </c>
      <c r="J136">
        <v>175</v>
      </c>
      <c r="K136">
        <v>150</v>
      </c>
      <c r="L136">
        <v>35.200000000000003</v>
      </c>
      <c r="M136" s="22">
        <f t="shared" si="114"/>
        <v>175.91574</v>
      </c>
      <c r="N136" s="16">
        <f t="shared" si="115"/>
        <v>0.20009579586226908</v>
      </c>
    </row>
    <row r="137" spans="2:24" ht="15.75" thickBot="1">
      <c r="B137" s="6">
        <v>5</v>
      </c>
      <c r="C137" s="7">
        <v>2.5099999999999998</v>
      </c>
      <c r="D137" s="7">
        <v>7.8E-2</v>
      </c>
      <c r="E137" s="7">
        <v>4.3</v>
      </c>
      <c r="F137" s="7">
        <v>3.8800000000000001E-2</v>
      </c>
      <c r="G137" s="7">
        <v>4.8</v>
      </c>
      <c r="H137" s="7">
        <v>32.200000000000003</v>
      </c>
      <c r="I137" s="7">
        <v>30</v>
      </c>
      <c r="J137" s="7">
        <v>174</v>
      </c>
      <c r="K137" s="7">
        <v>150</v>
      </c>
      <c r="L137" s="7">
        <v>35.299999999999997</v>
      </c>
      <c r="M137" s="18">
        <f t="shared" si="114"/>
        <v>168.08400000000003</v>
      </c>
      <c r="N137" s="19">
        <f t="shared" si="115"/>
        <v>0.21001404059874818</v>
      </c>
    </row>
    <row r="139" spans="2:24" ht="15.75" thickBot="1">
      <c r="F139" s="21">
        <v>45573</v>
      </c>
    </row>
    <row r="140" spans="2:24" ht="18.75">
      <c r="B140" s="1" t="s">
        <v>54</v>
      </c>
      <c r="C140" s="2" t="s">
        <v>21</v>
      </c>
      <c r="D140" s="2" t="s">
        <v>22</v>
      </c>
      <c r="E140" s="2" t="s">
        <v>23</v>
      </c>
      <c r="F140" s="2" t="s">
        <v>24</v>
      </c>
      <c r="G140" s="2" t="s">
        <v>25</v>
      </c>
      <c r="H140" s="2" t="s">
        <v>26</v>
      </c>
      <c r="I140" s="2" t="s">
        <v>27</v>
      </c>
      <c r="J140" s="26" t="s">
        <v>28</v>
      </c>
      <c r="K140" s="2" t="s">
        <v>29</v>
      </c>
      <c r="L140" s="9" t="s">
        <v>30</v>
      </c>
      <c r="M140" s="10" t="s">
        <v>31</v>
      </c>
      <c r="N140" s="11" t="s">
        <v>32</v>
      </c>
      <c r="Q140" s="1" t="s">
        <v>6</v>
      </c>
      <c r="R140" s="2" t="s">
        <v>37</v>
      </c>
      <c r="S140" s="2" t="s">
        <v>38</v>
      </c>
      <c r="T140" s="2" t="s">
        <v>39</v>
      </c>
      <c r="U140" s="2" t="s">
        <v>40</v>
      </c>
      <c r="V140" s="2" t="s">
        <v>41</v>
      </c>
      <c r="W140" s="2" t="s">
        <v>36</v>
      </c>
      <c r="X140" s="3" t="s">
        <v>42</v>
      </c>
    </row>
    <row r="141" spans="2:24" ht="15.75" thickBot="1">
      <c r="B141" s="4" t="s">
        <v>0</v>
      </c>
      <c r="C141" t="s">
        <v>1</v>
      </c>
      <c r="D141" t="s">
        <v>2</v>
      </c>
      <c r="E141" t="s">
        <v>3</v>
      </c>
      <c r="F141" t="s">
        <v>2</v>
      </c>
      <c r="G141" t="s">
        <v>3</v>
      </c>
      <c r="H141" t="s">
        <v>4</v>
      </c>
      <c r="I141" t="s">
        <v>4</v>
      </c>
      <c r="J141" s="27" t="s">
        <v>5</v>
      </c>
      <c r="N141" s="5"/>
      <c r="Q141" s="4" t="s">
        <v>14</v>
      </c>
      <c r="R141" t="s">
        <v>1</v>
      </c>
      <c r="S141" t="s">
        <v>2</v>
      </c>
      <c r="T141" t="s">
        <v>3</v>
      </c>
      <c r="U141" t="s">
        <v>2</v>
      </c>
      <c r="V141" t="s">
        <v>3</v>
      </c>
      <c r="W141" t="s">
        <v>8</v>
      </c>
      <c r="X141" s="5" t="s">
        <v>8</v>
      </c>
    </row>
    <row r="142" spans="2:24">
      <c r="B142" s="1">
        <v>1</v>
      </c>
      <c r="C142" s="2">
        <v>1.04</v>
      </c>
      <c r="D142" s="2">
        <v>3.7100000000000001E-2</v>
      </c>
      <c r="E142" s="2">
        <v>4.4000000000000004</v>
      </c>
      <c r="F142" s="2">
        <v>1.8499999999999999E-2</v>
      </c>
      <c r="G142" s="2">
        <v>6.7</v>
      </c>
      <c r="H142" s="2">
        <v>31.93</v>
      </c>
      <c r="I142" s="2">
        <v>28.68</v>
      </c>
      <c r="J142" s="26">
        <v>178</v>
      </c>
      <c r="K142" s="2">
        <v>150</v>
      </c>
      <c r="L142" s="2">
        <v>17.399999999999999</v>
      </c>
      <c r="M142" s="9">
        <f>(H142*I142*J142)/1000</f>
        <v>163.00392719999999</v>
      </c>
      <c r="N142" s="11">
        <f>L142/M142</f>
        <v>0.10674589440198469</v>
      </c>
      <c r="Q142" s="4" t="s">
        <v>9</v>
      </c>
      <c r="R142">
        <v>0.99099999999999999</v>
      </c>
      <c r="S142">
        <v>3.2899999999999999E-2</v>
      </c>
      <c r="T142">
        <v>3.6</v>
      </c>
      <c r="U142">
        <v>1.6400000000000001E-2</v>
      </c>
      <c r="V142">
        <v>5</v>
      </c>
      <c r="W142">
        <v>32.17</v>
      </c>
      <c r="X142" s="5">
        <v>29.28</v>
      </c>
    </row>
    <row r="143" spans="2:24">
      <c r="B143" s="4">
        <v>2</v>
      </c>
      <c r="C143">
        <v>1.1299999999999999</v>
      </c>
      <c r="D143">
        <v>4.0500000000000001E-2</v>
      </c>
      <c r="E143">
        <v>4.7</v>
      </c>
      <c r="F143">
        <v>2.0199999999999999E-2</v>
      </c>
      <c r="G143">
        <v>5.5</v>
      </c>
      <c r="H143">
        <v>32.32</v>
      </c>
      <c r="I143">
        <v>29.48</v>
      </c>
      <c r="J143" s="27">
        <v>177</v>
      </c>
      <c r="K143">
        <v>150</v>
      </c>
      <c r="L143">
        <v>17.5</v>
      </c>
      <c r="M143" s="22">
        <f t="shared" ref="M143:M146" si="128">(H143*I143*J143)/1000</f>
        <v>168.64446719999998</v>
      </c>
      <c r="N143" s="16">
        <f t="shared" ref="N143:N146" si="129">L143/M143</f>
        <v>0.10376859846369156</v>
      </c>
      <c r="Q143" s="4" t="s">
        <v>10</v>
      </c>
      <c r="R143">
        <v>0.16500000000000001</v>
      </c>
      <c r="S143">
        <v>8.9800000000000001E-3</v>
      </c>
      <c r="T143">
        <v>1.1000000000000001</v>
      </c>
      <c r="U143">
        <v>4.4799999999999996E-3</v>
      </c>
      <c r="V143">
        <v>1.1000000000000001</v>
      </c>
      <c r="W143">
        <v>0.27100000000000002</v>
      </c>
      <c r="X143" s="5">
        <v>0.38890000000000002</v>
      </c>
    </row>
    <row r="144" spans="2:24" ht="15.75" thickBot="1">
      <c r="B144" s="4">
        <v>3</v>
      </c>
      <c r="C144">
        <v>1.1299999999999999</v>
      </c>
      <c r="D144">
        <v>3.9399999999999998E-2</v>
      </c>
      <c r="E144">
        <v>3.9</v>
      </c>
      <c r="F144">
        <v>1.9699999999999999E-2</v>
      </c>
      <c r="G144">
        <v>4.5</v>
      </c>
      <c r="H144">
        <v>31.88</v>
      </c>
      <c r="I144">
        <v>29.09</v>
      </c>
      <c r="J144" s="27">
        <v>178</v>
      </c>
      <c r="K144">
        <v>150</v>
      </c>
      <c r="L144">
        <v>17.7</v>
      </c>
      <c r="M144" s="22">
        <f t="shared" si="128"/>
        <v>165.07527759999999</v>
      </c>
      <c r="N144" s="16">
        <f t="shared" si="129"/>
        <v>0.10722380878189115</v>
      </c>
      <c r="Q144" s="6" t="s">
        <v>11</v>
      </c>
      <c r="R144" s="7">
        <v>16.670000000000002</v>
      </c>
      <c r="S144" s="7">
        <v>27.32</v>
      </c>
      <c r="T144" s="7">
        <v>31.73</v>
      </c>
      <c r="U144" s="7">
        <v>27.3</v>
      </c>
      <c r="V144" s="7">
        <v>22.1</v>
      </c>
      <c r="W144" s="7">
        <v>0.84</v>
      </c>
      <c r="X144" s="8">
        <v>1.33</v>
      </c>
    </row>
    <row r="145" spans="2:24">
      <c r="B145" s="4">
        <v>4</v>
      </c>
      <c r="C145">
        <v>0.74</v>
      </c>
      <c r="D145">
        <v>1.9400000000000001E-2</v>
      </c>
      <c r="E145">
        <v>1.9</v>
      </c>
      <c r="F145">
        <v>9.6900000000000007E-3</v>
      </c>
      <c r="G145">
        <v>3.9</v>
      </c>
      <c r="H145">
        <v>32.53</v>
      </c>
      <c r="I145">
        <v>29.55</v>
      </c>
      <c r="J145" s="27">
        <v>177</v>
      </c>
      <c r="K145">
        <v>150</v>
      </c>
      <c r="L145">
        <v>17.5</v>
      </c>
      <c r="M145" s="22">
        <f t="shared" si="128"/>
        <v>170.14328549999999</v>
      </c>
      <c r="N145" s="16">
        <f t="shared" si="129"/>
        <v>0.10285448496291087</v>
      </c>
    </row>
    <row r="146" spans="2:24" ht="15.75" thickBot="1">
      <c r="B146" s="6">
        <v>5</v>
      </c>
      <c r="C146" s="7">
        <v>0.91700000000000004</v>
      </c>
      <c r="D146" s="7">
        <v>2.81E-2</v>
      </c>
      <c r="E146" s="7">
        <v>3</v>
      </c>
      <c r="F146" s="7">
        <v>1.4E-2</v>
      </c>
      <c r="G146" s="7">
        <v>4.5</v>
      </c>
      <c r="H146" s="7">
        <v>32.17</v>
      </c>
      <c r="I146" s="7">
        <v>29.59</v>
      </c>
      <c r="J146" s="28">
        <v>177</v>
      </c>
      <c r="K146" s="7">
        <v>150</v>
      </c>
      <c r="L146" s="7">
        <v>17.100000000000001</v>
      </c>
      <c r="M146" s="18">
        <f t="shared" si="128"/>
        <v>168.4881231</v>
      </c>
      <c r="N146" s="19">
        <f t="shared" si="129"/>
        <v>0.10149083321351332</v>
      </c>
    </row>
    <row r="147" spans="2:24">
      <c r="J147" s="27"/>
    </row>
    <row r="148" spans="2:24" ht="15.75" thickBot="1">
      <c r="J148" s="27"/>
    </row>
    <row r="149" spans="2:24" ht="18.75">
      <c r="B149" s="1" t="s">
        <v>57</v>
      </c>
      <c r="C149" s="2" t="s">
        <v>21</v>
      </c>
      <c r="D149" s="2" t="s">
        <v>22</v>
      </c>
      <c r="E149" s="2" t="s">
        <v>23</v>
      </c>
      <c r="F149" s="2" t="s">
        <v>24</v>
      </c>
      <c r="G149" s="2" t="s">
        <v>25</v>
      </c>
      <c r="H149" s="2" t="s">
        <v>26</v>
      </c>
      <c r="I149" s="2" t="s">
        <v>27</v>
      </c>
      <c r="J149" s="26" t="s">
        <v>28</v>
      </c>
      <c r="K149" s="2" t="s">
        <v>29</v>
      </c>
      <c r="L149" s="9" t="s">
        <v>30</v>
      </c>
      <c r="M149" s="10" t="s">
        <v>31</v>
      </c>
      <c r="N149" s="11" t="s">
        <v>32</v>
      </c>
      <c r="Q149" s="1" t="s">
        <v>6</v>
      </c>
      <c r="R149" s="2" t="s">
        <v>37</v>
      </c>
      <c r="S149" s="2" t="s">
        <v>38</v>
      </c>
      <c r="T149" s="2" t="s">
        <v>39</v>
      </c>
      <c r="U149" s="2" t="s">
        <v>40</v>
      </c>
      <c r="V149" s="2" t="s">
        <v>41</v>
      </c>
      <c r="W149" s="2" t="s">
        <v>36</v>
      </c>
      <c r="X149" s="3" t="s">
        <v>42</v>
      </c>
    </row>
    <row r="150" spans="2:24" ht="15.75" thickBot="1">
      <c r="B150" s="4" t="s">
        <v>0</v>
      </c>
      <c r="C150" t="s">
        <v>1</v>
      </c>
      <c r="D150" t="s">
        <v>2</v>
      </c>
      <c r="E150" t="s">
        <v>3</v>
      </c>
      <c r="F150" t="s">
        <v>2</v>
      </c>
      <c r="G150" t="s">
        <v>3</v>
      </c>
      <c r="H150" t="s">
        <v>4</v>
      </c>
      <c r="I150" t="s">
        <v>4</v>
      </c>
      <c r="J150" s="27" t="s">
        <v>5</v>
      </c>
      <c r="N150" s="5"/>
      <c r="Q150" s="4" t="s">
        <v>14</v>
      </c>
      <c r="R150" t="s">
        <v>1</v>
      </c>
      <c r="S150" t="s">
        <v>2</v>
      </c>
      <c r="T150" t="s">
        <v>3</v>
      </c>
      <c r="U150" t="s">
        <v>2</v>
      </c>
      <c r="V150" t="s">
        <v>3</v>
      </c>
      <c r="W150" t="s">
        <v>8</v>
      </c>
      <c r="X150" s="5" t="s">
        <v>8</v>
      </c>
    </row>
    <row r="151" spans="2:24">
      <c r="B151" s="1">
        <v>1</v>
      </c>
      <c r="C151" s="2">
        <v>1.1100000000000001</v>
      </c>
      <c r="D151" s="2">
        <v>3.85E-2</v>
      </c>
      <c r="E151" s="2">
        <v>4.5</v>
      </c>
      <c r="F151" s="2">
        <v>1.9300000000000001E-2</v>
      </c>
      <c r="G151" s="2">
        <v>6.5</v>
      </c>
      <c r="H151" s="2">
        <v>34.450000000000003</v>
      </c>
      <c r="I151" s="2">
        <v>29.85</v>
      </c>
      <c r="J151" s="26">
        <v>179</v>
      </c>
      <c r="K151" s="2">
        <v>150</v>
      </c>
      <c r="L151" s="2">
        <v>20</v>
      </c>
      <c r="M151" s="9">
        <f>(H151*I151*J151)/1000</f>
        <v>184.07151750000006</v>
      </c>
      <c r="N151" s="11">
        <f>L151/M151</f>
        <v>0.10865342053802536</v>
      </c>
      <c r="Q151" s="4" t="s">
        <v>9</v>
      </c>
      <c r="R151">
        <v>1.02</v>
      </c>
      <c r="S151">
        <v>3.4099999999999998E-2</v>
      </c>
      <c r="T151">
        <v>3.8</v>
      </c>
      <c r="U151">
        <v>1.7000000000000001E-2</v>
      </c>
      <c r="V151">
        <v>5.3</v>
      </c>
      <c r="W151">
        <v>34.75</v>
      </c>
      <c r="X151" s="5">
        <v>29.29</v>
      </c>
    </row>
    <row r="152" spans="2:24">
      <c r="B152" s="4">
        <v>2</v>
      </c>
      <c r="C152">
        <v>0.94</v>
      </c>
      <c r="D152">
        <v>3.1899999999999998E-2</v>
      </c>
      <c r="E152">
        <v>3.3</v>
      </c>
      <c r="F152">
        <v>1.5900000000000001E-2</v>
      </c>
      <c r="G152">
        <v>3.7</v>
      </c>
      <c r="H152">
        <v>35.020000000000003</v>
      </c>
      <c r="I152">
        <v>29.09</v>
      </c>
      <c r="J152" s="27">
        <v>179</v>
      </c>
      <c r="K152">
        <v>150</v>
      </c>
      <c r="L152">
        <v>20.5</v>
      </c>
      <c r="M152" s="22">
        <f t="shared" ref="M152:M155" si="130">(H152*I152*J152)/1000</f>
        <v>182.35299220000005</v>
      </c>
      <c r="N152" s="16">
        <f t="shared" ref="N152:N155" si="131">L152/M152</f>
        <v>0.11241932338305768</v>
      </c>
      <c r="Q152" s="4" t="s">
        <v>10</v>
      </c>
      <c r="R152">
        <v>0.161</v>
      </c>
      <c r="S152">
        <v>3.5200000000000001E-3</v>
      </c>
      <c r="T152">
        <v>0.5</v>
      </c>
      <c r="U152">
        <v>1.75E-3</v>
      </c>
      <c r="V152">
        <v>1.2</v>
      </c>
      <c r="W152">
        <v>0.4178</v>
      </c>
      <c r="X152" s="5">
        <v>0.34670000000000001</v>
      </c>
    </row>
    <row r="153" spans="2:24" ht="15.75" thickBot="1">
      <c r="B153" s="4">
        <v>3</v>
      </c>
      <c r="C153">
        <v>1.1399999999999999</v>
      </c>
      <c r="D153">
        <v>3.5400000000000001E-2</v>
      </c>
      <c r="E153">
        <v>4.2</v>
      </c>
      <c r="F153">
        <v>1.7600000000000001E-2</v>
      </c>
      <c r="G153">
        <v>5</v>
      </c>
      <c r="H153">
        <v>35.03</v>
      </c>
      <c r="I153">
        <v>29.42</v>
      </c>
      <c r="J153" s="27">
        <v>178</v>
      </c>
      <c r="K153">
        <v>150</v>
      </c>
      <c r="L153">
        <v>20.5</v>
      </c>
      <c r="M153" s="22">
        <f t="shared" si="130"/>
        <v>183.44370280000004</v>
      </c>
      <c r="N153" s="16">
        <f t="shared" si="131"/>
        <v>0.11175090606598896</v>
      </c>
      <c r="Q153" s="6" t="s">
        <v>11</v>
      </c>
      <c r="R153" s="7">
        <v>15.81</v>
      </c>
      <c r="S153" s="7">
        <v>10.32</v>
      </c>
      <c r="T153" s="7">
        <v>13.74</v>
      </c>
      <c r="U153" s="7">
        <v>10.32</v>
      </c>
      <c r="V153" s="7">
        <v>21.82</v>
      </c>
      <c r="W153" s="7">
        <v>1.2</v>
      </c>
      <c r="X153" s="8">
        <v>1.18</v>
      </c>
    </row>
    <row r="154" spans="2:24">
      <c r="B154" s="4">
        <v>4</v>
      </c>
      <c r="C154">
        <v>1.1299999999999999</v>
      </c>
      <c r="D154">
        <v>3.5099999999999999E-2</v>
      </c>
      <c r="E154">
        <v>3.3</v>
      </c>
      <c r="F154">
        <v>1.7500000000000002E-2</v>
      </c>
      <c r="G154">
        <v>5</v>
      </c>
      <c r="H154">
        <v>35.08</v>
      </c>
      <c r="I154">
        <v>29.06</v>
      </c>
      <c r="J154" s="27">
        <v>178</v>
      </c>
      <c r="K154">
        <v>150</v>
      </c>
      <c r="L154">
        <v>20.7</v>
      </c>
      <c r="M154" s="22">
        <f t="shared" si="130"/>
        <v>181.45761439999998</v>
      </c>
      <c r="N154" s="16">
        <f t="shared" si="131"/>
        <v>0.11407622693842712</v>
      </c>
    </row>
    <row r="155" spans="2:24" ht="15.75" thickBot="1">
      <c r="B155" s="6">
        <v>5</v>
      </c>
      <c r="C155" s="7">
        <v>0.77200000000000002</v>
      </c>
      <c r="D155" s="7">
        <v>2.9399999999999999E-2</v>
      </c>
      <c r="E155" s="7">
        <v>3.8</v>
      </c>
      <c r="F155" s="7">
        <v>1.47E-2</v>
      </c>
      <c r="G155" s="7">
        <v>6.3</v>
      </c>
      <c r="H155" s="7">
        <v>34.159999999999997</v>
      </c>
      <c r="I155" s="7">
        <v>29.05</v>
      </c>
      <c r="J155" s="28">
        <v>178</v>
      </c>
      <c r="K155" s="7">
        <v>150</v>
      </c>
      <c r="L155" s="7">
        <v>19.8</v>
      </c>
      <c r="M155" s="18">
        <f t="shared" si="130"/>
        <v>176.63794399999998</v>
      </c>
      <c r="N155" s="19">
        <f t="shared" si="131"/>
        <v>0.11209369601811038</v>
      </c>
    </row>
    <row r="156" spans="2:24">
      <c r="J156" s="27"/>
    </row>
    <row r="157" spans="2:24" ht="15.75" thickBot="1">
      <c r="J157" s="27"/>
    </row>
    <row r="158" spans="2:24" ht="18.75">
      <c r="B158" s="1" t="s">
        <v>61</v>
      </c>
      <c r="C158" s="2" t="s">
        <v>21</v>
      </c>
      <c r="D158" s="2" t="s">
        <v>22</v>
      </c>
      <c r="E158" s="2" t="s">
        <v>23</v>
      </c>
      <c r="F158" s="2" t="s">
        <v>24</v>
      </c>
      <c r="G158" s="2" t="s">
        <v>25</v>
      </c>
      <c r="H158" s="2" t="s">
        <v>26</v>
      </c>
      <c r="I158" s="2" t="s">
        <v>27</v>
      </c>
      <c r="J158" s="26" t="s">
        <v>28</v>
      </c>
      <c r="K158" s="2" t="s">
        <v>29</v>
      </c>
      <c r="L158" s="9" t="s">
        <v>30</v>
      </c>
      <c r="M158" s="10" t="s">
        <v>31</v>
      </c>
      <c r="N158" s="11" t="s">
        <v>32</v>
      </c>
      <c r="Q158" s="1" t="s">
        <v>6</v>
      </c>
      <c r="R158" s="2" t="s">
        <v>37</v>
      </c>
      <c r="S158" s="2" t="s">
        <v>38</v>
      </c>
      <c r="T158" s="2" t="s">
        <v>39</v>
      </c>
      <c r="U158" s="2" t="s">
        <v>40</v>
      </c>
      <c r="V158" s="2" t="s">
        <v>41</v>
      </c>
      <c r="W158" s="2" t="s">
        <v>36</v>
      </c>
      <c r="X158" s="3" t="s">
        <v>42</v>
      </c>
    </row>
    <row r="159" spans="2:24" ht="15.75" thickBot="1">
      <c r="B159" s="4" t="s">
        <v>0</v>
      </c>
      <c r="C159" t="s">
        <v>1</v>
      </c>
      <c r="D159" t="s">
        <v>2</v>
      </c>
      <c r="E159" t="s">
        <v>3</v>
      </c>
      <c r="F159" t="s">
        <v>2</v>
      </c>
      <c r="G159" t="s">
        <v>3</v>
      </c>
      <c r="H159" t="s">
        <v>4</v>
      </c>
      <c r="I159" t="s">
        <v>4</v>
      </c>
      <c r="J159" s="27" t="s">
        <v>5</v>
      </c>
      <c r="N159" s="5"/>
      <c r="Q159" s="4" t="s">
        <v>14</v>
      </c>
      <c r="R159" t="s">
        <v>1</v>
      </c>
      <c r="S159" t="s">
        <v>2</v>
      </c>
      <c r="T159" t="s">
        <v>3</v>
      </c>
      <c r="U159" t="s">
        <v>2</v>
      </c>
      <c r="V159" t="s">
        <v>3</v>
      </c>
      <c r="W159" t="s">
        <v>8</v>
      </c>
      <c r="X159" s="5" t="s">
        <v>8</v>
      </c>
    </row>
    <row r="160" spans="2:24">
      <c r="B160" s="1">
        <v>1</v>
      </c>
      <c r="C160" s="2">
        <v>1.97</v>
      </c>
      <c r="D160" s="2">
        <v>7.5300000000000006E-2</v>
      </c>
      <c r="E160" s="2">
        <v>5.5</v>
      </c>
      <c r="F160" s="2">
        <v>3.7600000000000001E-2</v>
      </c>
      <c r="G160" s="2">
        <v>6.8</v>
      </c>
      <c r="H160" s="2">
        <v>34.92</v>
      </c>
      <c r="I160" s="2">
        <v>29.85</v>
      </c>
      <c r="J160" s="26">
        <v>183</v>
      </c>
      <c r="K160" s="2">
        <v>150</v>
      </c>
      <c r="L160" s="2">
        <v>19</v>
      </c>
      <c r="M160" s="9">
        <f>(H160*I160*J160)/1000</f>
        <v>190.75224600000001</v>
      </c>
      <c r="N160" s="11">
        <f>L160/M160</f>
        <v>9.9605642389133386E-2</v>
      </c>
      <c r="Q160" s="4" t="s">
        <v>9</v>
      </c>
      <c r="R160">
        <v>1.53</v>
      </c>
      <c r="S160">
        <v>5.9900000000000002E-2</v>
      </c>
      <c r="T160">
        <v>5.3</v>
      </c>
      <c r="U160">
        <v>0.03</v>
      </c>
      <c r="V160">
        <v>7.6</v>
      </c>
      <c r="W160">
        <v>34.4</v>
      </c>
      <c r="X160" s="5">
        <v>29.62</v>
      </c>
    </row>
    <row r="161" spans="2:24">
      <c r="B161" s="4">
        <v>2</v>
      </c>
      <c r="C161">
        <v>1.5</v>
      </c>
      <c r="D161">
        <v>6.0299999999999999E-2</v>
      </c>
      <c r="E161">
        <v>5.5</v>
      </c>
      <c r="F161">
        <v>3.0099999999999998E-2</v>
      </c>
      <c r="G161">
        <v>7.9</v>
      </c>
      <c r="H161">
        <v>34.71</v>
      </c>
      <c r="I161">
        <v>29.56</v>
      </c>
      <c r="J161" s="27">
        <v>182</v>
      </c>
      <c r="K161">
        <v>150</v>
      </c>
      <c r="L161">
        <v>19</v>
      </c>
      <c r="M161" s="22">
        <f t="shared" ref="M161:M164" si="132">(H161*I161*J161)/1000</f>
        <v>186.73702319999995</v>
      </c>
      <c r="N161" s="16">
        <f t="shared" ref="N161:N164" si="133">L161/M161</f>
        <v>0.10174736468649033</v>
      </c>
      <c r="Q161" s="4" t="s">
        <v>10</v>
      </c>
      <c r="R161">
        <v>0.32300000000000001</v>
      </c>
      <c r="S161">
        <v>1.06E-2</v>
      </c>
      <c r="T161">
        <v>0.3</v>
      </c>
      <c r="U161">
        <v>5.3099999999999996E-3</v>
      </c>
      <c r="V161">
        <v>0.8</v>
      </c>
      <c r="W161">
        <v>0.84079999999999999</v>
      </c>
      <c r="X161" s="5">
        <v>0.1923</v>
      </c>
    </row>
    <row r="162" spans="2:24" ht="15.75" thickBot="1">
      <c r="B162" s="4">
        <v>3</v>
      </c>
      <c r="C162">
        <v>1.69</v>
      </c>
      <c r="D162">
        <v>6.2399999999999997E-2</v>
      </c>
      <c r="E162">
        <v>5.2</v>
      </c>
      <c r="F162">
        <v>3.1199999999999999E-2</v>
      </c>
      <c r="G162">
        <v>7.1</v>
      </c>
      <c r="H162">
        <v>34.67</v>
      </c>
      <c r="I162">
        <v>29.33</v>
      </c>
      <c r="J162" s="27">
        <v>182</v>
      </c>
      <c r="K162">
        <v>150</v>
      </c>
      <c r="L162">
        <v>18.8</v>
      </c>
      <c r="M162" s="22">
        <f t="shared" si="132"/>
        <v>185.07054019999998</v>
      </c>
      <c r="N162" s="16">
        <f t="shared" si="133"/>
        <v>0.10158288823106813</v>
      </c>
      <c r="Q162" s="6" t="s">
        <v>11</v>
      </c>
      <c r="R162" s="7">
        <v>21.15</v>
      </c>
      <c r="S162" s="7">
        <v>17.73</v>
      </c>
      <c r="T162" s="7">
        <v>4.91</v>
      </c>
      <c r="U162" s="7">
        <v>17.72</v>
      </c>
      <c r="V162" s="7">
        <v>10.68</v>
      </c>
      <c r="W162" s="7">
        <v>2.44</v>
      </c>
      <c r="X162" s="8">
        <v>0.65</v>
      </c>
    </row>
    <row r="163" spans="2:24">
      <c r="B163" s="4">
        <v>4</v>
      </c>
      <c r="C163">
        <v>1.1000000000000001</v>
      </c>
      <c r="D163">
        <v>4.6199999999999998E-2</v>
      </c>
      <c r="E163">
        <v>5.0999999999999996</v>
      </c>
      <c r="F163">
        <v>2.3099999999999999E-2</v>
      </c>
      <c r="G163">
        <v>7.1</v>
      </c>
      <c r="H163">
        <v>34.81</v>
      </c>
      <c r="I163">
        <v>29.7</v>
      </c>
      <c r="J163" s="27">
        <v>181</v>
      </c>
      <c r="K163">
        <v>150</v>
      </c>
      <c r="L163">
        <v>18.3</v>
      </c>
      <c r="M163" s="22">
        <f t="shared" si="132"/>
        <v>187.128117</v>
      </c>
      <c r="N163" s="16">
        <f t="shared" si="133"/>
        <v>9.7793962197567572E-2</v>
      </c>
    </row>
    <row r="164" spans="2:24" ht="15.75" thickBot="1">
      <c r="B164" s="6">
        <v>5</v>
      </c>
      <c r="C164" s="7">
        <v>1.39</v>
      </c>
      <c r="D164" s="7">
        <v>5.5399999999999998E-2</v>
      </c>
      <c r="E164" s="7">
        <v>4.9000000000000004</v>
      </c>
      <c r="F164" s="7">
        <v>2.7699999999999999E-2</v>
      </c>
      <c r="G164" s="7">
        <v>8.8000000000000007</v>
      </c>
      <c r="H164" s="7">
        <v>32.909999999999997</v>
      </c>
      <c r="I164" s="7">
        <v>29.65</v>
      </c>
      <c r="J164" s="28">
        <v>182</v>
      </c>
      <c r="K164" s="7">
        <v>150</v>
      </c>
      <c r="L164" s="18">
        <v>17.600000000000001</v>
      </c>
      <c r="M164" s="18">
        <f t="shared" si="132"/>
        <v>177.59223299999996</v>
      </c>
      <c r="N164" s="19">
        <f t="shared" si="133"/>
        <v>9.9103433200257163E-2</v>
      </c>
    </row>
    <row r="165" spans="2:24">
      <c r="J165" s="27"/>
    </row>
    <row r="166" spans="2:24" ht="15.75" thickBot="1">
      <c r="J166" s="27"/>
    </row>
    <row r="167" spans="2:24" ht="18.75">
      <c r="B167" s="1" t="s">
        <v>59</v>
      </c>
      <c r="C167" s="2" t="s">
        <v>21</v>
      </c>
      <c r="D167" s="2" t="s">
        <v>22</v>
      </c>
      <c r="E167" s="2" t="s">
        <v>23</v>
      </c>
      <c r="F167" s="2" t="s">
        <v>24</v>
      </c>
      <c r="G167" s="2" t="s">
        <v>25</v>
      </c>
      <c r="H167" s="2" t="s">
        <v>26</v>
      </c>
      <c r="I167" s="2" t="s">
        <v>27</v>
      </c>
      <c r="J167" s="26" t="s">
        <v>28</v>
      </c>
      <c r="K167" s="2" t="s">
        <v>29</v>
      </c>
      <c r="L167" s="9" t="s">
        <v>30</v>
      </c>
      <c r="M167" s="10" t="s">
        <v>31</v>
      </c>
      <c r="N167" s="11" t="s">
        <v>32</v>
      </c>
      <c r="Q167" s="1" t="s">
        <v>6</v>
      </c>
      <c r="R167" s="2" t="s">
        <v>37</v>
      </c>
      <c r="S167" s="2" t="s">
        <v>38</v>
      </c>
      <c r="T167" s="2" t="s">
        <v>39</v>
      </c>
      <c r="U167" s="2" t="s">
        <v>40</v>
      </c>
      <c r="V167" s="2" t="s">
        <v>41</v>
      </c>
      <c r="W167" s="2" t="s">
        <v>36</v>
      </c>
      <c r="X167" s="3" t="s">
        <v>42</v>
      </c>
    </row>
    <row r="168" spans="2:24" ht="15.75" thickBot="1">
      <c r="B168" s="4" t="s">
        <v>0</v>
      </c>
      <c r="C168" t="s">
        <v>1</v>
      </c>
      <c r="D168" t="s">
        <v>2</v>
      </c>
      <c r="E168" t="s">
        <v>3</v>
      </c>
      <c r="F168" t="s">
        <v>2</v>
      </c>
      <c r="G168" t="s">
        <v>3</v>
      </c>
      <c r="H168" t="s">
        <v>4</v>
      </c>
      <c r="I168" t="s">
        <v>4</v>
      </c>
      <c r="J168" s="27" t="s">
        <v>5</v>
      </c>
      <c r="N168" s="5"/>
      <c r="Q168" s="4" t="s">
        <v>14</v>
      </c>
      <c r="R168" t="s">
        <v>1</v>
      </c>
      <c r="S168" t="s">
        <v>2</v>
      </c>
      <c r="T168" t="s">
        <v>3</v>
      </c>
      <c r="U168" t="s">
        <v>2</v>
      </c>
      <c r="V168" t="s">
        <v>3</v>
      </c>
      <c r="W168" t="s">
        <v>8</v>
      </c>
      <c r="X168" s="5" t="s">
        <v>8</v>
      </c>
    </row>
    <row r="169" spans="2:24">
      <c r="B169" s="1">
        <v>1</v>
      </c>
      <c r="C169" s="2">
        <v>1.8</v>
      </c>
      <c r="D169" s="2">
        <v>8.3699999999999997E-2</v>
      </c>
      <c r="E169" s="2">
        <v>6.3</v>
      </c>
      <c r="F169" s="2">
        <v>4.19E-2</v>
      </c>
      <c r="G169" s="2">
        <v>7.9</v>
      </c>
      <c r="H169" s="2">
        <v>33.700000000000003</v>
      </c>
      <c r="I169" s="2">
        <v>29.57</v>
      </c>
      <c r="J169" s="26">
        <v>180</v>
      </c>
      <c r="K169" s="2">
        <v>150</v>
      </c>
      <c r="L169" s="2">
        <v>18</v>
      </c>
      <c r="M169" s="9">
        <f>(H169*I169*J169)/1000</f>
        <v>179.37162000000004</v>
      </c>
      <c r="N169" s="11">
        <f>L169/M169</f>
        <v>0.10035032297751448</v>
      </c>
      <c r="Q169" s="4" t="s">
        <v>9</v>
      </c>
      <c r="R169">
        <v>1.7</v>
      </c>
      <c r="S169">
        <v>7.51E-2</v>
      </c>
      <c r="T169">
        <v>6.1</v>
      </c>
      <c r="U169">
        <v>3.7600000000000001E-2</v>
      </c>
      <c r="V169">
        <v>7.9</v>
      </c>
      <c r="W169">
        <v>33.57</v>
      </c>
      <c r="X169" s="5">
        <v>29.68</v>
      </c>
    </row>
    <row r="170" spans="2:24">
      <c r="B170" s="4">
        <v>2</v>
      </c>
      <c r="C170">
        <v>1.67</v>
      </c>
      <c r="D170">
        <v>8.3599999999999994E-2</v>
      </c>
      <c r="E170">
        <v>6.9</v>
      </c>
      <c r="F170">
        <v>4.1799999999999997E-2</v>
      </c>
      <c r="G170">
        <v>7.7</v>
      </c>
      <c r="H170">
        <v>33.5</v>
      </c>
      <c r="I170">
        <v>29.7</v>
      </c>
      <c r="J170" s="27">
        <v>180</v>
      </c>
      <c r="K170">
        <v>150</v>
      </c>
      <c r="L170">
        <v>18.2</v>
      </c>
      <c r="M170" s="22">
        <f t="shared" ref="M170:M173" si="134">(H170*I170*J170)/1000</f>
        <v>179.09100000000001</v>
      </c>
      <c r="N170" s="16">
        <f t="shared" ref="N170:N173" si="135">L170/M170</f>
        <v>0.10162431389628736</v>
      </c>
      <c r="Q170" s="4" t="s">
        <v>10</v>
      </c>
      <c r="R170">
        <v>0.219</v>
      </c>
      <c r="S170">
        <v>9.5600000000000008E-3</v>
      </c>
      <c r="T170">
        <v>0.5</v>
      </c>
      <c r="U170">
        <v>4.7800000000000004E-3</v>
      </c>
      <c r="V170">
        <v>0.3</v>
      </c>
      <c r="W170">
        <v>0.1038</v>
      </c>
      <c r="X170" s="5">
        <v>0.1178</v>
      </c>
    </row>
    <row r="171" spans="2:24" ht="15.75" thickBot="1">
      <c r="B171" s="4">
        <v>3</v>
      </c>
      <c r="C171">
        <v>1.92</v>
      </c>
      <c r="D171">
        <v>7.4899999999999994E-2</v>
      </c>
      <c r="E171">
        <v>6</v>
      </c>
      <c r="F171">
        <v>3.7499999999999999E-2</v>
      </c>
      <c r="G171">
        <v>8.1</v>
      </c>
      <c r="H171">
        <v>33.6</v>
      </c>
      <c r="I171">
        <v>29.83</v>
      </c>
      <c r="J171" s="27">
        <v>180</v>
      </c>
      <c r="K171">
        <v>150</v>
      </c>
      <c r="L171">
        <v>18.3</v>
      </c>
      <c r="M171" s="22">
        <f t="shared" si="134"/>
        <v>180.41183999999998</v>
      </c>
      <c r="N171" s="16">
        <f t="shared" si="135"/>
        <v>0.10143458433770201</v>
      </c>
      <c r="Q171" s="6" t="s">
        <v>11</v>
      </c>
      <c r="R171" s="7">
        <v>12.89</v>
      </c>
      <c r="S171" s="7">
        <v>12.73</v>
      </c>
      <c r="T171" s="7">
        <v>8.9499999999999993</v>
      </c>
      <c r="U171" s="7">
        <v>12.74</v>
      </c>
      <c r="V171" s="7">
        <v>3.91</v>
      </c>
      <c r="W171" s="7">
        <v>0.31</v>
      </c>
      <c r="X171" s="8">
        <v>0.4</v>
      </c>
    </row>
    <row r="172" spans="2:24">
      <c r="B172" s="4">
        <v>4</v>
      </c>
      <c r="C172">
        <v>1.77</v>
      </c>
      <c r="D172">
        <v>7.2999999999999995E-2</v>
      </c>
      <c r="E172">
        <v>5.5</v>
      </c>
      <c r="F172">
        <v>3.6499999999999998E-2</v>
      </c>
      <c r="G172">
        <v>8.4</v>
      </c>
      <c r="H172">
        <v>33.6</v>
      </c>
      <c r="I172">
        <v>29.74</v>
      </c>
      <c r="J172" s="27">
        <v>180</v>
      </c>
      <c r="K172">
        <v>150</v>
      </c>
      <c r="L172">
        <v>18.600000000000001</v>
      </c>
      <c r="M172" s="22">
        <f t="shared" si="134"/>
        <v>179.86751999999998</v>
      </c>
      <c r="N172" s="16">
        <f t="shared" si="135"/>
        <v>0.10340944268314815</v>
      </c>
    </row>
    <row r="173" spans="2:24" ht="15.75" thickBot="1">
      <c r="B173" s="6">
        <v>5</v>
      </c>
      <c r="C173" s="7">
        <v>1.34</v>
      </c>
      <c r="D173" s="7">
        <v>6.0400000000000002E-2</v>
      </c>
      <c r="E173" s="7">
        <v>5.7</v>
      </c>
      <c r="F173" s="7">
        <v>3.0200000000000001E-2</v>
      </c>
      <c r="G173" s="7">
        <v>7.6</v>
      </c>
      <c r="H173" s="7">
        <v>33.43</v>
      </c>
      <c r="I173" s="7">
        <v>29.55</v>
      </c>
      <c r="J173" s="28">
        <v>181</v>
      </c>
      <c r="K173" s="7">
        <v>150</v>
      </c>
      <c r="L173" s="7">
        <v>18.100000000000001</v>
      </c>
      <c r="M173" s="18">
        <f t="shared" si="134"/>
        <v>178.80202650000001</v>
      </c>
      <c r="N173" s="19">
        <f t="shared" si="135"/>
        <v>0.10122927773416483</v>
      </c>
    </row>
    <row r="174" spans="2:24">
      <c r="J174" s="27"/>
    </row>
    <row r="175" spans="2:24" ht="15.75" thickBot="1">
      <c r="J175" s="27"/>
    </row>
    <row r="176" spans="2:24" ht="18.75">
      <c r="B176" s="1" t="s">
        <v>53</v>
      </c>
      <c r="C176" s="2" t="s">
        <v>21</v>
      </c>
      <c r="D176" s="2" t="s">
        <v>22</v>
      </c>
      <c r="E176" s="2" t="s">
        <v>23</v>
      </c>
      <c r="F176" s="2" t="s">
        <v>24</v>
      </c>
      <c r="G176" s="2" t="s">
        <v>25</v>
      </c>
      <c r="H176" s="2" t="s">
        <v>26</v>
      </c>
      <c r="I176" s="2" t="s">
        <v>27</v>
      </c>
      <c r="J176" s="2" t="s">
        <v>28</v>
      </c>
      <c r="K176" s="2" t="s">
        <v>29</v>
      </c>
      <c r="L176" s="9" t="s">
        <v>30</v>
      </c>
      <c r="M176" s="10" t="s">
        <v>31</v>
      </c>
      <c r="N176" s="11" t="s">
        <v>32</v>
      </c>
      <c r="Q176" s="1" t="s">
        <v>6</v>
      </c>
      <c r="R176" s="2" t="s">
        <v>37</v>
      </c>
      <c r="S176" s="2" t="s">
        <v>38</v>
      </c>
      <c r="T176" s="2" t="s">
        <v>39</v>
      </c>
      <c r="U176" s="2" t="s">
        <v>40</v>
      </c>
      <c r="V176" s="2" t="s">
        <v>41</v>
      </c>
      <c r="W176" s="2" t="s">
        <v>36</v>
      </c>
      <c r="X176" s="3" t="s">
        <v>42</v>
      </c>
    </row>
    <row r="177" spans="2:24" ht="15.75" thickBot="1">
      <c r="B177" s="4" t="s">
        <v>0</v>
      </c>
      <c r="C177" t="s">
        <v>1</v>
      </c>
      <c r="D177" t="s">
        <v>2</v>
      </c>
      <c r="E177" t="s">
        <v>3</v>
      </c>
      <c r="F177" t="s">
        <v>2</v>
      </c>
      <c r="G177" t="s">
        <v>3</v>
      </c>
      <c r="H177" t="s">
        <v>4</v>
      </c>
      <c r="I177" t="s">
        <v>4</v>
      </c>
      <c r="J177" t="s">
        <v>5</v>
      </c>
      <c r="N177" s="5"/>
      <c r="Q177" s="4" t="s">
        <v>14</v>
      </c>
      <c r="R177" t="s">
        <v>1</v>
      </c>
      <c r="S177" t="s">
        <v>2</v>
      </c>
      <c r="T177" t="s">
        <v>3</v>
      </c>
      <c r="U177" t="s">
        <v>2</v>
      </c>
      <c r="V177" t="s">
        <v>3</v>
      </c>
      <c r="W177" t="s">
        <v>8</v>
      </c>
      <c r="X177" s="5" t="s">
        <v>8</v>
      </c>
    </row>
    <row r="178" spans="2:24">
      <c r="B178" s="1">
        <v>1</v>
      </c>
      <c r="C178" s="2">
        <v>0.74</v>
      </c>
      <c r="D178" s="2">
        <v>2.7199999999999998E-2</v>
      </c>
      <c r="E178" s="2">
        <v>3.6</v>
      </c>
      <c r="F178" s="2">
        <v>1.3599999999999999E-2</v>
      </c>
      <c r="G178" s="2">
        <v>4.9000000000000004</v>
      </c>
      <c r="H178" s="2">
        <v>32.299999999999997</v>
      </c>
      <c r="I178" s="2">
        <v>28.74</v>
      </c>
      <c r="J178" s="26">
        <v>179</v>
      </c>
      <c r="K178" s="2">
        <v>150</v>
      </c>
      <c r="L178" s="2">
        <v>23</v>
      </c>
      <c r="M178" s="9">
        <f>(H178*I178*J178)/1000</f>
        <v>166.16605799999999</v>
      </c>
      <c r="N178" s="11">
        <f>L178/M178</f>
        <v>0.13841575275258683</v>
      </c>
      <c r="Q178" s="4" t="s">
        <v>9</v>
      </c>
      <c r="R178">
        <v>0.65</v>
      </c>
      <c r="S178">
        <v>2.6800000000000001E-2</v>
      </c>
      <c r="T178">
        <v>4.0999999999999996</v>
      </c>
      <c r="U178">
        <v>1.34E-2</v>
      </c>
      <c r="V178">
        <v>5.5</v>
      </c>
      <c r="W178">
        <v>32.729999999999997</v>
      </c>
      <c r="X178" s="5">
        <v>29.4</v>
      </c>
    </row>
    <row r="179" spans="2:24">
      <c r="B179" s="4">
        <v>2</v>
      </c>
      <c r="C179">
        <v>0.66600000000000004</v>
      </c>
      <c r="D179">
        <v>2.9600000000000001E-2</v>
      </c>
      <c r="E179">
        <v>4.9000000000000004</v>
      </c>
      <c r="F179">
        <v>1.47E-2</v>
      </c>
      <c r="G179">
        <v>6.5</v>
      </c>
      <c r="H179">
        <v>32.799999999999997</v>
      </c>
      <c r="I179">
        <v>29.63</v>
      </c>
      <c r="J179" s="27">
        <v>178</v>
      </c>
      <c r="K179">
        <v>150</v>
      </c>
      <c r="L179">
        <v>22.6</v>
      </c>
      <c r="M179" s="22">
        <f t="shared" ref="M179:M182" si="136">(H179*I179*J179)/1000</f>
        <v>172.99179199999998</v>
      </c>
      <c r="N179" s="16">
        <f t="shared" ref="N179:N182" si="137">L179/M179</f>
        <v>0.13064203647303685</v>
      </c>
      <c r="Q179" s="4" t="s">
        <v>10</v>
      </c>
      <c r="R179">
        <v>0.113</v>
      </c>
      <c r="S179">
        <v>3.6700000000000001E-3</v>
      </c>
      <c r="T179">
        <v>0.7</v>
      </c>
      <c r="U179">
        <v>1.83E-3</v>
      </c>
      <c r="V179">
        <v>0.8</v>
      </c>
      <c r="W179">
        <v>0.38429999999999997</v>
      </c>
      <c r="X179" s="5">
        <v>0.4521</v>
      </c>
    </row>
    <row r="180" spans="2:24" ht="15.75" thickBot="1">
      <c r="B180" s="4">
        <v>3</v>
      </c>
      <c r="C180">
        <v>0.53</v>
      </c>
      <c r="D180">
        <v>2.3800000000000002E-2</v>
      </c>
      <c r="E180">
        <v>4.0999999999999996</v>
      </c>
      <c r="F180">
        <v>1.1900000000000001E-2</v>
      </c>
      <c r="G180">
        <v>5.7</v>
      </c>
      <c r="H180">
        <v>33.33</v>
      </c>
      <c r="I180">
        <v>29.43</v>
      </c>
      <c r="J180" s="27">
        <v>178</v>
      </c>
      <c r="K180">
        <v>150</v>
      </c>
      <c r="L180">
        <v>22.6</v>
      </c>
      <c r="M180" s="22">
        <f t="shared" si="136"/>
        <v>174.60053819999999</v>
      </c>
      <c r="N180" s="16">
        <f t="shared" si="137"/>
        <v>0.12943831807730363</v>
      </c>
      <c r="Q180" s="6" t="s">
        <v>11</v>
      </c>
      <c r="R180" s="7">
        <v>17.309999999999999</v>
      </c>
      <c r="S180" s="7">
        <v>13.72</v>
      </c>
      <c r="T180" s="7">
        <v>16.57</v>
      </c>
      <c r="U180" s="7">
        <v>13.69</v>
      </c>
      <c r="V180" s="7">
        <v>15.04</v>
      </c>
      <c r="W180" s="7">
        <v>1.17</v>
      </c>
      <c r="X180" s="8">
        <v>1.54</v>
      </c>
    </row>
    <row r="181" spans="2:24">
      <c r="B181" s="4">
        <v>4</v>
      </c>
      <c r="C181">
        <v>0.54</v>
      </c>
      <c r="D181">
        <v>2.23E-2</v>
      </c>
      <c r="E181">
        <v>3.2</v>
      </c>
      <c r="F181">
        <v>1.11E-2</v>
      </c>
      <c r="G181">
        <v>4.4000000000000004</v>
      </c>
      <c r="H181">
        <v>32.700000000000003</v>
      </c>
      <c r="I181">
        <v>29.95</v>
      </c>
      <c r="J181" s="27">
        <v>178</v>
      </c>
      <c r="K181">
        <v>150</v>
      </c>
      <c r="L181">
        <v>22.3</v>
      </c>
      <c r="M181" s="22">
        <f t="shared" si="136"/>
        <v>174.32696999999999</v>
      </c>
      <c r="N181" s="16">
        <f t="shared" si="137"/>
        <v>0.12792053920285543</v>
      </c>
    </row>
    <row r="182" spans="2:24" ht="15.75" thickBot="1">
      <c r="B182" s="6">
        <v>5</v>
      </c>
      <c r="C182" s="7">
        <v>0.77500000000000002</v>
      </c>
      <c r="D182" s="7">
        <v>3.09E-2</v>
      </c>
      <c r="E182" s="7">
        <v>4.5999999999999996</v>
      </c>
      <c r="F182" s="7">
        <v>1.54E-2</v>
      </c>
      <c r="G182" s="7">
        <v>5.9</v>
      </c>
      <c r="H182" s="7">
        <v>32.53</v>
      </c>
      <c r="I182" s="7">
        <v>29.24</v>
      </c>
      <c r="J182" s="28">
        <v>179</v>
      </c>
      <c r="K182" s="7">
        <v>150</v>
      </c>
      <c r="L182" s="7">
        <v>22.8</v>
      </c>
      <c r="M182" s="18">
        <f t="shared" si="136"/>
        <v>170.26071880000001</v>
      </c>
      <c r="N182" s="19">
        <f t="shared" si="137"/>
        <v>0.13391227383917281</v>
      </c>
    </row>
    <row r="183" spans="2:24">
      <c r="J183" s="27"/>
    </row>
    <row r="184" spans="2:24" ht="15.75" thickBot="1">
      <c r="J184" s="27"/>
    </row>
    <row r="185" spans="2:24" ht="18.75">
      <c r="B185" s="1" t="s">
        <v>58</v>
      </c>
      <c r="C185" s="2" t="s">
        <v>21</v>
      </c>
      <c r="D185" s="2" t="s">
        <v>22</v>
      </c>
      <c r="E185" s="2" t="s">
        <v>23</v>
      </c>
      <c r="F185" s="2" t="s">
        <v>24</v>
      </c>
      <c r="G185" s="2" t="s">
        <v>25</v>
      </c>
      <c r="H185" s="2" t="s">
        <v>26</v>
      </c>
      <c r="I185" s="2" t="s">
        <v>27</v>
      </c>
      <c r="J185" s="26" t="s">
        <v>28</v>
      </c>
      <c r="K185" s="2" t="s">
        <v>29</v>
      </c>
      <c r="L185" s="9" t="s">
        <v>30</v>
      </c>
      <c r="M185" s="10" t="s">
        <v>31</v>
      </c>
      <c r="N185" s="11" t="s">
        <v>32</v>
      </c>
      <c r="Q185" s="1" t="s">
        <v>6</v>
      </c>
      <c r="R185" s="2" t="s">
        <v>37</v>
      </c>
      <c r="S185" s="2" t="s">
        <v>38</v>
      </c>
      <c r="T185" s="2" t="s">
        <v>39</v>
      </c>
      <c r="U185" s="2" t="s">
        <v>40</v>
      </c>
      <c r="V185" s="2" t="s">
        <v>41</v>
      </c>
      <c r="W185" s="2" t="s">
        <v>36</v>
      </c>
      <c r="X185" s="3" t="s">
        <v>42</v>
      </c>
    </row>
    <row r="186" spans="2:24" ht="15.75" thickBot="1">
      <c r="B186" s="4" t="s">
        <v>0</v>
      </c>
      <c r="C186" t="s">
        <v>1</v>
      </c>
      <c r="D186" t="s">
        <v>2</v>
      </c>
      <c r="E186" t="s">
        <v>3</v>
      </c>
      <c r="F186" t="s">
        <v>2</v>
      </c>
      <c r="G186" t="s">
        <v>3</v>
      </c>
      <c r="H186" t="s">
        <v>4</v>
      </c>
      <c r="I186" t="s">
        <v>4</v>
      </c>
      <c r="J186" s="27" t="s">
        <v>5</v>
      </c>
      <c r="N186" s="5"/>
      <c r="Q186" s="4" t="s">
        <v>14</v>
      </c>
      <c r="R186" t="s">
        <v>1</v>
      </c>
      <c r="S186" t="s">
        <v>2</v>
      </c>
      <c r="T186" t="s">
        <v>3</v>
      </c>
      <c r="U186" t="s">
        <v>2</v>
      </c>
      <c r="V186" t="s">
        <v>3</v>
      </c>
      <c r="W186" t="s">
        <v>8</v>
      </c>
      <c r="X186" s="5" t="s">
        <v>8</v>
      </c>
    </row>
    <row r="187" spans="2:24">
      <c r="B187" s="1">
        <v>1</v>
      </c>
      <c r="C187" s="2">
        <v>1.1399999999999999</v>
      </c>
      <c r="D187" s="2">
        <v>4.48E-2</v>
      </c>
      <c r="E187" s="2">
        <v>4.5999999999999996</v>
      </c>
      <c r="F187" s="2">
        <v>2.24E-2</v>
      </c>
      <c r="G187" s="2">
        <v>6.1</v>
      </c>
      <c r="H187" s="2">
        <v>30.77</v>
      </c>
      <c r="I187" s="2">
        <v>29.26</v>
      </c>
      <c r="J187" s="26">
        <v>176</v>
      </c>
      <c r="K187" s="2">
        <v>150</v>
      </c>
      <c r="L187" s="2">
        <v>23</v>
      </c>
      <c r="M187" s="9">
        <f>(H187*I187*J187)/1000</f>
        <v>158.45811520000001</v>
      </c>
      <c r="N187" s="11">
        <f>L187/M187</f>
        <v>0.1451487667322702</v>
      </c>
      <c r="Q187" s="4" t="s">
        <v>9</v>
      </c>
      <c r="R187">
        <v>1.21</v>
      </c>
      <c r="S187">
        <v>3.8899999999999997E-2</v>
      </c>
      <c r="T187">
        <v>3.9</v>
      </c>
      <c r="U187">
        <v>1.9400000000000001E-2</v>
      </c>
      <c r="V187">
        <v>5</v>
      </c>
      <c r="W187">
        <v>31.2</v>
      </c>
      <c r="X187" s="5">
        <v>28.89</v>
      </c>
    </row>
    <row r="188" spans="2:24">
      <c r="B188" s="4">
        <v>2</v>
      </c>
      <c r="C188">
        <v>1.3</v>
      </c>
      <c r="D188">
        <v>3.9300000000000002E-2</v>
      </c>
      <c r="E188">
        <v>3.8</v>
      </c>
      <c r="F188">
        <v>1.9699999999999999E-2</v>
      </c>
      <c r="G188">
        <v>5.6</v>
      </c>
      <c r="H188">
        <v>31.25</v>
      </c>
      <c r="I188">
        <v>29.32</v>
      </c>
      <c r="J188" s="27">
        <v>176</v>
      </c>
      <c r="K188">
        <v>150</v>
      </c>
      <c r="L188">
        <v>24.1</v>
      </c>
      <c r="M188" s="22">
        <f t="shared" ref="M188:M191" si="138">(H188*I188*J188)/1000</f>
        <v>161.26</v>
      </c>
      <c r="N188" s="16">
        <f t="shared" ref="N188:N191" si="139">L188/M188</f>
        <v>0.14944809624209354</v>
      </c>
      <c r="Q188" s="4" t="s">
        <v>10</v>
      </c>
      <c r="R188">
        <v>0.11799999999999999</v>
      </c>
      <c r="S188">
        <v>4.9800000000000001E-3</v>
      </c>
      <c r="T188">
        <v>0.4</v>
      </c>
      <c r="U188">
        <v>2.47E-3</v>
      </c>
      <c r="V188">
        <v>0.9</v>
      </c>
      <c r="W188">
        <v>0.25819999999999999</v>
      </c>
      <c r="X188" s="5">
        <v>0.39319999999999999</v>
      </c>
    </row>
    <row r="189" spans="2:24" ht="15.75" thickBot="1">
      <c r="B189" s="4">
        <v>3</v>
      </c>
      <c r="C189">
        <v>1.1100000000000001</v>
      </c>
      <c r="D189">
        <v>3.1600000000000003E-2</v>
      </c>
      <c r="E189">
        <v>3.3</v>
      </c>
      <c r="F189">
        <v>1.5800000000000002E-2</v>
      </c>
      <c r="G189">
        <v>3.7</v>
      </c>
      <c r="H189">
        <v>31.36</v>
      </c>
      <c r="I189">
        <v>28.5</v>
      </c>
      <c r="J189" s="27">
        <v>176</v>
      </c>
      <c r="K189">
        <v>150</v>
      </c>
      <c r="L189">
        <v>24</v>
      </c>
      <c r="M189" s="22">
        <f t="shared" si="138"/>
        <v>157.30176</v>
      </c>
      <c r="N189" s="16">
        <f t="shared" si="139"/>
        <v>0.15257299091885557</v>
      </c>
      <c r="Q189" s="6" t="s">
        <v>11</v>
      </c>
      <c r="R189" s="7">
        <v>9.8000000000000007</v>
      </c>
      <c r="S189" s="7">
        <v>12.81</v>
      </c>
      <c r="T189" s="7">
        <v>11.27</v>
      </c>
      <c r="U189" s="7">
        <v>12.74</v>
      </c>
      <c r="V189" s="7">
        <v>18.489999999999998</v>
      </c>
      <c r="W189" s="7">
        <v>0.83</v>
      </c>
      <c r="X189" s="8">
        <v>1.36</v>
      </c>
    </row>
    <row r="190" spans="2:24">
      <c r="B190" s="4">
        <v>4</v>
      </c>
      <c r="C190">
        <v>1.1200000000000001</v>
      </c>
      <c r="D190">
        <v>3.6900000000000002E-2</v>
      </c>
      <c r="E190">
        <v>3.9</v>
      </c>
      <c r="F190">
        <v>1.8499999999999999E-2</v>
      </c>
      <c r="G190">
        <v>5.0999999999999996</v>
      </c>
      <c r="H190">
        <v>31.17</v>
      </c>
      <c r="I190">
        <v>28.88</v>
      </c>
      <c r="J190" s="27">
        <v>176</v>
      </c>
      <c r="K190">
        <v>150</v>
      </c>
      <c r="L190">
        <v>24</v>
      </c>
      <c r="M190" s="22">
        <f t="shared" si="138"/>
        <v>158.43336959999999</v>
      </c>
      <c r="N190" s="16">
        <f t="shared" si="139"/>
        <v>0.15148323904612582</v>
      </c>
    </row>
    <row r="191" spans="2:24" ht="15.75" thickBot="1">
      <c r="B191" s="6">
        <v>5</v>
      </c>
      <c r="C191" s="7">
        <v>1.37</v>
      </c>
      <c r="D191" s="7">
        <v>4.1599999999999998E-2</v>
      </c>
      <c r="E191" s="7">
        <v>3.9</v>
      </c>
      <c r="F191" s="7">
        <v>2.07E-2</v>
      </c>
      <c r="G191" s="7">
        <v>4.4000000000000004</v>
      </c>
      <c r="H191" s="7">
        <v>31.43</v>
      </c>
      <c r="I191" s="7">
        <v>28.51</v>
      </c>
      <c r="J191" s="28">
        <v>176</v>
      </c>
      <c r="K191" s="7">
        <v>150</v>
      </c>
      <c r="L191" s="7">
        <v>23.9</v>
      </c>
      <c r="M191" s="18">
        <f t="shared" si="138"/>
        <v>157.7081968</v>
      </c>
      <c r="N191" s="19">
        <f t="shared" si="139"/>
        <v>0.15154570583486629</v>
      </c>
    </row>
    <row r="193" spans="2:24" ht="15.75" thickBot="1"/>
    <row r="194" spans="2:24" ht="18.75">
      <c r="B194" s="1" t="s">
        <v>56</v>
      </c>
      <c r="C194" s="2" t="s">
        <v>21</v>
      </c>
      <c r="D194" s="2" t="s">
        <v>22</v>
      </c>
      <c r="E194" s="2" t="s">
        <v>23</v>
      </c>
      <c r="F194" s="2" t="s">
        <v>24</v>
      </c>
      <c r="G194" s="2" t="s">
        <v>25</v>
      </c>
      <c r="H194" s="2" t="s">
        <v>26</v>
      </c>
      <c r="I194" s="2" t="s">
        <v>27</v>
      </c>
      <c r="J194" s="26" t="s">
        <v>28</v>
      </c>
      <c r="K194" s="2" t="s">
        <v>29</v>
      </c>
      <c r="L194" s="9" t="s">
        <v>30</v>
      </c>
      <c r="M194" s="10" t="s">
        <v>31</v>
      </c>
      <c r="N194" s="11" t="s">
        <v>32</v>
      </c>
      <c r="Q194" s="1" t="s">
        <v>6</v>
      </c>
      <c r="R194" s="2" t="s">
        <v>37</v>
      </c>
      <c r="S194" s="2" t="s">
        <v>38</v>
      </c>
      <c r="T194" s="2" t="s">
        <v>39</v>
      </c>
      <c r="U194" s="2" t="s">
        <v>40</v>
      </c>
      <c r="V194" s="2" t="s">
        <v>41</v>
      </c>
      <c r="W194" s="2" t="s">
        <v>36</v>
      </c>
      <c r="X194" s="3" t="s">
        <v>42</v>
      </c>
    </row>
    <row r="195" spans="2:24" ht="15.75" thickBot="1">
      <c r="B195" s="4" t="s">
        <v>0</v>
      </c>
      <c r="C195" t="s">
        <v>1</v>
      </c>
      <c r="D195" t="s">
        <v>2</v>
      </c>
      <c r="E195" t="s">
        <v>3</v>
      </c>
      <c r="F195" t="s">
        <v>2</v>
      </c>
      <c r="G195" t="s">
        <v>3</v>
      </c>
      <c r="H195" t="s">
        <v>4</v>
      </c>
      <c r="I195" t="s">
        <v>4</v>
      </c>
      <c r="J195" s="27" t="s">
        <v>5</v>
      </c>
      <c r="N195" s="5"/>
      <c r="Q195" s="4" t="s">
        <v>14</v>
      </c>
      <c r="R195" t="s">
        <v>1</v>
      </c>
      <c r="S195" t="s">
        <v>2</v>
      </c>
      <c r="T195" t="s">
        <v>3</v>
      </c>
      <c r="U195" t="s">
        <v>2</v>
      </c>
      <c r="V195" t="s">
        <v>3</v>
      </c>
      <c r="W195" t="s">
        <v>8</v>
      </c>
      <c r="X195" s="5" t="s">
        <v>8</v>
      </c>
    </row>
    <row r="196" spans="2:24">
      <c r="B196" s="1">
        <v>1</v>
      </c>
      <c r="C196" s="2">
        <v>0.82899999999999996</v>
      </c>
      <c r="D196" s="2">
        <v>4.3799999999999999E-2</v>
      </c>
      <c r="E196" s="2">
        <v>6.3</v>
      </c>
      <c r="F196" s="2">
        <v>3.5900000000000001E-2</v>
      </c>
      <c r="G196" s="2">
        <v>6.7</v>
      </c>
      <c r="H196" s="2">
        <v>32.9</v>
      </c>
      <c r="I196" s="2">
        <v>28.97</v>
      </c>
      <c r="J196" s="26">
        <v>178</v>
      </c>
      <c r="K196" s="2">
        <v>150</v>
      </c>
      <c r="L196" s="2">
        <v>17.3</v>
      </c>
      <c r="M196" s="9">
        <f>(H196*I196*J196)/1000</f>
        <v>169.65411399999999</v>
      </c>
      <c r="N196" s="11">
        <f>L196/M196</f>
        <v>0.10197218088091869</v>
      </c>
      <c r="Q196" s="4" t="s">
        <v>9</v>
      </c>
      <c r="R196">
        <v>0.876</v>
      </c>
      <c r="S196">
        <v>3.4599999999999999E-2</v>
      </c>
      <c r="T196">
        <v>4.5</v>
      </c>
      <c r="U196">
        <v>2.01E-2</v>
      </c>
      <c r="V196">
        <v>5.6</v>
      </c>
      <c r="W196">
        <v>32.51</v>
      </c>
      <c r="X196" s="5">
        <v>28.84</v>
      </c>
    </row>
    <row r="197" spans="2:24">
      <c r="B197" s="4">
        <v>2</v>
      </c>
      <c r="C197">
        <v>1.1200000000000001</v>
      </c>
      <c r="D197">
        <v>3.6799999999999999E-2</v>
      </c>
      <c r="E197">
        <v>3.9</v>
      </c>
      <c r="F197">
        <v>1.84E-2</v>
      </c>
      <c r="G197">
        <v>5.0999999999999996</v>
      </c>
      <c r="H197">
        <v>32.32</v>
      </c>
      <c r="I197">
        <v>28.68</v>
      </c>
      <c r="J197" s="27">
        <v>178</v>
      </c>
      <c r="K197">
        <v>150</v>
      </c>
      <c r="L197">
        <v>17.5</v>
      </c>
      <c r="M197" s="22">
        <f t="shared" ref="M197:M200" si="140">(H197*I197*J197)/1000</f>
        <v>164.9948928</v>
      </c>
      <c r="N197" s="16">
        <f t="shared" ref="N197:N200" si="141">L197/M197</f>
        <v>0.10606388902723661</v>
      </c>
      <c r="Q197" s="4" t="s">
        <v>10</v>
      </c>
      <c r="R197">
        <v>0.14799999999999999</v>
      </c>
      <c r="S197">
        <v>6.1199999999999996E-3</v>
      </c>
      <c r="T197">
        <v>1.3</v>
      </c>
      <c r="U197">
        <v>8.9999999999999993E-3</v>
      </c>
      <c r="V197">
        <v>0.9</v>
      </c>
      <c r="W197">
        <v>0.27310000000000001</v>
      </c>
      <c r="X197" s="5">
        <v>0.19869999999999999</v>
      </c>
    </row>
    <row r="198" spans="2:24" ht="15.75" thickBot="1">
      <c r="B198" s="4">
        <v>3</v>
      </c>
      <c r="C198">
        <v>0.81299999999999994</v>
      </c>
      <c r="D198">
        <v>2.7699999999999999E-2</v>
      </c>
      <c r="E198">
        <v>3.6</v>
      </c>
      <c r="F198">
        <v>1.3899999999999999E-2</v>
      </c>
      <c r="G198">
        <v>5.2</v>
      </c>
      <c r="H198">
        <v>32.450000000000003</v>
      </c>
      <c r="I198">
        <v>28.97</v>
      </c>
      <c r="J198" s="27">
        <v>180</v>
      </c>
      <c r="K198">
        <v>150</v>
      </c>
      <c r="L198">
        <v>17.100000000000001</v>
      </c>
      <c r="M198" s="22">
        <f t="shared" si="140"/>
        <v>169.21376999999998</v>
      </c>
      <c r="N198" s="16">
        <f t="shared" si="141"/>
        <v>0.10105560558103518</v>
      </c>
      <c r="Q198" s="6" t="s">
        <v>11</v>
      </c>
      <c r="R198" s="7">
        <v>16.850000000000001</v>
      </c>
      <c r="S198" s="7">
        <v>17.690000000000001</v>
      </c>
      <c r="T198" s="7">
        <v>28.47</v>
      </c>
      <c r="U198" s="7">
        <v>44.76</v>
      </c>
      <c r="V198" s="7">
        <v>15.57</v>
      </c>
      <c r="W198" s="7">
        <v>0.84</v>
      </c>
      <c r="X198" s="8">
        <v>0.69</v>
      </c>
    </row>
    <row r="199" spans="2:24">
      <c r="B199" s="4">
        <v>4</v>
      </c>
      <c r="C199">
        <v>0.72399999999999998</v>
      </c>
      <c r="D199">
        <v>3.3700000000000001E-2</v>
      </c>
      <c r="E199">
        <v>5.4</v>
      </c>
      <c r="F199">
        <v>1.6799999999999999E-2</v>
      </c>
      <c r="G199">
        <v>6.3</v>
      </c>
      <c r="H199">
        <v>32.659999999999997</v>
      </c>
      <c r="I199">
        <v>29</v>
      </c>
      <c r="J199" s="27">
        <v>179</v>
      </c>
      <c r="K199">
        <v>150</v>
      </c>
      <c r="L199">
        <v>17.2</v>
      </c>
      <c r="M199" s="22">
        <f t="shared" si="140"/>
        <v>169.53805999999997</v>
      </c>
      <c r="N199" s="16">
        <f t="shared" si="141"/>
        <v>0.10145214590753251</v>
      </c>
    </row>
    <row r="200" spans="2:24" ht="15.75" thickBot="1">
      <c r="B200" s="6">
        <v>5</v>
      </c>
      <c r="C200" s="7">
        <v>0.89900000000000002</v>
      </c>
      <c r="D200" s="7">
        <v>3.1099999999999999E-2</v>
      </c>
      <c r="E200" s="7">
        <v>3.3</v>
      </c>
      <c r="F200" s="7">
        <v>1.5599999999999999E-2</v>
      </c>
      <c r="G200" s="7">
        <v>4.7</v>
      </c>
      <c r="H200" s="7">
        <v>32.22</v>
      </c>
      <c r="I200" s="7">
        <v>28.57</v>
      </c>
      <c r="J200" s="28">
        <v>179</v>
      </c>
      <c r="K200" s="7">
        <v>150</v>
      </c>
      <c r="L200" s="7">
        <v>16.8</v>
      </c>
      <c r="M200" s="18">
        <f t="shared" si="140"/>
        <v>164.77404659999999</v>
      </c>
      <c r="N200" s="19">
        <f t="shared" si="141"/>
        <v>0.10195780431843811</v>
      </c>
    </row>
    <row r="202" spans="2:24" ht="15.75" thickBot="1"/>
    <row r="203" spans="2:24" ht="18.75">
      <c r="B203" s="1" t="s">
        <v>55</v>
      </c>
      <c r="C203" s="2" t="s">
        <v>21</v>
      </c>
      <c r="D203" s="2" t="s">
        <v>22</v>
      </c>
      <c r="E203" s="2" t="s">
        <v>23</v>
      </c>
      <c r="F203" s="2" t="s">
        <v>24</v>
      </c>
      <c r="G203" s="2" t="s">
        <v>25</v>
      </c>
      <c r="H203" s="2" t="s">
        <v>26</v>
      </c>
      <c r="I203" s="2" t="s">
        <v>27</v>
      </c>
      <c r="J203" s="26" t="s">
        <v>28</v>
      </c>
      <c r="K203" s="2" t="s">
        <v>29</v>
      </c>
      <c r="L203" s="9" t="s">
        <v>30</v>
      </c>
      <c r="M203" s="10" t="s">
        <v>31</v>
      </c>
      <c r="N203" s="11" t="s">
        <v>32</v>
      </c>
      <c r="Q203" s="1" t="s">
        <v>6</v>
      </c>
      <c r="R203" s="2" t="s">
        <v>37</v>
      </c>
      <c r="S203" s="2" t="s">
        <v>38</v>
      </c>
      <c r="T203" s="2" t="s">
        <v>39</v>
      </c>
      <c r="U203" s="2" t="s">
        <v>40</v>
      </c>
      <c r="V203" s="2" t="s">
        <v>41</v>
      </c>
      <c r="W203" s="2" t="s">
        <v>36</v>
      </c>
      <c r="X203" s="3" t="s">
        <v>42</v>
      </c>
    </row>
    <row r="204" spans="2:24" ht="15.75" thickBot="1">
      <c r="B204" s="4" t="s">
        <v>0</v>
      </c>
      <c r="C204" t="s">
        <v>1</v>
      </c>
      <c r="D204" t="s">
        <v>2</v>
      </c>
      <c r="E204" t="s">
        <v>3</v>
      </c>
      <c r="F204" t="s">
        <v>2</v>
      </c>
      <c r="G204" t="s">
        <v>3</v>
      </c>
      <c r="H204" t="s">
        <v>4</v>
      </c>
      <c r="I204" t="s">
        <v>4</v>
      </c>
      <c r="J204" s="27" t="s">
        <v>5</v>
      </c>
      <c r="N204" s="5"/>
      <c r="Q204" s="4" t="s">
        <v>14</v>
      </c>
      <c r="R204" t="s">
        <v>1</v>
      </c>
      <c r="S204" t="s">
        <v>2</v>
      </c>
      <c r="T204" t="s">
        <v>3</v>
      </c>
      <c r="U204" t="s">
        <v>2</v>
      </c>
      <c r="V204" t="s">
        <v>3</v>
      </c>
      <c r="W204" t="s">
        <v>8</v>
      </c>
      <c r="X204" s="5" t="s">
        <v>8</v>
      </c>
    </row>
    <row r="205" spans="2:24">
      <c r="B205" s="1">
        <v>1</v>
      </c>
      <c r="C205" s="2">
        <v>1.38</v>
      </c>
      <c r="D205" s="2">
        <v>6.2100000000000002E-2</v>
      </c>
      <c r="E205" s="2">
        <v>6.6</v>
      </c>
      <c r="F205" s="2">
        <v>3.1E-2</v>
      </c>
      <c r="G205" s="2">
        <v>7.6</v>
      </c>
      <c r="H205" s="2">
        <v>34.06</v>
      </c>
      <c r="I205" s="2">
        <v>29.38</v>
      </c>
      <c r="J205" s="26">
        <v>179</v>
      </c>
      <c r="K205" s="2">
        <v>150</v>
      </c>
      <c r="L205" s="2">
        <v>19.2</v>
      </c>
      <c r="M205" s="9">
        <f>(H205*I205*J205)/1000</f>
        <v>179.12222120000001</v>
      </c>
      <c r="N205" s="11">
        <f>L205/M205</f>
        <v>0.10718938092310792</v>
      </c>
      <c r="Q205" s="4" t="s">
        <v>9</v>
      </c>
      <c r="R205">
        <v>1.22</v>
      </c>
      <c r="S205">
        <v>4.6899999999999997E-2</v>
      </c>
      <c r="T205">
        <v>5.3</v>
      </c>
      <c r="U205">
        <v>2.4199999999999999E-2</v>
      </c>
      <c r="V205">
        <v>6.3</v>
      </c>
      <c r="W205">
        <v>34.409999999999997</v>
      </c>
      <c r="X205" s="5">
        <v>29.26</v>
      </c>
    </row>
    <row r="206" spans="2:24">
      <c r="B206" s="4">
        <v>2</v>
      </c>
      <c r="C206">
        <v>1.25</v>
      </c>
      <c r="D206">
        <v>4.1799999999999997E-2</v>
      </c>
      <c r="E206">
        <v>3.9</v>
      </c>
      <c r="F206">
        <v>2.0899999999999998E-2</v>
      </c>
      <c r="G206">
        <v>4.8</v>
      </c>
      <c r="H206">
        <v>33.68</v>
      </c>
      <c r="I206">
        <v>29.38</v>
      </c>
      <c r="J206" s="27">
        <v>180</v>
      </c>
      <c r="K206">
        <v>150</v>
      </c>
      <c r="L206">
        <v>19.399999999999999</v>
      </c>
      <c r="M206" s="22">
        <f t="shared" ref="M206:M209" si="142">(H206*I206*J206)/1000</f>
        <v>178.11331199999998</v>
      </c>
      <c r="N206" s="16">
        <f t="shared" ref="N206:N209" si="143">L206/M206</f>
        <v>0.10891942765064073</v>
      </c>
      <c r="Q206" s="4" t="s">
        <v>10</v>
      </c>
      <c r="R206">
        <v>0.2</v>
      </c>
      <c r="S206">
        <v>9.3699999999999999E-3</v>
      </c>
      <c r="T206">
        <v>1.3</v>
      </c>
      <c r="U206">
        <v>4.9899999999999996E-3</v>
      </c>
      <c r="V206">
        <v>1.4</v>
      </c>
      <c r="W206">
        <v>0.53210000000000002</v>
      </c>
      <c r="X206" s="5">
        <v>0.2722</v>
      </c>
    </row>
    <row r="207" spans="2:24" ht="15.75" thickBot="1">
      <c r="B207" s="4">
        <v>3</v>
      </c>
      <c r="C207">
        <v>1.43</v>
      </c>
      <c r="D207">
        <v>4.6899999999999997E-2</v>
      </c>
      <c r="E207">
        <v>5</v>
      </c>
      <c r="F207">
        <v>2.3400000000000001E-2</v>
      </c>
      <c r="G207">
        <v>6.3</v>
      </c>
      <c r="H207">
        <v>34.57</v>
      </c>
      <c r="I207">
        <v>28.78</v>
      </c>
      <c r="J207" s="27">
        <v>179</v>
      </c>
      <c r="K207">
        <v>150</v>
      </c>
      <c r="L207">
        <v>18.899999999999999</v>
      </c>
      <c r="M207" s="22">
        <f t="shared" si="142"/>
        <v>178.09150340000002</v>
      </c>
      <c r="N207" s="16">
        <f t="shared" si="143"/>
        <v>0.10612522012097292</v>
      </c>
      <c r="Q207" s="6" t="s">
        <v>11</v>
      </c>
      <c r="R207" s="7">
        <v>16.41</v>
      </c>
      <c r="S207" s="7">
        <v>19.98</v>
      </c>
      <c r="T207" s="7">
        <v>23.58</v>
      </c>
      <c r="U207" s="7">
        <v>20.6</v>
      </c>
      <c r="V207" s="7">
        <v>21.47</v>
      </c>
      <c r="W207" s="7">
        <v>1.55</v>
      </c>
      <c r="X207" s="8">
        <v>0.93</v>
      </c>
    </row>
    <row r="208" spans="2:24">
      <c r="B208" s="4">
        <v>4</v>
      </c>
      <c r="C208">
        <v>1.02</v>
      </c>
      <c r="D208">
        <v>4.6600000000000003E-2</v>
      </c>
      <c r="E208">
        <v>6.7</v>
      </c>
      <c r="F208">
        <v>2.7400000000000001E-2</v>
      </c>
      <c r="G208">
        <v>7.8</v>
      </c>
      <c r="H208">
        <v>34.81</v>
      </c>
      <c r="I208">
        <v>29.33</v>
      </c>
      <c r="J208" s="27">
        <v>179</v>
      </c>
      <c r="K208">
        <v>150</v>
      </c>
      <c r="L208">
        <v>18.8</v>
      </c>
      <c r="M208" s="22">
        <f t="shared" si="142"/>
        <v>182.7549367</v>
      </c>
      <c r="N208" s="16">
        <f t="shared" si="143"/>
        <v>0.10286999814872853</v>
      </c>
    </row>
    <row r="209" spans="2:24" ht="15.75" thickBot="1">
      <c r="B209" s="6">
        <v>5</v>
      </c>
      <c r="C209" s="7">
        <v>0.995</v>
      </c>
      <c r="D209" s="7">
        <v>3.7199999999999997E-2</v>
      </c>
      <c r="E209" s="7">
        <v>4.5</v>
      </c>
      <c r="F209" s="7">
        <v>1.8499999999999999E-2</v>
      </c>
      <c r="G209" s="7">
        <v>5.2</v>
      </c>
      <c r="H209" s="7">
        <v>34.950000000000003</v>
      </c>
      <c r="I209" s="7">
        <v>29.44</v>
      </c>
      <c r="J209" s="28">
        <v>180</v>
      </c>
      <c r="K209" s="7">
        <v>150</v>
      </c>
      <c r="L209" s="7">
        <v>19.3</v>
      </c>
      <c r="M209" s="18">
        <f t="shared" si="142"/>
        <v>185.20704000000001</v>
      </c>
      <c r="N209" s="19">
        <f t="shared" si="143"/>
        <v>0.10420770182386156</v>
      </c>
    </row>
    <row r="212" spans="2:24" ht="15.75" thickBot="1">
      <c r="B212" s="21">
        <v>45644</v>
      </c>
    </row>
    <row r="213" spans="2:24" ht="18.75">
      <c r="B213" s="1" t="s">
        <v>101</v>
      </c>
      <c r="C213" s="2" t="s">
        <v>21</v>
      </c>
      <c r="D213" s="2" t="s">
        <v>22</v>
      </c>
      <c r="E213" s="2" t="s">
        <v>23</v>
      </c>
      <c r="F213" s="2" t="s">
        <v>24</v>
      </c>
      <c r="G213" s="2" t="s">
        <v>25</v>
      </c>
      <c r="H213" s="2" t="s">
        <v>26</v>
      </c>
      <c r="I213" s="2" t="s">
        <v>27</v>
      </c>
      <c r="J213" s="26" t="s">
        <v>28</v>
      </c>
      <c r="K213" s="2" t="s">
        <v>29</v>
      </c>
      <c r="L213" s="9" t="s">
        <v>30</v>
      </c>
      <c r="M213" s="10" t="s">
        <v>31</v>
      </c>
      <c r="N213" s="11" t="s">
        <v>32</v>
      </c>
      <c r="Q213" s="1" t="s">
        <v>6</v>
      </c>
      <c r="R213" s="2" t="s">
        <v>37</v>
      </c>
      <c r="S213" s="2" t="s">
        <v>38</v>
      </c>
      <c r="T213" s="2" t="s">
        <v>39</v>
      </c>
      <c r="U213" s="2" t="s">
        <v>40</v>
      </c>
      <c r="V213" s="2" t="s">
        <v>41</v>
      </c>
      <c r="W213" s="2" t="s">
        <v>36</v>
      </c>
      <c r="X213" s="3" t="s">
        <v>42</v>
      </c>
    </row>
    <row r="214" spans="2:24" ht="15.75" thickBot="1">
      <c r="B214" s="4" t="s">
        <v>0</v>
      </c>
      <c r="C214" t="s">
        <v>1</v>
      </c>
      <c r="D214" t="s">
        <v>2</v>
      </c>
      <c r="E214" t="s">
        <v>3</v>
      </c>
      <c r="F214" t="s">
        <v>2</v>
      </c>
      <c r="G214" t="s">
        <v>3</v>
      </c>
      <c r="H214" t="s">
        <v>4</v>
      </c>
      <c r="I214" t="s">
        <v>4</v>
      </c>
      <c r="J214" s="27" t="s">
        <v>5</v>
      </c>
      <c r="N214" s="5"/>
      <c r="Q214" s="4" t="s">
        <v>14</v>
      </c>
      <c r="R214" t="s">
        <v>1</v>
      </c>
      <c r="S214" t="s">
        <v>2</v>
      </c>
      <c r="T214" t="s">
        <v>3</v>
      </c>
      <c r="U214" t="s">
        <v>2</v>
      </c>
      <c r="V214" t="s">
        <v>3</v>
      </c>
      <c r="W214" t="s">
        <v>8</v>
      </c>
      <c r="X214" s="5" t="s">
        <v>8</v>
      </c>
    </row>
    <row r="215" spans="2:24">
      <c r="B215" s="1">
        <v>1</v>
      </c>
      <c r="C215" s="2">
        <v>4.67</v>
      </c>
      <c r="D215" s="2">
        <v>0.11899999999999999</v>
      </c>
      <c r="E215" s="2">
        <v>3.9</v>
      </c>
      <c r="F215" s="2">
        <v>5.9700000000000003E-2</v>
      </c>
      <c r="G215" s="2">
        <v>5.4</v>
      </c>
      <c r="H215" s="2">
        <v>35.71</v>
      </c>
      <c r="I215" s="2">
        <v>29.04</v>
      </c>
      <c r="J215" s="46">
        <v>192</v>
      </c>
      <c r="K215" s="2">
        <v>150</v>
      </c>
      <c r="L215" s="44">
        <v>27.7</v>
      </c>
      <c r="M215" s="9">
        <f t="shared" ref="M215:M219" si="144">(H215*I215*J215)/1000</f>
        <v>199.10753279999997</v>
      </c>
      <c r="N215" s="11">
        <f t="shared" ref="N215:N219" si="145">L215/M215</f>
        <v>0.13912080377101635</v>
      </c>
      <c r="Q215" s="4" t="s">
        <v>9</v>
      </c>
      <c r="R215" s="22">
        <f>AVERAGE(C215:C219)</f>
        <v>3.8039999999999998</v>
      </c>
      <c r="S215" s="51">
        <f>AVERAGE(D215:D219)</f>
        <v>0.11456</v>
      </c>
      <c r="T215" s="22">
        <f t="shared" ref="T215" si="146">AVERAGE(E215:E219)</f>
        <v>3.9599999999999995</v>
      </c>
      <c r="U215" s="22">
        <f t="shared" ref="U215" si="147">AVERAGE(F215:F219)</f>
        <v>5.7320000000000003E-2</v>
      </c>
      <c r="V215" s="22">
        <f t="shared" ref="V215" si="148">AVERAGE(G215:G219)</f>
        <v>5.24</v>
      </c>
      <c r="W215" s="22">
        <f t="shared" ref="W215" si="149">AVERAGE(H215:H219)</f>
        <v>34.372</v>
      </c>
      <c r="X215" s="49">
        <f t="shared" ref="X215" si="150">AVERAGE(I215:I219)</f>
        <v>29.086000000000002</v>
      </c>
    </row>
    <row r="216" spans="2:24">
      <c r="B216" s="4">
        <v>2</v>
      </c>
      <c r="C216">
        <v>3.18</v>
      </c>
      <c r="D216">
        <v>0.12</v>
      </c>
      <c r="E216">
        <v>3.7</v>
      </c>
      <c r="F216">
        <v>5.9900000000000002E-2</v>
      </c>
      <c r="G216">
        <v>4.9000000000000004</v>
      </c>
      <c r="H216">
        <v>34.450000000000003</v>
      </c>
      <c r="I216">
        <v>29.08</v>
      </c>
      <c r="J216" s="47">
        <v>192</v>
      </c>
      <c r="K216">
        <v>150</v>
      </c>
      <c r="L216" s="43">
        <v>27.4</v>
      </c>
      <c r="M216" s="22">
        <f t="shared" si="144"/>
        <v>192.34675200000001</v>
      </c>
      <c r="N216" s="16">
        <f t="shared" si="145"/>
        <v>0.14245106670686072</v>
      </c>
      <c r="Q216" s="4" t="s">
        <v>10</v>
      </c>
      <c r="R216" s="22">
        <f>_xlfn.STDEV.S(C215:C219)</f>
        <v>0.95761683360308603</v>
      </c>
      <c r="S216" s="51">
        <f t="shared" ref="S216" si="151">_xlfn.STDEV.S(D215:D219)</f>
        <v>1.27502156844502E-2</v>
      </c>
      <c r="T216" s="22">
        <f t="shared" ref="T216" si="152">_xlfn.STDEV.S(E215:E219)</f>
        <v>0.38470768123342691</v>
      </c>
      <c r="U216" s="22">
        <f t="shared" ref="U216" si="153">_xlfn.STDEV.S(F215:F219)</f>
        <v>6.4526738643759145E-3</v>
      </c>
      <c r="V216" s="22">
        <f t="shared" ref="V216" si="154">_xlfn.STDEV.S(G215:G219)</f>
        <v>0.48270073544588682</v>
      </c>
      <c r="W216" s="22">
        <f t="shared" ref="W216" si="155">_xlfn.STDEV.S(H215:H219)</f>
        <v>0.95766382410530737</v>
      </c>
      <c r="X216" s="49">
        <f t="shared" ref="X216" si="156">_xlfn.STDEV.S(I215:I219)</f>
        <v>5.4589376255824856E-2</v>
      </c>
    </row>
    <row r="217" spans="2:24" ht="15.75" thickBot="1">
      <c r="B217" s="4">
        <v>3</v>
      </c>
      <c r="C217">
        <v>4.3600000000000003</v>
      </c>
      <c r="D217">
        <v>0.121</v>
      </c>
      <c r="E217">
        <v>4.3</v>
      </c>
      <c r="F217">
        <v>6.0600000000000001E-2</v>
      </c>
      <c r="G217">
        <v>5.0999999999999996</v>
      </c>
      <c r="H217">
        <v>33.28</v>
      </c>
      <c r="I217">
        <v>29.16</v>
      </c>
      <c r="J217" s="47">
        <v>188</v>
      </c>
      <c r="K217">
        <v>150</v>
      </c>
      <c r="L217" s="43">
        <v>26.6</v>
      </c>
      <c r="M217" s="22">
        <f>(H217*I217*J217)/1000</f>
        <v>182.44362239999998</v>
      </c>
      <c r="N217" s="16">
        <f t="shared" si="145"/>
        <v>0.14579846447951259</v>
      </c>
      <c r="Q217" s="6" t="s">
        <v>11</v>
      </c>
      <c r="R217" s="18">
        <f>R216/R215*100</f>
        <v>25.173944101027502</v>
      </c>
      <c r="S217" s="52">
        <f t="shared" ref="S217:X217" si="157">S216/S215*100</f>
        <v>11.129727378186278</v>
      </c>
      <c r="T217" s="18">
        <f t="shared" si="157"/>
        <v>9.7148404351875488</v>
      </c>
      <c r="U217" s="18">
        <f t="shared" si="157"/>
        <v>11.257281689420646</v>
      </c>
      <c r="V217" s="18">
        <f t="shared" si="157"/>
        <v>9.2118460962955488</v>
      </c>
      <c r="W217" s="18">
        <f t="shared" si="157"/>
        <v>2.786174281698206</v>
      </c>
      <c r="X217" s="50">
        <f t="shared" si="157"/>
        <v>0.18768265232697812</v>
      </c>
    </row>
    <row r="218" spans="2:24">
      <c r="B218" s="4">
        <v>4</v>
      </c>
      <c r="C218">
        <v>2.4300000000000002</v>
      </c>
      <c r="D218">
        <v>9.1800000000000007E-2</v>
      </c>
      <c r="E218">
        <v>3.5</v>
      </c>
      <c r="F218">
        <v>4.58E-2</v>
      </c>
      <c r="G218">
        <v>4.8</v>
      </c>
      <c r="H218">
        <v>33.65</v>
      </c>
      <c r="I218">
        <v>29.12</v>
      </c>
      <c r="J218" s="47">
        <v>193</v>
      </c>
      <c r="K218">
        <v>150</v>
      </c>
      <c r="L218" s="43">
        <v>26.3</v>
      </c>
      <c r="M218" s="22">
        <f t="shared" si="144"/>
        <v>189.11838400000002</v>
      </c>
      <c r="N218" s="16">
        <f t="shared" si="145"/>
        <v>0.13906633212348091</v>
      </c>
    </row>
    <row r="219" spans="2:24" ht="15.75" thickBot="1">
      <c r="B219" s="6">
        <v>5</v>
      </c>
      <c r="C219" s="7">
        <v>4.38</v>
      </c>
      <c r="D219" s="7">
        <v>0.121</v>
      </c>
      <c r="E219" s="7">
        <v>4.4000000000000004</v>
      </c>
      <c r="F219" s="7">
        <v>6.0600000000000001E-2</v>
      </c>
      <c r="G219" s="7">
        <v>6</v>
      </c>
      <c r="H219" s="7">
        <v>34.770000000000003</v>
      </c>
      <c r="I219" s="7">
        <v>29.03</v>
      </c>
      <c r="J219" s="48">
        <v>192</v>
      </c>
      <c r="K219" s="7">
        <v>150</v>
      </c>
      <c r="L219" s="45">
        <v>26.7</v>
      </c>
      <c r="M219" s="18">
        <f t="shared" si="144"/>
        <v>193.79963520000001</v>
      </c>
      <c r="N219" s="19">
        <f t="shared" si="145"/>
        <v>0.13777115716676022</v>
      </c>
    </row>
    <row r="220" spans="2:24" ht="15.75" thickBot="1"/>
    <row r="221" spans="2:24" ht="18.75">
      <c r="B221" s="1" t="s">
        <v>101</v>
      </c>
      <c r="C221" s="2" t="s">
        <v>21</v>
      </c>
      <c r="D221" s="2" t="s">
        <v>22</v>
      </c>
      <c r="E221" s="2" t="s">
        <v>23</v>
      </c>
      <c r="F221" s="2" t="s">
        <v>24</v>
      </c>
      <c r="G221" s="2" t="s">
        <v>25</v>
      </c>
      <c r="H221" s="2" t="s">
        <v>26</v>
      </c>
      <c r="I221" s="2" t="s">
        <v>27</v>
      </c>
      <c r="J221" s="26" t="s">
        <v>28</v>
      </c>
      <c r="K221" s="2" t="s">
        <v>29</v>
      </c>
      <c r="L221" s="9" t="s">
        <v>30</v>
      </c>
      <c r="M221" s="10" t="s">
        <v>31</v>
      </c>
      <c r="N221" s="11" t="s">
        <v>32</v>
      </c>
      <c r="Q221" s="1" t="s">
        <v>6</v>
      </c>
      <c r="R221" s="2" t="s">
        <v>37</v>
      </c>
      <c r="S221" s="2" t="s">
        <v>38</v>
      </c>
      <c r="T221" s="2" t="s">
        <v>39</v>
      </c>
      <c r="U221" s="2" t="s">
        <v>40</v>
      </c>
      <c r="V221" s="2" t="s">
        <v>41</v>
      </c>
      <c r="W221" s="2" t="s">
        <v>36</v>
      </c>
      <c r="X221" s="3" t="s">
        <v>42</v>
      </c>
    </row>
    <row r="222" spans="2:24" ht="15.75" thickBot="1">
      <c r="B222" s="4" t="s">
        <v>0</v>
      </c>
      <c r="C222" t="s">
        <v>1</v>
      </c>
      <c r="D222" t="s">
        <v>2</v>
      </c>
      <c r="E222" t="s">
        <v>3</v>
      </c>
      <c r="F222" t="s">
        <v>2</v>
      </c>
      <c r="G222" t="s">
        <v>3</v>
      </c>
      <c r="H222" t="s">
        <v>4</v>
      </c>
      <c r="I222" t="s">
        <v>4</v>
      </c>
      <c r="J222" s="27" t="s">
        <v>5</v>
      </c>
      <c r="N222" s="5"/>
      <c r="Q222" s="4" t="s">
        <v>14</v>
      </c>
      <c r="R222" t="s">
        <v>1</v>
      </c>
      <c r="S222" t="s">
        <v>2</v>
      </c>
      <c r="T222" t="s">
        <v>3</v>
      </c>
      <c r="U222" t="s">
        <v>2</v>
      </c>
      <c r="V222" t="s">
        <v>3</v>
      </c>
      <c r="W222" t="s">
        <v>8</v>
      </c>
      <c r="X222" s="5" t="s">
        <v>8</v>
      </c>
    </row>
    <row r="223" spans="2:24">
      <c r="B223" s="1">
        <v>1</v>
      </c>
      <c r="C223" s="2">
        <v>5.25</v>
      </c>
      <c r="D223" s="2">
        <v>0.151</v>
      </c>
      <c r="E223" s="2">
        <v>4</v>
      </c>
      <c r="F223" s="2">
        <v>7.5200000000000003E-2</v>
      </c>
      <c r="G223" s="2">
        <v>5</v>
      </c>
      <c r="H223" s="2">
        <v>33.299999999999997</v>
      </c>
      <c r="I223" s="2">
        <v>28.53</v>
      </c>
      <c r="J223" s="46">
        <v>188</v>
      </c>
      <c r="K223" s="2">
        <v>150</v>
      </c>
      <c r="L223" s="44">
        <v>25.6</v>
      </c>
      <c r="M223" s="9">
        <f t="shared" ref="M223:M228" si="158">(H223*I223*J223)/1000</f>
        <v>178.60921200000001</v>
      </c>
      <c r="N223" s="11">
        <f t="shared" ref="N223:N228" si="159">L223/M223</f>
        <v>0.14332967327575466</v>
      </c>
      <c r="Q223" s="4" t="s">
        <v>9</v>
      </c>
      <c r="R223" s="22">
        <f t="shared" ref="R223:X223" si="160">AVERAGE(C223:C228)</f>
        <v>3.5533333333333332</v>
      </c>
      <c r="S223" s="51">
        <f t="shared" si="160"/>
        <v>0.12771666666666667</v>
      </c>
      <c r="T223" s="22">
        <f t="shared" si="160"/>
        <v>4.1000000000000005</v>
      </c>
      <c r="U223" s="22">
        <f t="shared" si="160"/>
        <v>6.3833333333333339E-2</v>
      </c>
      <c r="V223" s="22">
        <f t="shared" si="160"/>
        <v>5.416666666666667</v>
      </c>
      <c r="W223" s="22">
        <f t="shared" si="160"/>
        <v>34.270000000000003</v>
      </c>
      <c r="X223" s="49">
        <f t="shared" si="160"/>
        <v>28.528333333333336</v>
      </c>
    </row>
    <row r="224" spans="2:24">
      <c r="B224" s="4">
        <v>2</v>
      </c>
      <c r="C224">
        <v>2.91</v>
      </c>
      <c r="D224">
        <v>0.107</v>
      </c>
      <c r="E224">
        <v>4.7</v>
      </c>
      <c r="F224">
        <v>5.3499999999999999E-2</v>
      </c>
      <c r="G224">
        <v>6</v>
      </c>
      <c r="H224">
        <v>34.6</v>
      </c>
      <c r="I224">
        <v>28.51</v>
      </c>
      <c r="J224" s="47">
        <v>186</v>
      </c>
      <c r="K224">
        <v>150</v>
      </c>
      <c r="L224" s="43">
        <v>25.4</v>
      </c>
      <c r="M224" s="22">
        <f t="shared" si="158"/>
        <v>183.47895600000004</v>
      </c>
      <c r="N224" s="16">
        <f t="shared" si="159"/>
        <v>0.13843549447708867</v>
      </c>
      <c r="Q224" s="4" t="s">
        <v>10</v>
      </c>
      <c r="R224" s="22">
        <f t="shared" ref="R224:X224" si="161">_xlfn.STDEV.S(C223:C228)</f>
        <v>1.3357045581514901</v>
      </c>
      <c r="S224" s="51">
        <f t="shared" si="161"/>
        <v>2.5370882260312949E-2</v>
      </c>
      <c r="T224" s="22">
        <f t="shared" si="161"/>
        <v>0.33466401061363038</v>
      </c>
      <c r="U224" s="22">
        <f t="shared" si="161"/>
        <v>1.2670069718303291E-2</v>
      </c>
      <c r="V224" s="22">
        <f t="shared" si="161"/>
        <v>0.47081489639418445</v>
      </c>
      <c r="W224" s="22">
        <f t="shared" si="161"/>
        <v>0.70438625767401342</v>
      </c>
      <c r="X224" s="49">
        <f t="shared" si="161"/>
        <v>0.20817460620034067</v>
      </c>
    </row>
    <row r="225" spans="2:24" ht="15.75" thickBot="1">
      <c r="B225" s="4">
        <v>3</v>
      </c>
      <c r="C225">
        <v>2.56</v>
      </c>
      <c r="D225">
        <v>0.13800000000000001</v>
      </c>
      <c r="E225">
        <v>3.8</v>
      </c>
      <c r="F225">
        <v>6.9000000000000006E-2</v>
      </c>
      <c r="G225">
        <v>5.8</v>
      </c>
      <c r="H225">
        <v>34.18</v>
      </c>
      <c r="I225">
        <v>28.48</v>
      </c>
      <c r="J225" s="47">
        <v>187</v>
      </c>
      <c r="K225">
        <v>150</v>
      </c>
      <c r="L225" s="43">
        <v>25.6</v>
      </c>
      <c r="M225" s="22">
        <f t="shared" si="158"/>
        <v>182.03447679999999</v>
      </c>
      <c r="N225" s="16">
        <f t="shared" si="159"/>
        <v>0.14063270018968188</v>
      </c>
      <c r="Q225" s="6" t="s">
        <v>11</v>
      </c>
      <c r="R225" s="18">
        <f>R224/R223*100</f>
        <v>37.590184563362762</v>
      </c>
      <c r="S225" s="52">
        <f t="shared" ref="S225:X225" si="162">S224/S223*100</f>
        <v>19.864973712890212</v>
      </c>
      <c r="T225" s="18">
        <f t="shared" si="162"/>
        <v>8.1625368442348876</v>
      </c>
      <c r="U225" s="18">
        <f t="shared" si="162"/>
        <v>19.848673187942488</v>
      </c>
      <c r="V225" s="18">
        <f t="shared" si="162"/>
        <v>8.6919673180464816</v>
      </c>
      <c r="W225" s="18">
        <f t="shared" si="162"/>
        <v>2.0554019774555394</v>
      </c>
      <c r="X225" s="50">
        <f t="shared" si="162"/>
        <v>0.72971177028804346</v>
      </c>
    </row>
    <row r="226" spans="2:24">
      <c r="B226" s="4">
        <v>4</v>
      </c>
      <c r="C226">
        <v>3.87</v>
      </c>
      <c r="D226">
        <v>0.13900000000000001</v>
      </c>
      <c r="E226">
        <v>4.2</v>
      </c>
      <c r="F226">
        <v>6.9599999999999995E-2</v>
      </c>
      <c r="G226">
        <v>5.0999999999999996</v>
      </c>
      <c r="H226">
        <v>34.29</v>
      </c>
      <c r="I226">
        <v>28.52</v>
      </c>
      <c r="J226" s="47">
        <v>187</v>
      </c>
      <c r="K226">
        <v>150</v>
      </c>
      <c r="L226" s="43">
        <v>25.7</v>
      </c>
      <c r="M226" s="22">
        <f t="shared" si="158"/>
        <v>182.8767996</v>
      </c>
      <c r="N226" s="16">
        <f t="shared" si="159"/>
        <v>0.14053176814233795</v>
      </c>
    </row>
    <row r="227" spans="2:24">
      <c r="B227" s="4">
        <v>5</v>
      </c>
      <c r="C227">
        <v>4.8600000000000003</v>
      </c>
      <c r="D227">
        <v>0.14499999999999999</v>
      </c>
      <c r="E227">
        <v>3.8</v>
      </c>
      <c r="F227">
        <v>7.2599999999999998E-2</v>
      </c>
      <c r="G227">
        <v>4.9000000000000004</v>
      </c>
      <c r="H227">
        <v>33.86</v>
      </c>
      <c r="I227">
        <v>28.89</v>
      </c>
      <c r="J227" s="47">
        <v>187</v>
      </c>
      <c r="K227">
        <v>150</v>
      </c>
      <c r="L227" s="43">
        <v>25.8</v>
      </c>
      <c r="M227" s="22">
        <f t="shared" si="158"/>
        <v>182.92627980000003</v>
      </c>
      <c r="N227" s="16">
        <f t="shared" si="159"/>
        <v>0.14104042365158292</v>
      </c>
    </row>
    <row r="228" spans="2:24" ht="15.75" thickBot="1">
      <c r="B228" s="6">
        <v>6</v>
      </c>
      <c r="C228" s="7">
        <v>1.87</v>
      </c>
      <c r="D228" s="7">
        <v>8.6300000000000002E-2</v>
      </c>
      <c r="E228" s="7">
        <v>4.0999999999999996</v>
      </c>
      <c r="F228" s="7">
        <v>4.3099999999999999E-2</v>
      </c>
      <c r="G228" s="7">
        <v>5.7</v>
      </c>
      <c r="H228" s="7">
        <v>35.39</v>
      </c>
      <c r="I228" s="7">
        <v>28.24</v>
      </c>
      <c r="J228" s="48">
        <v>187</v>
      </c>
      <c r="K228" s="7">
        <v>150</v>
      </c>
      <c r="L228" s="45">
        <v>26</v>
      </c>
      <c r="M228" s="18">
        <f t="shared" si="158"/>
        <v>186.89034319999999</v>
      </c>
      <c r="N228" s="19">
        <f t="shared" si="159"/>
        <v>0.13911901254403605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2"/>
  <sheetViews>
    <sheetView workbookViewId="0">
      <selection activeCell="M143" sqref="M143"/>
    </sheetView>
  </sheetViews>
  <sheetFormatPr defaultRowHeight="15"/>
  <cols>
    <col min="1" max="1" width="11.85546875" customWidth="1"/>
    <col min="2" max="2" width="10.140625" bestFit="1" customWidth="1"/>
  </cols>
  <sheetData>
    <row r="1" spans="1:26" ht="15.75" thickBot="1">
      <c r="A1" t="s">
        <v>64</v>
      </c>
    </row>
    <row r="2" spans="1:26" ht="18.75">
      <c r="B2" s="1" t="s">
        <v>65</v>
      </c>
      <c r="C2" s="2" t="s">
        <v>66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/>
      <c r="K2" s="9" t="s">
        <v>30</v>
      </c>
      <c r="L2" s="10" t="s">
        <v>31</v>
      </c>
      <c r="M2" s="11" t="s">
        <v>32</v>
      </c>
      <c r="Q2" s="1" t="s">
        <v>6</v>
      </c>
      <c r="R2" s="2" t="s">
        <v>73</v>
      </c>
      <c r="S2" s="2" t="s">
        <v>74</v>
      </c>
      <c r="T2" s="2" t="s">
        <v>75</v>
      </c>
      <c r="U2" s="2" t="s">
        <v>76</v>
      </c>
      <c r="V2" s="2" t="s">
        <v>36</v>
      </c>
      <c r="W2" s="2" t="s">
        <v>28</v>
      </c>
      <c r="X2" s="3" t="s">
        <v>27</v>
      </c>
    </row>
    <row r="3" spans="1:26" ht="15.75" thickBot="1">
      <c r="B3" s="6" t="s">
        <v>0</v>
      </c>
      <c r="C3" s="7" t="s">
        <v>1</v>
      </c>
      <c r="D3" s="7" t="s">
        <v>2</v>
      </c>
      <c r="E3" s="7" t="s">
        <v>77</v>
      </c>
      <c r="F3" s="7" t="s">
        <v>78</v>
      </c>
      <c r="G3" s="7" t="s">
        <v>79</v>
      </c>
      <c r="H3" s="7" t="s">
        <v>79</v>
      </c>
      <c r="I3" s="7" t="s">
        <v>79</v>
      </c>
      <c r="J3" s="7"/>
      <c r="K3" s="29" t="s">
        <v>33</v>
      </c>
      <c r="L3" s="30" t="s">
        <v>34</v>
      </c>
      <c r="M3" s="31" t="s">
        <v>35</v>
      </c>
      <c r="Q3" s="4" t="s">
        <v>14</v>
      </c>
      <c r="R3" t="s">
        <v>1</v>
      </c>
      <c r="S3" t="s">
        <v>2</v>
      </c>
      <c r="T3" t="s">
        <v>77</v>
      </c>
      <c r="U3" t="s">
        <v>78</v>
      </c>
      <c r="V3" t="s">
        <v>79</v>
      </c>
      <c r="W3" t="s">
        <v>79</v>
      </c>
      <c r="X3" s="5" t="s">
        <v>79</v>
      </c>
    </row>
    <row r="4" spans="1:26" ht="30">
      <c r="B4" s="4">
        <v>1</v>
      </c>
      <c r="C4">
        <v>2.96</v>
      </c>
      <c r="D4">
        <v>0.28499999999999998</v>
      </c>
      <c r="E4" t="s">
        <v>62</v>
      </c>
      <c r="F4" t="s">
        <v>63</v>
      </c>
      <c r="G4">
        <v>29.87</v>
      </c>
      <c r="H4">
        <v>29.83</v>
      </c>
      <c r="I4">
        <v>29.96</v>
      </c>
      <c r="K4" s="32">
        <v>6.9</v>
      </c>
      <c r="L4" s="9">
        <f>G4*H4*I4/1000</f>
        <v>26.695022116000001</v>
      </c>
      <c r="M4" s="11">
        <f>K4/L4</f>
        <v>0.25847515578061264</v>
      </c>
      <c r="Q4" s="33" t="s">
        <v>80</v>
      </c>
      <c r="R4">
        <v>2.4</v>
      </c>
      <c r="S4">
        <v>0.24099999999999999</v>
      </c>
      <c r="T4">
        <v>0.219</v>
      </c>
      <c r="U4">
        <v>10</v>
      </c>
      <c r="V4">
        <v>29.92</v>
      </c>
      <c r="W4">
        <v>29.83</v>
      </c>
      <c r="X4" s="5">
        <v>29.94</v>
      </c>
    </row>
    <row r="5" spans="1:26">
      <c r="B5" s="4">
        <v>2</v>
      </c>
      <c r="C5">
        <v>2.38</v>
      </c>
      <c r="D5">
        <v>0.24099999999999999</v>
      </c>
      <c r="E5" t="s">
        <v>62</v>
      </c>
      <c r="F5" t="s">
        <v>63</v>
      </c>
      <c r="G5">
        <v>29.87</v>
      </c>
      <c r="H5">
        <v>29.57</v>
      </c>
      <c r="I5">
        <v>30.19</v>
      </c>
      <c r="K5" s="34">
        <v>6.8</v>
      </c>
      <c r="L5" s="22">
        <f t="shared" ref="L5:L8" si="0">G5*H5*I5/1000</f>
        <v>26.665495621000002</v>
      </c>
      <c r="M5" s="16">
        <f t="shared" ref="M5:M8" si="1">K5/L5</f>
        <v>0.25501119861596588</v>
      </c>
      <c r="Q5" s="4" t="s">
        <v>81</v>
      </c>
      <c r="R5">
        <v>0.34599999999999997</v>
      </c>
      <c r="S5">
        <v>3.2300000000000002E-2</v>
      </c>
      <c r="T5" t="s">
        <v>62</v>
      </c>
      <c r="U5" t="s">
        <v>63</v>
      </c>
      <c r="V5">
        <v>8.0439999999999998E-2</v>
      </c>
      <c r="W5">
        <v>0.15709999999999999</v>
      </c>
      <c r="X5" s="5">
        <v>0.15210000000000001</v>
      </c>
      <c r="Z5" t="s">
        <v>82</v>
      </c>
    </row>
    <row r="6" spans="1:26" ht="15.75" thickBot="1">
      <c r="B6" s="4">
        <v>3</v>
      </c>
      <c r="C6">
        <v>2.44</v>
      </c>
      <c r="D6">
        <v>0.23</v>
      </c>
      <c r="E6" t="s">
        <v>62</v>
      </c>
      <c r="F6" t="s">
        <v>63</v>
      </c>
      <c r="G6">
        <v>30.06</v>
      </c>
      <c r="H6">
        <v>29.97</v>
      </c>
      <c r="I6">
        <v>29.84</v>
      </c>
      <c r="K6" s="35">
        <v>6.6</v>
      </c>
      <c r="L6" s="22">
        <f t="shared" si="0"/>
        <v>26.882802288000001</v>
      </c>
      <c r="M6" s="16">
        <f t="shared" si="1"/>
        <v>0.24551011941735407</v>
      </c>
      <c r="Q6" s="6" t="s">
        <v>83</v>
      </c>
      <c r="R6" s="7">
        <v>14.39</v>
      </c>
      <c r="S6" s="7">
        <v>13.41</v>
      </c>
      <c r="T6" s="7" t="s">
        <v>62</v>
      </c>
      <c r="U6" s="7" t="s">
        <v>63</v>
      </c>
      <c r="V6" s="7">
        <v>0.27</v>
      </c>
      <c r="W6" s="7">
        <v>0.53</v>
      </c>
      <c r="X6" s="8">
        <v>0.51</v>
      </c>
    </row>
    <row r="7" spans="1:26">
      <c r="B7" s="4">
        <v>4</v>
      </c>
      <c r="C7">
        <v>2.0699999999999998</v>
      </c>
      <c r="D7">
        <v>0.20699999999999999</v>
      </c>
      <c r="E7" t="s">
        <v>62</v>
      </c>
      <c r="F7" t="s">
        <v>63</v>
      </c>
      <c r="G7">
        <v>29.89</v>
      </c>
      <c r="H7">
        <v>29.87</v>
      </c>
      <c r="I7">
        <v>29.93</v>
      </c>
      <c r="K7" s="35">
        <v>6.5</v>
      </c>
      <c r="L7" s="22">
        <f t="shared" si="0"/>
        <v>26.721931998999999</v>
      </c>
      <c r="M7" s="16">
        <f t="shared" si="1"/>
        <v>0.24324588507459888</v>
      </c>
    </row>
    <row r="8" spans="1:26" ht="15.75" thickBot="1">
      <c r="B8" s="6">
        <v>5</v>
      </c>
      <c r="C8" s="7">
        <v>2.16</v>
      </c>
      <c r="D8" s="7" t="s">
        <v>84</v>
      </c>
      <c r="E8" s="7">
        <v>0.219</v>
      </c>
      <c r="F8" s="7">
        <v>10</v>
      </c>
      <c r="G8" s="7">
        <v>29.9</v>
      </c>
      <c r="H8" s="7">
        <v>29.93</v>
      </c>
      <c r="I8" s="7">
        <v>29.8</v>
      </c>
      <c r="J8" s="7"/>
      <c r="K8" s="36">
        <v>6.6</v>
      </c>
      <c r="L8" s="18">
        <f t="shared" si="0"/>
        <v>26.668228599999999</v>
      </c>
      <c r="M8" s="19">
        <f t="shared" si="1"/>
        <v>0.24748550415530784</v>
      </c>
    </row>
    <row r="10" spans="1:26" ht="15.75" thickBot="1"/>
    <row r="11" spans="1:26" ht="18.75">
      <c r="B11" s="1" t="s">
        <v>85</v>
      </c>
      <c r="C11" s="2" t="s">
        <v>66</v>
      </c>
      <c r="D11" s="2" t="s">
        <v>67</v>
      </c>
      <c r="E11" s="2" t="s">
        <v>68</v>
      </c>
      <c r="F11" s="2" t="s">
        <v>69</v>
      </c>
      <c r="G11" s="2" t="s">
        <v>70</v>
      </c>
      <c r="H11" s="2" t="s">
        <v>71</v>
      </c>
      <c r="I11" s="2" t="s">
        <v>72</v>
      </c>
      <c r="J11" s="2"/>
      <c r="K11" s="9" t="s">
        <v>30</v>
      </c>
      <c r="L11" s="10" t="s">
        <v>31</v>
      </c>
      <c r="M11" s="11" t="s">
        <v>32</v>
      </c>
      <c r="Q11" s="1" t="s">
        <v>6</v>
      </c>
      <c r="R11" s="37" t="s">
        <v>73</v>
      </c>
      <c r="S11" s="37" t="s">
        <v>74</v>
      </c>
      <c r="T11" s="37" t="s">
        <v>75</v>
      </c>
      <c r="U11" s="37" t="s">
        <v>76</v>
      </c>
      <c r="V11" s="37" t="s">
        <v>36</v>
      </c>
      <c r="W11" s="37" t="s">
        <v>28</v>
      </c>
      <c r="X11" s="38" t="s">
        <v>27</v>
      </c>
    </row>
    <row r="12" spans="1:26" ht="15.75" thickBot="1">
      <c r="B12" s="6" t="s">
        <v>0</v>
      </c>
      <c r="C12" s="7" t="s">
        <v>1</v>
      </c>
      <c r="D12" s="7" t="s">
        <v>2</v>
      </c>
      <c r="E12" s="7" t="s">
        <v>77</v>
      </c>
      <c r="F12" s="7" t="s">
        <v>78</v>
      </c>
      <c r="G12" s="7" t="s">
        <v>79</v>
      </c>
      <c r="H12" s="7" t="s">
        <v>79</v>
      </c>
      <c r="I12" s="7" t="s">
        <v>79</v>
      </c>
      <c r="J12" s="7"/>
      <c r="K12" s="29" t="s">
        <v>33</v>
      </c>
      <c r="L12" s="30" t="s">
        <v>34</v>
      </c>
      <c r="M12" s="31" t="s">
        <v>35</v>
      </c>
      <c r="Q12" s="4" t="s">
        <v>86</v>
      </c>
      <c r="R12" t="s">
        <v>1</v>
      </c>
      <c r="S12" t="s">
        <v>2</v>
      </c>
      <c r="T12" t="s">
        <v>77</v>
      </c>
      <c r="U12" t="s">
        <v>78</v>
      </c>
      <c r="V12" t="s">
        <v>79</v>
      </c>
      <c r="W12" t="s">
        <v>79</v>
      </c>
      <c r="X12" s="5" t="s">
        <v>79</v>
      </c>
    </row>
    <row r="13" spans="1:26" ht="30">
      <c r="B13" s="4">
        <v>1</v>
      </c>
      <c r="C13">
        <v>1.26</v>
      </c>
      <c r="D13">
        <v>0.11600000000000001</v>
      </c>
      <c r="E13" t="s">
        <v>62</v>
      </c>
      <c r="F13" t="s">
        <v>63</v>
      </c>
      <c r="G13">
        <v>30.05</v>
      </c>
      <c r="H13">
        <v>29.21</v>
      </c>
      <c r="I13">
        <v>30.08</v>
      </c>
      <c r="K13" s="32">
        <v>3.9</v>
      </c>
      <c r="L13" s="9">
        <f t="shared" ref="L13:L18" si="2">G13*H13*I13/1000</f>
        <v>26.403035840000001</v>
      </c>
      <c r="M13" s="11">
        <f>K13/L13</f>
        <v>0.14771028693948854</v>
      </c>
      <c r="Q13" s="33" t="s">
        <v>80</v>
      </c>
      <c r="R13">
        <v>1.1200000000000001</v>
      </c>
      <c r="S13">
        <v>0.105</v>
      </c>
      <c r="T13">
        <v>0.09</v>
      </c>
      <c r="U13">
        <v>8.6</v>
      </c>
      <c r="V13">
        <v>29.97</v>
      </c>
      <c r="W13">
        <v>29.67</v>
      </c>
      <c r="X13" s="5">
        <v>29.99</v>
      </c>
    </row>
    <row r="14" spans="1:26">
      <c r="B14" s="4">
        <v>2</v>
      </c>
      <c r="C14">
        <v>0.99399999999999999</v>
      </c>
      <c r="D14">
        <v>9.2399999999999996E-2</v>
      </c>
      <c r="E14" t="s">
        <v>62</v>
      </c>
      <c r="F14" t="s">
        <v>63</v>
      </c>
      <c r="G14">
        <v>29.93</v>
      </c>
      <c r="H14">
        <v>29.96</v>
      </c>
      <c r="I14">
        <v>30.21</v>
      </c>
      <c r="K14" s="34">
        <v>4.0999999999999996</v>
      </c>
      <c r="L14" s="22">
        <f t="shared" si="2"/>
        <v>27.089391588000002</v>
      </c>
      <c r="M14" s="16">
        <f t="shared" ref="M14:M18" si="3">K14/L14</f>
        <v>0.15135075982349522</v>
      </c>
      <c r="Q14" s="4" t="s">
        <v>10</v>
      </c>
      <c r="R14">
        <v>0.215</v>
      </c>
      <c r="S14">
        <v>2.1100000000000001E-2</v>
      </c>
      <c r="T14" t="s">
        <v>62</v>
      </c>
      <c r="U14" t="s">
        <v>63</v>
      </c>
      <c r="V14">
        <v>0.11459999999999999</v>
      </c>
      <c r="W14">
        <v>0.60389999999999999</v>
      </c>
      <c r="X14" s="5">
        <v>0.1366</v>
      </c>
    </row>
    <row r="15" spans="1:26" ht="15.75" thickBot="1">
      <c r="B15" s="4">
        <v>3</v>
      </c>
      <c r="C15">
        <v>1.32</v>
      </c>
      <c r="D15">
        <v>0.114</v>
      </c>
      <c r="E15" t="s">
        <v>62</v>
      </c>
      <c r="F15" t="s">
        <v>63</v>
      </c>
      <c r="G15">
        <v>30.16</v>
      </c>
      <c r="H15">
        <v>29.75</v>
      </c>
      <c r="I15">
        <v>29.9</v>
      </c>
      <c r="K15" s="35">
        <v>4</v>
      </c>
      <c r="L15" s="22">
        <f t="shared" si="2"/>
        <v>26.828073999999997</v>
      </c>
      <c r="M15" s="16">
        <f t="shared" si="3"/>
        <v>0.14909754610040216</v>
      </c>
      <c r="Q15" s="6" t="s">
        <v>83</v>
      </c>
      <c r="R15" s="7">
        <v>19.25</v>
      </c>
      <c r="S15" s="7">
        <v>20.079999999999998</v>
      </c>
      <c r="T15" s="7" t="s">
        <v>62</v>
      </c>
      <c r="U15" s="7" t="s">
        <v>63</v>
      </c>
      <c r="V15" s="7">
        <v>0.38</v>
      </c>
      <c r="W15" s="7">
        <v>2.04</v>
      </c>
      <c r="X15" s="8">
        <v>0.46</v>
      </c>
    </row>
    <row r="16" spans="1:26">
      <c r="B16" s="4">
        <v>4</v>
      </c>
      <c r="C16">
        <v>1.0900000000000001</v>
      </c>
      <c r="D16" t="s">
        <v>84</v>
      </c>
      <c r="E16">
        <v>0.09</v>
      </c>
      <c r="F16">
        <v>8.6</v>
      </c>
      <c r="G16">
        <v>29.87</v>
      </c>
      <c r="H16">
        <v>29.19</v>
      </c>
      <c r="I16">
        <v>29.95</v>
      </c>
      <c r="K16" s="39">
        <v>3.9</v>
      </c>
      <c r="L16" s="22">
        <f t="shared" si="2"/>
        <v>26.113563735</v>
      </c>
      <c r="M16" s="16">
        <f t="shared" si="3"/>
        <v>0.14934767385934503</v>
      </c>
    </row>
    <row r="17" spans="2:24">
      <c r="B17" s="4">
        <v>5</v>
      </c>
      <c r="C17">
        <v>1.28</v>
      </c>
      <c r="D17">
        <v>0.127</v>
      </c>
      <c r="E17" t="s">
        <v>62</v>
      </c>
      <c r="F17" t="s">
        <v>63</v>
      </c>
      <c r="G17">
        <v>29.93</v>
      </c>
      <c r="H17">
        <v>30.7</v>
      </c>
      <c r="I17">
        <v>29.83</v>
      </c>
      <c r="K17" s="35">
        <v>3.9</v>
      </c>
      <c r="L17" s="22">
        <f t="shared" si="2"/>
        <v>27.409325329999998</v>
      </c>
      <c r="M17" s="16">
        <f t="shared" si="3"/>
        <v>0.14228734027726614</v>
      </c>
    </row>
    <row r="18" spans="2:24" ht="15.75" thickBot="1">
      <c r="B18" s="6">
        <v>6</v>
      </c>
      <c r="C18" s="7">
        <v>0.75700000000000001</v>
      </c>
      <c r="D18" s="7">
        <v>7.4800000000000005E-2</v>
      </c>
      <c r="E18" s="7" t="s">
        <v>62</v>
      </c>
      <c r="F18" s="7" t="s">
        <v>63</v>
      </c>
      <c r="G18" s="7">
        <v>29.87</v>
      </c>
      <c r="H18" s="7">
        <v>29.19</v>
      </c>
      <c r="I18" s="7">
        <v>29.95</v>
      </c>
      <c r="J18" s="7"/>
      <c r="K18" s="36">
        <v>3.9</v>
      </c>
      <c r="L18" s="18">
        <f t="shared" si="2"/>
        <v>26.113563735</v>
      </c>
      <c r="M18" s="19">
        <f t="shared" si="3"/>
        <v>0.14934767385934503</v>
      </c>
    </row>
    <row r="20" spans="2:24" ht="15.75" thickBot="1"/>
    <row r="21" spans="2:24" ht="18.75">
      <c r="B21" s="1" t="s">
        <v>15</v>
      </c>
      <c r="C21" s="2" t="s">
        <v>66</v>
      </c>
      <c r="D21" s="2" t="s">
        <v>67</v>
      </c>
      <c r="E21" s="2" t="s">
        <v>68</v>
      </c>
      <c r="F21" s="2" t="s">
        <v>69</v>
      </c>
      <c r="G21" s="2" t="s">
        <v>70</v>
      </c>
      <c r="H21" s="2" t="s">
        <v>71</v>
      </c>
      <c r="I21" s="2" t="s">
        <v>72</v>
      </c>
      <c r="J21" s="2"/>
      <c r="K21" s="9" t="s">
        <v>30</v>
      </c>
      <c r="L21" s="10" t="s">
        <v>31</v>
      </c>
      <c r="M21" s="11" t="s">
        <v>32</v>
      </c>
      <c r="Q21" s="1" t="s">
        <v>6</v>
      </c>
      <c r="R21" s="37" t="s">
        <v>73</v>
      </c>
      <c r="S21" s="37" t="s">
        <v>74</v>
      </c>
      <c r="T21" s="37" t="s">
        <v>75</v>
      </c>
      <c r="U21" s="37" t="s">
        <v>76</v>
      </c>
      <c r="V21" s="37" t="s">
        <v>36</v>
      </c>
      <c r="W21" s="37" t="s">
        <v>28</v>
      </c>
      <c r="X21" s="38" t="s">
        <v>27</v>
      </c>
    </row>
    <row r="22" spans="2:24" ht="15.75" thickBot="1">
      <c r="B22" s="6" t="s">
        <v>0</v>
      </c>
      <c r="C22" s="7" t="s">
        <v>1</v>
      </c>
      <c r="D22" s="7" t="s">
        <v>2</v>
      </c>
      <c r="E22" s="7" t="s">
        <v>77</v>
      </c>
      <c r="F22" s="7" t="s">
        <v>78</v>
      </c>
      <c r="G22" s="7" t="s">
        <v>79</v>
      </c>
      <c r="H22" s="7" t="s">
        <v>79</v>
      </c>
      <c r="I22" s="7" t="s">
        <v>79</v>
      </c>
      <c r="J22" s="7"/>
      <c r="K22" s="29" t="s">
        <v>33</v>
      </c>
      <c r="L22" s="30" t="s">
        <v>34</v>
      </c>
      <c r="M22" s="31" t="s">
        <v>35</v>
      </c>
      <c r="Q22" s="4" t="s">
        <v>14</v>
      </c>
      <c r="R22" t="s">
        <v>1</v>
      </c>
      <c r="S22" t="s">
        <v>2</v>
      </c>
      <c r="T22" t="s">
        <v>77</v>
      </c>
      <c r="U22" t="s">
        <v>78</v>
      </c>
      <c r="V22" t="s">
        <v>79</v>
      </c>
      <c r="W22" t="s">
        <v>79</v>
      </c>
      <c r="X22" s="5" t="s">
        <v>79</v>
      </c>
    </row>
    <row r="23" spans="2:24" ht="30">
      <c r="B23" s="4">
        <v>1</v>
      </c>
      <c r="C23">
        <v>1.48</v>
      </c>
      <c r="D23">
        <v>0.14299999999999999</v>
      </c>
      <c r="E23" t="s">
        <v>62</v>
      </c>
      <c r="F23" t="s">
        <v>63</v>
      </c>
      <c r="G23">
        <v>30.32</v>
      </c>
      <c r="H23">
        <v>29.98</v>
      </c>
      <c r="I23">
        <v>29.42</v>
      </c>
      <c r="K23" s="32">
        <v>5.5</v>
      </c>
      <c r="L23" s="9">
        <f t="shared" ref="L23:L27" si="4">G23*H23*I23/1000</f>
        <v>26.742591712000003</v>
      </c>
      <c r="M23" s="11">
        <f>K23/L23</f>
        <v>0.20566443444342855</v>
      </c>
      <c r="Q23" s="33" t="s">
        <v>80</v>
      </c>
      <c r="R23">
        <v>1.32</v>
      </c>
      <c r="S23">
        <v>0.123</v>
      </c>
      <c r="T23" t="s">
        <v>62</v>
      </c>
      <c r="U23" t="s">
        <v>63</v>
      </c>
      <c r="V23">
        <v>29.93</v>
      </c>
      <c r="W23">
        <v>30.24</v>
      </c>
      <c r="X23" s="5">
        <v>29.65</v>
      </c>
    </row>
    <row r="24" spans="2:24">
      <c r="B24" s="4">
        <v>2</v>
      </c>
      <c r="C24">
        <v>1.33</v>
      </c>
      <c r="D24">
        <v>0.122</v>
      </c>
      <c r="E24" t="s">
        <v>62</v>
      </c>
      <c r="F24" t="s">
        <v>63</v>
      </c>
      <c r="G24">
        <v>29.69</v>
      </c>
      <c r="H24">
        <v>30.39</v>
      </c>
      <c r="I24">
        <v>29.24</v>
      </c>
      <c r="K24" s="34">
        <v>5.3</v>
      </c>
      <c r="L24" s="22">
        <f t="shared" si="4"/>
        <v>26.382640884000001</v>
      </c>
      <c r="M24" s="16">
        <f t="shared" ref="M24:M27" si="5">K24/L24</f>
        <v>0.2008896692072337</v>
      </c>
      <c r="Q24" s="4" t="s">
        <v>10</v>
      </c>
      <c r="R24">
        <v>0.24399999999999999</v>
      </c>
      <c r="S24">
        <v>1.9900000000000001E-2</v>
      </c>
      <c r="T24" t="s">
        <v>62</v>
      </c>
      <c r="U24" t="s">
        <v>63</v>
      </c>
      <c r="V24">
        <v>0.24049999999999999</v>
      </c>
      <c r="W24">
        <v>0.2077</v>
      </c>
      <c r="X24" s="5">
        <v>0.32550000000000001</v>
      </c>
    </row>
    <row r="25" spans="2:24" ht="15.75" thickBot="1">
      <c r="B25" s="4">
        <v>3</v>
      </c>
      <c r="C25">
        <v>1.63</v>
      </c>
      <c r="D25">
        <v>0.14299999999999999</v>
      </c>
      <c r="E25" t="s">
        <v>62</v>
      </c>
      <c r="F25" t="s">
        <v>63</v>
      </c>
      <c r="G25">
        <v>29.95</v>
      </c>
      <c r="H25">
        <v>30.37</v>
      </c>
      <c r="I25">
        <v>29.74</v>
      </c>
      <c r="K25" s="35">
        <v>5.7</v>
      </c>
      <c r="L25" s="22">
        <f t="shared" si="4"/>
        <v>27.050953809999999</v>
      </c>
      <c r="M25" s="16">
        <f t="shared" si="5"/>
        <v>0.21071345727901342</v>
      </c>
      <c r="Q25" s="6" t="s">
        <v>83</v>
      </c>
      <c r="R25" s="7">
        <v>18.489999999999998</v>
      </c>
      <c r="S25" s="7">
        <v>16.170000000000002</v>
      </c>
      <c r="T25" s="7" t="s">
        <v>62</v>
      </c>
      <c r="U25" s="7" t="s">
        <v>63</v>
      </c>
      <c r="V25" s="7">
        <v>0.8</v>
      </c>
      <c r="W25" s="7">
        <v>0.69</v>
      </c>
      <c r="X25" s="8">
        <v>1.1000000000000001</v>
      </c>
    </row>
    <row r="26" spans="2:24">
      <c r="B26" s="4">
        <v>4</v>
      </c>
      <c r="C26">
        <v>1.1599999999999999</v>
      </c>
      <c r="D26">
        <v>0.11</v>
      </c>
      <c r="E26" t="s">
        <v>62</v>
      </c>
      <c r="F26" t="s">
        <v>63</v>
      </c>
      <c r="G26">
        <v>29.89</v>
      </c>
      <c r="H26">
        <v>30.04</v>
      </c>
      <c r="I26">
        <v>30.08</v>
      </c>
      <c r="K26" s="35">
        <v>5.4</v>
      </c>
      <c r="L26" s="22">
        <f t="shared" si="4"/>
        <v>27.008699647999997</v>
      </c>
      <c r="M26" s="16">
        <f t="shared" si="5"/>
        <v>0.1999355789200267</v>
      </c>
    </row>
    <row r="27" spans="2:24" ht="15.75" thickBot="1">
      <c r="B27" s="6">
        <v>5</v>
      </c>
      <c r="C27" s="7">
        <v>1.01</v>
      </c>
      <c r="D27" s="7">
        <v>9.8000000000000004E-2</v>
      </c>
      <c r="E27" s="7" t="s">
        <v>62</v>
      </c>
      <c r="F27" s="7" t="s">
        <v>63</v>
      </c>
      <c r="G27" s="7">
        <v>29.79</v>
      </c>
      <c r="H27" s="7">
        <v>30.4</v>
      </c>
      <c r="I27" s="7">
        <v>29.75</v>
      </c>
      <c r="J27" s="7"/>
      <c r="K27" s="36">
        <v>5.4</v>
      </c>
      <c r="L27" s="18">
        <f t="shared" si="4"/>
        <v>26.942076</v>
      </c>
      <c r="M27" s="19">
        <f t="shared" si="5"/>
        <v>0.2004299891366946</v>
      </c>
    </row>
    <row r="29" spans="2:24" ht="15.75" thickBot="1"/>
    <row r="30" spans="2:24" ht="18.75">
      <c r="B30" s="1" t="s">
        <v>16</v>
      </c>
      <c r="C30" s="2" t="s">
        <v>66</v>
      </c>
      <c r="D30" s="2" t="s">
        <v>67</v>
      </c>
      <c r="E30" s="2" t="s">
        <v>68</v>
      </c>
      <c r="F30" s="2" t="s">
        <v>69</v>
      </c>
      <c r="G30" s="2" t="s">
        <v>70</v>
      </c>
      <c r="H30" s="2" t="s">
        <v>71</v>
      </c>
      <c r="I30" s="2" t="s">
        <v>72</v>
      </c>
      <c r="J30" s="2"/>
      <c r="K30" s="9" t="s">
        <v>30</v>
      </c>
      <c r="L30" s="10" t="s">
        <v>31</v>
      </c>
      <c r="M30" s="11" t="s">
        <v>32</v>
      </c>
      <c r="Q30" s="1" t="s">
        <v>6</v>
      </c>
      <c r="R30" s="37" t="s">
        <v>73</v>
      </c>
      <c r="S30" s="37" t="s">
        <v>74</v>
      </c>
      <c r="T30" s="37" t="s">
        <v>75</v>
      </c>
      <c r="U30" s="37" t="s">
        <v>76</v>
      </c>
      <c r="V30" s="37" t="s">
        <v>36</v>
      </c>
      <c r="W30" s="37" t="s">
        <v>28</v>
      </c>
      <c r="X30" s="38" t="s">
        <v>27</v>
      </c>
    </row>
    <row r="31" spans="2:24" ht="15.75" thickBot="1">
      <c r="B31" s="6" t="s">
        <v>0</v>
      </c>
      <c r="C31" s="7" t="s">
        <v>1</v>
      </c>
      <c r="D31" s="7" t="s">
        <v>2</v>
      </c>
      <c r="E31" s="7" t="s">
        <v>77</v>
      </c>
      <c r="F31" s="7" t="s">
        <v>78</v>
      </c>
      <c r="G31" s="7" t="s">
        <v>79</v>
      </c>
      <c r="H31" s="7" t="s">
        <v>79</v>
      </c>
      <c r="I31" s="7" t="s">
        <v>79</v>
      </c>
      <c r="J31" s="7"/>
      <c r="K31" s="29" t="s">
        <v>33</v>
      </c>
      <c r="L31" s="30" t="s">
        <v>34</v>
      </c>
      <c r="M31" s="31" t="s">
        <v>35</v>
      </c>
      <c r="Q31" s="4" t="s">
        <v>14</v>
      </c>
      <c r="R31" t="s">
        <v>1</v>
      </c>
      <c r="S31" t="s">
        <v>2</v>
      </c>
      <c r="T31" t="s">
        <v>77</v>
      </c>
      <c r="U31" t="s">
        <v>78</v>
      </c>
      <c r="V31" t="s">
        <v>79</v>
      </c>
      <c r="W31" t="s">
        <v>79</v>
      </c>
      <c r="X31" s="5" t="s">
        <v>79</v>
      </c>
    </row>
    <row r="32" spans="2:24" ht="30">
      <c r="B32" s="4">
        <v>1</v>
      </c>
      <c r="C32">
        <v>1.99</v>
      </c>
      <c r="D32">
        <v>0.153</v>
      </c>
      <c r="E32" t="s">
        <v>62</v>
      </c>
      <c r="F32" t="s">
        <v>63</v>
      </c>
      <c r="G32">
        <v>30.25</v>
      </c>
      <c r="H32">
        <v>32.159999999999997</v>
      </c>
      <c r="I32">
        <v>30.01</v>
      </c>
      <c r="K32" s="32">
        <v>6.5</v>
      </c>
      <c r="L32" s="9">
        <f t="shared" ref="L32:L36" si="6">G32*H32*I32/1000</f>
        <v>29.194928400000002</v>
      </c>
      <c r="M32" s="11">
        <f>K32/L32</f>
        <v>0.22264140918393208</v>
      </c>
      <c r="Q32" s="33" t="s">
        <v>80</v>
      </c>
      <c r="R32">
        <v>2.2200000000000002</v>
      </c>
      <c r="S32">
        <v>0.16300000000000001</v>
      </c>
      <c r="T32" t="s">
        <v>62</v>
      </c>
      <c r="U32" t="s">
        <v>63</v>
      </c>
      <c r="V32">
        <v>30.06</v>
      </c>
      <c r="W32">
        <v>32.01</v>
      </c>
      <c r="X32" s="5">
        <v>30.07</v>
      </c>
    </row>
    <row r="33" spans="2:24">
      <c r="B33" s="4">
        <v>2</v>
      </c>
      <c r="C33">
        <v>2.21</v>
      </c>
      <c r="D33">
        <v>0.16</v>
      </c>
      <c r="E33" t="s">
        <v>62</v>
      </c>
      <c r="F33" t="s">
        <v>63</v>
      </c>
      <c r="G33">
        <v>29.93</v>
      </c>
      <c r="H33">
        <v>32.25</v>
      </c>
      <c r="I33">
        <v>30.12</v>
      </c>
      <c r="K33" s="34">
        <v>6.6</v>
      </c>
      <c r="L33" s="22">
        <f t="shared" si="6"/>
        <v>29.073104100000002</v>
      </c>
      <c r="M33" s="16">
        <f t="shared" ref="M33:M36" si="7">K33/L33</f>
        <v>0.22701394310351605</v>
      </c>
      <c r="Q33" s="4" t="s">
        <v>10</v>
      </c>
      <c r="R33">
        <v>0.182</v>
      </c>
      <c r="S33">
        <v>9.1299999999999992E-3</v>
      </c>
      <c r="T33" t="s">
        <v>62</v>
      </c>
      <c r="U33" t="s">
        <v>63</v>
      </c>
      <c r="V33">
        <v>0.1207</v>
      </c>
      <c r="W33">
        <v>0.28310000000000002</v>
      </c>
      <c r="X33" s="5">
        <v>7.9689999999999997E-2</v>
      </c>
    </row>
    <row r="34" spans="2:24" ht="15.75" thickBot="1">
      <c r="B34" s="4">
        <v>3</v>
      </c>
      <c r="C34">
        <v>2.11</v>
      </c>
      <c r="D34">
        <v>0.17799999999999999</v>
      </c>
      <c r="E34" t="s">
        <v>62</v>
      </c>
      <c r="F34" t="s">
        <v>63</v>
      </c>
      <c r="G34">
        <v>30.04</v>
      </c>
      <c r="H34">
        <v>31.58</v>
      </c>
      <c r="I34">
        <v>30.13</v>
      </c>
      <c r="K34" s="35">
        <v>6.6</v>
      </c>
      <c r="L34" s="22">
        <f t="shared" si="6"/>
        <v>28.583222215999999</v>
      </c>
      <c r="M34" s="16">
        <f t="shared" si="7"/>
        <v>0.23090468772640774</v>
      </c>
      <c r="Q34" s="6" t="s">
        <v>83</v>
      </c>
      <c r="R34" s="7">
        <v>8.1999999999999993</v>
      </c>
      <c r="S34" s="7">
        <v>5.61</v>
      </c>
      <c r="T34" s="7" t="s">
        <v>62</v>
      </c>
      <c r="U34" s="7" t="s">
        <v>63</v>
      </c>
      <c r="V34" s="7">
        <v>0.4</v>
      </c>
      <c r="W34" s="7">
        <v>0.88</v>
      </c>
      <c r="X34" s="8">
        <v>0.27</v>
      </c>
    </row>
    <row r="35" spans="2:24">
      <c r="B35" s="4">
        <v>4</v>
      </c>
      <c r="C35">
        <v>2.44</v>
      </c>
      <c r="D35">
        <v>0.16200000000000001</v>
      </c>
      <c r="E35" t="s">
        <v>62</v>
      </c>
      <c r="F35" t="s">
        <v>63</v>
      </c>
      <c r="G35">
        <v>29.99</v>
      </c>
      <c r="H35">
        <v>32.200000000000003</v>
      </c>
      <c r="I35">
        <v>30.13</v>
      </c>
      <c r="K35" s="35">
        <v>6.7</v>
      </c>
      <c r="L35" s="22">
        <f t="shared" si="6"/>
        <v>29.09587814</v>
      </c>
      <c r="M35" s="16">
        <f t="shared" si="7"/>
        <v>0.23027316679571438</v>
      </c>
    </row>
    <row r="36" spans="2:24" ht="15.75" thickBot="1">
      <c r="B36" s="6">
        <v>5</v>
      </c>
      <c r="C36" s="7">
        <v>2.35</v>
      </c>
      <c r="D36" s="7">
        <v>0.16200000000000001</v>
      </c>
      <c r="E36" s="7" t="s">
        <v>62</v>
      </c>
      <c r="F36" s="7" t="s">
        <v>63</v>
      </c>
      <c r="G36" s="7">
        <v>30.07</v>
      </c>
      <c r="H36" s="7">
        <v>31.87</v>
      </c>
      <c r="I36" s="7">
        <v>29.96</v>
      </c>
      <c r="J36" s="7"/>
      <c r="K36" s="36">
        <v>6.6</v>
      </c>
      <c r="L36" s="18">
        <f t="shared" si="6"/>
        <v>28.711593764</v>
      </c>
      <c r="M36" s="19">
        <f t="shared" si="7"/>
        <v>0.22987229668439382</v>
      </c>
    </row>
    <row r="38" spans="2:24" ht="15.75" thickBot="1"/>
    <row r="39" spans="2:24" ht="18.75">
      <c r="B39" s="1" t="s">
        <v>17</v>
      </c>
      <c r="C39" s="2" t="s">
        <v>66</v>
      </c>
      <c r="D39" s="2" t="s">
        <v>67</v>
      </c>
      <c r="E39" s="2" t="s">
        <v>68</v>
      </c>
      <c r="F39" s="2" t="s">
        <v>69</v>
      </c>
      <c r="G39" s="2" t="s">
        <v>70</v>
      </c>
      <c r="H39" s="2" t="s">
        <v>71</v>
      </c>
      <c r="I39" s="2" t="s">
        <v>72</v>
      </c>
      <c r="J39" s="2"/>
      <c r="K39" s="9" t="s">
        <v>30</v>
      </c>
      <c r="L39" s="10" t="s">
        <v>31</v>
      </c>
      <c r="M39" s="11" t="s">
        <v>32</v>
      </c>
      <c r="Q39" s="1" t="s">
        <v>6</v>
      </c>
      <c r="R39" s="37" t="s">
        <v>73</v>
      </c>
      <c r="S39" s="37" t="s">
        <v>74</v>
      </c>
      <c r="T39" s="37" t="s">
        <v>75</v>
      </c>
      <c r="U39" s="37" t="s">
        <v>76</v>
      </c>
      <c r="V39" s="37" t="s">
        <v>36</v>
      </c>
      <c r="W39" s="37" t="s">
        <v>28</v>
      </c>
      <c r="X39" s="38" t="s">
        <v>27</v>
      </c>
    </row>
    <row r="40" spans="2:24" ht="15.75" thickBot="1">
      <c r="B40" s="6" t="s">
        <v>0</v>
      </c>
      <c r="C40" s="7" t="s">
        <v>1</v>
      </c>
      <c r="D40" s="7" t="s">
        <v>2</v>
      </c>
      <c r="E40" s="7" t="s">
        <v>77</v>
      </c>
      <c r="F40" s="7" t="s">
        <v>78</v>
      </c>
      <c r="G40" s="7" t="s">
        <v>79</v>
      </c>
      <c r="H40" s="7" t="s">
        <v>79</v>
      </c>
      <c r="I40" s="7" t="s">
        <v>79</v>
      </c>
      <c r="J40" s="7"/>
      <c r="K40" s="29" t="s">
        <v>33</v>
      </c>
      <c r="L40" s="30" t="s">
        <v>34</v>
      </c>
      <c r="M40" s="31" t="s">
        <v>35</v>
      </c>
      <c r="Q40" s="4" t="s">
        <v>14</v>
      </c>
      <c r="R40" t="s">
        <v>1</v>
      </c>
      <c r="S40" t="s">
        <v>2</v>
      </c>
      <c r="T40" t="s">
        <v>77</v>
      </c>
      <c r="U40" t="s">
        <v>78</v>
      </c>
      <c r="V40" t="s">
        <v>79</v>
      </c>
      <c r="W40" t="s">
        <v>79</v>
      </c>
      <c r="X40" s="5" t="s">
        <v>79</v>
      </c>
    </row>
    <row r="41" spans="2:24" ht="30">
      <c r="B41" s="4">
        <v>1</v>
      </c>
      <c r="C41">
        <v>0.40200000000000002</v>
      </c>
      <c r="D41">
        <v>4.02E-2</v>
      </c>
      <c r="E41" t="s">
        <v>62</v>
      </c>
      <c r="F41" t="s">
        <v>63</v>
      </c>
      <c r="G41">
        <v>28.68</v>
      </c>
      <c r="H41">
        <v>30.65</v>
      </c>
      <c r="I41">
        <v>29.85</v>
      </c>
      <c r="K41" s="32">
        <v>3.4</v>
      </c>
      <c r="L41" s="9">
        <f t="shared" ref="L41:L45" si="8">G41*H41*I41/1000</f>
        <v>26.2394037</v>
      </c>
      <c r="M41" s="11">
        <f>K41/L41</f>
        <v>0.12957611532917571</v>
      </c>
      <c r="Q41" s="33" t="s">
        <v>80</v>
      </c>
      <c r="R41">
        <v>0.39700000000000002</v>
      </c>
      <c r="S41">
        <v>3.9600000000000003E-2</v>
      </c>
      <c r="T41" t="s">
        <v>62</v>
      </c>
      <c r="U41" t="s">
        <v>63</v>
      </c>
      <c r="V41">
        <v>29.55</v>
      </c>
      <c r="W41">
        <v>29.81</v>
      </c>
      <c r="X41" s="5">
        <v>29.62</v>
      </c>
    </row>
    <row r="42" spans="2:24">
      <c r="B42" s="4">
        <v>2</v>
      </c>
      <c r="C42">
        <v>0.39700000000000002</v>
      </c>
      <c r="D42">
        <v>3.9699999999999999E-2</v>
      </c>
      <c r="E42" t="s">
        <v>62</v>
      </c>
      <c r="F42" t="s">
        <v>63</v>
      </c>
      <c r="G42">
        <v>30</v>
      </c>
      <c r="H42">
        <v>30.76</v>
      </c>
      <c r="I42">
        <v>29.65</v>
      </c>
      <c r="K42" s="34">
        <v>3.3</v>
      </c>
      <c r="L42" s="22">
        <f t="shared" si="8"/>
        <v>27.36102</v>
      </c>
      <c r="M42" s="16">
        <f t="shared" ref="M42:M45" si="9">K42/L42</f>
        <v>0.12060953867947904</v>
      </c>
      <c r="Q42" s="4" t="s">
        <v>10</v>
      </c>
      <c r="R42">
        <v>8.6700000000000006E-3</v>
      </c>
      <c r="S42">
        <v>8.8400000000000002E-4</v>
      </c>
      <c r="T42" t="s">
        <v>62</v>
      </c>
      <c r="U42" t="s">
        <v>63</v>
      </c>
      <c r="V42">
        <v>0.59079999999999999</v>
      </c>
      <c r="W42">
        <v>0.83789999999999998</v>
      </c>
      <c r="X42" s="5">
        <v>0.18629999999999999</v>
      </c>
    </row>
    <row r="43" spans="2:24" ht="15.75" thickBot="1">
      <c r="B43" s="4">
        <v>3</v>
      </c>
      <c r="C43">
        <v>0.38600000000000001</v>
      </c>
      <c r="D43">
        <v>3.8399999999999997E-2</v>
      </c>
      <c r="E43" t="s">
        <v>62</v>
      </c>
      <c r="F43" t="s">
        <v>63</v>
      </c>
      <c r="G43">
        <v>29.2</v>
      </c>
      <c r="H43">
        <v>29.41</v>
      </c>
      <c r="I43">
        <v>29.73</v>
      </c>
      <c r="K43" s="35">
        <v>3.3</v>
      </c>
      <c r="L43" s="22">
        <f t="shared" si="8"/>
        <v>25.531291559999996</v>
      </c>
      <c r="M43" s="16">
        <f t="shared" si="9"/>
        <v>0.12925315557361486</v>
      </c>
      <c r="Q43" s="6" t="s">
        <v>83</v>
      </c>
      <c r="R43" s="7">
        <v>2.19</v>
      </c>
      <c r="S43" s="7">
        <v>2.2400000000000002</v>
      </c>
      <c r="T43" s="7" t="s">
        <v>62</v>
      </c>
      <c r="U43" s="7" t="s">
        <v>63</v>
      </c>
      <c r="V43" s="7">
        <v>2</v>
      </c>
      <c r="W43" s="7">
        <v>2.81</v>
      </c>
      <c r="X43" s="8">
        <v>0.63</v>
      </c>
    </row>
    <row r="44" spans="2:24">
      <c r="B44" s="4">
        <v>4</v>
      </c>
      <c r="C44">
        <v>0.39100000000000001</v>
      </c>
      <c r="D44">
        <v>3.9E-2</v>
      </c>
      <c r="E44" t="s">
        <v>62</v>
      </c>
      <c r="F44" t="s">
        <v>63</v>
      </c>
      <c r="G44">
        <v>29.84</v>
      </c>
      <c r="H44">
        <v>28.91</v>
      </c>
      <c r="I44">
        <v>29.41</v>
      </c>
      <c r="K44" s="35">
        <v>3.2</v>
      </c>
      <c r="L44" s="22">
        <f t="shared" si="8"/>
        <v>25.371254103999998</v>
      </c>
      <c r="M44" s="16">
        <f t="shared" si="9"/>
        <v>0.12612699344237352</v>
      </c>
    </row>
    <row r="45" spans="2:24" ht="15.75" thickBot="1">
      <c r="B45" s="6">
        <v>5</v>
      </c>
      <c r="C45" s="7">
        <v>0.40799999999999997</v>
      </c>
      <c r="D45" s="7">
        <v>4.0599999999999997E-2</v>
      </c>
      <c r="E45" s="7" t="s">
        <v>62</v>
      </c>
      <c r="F45" s="7" t="s">
        <v>63</v>
      </c>
      <c r="G45" s="7">
        <v>30.03</v>
      </c>
      <c r="H45" s="7">
        <v>29.33</v>
      </c>
      <c r="I45" s="7">
        <v>29.45</v>
      </c>
      <c r="J45" s="7"/>
      <c r="K45" s="36">
        <v>3.3</v>
      </c>
      <c r="L45" s="18">
        <f t="shared" si="8"/>
        <v>25.938968054999997</v>
      </c>
      <c r="M45" s="19">
        <f t="shared" si="9"/>
        <v>0.12722171495037143</v>
      </c>
    </row>
    <row r="46" spans="2:24">
      <c r="K46" s="40"/>
    </row>
    <row r="47" spans="2:24" ht="15.75" thickBot="1"/>
    <row r="48" spans="2:24" ht="18.75">
      <c r="B48" s="1" t="s">
        <v>19</v>
      </c>
      <c r="C48" s="2" t="s">
        <v>66</v>
      </c>
      <c r="D48" s="2" t="s">
        <v>67</v>
      </c>
      <c r="E48" s="2" t="s">
        <v>68</v>
      </c>
      <c r="F48" s="2" t="s">
        <v>69</v>
      </c>
      <c r="G48" s="2" t="s">
        <v>70</v>
      </c>
      <c r="H48" s="2" t="s">
        <v>71</v>
      </c>
      <c r="I48" s="2" t="s">
        <v>72</v>
      </c>
      <c r="J48" s="2"/>
      <c r="K48" s="9" t="s">
        <v>30</v>
      </c>
      <c r="L48" s="10" t="s">
        <v>31</v>
      </c>
      <c r="M48" s="11" t="s">
        <v>32</v>
      </c>
      <c r="Q48" s="1" t="s">
        <v>6</v>
      </c>
      <c r="R48" s="37" t="s">
        <v>73</v>
      </c>
      <c r="S48" s="37" t="s">
        <v>74</v>
      </c>
      <c r="T48" s="37" t="s">
        <v>75</v>
      </c>
      <c r="U48" s="37" t="s">
        <v>76</v>
      </c>
      <c r="V48" s="37" t="s">
        <v>36</v>
      </c>
      <c r="W48" s="37" t="s">
        <v>28</v>
      </c>
      <c r="X48" s="38" t="s">
        <v>27</v>
      </c>
    </row>
    <row r="49" spans="2:24" ht="15.75" thickBot="1">
      <c r="B49" s="6" t="s">
        <v>0</v>
      </c>
      <c r="C49" s="7" t="s">
        <v>1</v>
      </c>
      <c r="D49" s="7" t="s">
        <v>2</v>
      </c>
      <c r="E49" s="7" t="s">
        <v>77</v>
      </c>
      <c r="F49" s="7" t="s">
        <v>78</v>
      </c>
      <c r="G49" s="7" t="s">
        <v>79</v>
      </c>
      <c r="H49" s="7" t="s">
        <v>79</v>
      </c>
      <c r="I49" s="7" t="s">
        <v>79</v>
      </c>
      <c r="J49" s="7"/>
      <c r="K49" s="29" t="s">
        <v>33</v>
      </c>
      <c r="L49" s="30" t="s">
        <v>34</v>
      </c>
      <c r="M49" s="31" t="s">
        <v>35</v>
      </c>
      <c r="Q49" s="4" t="s">
        <v>86</v>
      </c>
      <c r="R49" t="s">
        <v>1</v>
      </c>
      <c r="S49" t="s">
        <v>2</v>
      </c>
      <c r="T49" t="s">
        <v>77</v>
      </c>
      <c r="U49" t="s">
        <v>78</v>
      </c>
      <c r="V49" t="s">
        <v>79</v>
      </c>
      <c r="W49" t="s">
        <v>79</v>
      </c>
      <c r="X49" s="5" t="s">
        <v>79</v>
      </c>
    </row>
    <row r="50" spans="2:24" ht="30">
      <c r="B50" s="4">
        <v>1</v>
      </c>
      <c r="C50">
        <v>0.96</v>
      </c>
      <c r="D50">
        <v>8.9200000000000002E-2</v>
      </c>
      <c r="E50" t="s">
        <v>62</v>
      </c>
      <c r="F50" t="s">
        <v>63</v>
      </c>
      <c r="G50">
        <v>31.93</v>
      </c>
      <c r="H50">
        <v>30</v>
      </c>
      <c r="I50">
        <v>29.75</v>
      </c>
      <c r="K50" s="32">
        <v>4.5</v>
      </c>
      <c r="L50" s="9">
        <f t="shared" ref="L50:L55" si="10">G50*H50*I50/1000</f>
        <v>28.497525</v>
      </c>
      <c r="M50" s="11">
        <f>K50/L50</f>
        <v>0.15790844994433728</v>
      </c>
      <c r="Q50" s="33" t="s">
        <v>80</v>
      </c>
      <c r="R50">
        <v>0.82799999999999996</v>
      </c>
      <c r="S50">
        <v>7.9000000000000001E-2</v>
      </c>
      <c r="T50" t="s">
        <v>62</v>
      </c>
      <c r="U50" t="s">
        <v>63</v>
      </c>
      <c r="V50">
        <v>31.16</v>
      </c>
      <c r="W50">
        <v>30.05</v>
      </c>
      <c r="X50" s="5">
        <v>30.16</v>
      </c>
    </row>
    <row r="51" spans="2:24">
      <c r="B51" s="4">
        <v>2</v>
      </c>
      <c r="C51">
        <v>0.90400000000000003</v>
      </c>
      <c r="D51">
        <v>8.5099999999999995E-2</v>
      </c>
      <c r="E51" t="s">
        <v>62</v>
      </c>
      <c r="F51" t="s">
        <v>63</v>
      </c>
      <c r="G51">
        <v>31.21</v>
      </c>
      <c r="H51">
        <v>29.95</v>
      </c>
      <c r="I51">
        <v>30.14</v>
      </c>
      <c r="K51" s="35">
        <v>4.4000000000000004</v>
      </c>
      <c r="L51" s="22">
        <f t="shared" si="10"/>
        <v>28.173048529999999</v>
      </c>
      <c r="M51" s="16">
        <f t="shared" ref="M51:M55" si="11">K51/L51</f>
        <v>0.1561776317999336</v>
      </c>
      <c r="Q51" s="4" t="s">
        <v>10</v>
      </c>
      <c r="R51">
        <v>0.13700000000000001</v>
      </c>
      <c r="S51">
        <v>1.1299999999999999E-2</v>
      </c>
      <c r="T51" t="s">
        <v>62</v>
      </c>
      <c r="U51" t="s">
        <v>63</v>
      </c>
      <c r="V51">
        <v>0.75109999999999999</v>
      </c>
      <c r="W51">
        <v>0.2432</v>
      </c>
      <c r="X51" s="5">
        <v>0.58299999999999996</v>
      </c>
    </row>
    <row r="52" spans="2:24" ht="15.75" thickBot="1">
      <c r="B52" s="4">
        <v>3</v>
      </c>
      <c r="C52">
        <v>0.60499999999999998</v>
      </c>
      <c r="D52">
        <v>5.9799999999999999E-2</v>
      </c>
      <c r="E52" t="s">
        <v>62</v>
      </c>
      <c r="F52" t="s">
        <v>63</v>
      </c>
      <c r="G52">
        <v>29.92</v>
      </c>
      <c r="H52">
        <v>29.83</v>
      </c>
      <c r="I52">
        <v>31.31</v>
      </c>
      <c r="K52" s="35">
        <v>4.0999999999999996</v>
      </c>
      <c r="L52" s="22">
        <f t="shared" si="10"/>
        <v>27.944600815999998</v>
      </c>
      <c r="M52" s="16">
        <f t="shared" si="11"/>
        <v>0.14671886089897188</v>
      </c>
      <c r="Q52" s="6" t="s">
        <v>83</v>
      </c>
      <c r="R52" s="7">
        <v>16.5</v>
      </c>
      <c r="S52" s="7">
        <v>14.32</v>
      </c>
      <c r="T52" s="7" t="s">
        <v>62</v>
      </c>
      <c r="U52" s="7" t="s">
        <v>63</v>
      </c>
      <c r="V52" s="7">
        <v>2.41</v>
      </c>
      <c r="W52" s="7">
        <v>0.81</v>
      </c>
      <c r="X52" s="8">
        <v>1.93</v>
      </c>
    </row>
    <row r="53" spans="2:24">
      <c r="B53" s="4">
        <v>4</v>
      </c>
      <c r="C53">
        <v>0.88700000000000001</v>
      </c>
      <c r="D53">
        <v>8.3299999999999999E-2</v>
      </c>
      <c r="E53" t="s">
        <v>62</v>
      </c>
      <c r="F53" t="s">
        <v>63</v>
      </c>
      <c r="G53">
        <v>31.92</v>
      </c>
      <c r="H53">
        <v>29.88</v>
      </c>
      <c r="I53">
        <v>29.83</v>
      </c>
      <c r="K53" s="34">
        <v>4.3</v>
      </c>
      <c r="L53" s="22">
        <f t="shared" si="10"/>
        <v>28.450947167999999</v>
      </c>
      <c r="M53" s="16">
        <f t="shared" si="11"/>
        <v>0.15113732328870916</v>
      </c>
    </row>
    <row r="54" spans="2:24">
      <c r="B54" s="4">
        <v>5</v>
      </c>
      <c r="C54">
        <v>0.89500000000000002</v>
      </c>
      <c r="D54">
        <v>8.5900000000000004E-2</v>
      </c>
      <c r="E54" t="s">
        <v>62</v>
      </c>
      <c r="F54" t="s">
        <v>63</v>
      </c>
      <c r="G54">
        <v>30.83</v>
      </c>
      <c r="H54">
        <v>30.5</v>
      </c>
      <c r="I54">
        <v>29.85</v>
      </c>
      <c r="K54" s="34">
        <v>4.2</v>
      </c>
      <c r="L54" s="22">
        <f t="shared" si="10"/>
        <v>28.068402750000001</v>
      </c>
      <c r="M54" s="16">
        <f t="shared" si="11"/>
        <v>0.14963444971944476</v>
      </c>
    </row>
    <row r="55" spans="2:24" ht="15.75" thickBot="1">
      <c r="B55" s="6">
        <v>6</v>
      </c>
      <c r="C55" s="7">
        <v>0.71699999999999997</v>
      </c>
      <c r="D55" s="7">
        <v>7.0900000000000005E-2</v>
      </c>
      <c r="E55" s="7" t="s">
        <v>62</v>
      </c>
      <c r="F55" s="7" t="s">
        <v>63</v>
      </c>
      <c r="G55" s="7">
        <v>31.12</v>
      </c>
      <c r="H55" s="7">
        <v>30.11</v>
      </c>
      <c r="I55" s="7">
        <v>30.1</v>
      </c>
      <c r="J55" s="7"/>
      <c r="K55" s="36">
        <v>4.0999999999999996</v>
      </c>
      <c r="L55" s="18">
        <f t="shared" si="10"/>
        <v>28.204398319999999</v>
      </c>
      <c r="M55" s="19">
        <f t="shared" si="11"/>
        <v>0.14536739814416291</v>
      </c>
    </row>
    <row r="57" spans="2:24" ht="15.75" thickBot="1"/>
    <row r="58" spans="2:24" ht="18.75">
      <c r="B58" s="1" t="s">
        <v>18</v>
      </c>
      <c r="C58" s="2" t="s">
        <v>66</v>
      </c>
      <c r="D58" s="2" t="s">
        <v>67</v>
      </c>
      <c r="E58" s="2" t="s">
        <v>68</v>
      </c>
      <c r="F58" s="2" t="s">
        <v>69</v>
      </c>
      <c r="G58" s="2" t="s">
        <v>70</v>
      </c>
      <c r="H58" s="2" t="s">
        <v>71</v>
      </c>
      <c r="I58" s="2" t="s">
        <v>72</v>
      </c>
      <c r="J58" s="2"/>
      <c r="K58" s="9" t="s">
        <v>30</v>
      </c>
      <c r="L58" s="10" t="s">
        <v>31</v>
      </c>
      <c r="M58" s="11" t="s">
        <v>32</v>
      </c>
      <c r="Q58" s="1" t="s">
        <v>6</v>
      </c>
      <c r="R58" s="37" t="s">
        <v>73</v>
      </c>
      <c r="S58" s="37" t="s">
        <v>74</v>
      </c>
      <c r="T58" s="37" t="s">
        <v>75</v>
      </c>
      <c r="U58" s="37" t="s">
        <v>76</v>
      </c>
      <c r="V58" s="37" t="s">
        <v>36</v>
      </c>
      <c r="W58" s="37" t="s">
        <v>28</v>
      </c>
      <c r="X58" s="38" t="s">
        <v>27</v>
      </c>
    </row>
    <row r="59" spans="2:24" ht="15.75" thickBot="1">
      <c r="B59" s="6" t="s">
        <v>0</v>
      </c>
      <c r="C59" s="7" t="s">
        <v>1</v>
      </c>
      <c r="D59" s="7" t="s">
        <v>2</v>
      </c>
      <c r="E59" s="7" t="s">
        <v>77</v>
      </c>
      <c r="F59" s="7" t="s">
        <v>78</v>
      </c>
      <c r="G59" s="7" t="s">
        <v>79</v>
      </c>
      <c r="H59" s="7" t="s">
        <v>79</v>
      </c>
      <c r="I59" s="7" t="s">
        <v>79</v>
      </c>
      <c r="J59" s="7"/>
      <c r="K59" s="29" t="s">
        <v>33</v>
      </c>
      <c r="L59" s="30" t="s">
        <v>34</v>
      </c>
      <c r="M59" s="31" t="s">
        <v>35</v>
      </c>
      <c r="Q59" s="4" t="s">
        <v>86</v>
      </c>
      <c r="R59" t="s">
        <v>1</v>
      </c>
      <c r="S59" t="s">
        <v>2</v>
      </c>
      <c r="T59" t="s">
        <v>77</v>
      </c>
      <c r="U59" t="s">
        <v>78</v>
      </c>
      <c r="V59" t="s">
        <v>79</v>
      </c>
      <c r="W59" t="s">
        <v>79</v>
      </c>
      <c r="X59" s="5" t="s">
        <v>79</v>
      </c>
    </row>
    <row r="60" spans="2:24" ht="30">
      <c r="B60" s="4">
        <v>1</v>
      </c>
      <c r="C60" t="s">
        <v>87</v>
      </c>
      <c r="D60">
        <v>3.4500000000000003E-2</v>
      </c>
      <c r="E60" t="s">
        <v>62</v>
      </c>
      <c r="F60" t="s">
        <v>63</v>
      </c>
      <c r="G60">
        <v>30.11</v>
      </c>
      <c r="H60">
        <v>32.89</v>
      </c>
      <c r="I60">
        <v>30.43</v>
      </c>
      <c r="K60" s="41">
        <v>3.3</v>
      </c>
      <c r="L60" s="9">
        <f t="shared" ref="L60:L65" si="12">G60*H60*I60/1000</f>
        <v>30.135373696999999</v>
      </c>
      <c r="M60" s="11">
        <f>K60/L60</f>
        <v>0.1095058595649178</v>
      </c>
      <c r="Q60" s="33" t="s">
        <v>80</v>
      </c>
      <c r="R60">
        <v>0.42699999999999999</v>
      </c>
      <c r="S60">
        <v>3.5799999999999998E-2</v>
      </c>
      <c r="T60" t="s">
        <v>62</v>
      </c>
      <c r="U60" t="s">
        <v>63</v>
      </c>
      <c r="V60">
        <v>31.64</v>
      </c>
      <c r="W60">
        <v>30.93</v>
      </c>
      <c r="X60" s="5">
        <v>30.09</v>
      </c>
    </row>
    <row r="61" spans="2:24">
      <c r="B61" s="4">
        <v>2</v>
      </c>
      <c r="C61">
        <v>0.68600000000000005</v>
      </c>
      <c r="D61" t="s">
        <v>84</v>
      </c>
      <c r="E61" t="s">
        <v>62</v>
      </c>
      <c r="F61" t="s">
        <v>63</v>
      </c>
      <c r="G61">
        <v>30.11</v>
      </c>
      <c r="H61">
        <v>32.89</v>
      </c>
      <c r="I61">
        <v>30.43</v>
      </c>
      <c r="K61" s="35">
        <v>3.3</v>
      </c>
      <c r="L61" s="22">
        <f t="shared" si="12"/>
        <v>30.135373696999999</v>
      </c>
      <c r="M61" s="16">
        <f t="shared" ref="M61:M65" si="13">K61/L61</f>
        <v>0.1095058595649178</v>
      </c>
      <c r="Q61" s="4" t="s">
        <v>10</v>
      </c>
      <c r="R61">
        <v>0.14699999999999999</v>
      </c>
      <c r="S61">
        <v>2.6800000000000001E-3</v>
      </c>
      <c r="T61" t="s">
        <v>62</v>
      </c>
      <c r="U61" t="s">
        <v>63</v>
      </c>
      <c r="V61">
        <v>1.2350000000000001</v>
      </c>
      <c r="W61">
        <v>1.528</v>
      </c>
      <c r="X61" s="5">
        <v>0.35160000000000002</v>
      </c>
    </row>
    <row r="62" spans="2:24" ht="15.75" thickBot="1">
      <c r="B62" s="4">
        <v>3</v>
      </c>
      <c r="C62">
        <v>0.38400000000000001</v>
      </c>
      <c r="D62">
        <v>3.8399999999999997E-2</v>
      </c>
      <c r="E62" t="s">
        <v>62</v>
      </c>
      <c r="F62" t="s">
        <v>63</v>
      </c>
      <c r="G62">
        <v>32.58</v>
      </c>
      <c r="H62">
        <v>30.16</v>
      </c>
      <c r="I62">
        <v>30.1</v>
      </c>
      <c r="K62" s="35">
        <v>3.3</v>
      </c>
      <c r="L62" s="22">
        <f t="shared" si="12"/>
        <v>29.576645280000001</v>
      </c>
      <c r="M62" s="16">
        <f t="shared" si="13"/>
        <v>0.11157451998896881</v>
      </c>
      <c r="Q62" s="6" t="s">
        <v>83</v>
      </c>
      <c r="R62" s="7">
        <v>34.46</v>
      </c>
      <c r="S62" s="7">
        <v>7.47</v>
      </c>
      <c r="T62" s="7" t="s">
        <v>62</v>
      </c>
      <c r="U62" s="7" t="s">
        <v>63</v>
      </c>
      <c r="V62" s="7">
        <v>3.9</v>
      </c>
      <c r="W62" s="7">
        <v>4.9400000000000004</v>
      </c>
      <c r="X62" s="8">
        <v>1.17</v>
      </c>
    </row>
    <row r="63" spans="2:24">
      <c r="B63" s="4">
        <v>4</v>
      </c>
      <c r="C63">
        <v>0.39</v>
      </c>
      <c r="D63">
        <v>3.9E-2</v>
      </c>
      <c r="E63" t="s">
        <v>62</v>
      </c>
      <c r="F63" t="s">
        <v>63</v>
      </c>
      <c r="G63">
        <v>31.87</v>
      </c>
      <c r="H63">
        <v>29.88</v>
      </c>
      <c r="I63">
        <v>29.97</v>
      </c>
      <c r="K63" s="34">
        <v>3.1</v>
      </c>
      <c r="L63" s="22">
        <f t="shared" si="12"/>
        <v>28.539699732000003</v>
      </c>
      <c r="M63" s="16">
        <f t="shared" si="13"/>
        <v>0.10862062422206005</v>
      </c>
    </row>
    <row r="64" spans="2:24">
      <c r="B64" s="4">
        <v>5</v>
      </c>
      <c r="C64">
        <v>0.32900000000000001</v>
      </c>
      <c r="D64">
        <v>3.2899999999999999E-2</v>
      </c>
      <c r="E64" t="s">
        <v>62</v>
      </c>
      <c r="F64" t="s">
        <v>63</v>
      </c>
      <c r="G64">
        <v>32.29</v>
      </c>
      <c r="H64">
        <v>29.76</v>
      </c>
      <c r="I64">
        <v>29.48</v>
      </c>
      <c r="K64" s="34">
        <v>3.1</v>
      </c>
      <c r="L64" s="22">
        <f t="shared" si="12"/>
        <v>28.328817792000002</v>
      </c>
      <c r="M64" s="16">
        <f t="shared" si="13"/>
        <v>0.10942920466223739</v>
      </c>
    </row>
    <row r="65" spans="1:24" ht="15.75" thickBot="1">
      <c r="B65" s="6">
        <v>6</v>
      </c>
      <c r="C65" s="7">
        <v>0.34499999999999997</v>
      </c>
      <c r="D65" s="7">
        <v>3.4500000000000003E-2</v>
      </c>
      <c r="E65" s="7" t="s">
        <v>62</v>
      </c>
      <c r="F65" s="7" t="s">
        <v>63</v>
      </c>
      <c r="G65" s="7">
        <v>32.9</v>
      </c>
      <c r="H65" s="7">
        <v>29.97</v>
      </c>
      <c r="I65" s="7">
        <v>30.11</v>
      </c>
      <c r="J65" s="7"/>
      <c r="K65" s="36">
        <v>3.2</v>
      </c>
      <c r="L65" s="18">
        <f t="shared" si="12"/>
        <v>29.68885143</v>
      </c>
      <c r="M65" s="19">
        <f t="shared" si="13"/>
        <v>0.10778456713102963</v>
      </c>
    </row>
    <row r="67" spans="1:24" ht="15.75" thickBot="1"/>
    <row r="68" spans="1:24" ht="18.75">
      <c r="B68" s="1" t="s">
        <v>20</v>
      </c>
      <c r="C68" s="2" t="s">
        <v>66</v>
      </c>
      <c r="D68" s="2" t="s">
        <v>67</v>
      </c>
      <c r="E68" s="2" t="s">
        <v>68</v>
      </c>
      <c r="F68" s="2" t="s">
        <v>69</v>
      </c>
      <c r="G68" s="2" t="s">
        <v>70</v>
      </c>
      <c r="H68" s="2" t="s">
        <v>71</v>
      </c>
      <c r="I68" s="2" t="s">
        <v>72</v>
      </c>
      <c r="J68" s="2"/>
      <c r="K68" s="9" t="s">
        <v>30</v>
      </c>
      <c r="L68" s="10" t="s">
        <v>31</v>
      </c>
      <c r="M68" s="11" t="s">
        <v>32</v>
      </c>
      <c r="Q68" s="1" t="s">
        <v>6</v>
      </c>
      <c r="R68" s="2" t="s">
        <v>88</v>
      </c>
      <c r="S68" s="2" t="s">
        <v>89</v>
      </c>
      <c r="T68" s="2" t="s">
        <v>90</v>
      </c>
      <c r="U68" s="2" t="s">
        <v>91</v>
      </c>
      <c r="V68" s="2" t="s">
        <v>92</v>
      </c>
      <c r="W68" s="2" t="s">
        <v>93</v>
      </c>
      <c r="X68" s="3" t="s">
        <v>94</v>
      </c>
    </row>
    <row r="69" spans="1:24" ht="15.75" thickBot="1">
      <c r="B69" s="6" t="s">
        <v>0</v>
      </c>
      <c r="C69" s="7" t="s">
        <v>1</v>
      </c>
      <c r="D69" s="7" t="s">
        <v>2</v>
      </c>
      <c r="E69" s="7" t="s">
        <v>77</v>
      </c>
      <c r="F69" s="7" t="s">
        <v>78</v>
      </c>
      <c r="G69" s="7" t="s">
        <v>79</v>
      </c>
      <c r="H69" s="7" t="s">
        <v>79</v>
      </c>
      <c r="I69" s="7" t="s">
        <v>79</v>
      </c>
      <c r="J69" s="7"/>
      <c r="K69" s="29" t="s">
        <v>33</v>
      </c>
      <c r="L69" s="30" t="s">
        <v>34</v>
      </c>
      <c r="M69" s="31" t="s">
        <v>35</v>
      </c>
      <c r="Q69" s="4" t="s">
        <v>86</v>
      </c>
      <c r="R69" t="s">
        <v>1</v>
      </c>
      <c r="S69" t="s">
        <v>2</v>
      </c>
      <c r="T69" t="s">
        <v>77</v>
      </c>
      <c r="U69" t="s">
        <v>78</v>
      </c>
      <c r="V69" t="s">
        <v>79</v>
      </c>
      <c r="W69" t="s">
        <v>79</v>
      </c>
      <c r="X69" s="5" t="s">
        <v>79</v>
      </c>
    </row>
    <row r="70" spans="1:24" ht="30">
      <c r="B70" s="4">
        <v>1</v>
      </c>
      <c r="C70" t="s">
        <v>87</v>
      </c>
      <c r="D70">
        <v>2.1100000000000001E-2</v>
      </c>
      <c r="E70" t="s">
        <v>62</v>
      </c>
      <c r="F70" t="s">
        <v>63</v>
      </c>
      <c r="G70">
        <v>32.9</v>
      </c>
      <c r="H70">
        <v>29.97</v>
      </c>
      <c r="I70">
        <v>30.11</v>
      </c>
      <c r="K70" s="41">
        <v>2.9</v>
      </c>
      <c r="L70" s="9">
        <f t="shared" ref="L70:L75" si="14">G70*H70*I70/1000</f>
        <v>29.68885143</v>
      </c>
      <c r="M70" s="11">
        <f>K70/L70</f>
        <v>9.76797639624956E-2</v>
      </c>
      <c r="Q70" s="33" t="s">
        <v>80</v>
      </c>
      <c r="R70">
        <v>0.25800000000000001</v>
      </c>
      <c r="S70">
        <v>2.4899999999999999E-2</v>
      </c>
      <c r="T70" t="s">
        <v>62</v>
      </c>
      <c r="U70" t="s">
        <v>63</v>
      </c>
      <c r="V70">
        <v>32.840000000000003</v>
      </c>
      <c r="W70">
        <v>29.7</v>
      </c>
      <c r="X70" s="5">
        <v>29.55</v>
      </c>
    </row>
    <row r="71" spans="1:24">
      <c r="B71" s="4">
        <v>2</v>
      </c>
      <c r="C71">
        <v>0.22900000000000001</v>
      </c>
      <c r="D71">
        <v>2.29E-2</v>
      </c>
      <c r="E71" t="s">
        <v>62</v>
      </c>
      <c r="F71" t="s">
        <v>63</v>
      </c>
      <c r="G71">
        <v>32.6</v>
      </c>
      <c r="H71">
        <v>29.44</v>
      </c>
      <c r="I71">
        <v>28.88</v>
      </c>
      <c r="K71" s="35">
        <v>2.9</v>
      </c>
      <c r="L71" s="22">
        <f t="shared" si="14"/>
        <v>27.71740672</v>
      </c>
      <c r="M71" s="16">
        <f t="shared" ref="M71:M75" si="15">K71/L71</f>
        <v>0.10462739278950842</v>
      </c>
      <c r="Q71" s="4" t="s">
        <v>10</v>
      </c>
      <c r="R71">
        <v>1.77E-2</v>
      </c>
      <c r="S71">
        <v>2.4099999999999998E-3</v>
      </c>
      <c r="T71" t="s">
        <v>62</v>
      </c>
      <c r="U71" t="s">
        <v>63</v>
      </c>
      <c r="V71">
        <v>0.56820000000000004</v>
      </c>
      <c r="W71">
        <v>0.53549999999999998</v>
      </c>
      <c r="X71" s="5">
        <v>0.55130000000000001</v>
      </c>
    </row>
    <row r="72" spans="1:24" ht="15.75" thickBot="1">
      <c r="B72" s="4">
        <v>3</v>
      </c>
      <c r="C72">
        <v>0.254</v>
      </c>
      <c r="D72">
        <v>2.52E-2</v>
      </c>
      <c r="E72" t="s">
        <v>62</v>
      </c>
      <c r="F72" t="s">
        <v>63</v>
      </c>
      <c r="G72">
        <v>32.96</v>
      </c>
      <c r="H72">
        <v>30.56</v>
      </c>
      <c r="I72">
        <v>29.22</v>
      </c>
      <c r="K72" s="34">
        <v>3</v>
      </c>
      <c r="L72" s="22">
        <f t="shared" si="14"/>
        <v>29.432067071999999</v>
      </c>
      <c r="M72" s="16">
        <f t="shared" si="15"/>
        <v>0.10192963996246224</v>
      </c>
      <c r="Q72" s="6" t="s">
        <v>83</v>
      </c>
      <c r="R72" s="7">
        <v>6.86</v>
      </c>
      <c r="S72" s="7">
        <v>9.68</v>
      </c>
      <c r="T72" s="7" t="s">
        <v>62</v>
      </c>
      <c r="U72" s="7" t="s">
        <v>63</v>
      </c>
      <c r="V72" s="7">
        <v>1.73</v>
      </c>
      <c r="W72" s="7">
        <v>1.8</v>
      </c>
      <c r="X72" s="8">
        <v>1.87</v>
      </c>
    </row>
    <row r="73" spans="1:24">
      <c r="B73" s="4">
        <v>4</v>
      </c>
      <c r="C73">
        <v>0.27</v>
      </c>
      <c r="D73">
        <v>2.7E-2</v>
      </c>
      <c r="E73" t="s">
        <v>62</v>
      </c>
      <c r="F73" t="s">
        <v>63</v>
      </c>
      <c r="G73">
        <v>33.53</v>
      </c>
      <c r="H73">
        <v>29.43</v>
      </c>
      <c r="I73">
        <v>30.18</v>
      </c>
      <c r="K73" s="34">
        <v>3.1</v>
      </c>
      <c r="L73" s="22">
        <f t="shared" si="14"/>
        <v>29.781258821999998</v>
      </c>
      <c r="M73" s="16">
        <f t="shared" si="15"/>
        <v>0.10409230914409734</v>
      </c>
    </row>
    <row r="74" spans="1:24">
      <c r="B74" s="4">
        <v>5</v>
      </c>
      <c r="C74">
        <v>0.27</v>
      </c>
      <c r="D74">
        <v>2.6700000000000002E-2</v>
      </c>
      <c r="E74" t="s">
        <v>62</v>
      </c>
      <c r="F74" t="s">
        <v>63</v>
      </c>
      <c r="G74">
        <v>33.159999999999997</v>
      </c>
      <c r="H74">
        <v>29.01</v>
      </c>
      <c r="I74">
        <v>29.79</v>
      </c>
      <c r="K74" s="34">
        <v>3</v>
      </c>
      <c r="L74" s="22">
        <f t="shared" si="14"/>
        <v>28.657133963999996</v>
      </c>
      <c r="M74" s="16">
        <f t="shared" si="15"/>
        <v>0.10468597466057476</v>
      </c>
    </row>
    <row r="75" spans="1:24" ht="15.75" thickBot="1">
      <c r="B75" s="6">
        <v>6</v>
      </c>
      <c r="C75" s="7">
        <v>0.26800000000000002</v>
      </c>
      <c r="D75" s="7">
        <v>2.6599999999999999E-2</v>
      </c>
      <c r="E75" s="7" t="s">
        <v>62</v>
      </c>
      <c r="F75" s="7" t="s">
        <v>63</v>
      </c>
      <c r="G75" s="7">
        <v>31.86</v>
      </c>
      <c r="H75" s="7">
        <v>29.77</v>
      </c>
      <c r="I75" s="7">
        <v>29.11</v>
      </c>
      <c r="J75" s="7"/>
      <c r="K75" s="36">
        <v>3.1</v>
      </c>
      <c r="L75" s="18">
        <f t="shared" si="14"/>
        <v>27.610025741999998</v>
      </c>
      <c r="M75" s="19">
        <f t="shared" si="15"/>
        <v>0.1122780554052263</v>
      </c>
    </row>
    <row r="77" spans="1:24" ht="15.75" thickBot="1">
      <c r="A77" s="21">
        <v>45545</v>
      </c>
    </row>
    <row r="78" spans="1:24" ht="18.75">
      <c r="A78" s="21"/>
      <c r="B78" s="1" t="s">
        <v>60</v>
      </c>
      <c r="C78" s="2" t="s">
        <v>21</v>
      </c>
      <c r="D78" s="2" t="s">
        <v>22</v>
      </c>
      <c r="E78" s="2" t="s">
        <v>23</v>
      </c>
      <c r="F78" s="2" t="s">
        <v>24</v>
      </c>
      <c r="G78" s="2" t="s">
        <v>26</v>
      </c>
      <c r="H78" s="2" t="s">
        <v>27</v>
      </c>
      <c r="I78" s="2" t="s">
        <v>28</v>
      </c>
      <c r="J78" s="2" t="s">
        <v>30</v>
      </c>
      <c r="K78" s="2" t="s">
        <v>31</v>
      </c>
      <c r="L78" s="3" t="s">
        <v>32</v>
      </c>
      <c r="N78" s="1" t="s">
        <v>6</v>
      </c>
      <c r="O78" s="2" t="s">
        <v>37</v>
      </c>
      <c r="P78" s="2" t="s">
        <v>38</v>
      </c>
      <c r="Q78" s="2" t="s">
        <v>39</v>
      </c>
      <c r="R78" s="2" t="s">
        <v>40</v>
      </c>
      <c r="S78" s="2" t="s">
        <v>36</v>
      </c>
      <c r="T78" s="2" t="s">
        <v>42</v>
      </c>
      <c r="U78" s="3" t="s">
        <v>28</v>
      </c>
    </row>
    <row r="79" spans="1:24" ht="15.75" thickBot="1">
      <c r="B79" s="4" t="s">
        <v>0</v>
      </c>
      <c r="C79" t="s">
        <v>1</v>
      </c>
      <c r="D79" t="s">
        <v>2</v>
      </c>
      <c r="E79" t="s">
        <v>3</v>
      </c>
      <c r="F79" t="s">
        <v>2</v>
      </c>
      <c r="G79" t="s">
        <v>4</v>
      </c>
      <c r="H79" t="s">
        <v>4</v>
      </c>
      <c r="I79" t="s">
        <v>5</v>
      </c>
      <c r="L79" s="5"/>
      <c r="N79" s="4" t="s">
        <v>86</v>
      </c>
      <c r="O79" t="s">
        <v>1</v>
      </c>
      <c r="P79" t="s">
        <v>2</v>
      </c>
      <c r="Q79" t="s">
        <v>77</v>
      </c>
      <c r="R79" t="s">
        <v>78</v>
      </c>
      <c r="S79" t="s">
        <v>79</v>
      </c>
      <c r="T79" t="s">
        <v>79</v>
      </c>
      <c r="U79" s="5" t="s">
        <v>79</v>
      </c>
    </row>
    <row r="80" spans="1:24">
      <c r="B80" s="1">
        <v>294</v>
      </c>
      <c r="C80" s="2">
        <v>1.35</v>
      </c>
      <c r="D80" s="2">
        <v>0.112</v>
      </c>
      <c r="E80" s="2" t="s">
        <v>62</v>
      </c>
      <c r="F80" s="2" t="s">
        <v>63</v>
      </c>
      <c r="G80" s="2">
        <v>30.24</v>
      </c>
      <c r="H80" s="2">
        <v>30.14</v>
      </c>
      <c r="I80" s="2">
        <v>29.13</v>
      </c>
      <c r="J80" s="2">
        <v>4.5999999999999996</v>
      </c>
      <c r="K80" s="10">
        <f>(G80*H80*I80)/1000</f>
        <v>26.550060767999998</v>
      </c>
      <c r="L80" s="11">
        <f>J80/K80</f>
        <v>0.17325760721211769</v>
      </c>
      <c r="N80" s="4" t="s">
        <v>9</v>
      </c>
      <c r="O80">
        <v>1.49</v>
      </c>
      <c r="P80">
        <v>0.113</v>
      </c>
      <c r="Q80" t="s">
        <v>62</v>
      </c>
      <c r="R80" t="s">
        <v>63</v>
      </c>
      <c r="S80">
        <v>30.86</v>
      </c>
      <c r="T80">
        <v>29.99</v>
      </c>
      <c r="U80" s="5">
        <v>31.43</v>
      </c>
    </row>
    <row r="81" spans="2:21">
      <c r="B81" s="4">
        <v>297</v>
      </c>
      <c r="C81">
        <v>1.97</v>
      </c>
      <c r="D81">
        <v>0.13800000000000001</v>
      </c>
      <c r="E81" t="s">
        <v>62</v>
      </c>
      <c r="F81" t="s">
        <v>63</v>
      </c>
      <c r="G81">
        <v>31.18</v>
      </c>
      <c r="H81">
        <v>29.67</v>
      </c>
      <c r="I81">
        <v>29.98</v>
      </c>
      <c r="J81">
        <v>5.2</v>
      </c>
      <c r="K81" s="42">
        <f t="shared" ref="K81:K85" si="16">(G81*H81*I81)/1000</f>
        <v>27.734815788000002</v>
      </c>
      <c r="L81" s="16">
        <f t="shared" ref="L81:L85" si="17">J81/K81</f>
        <v>0.18748997793055036</v>
      </c>
      <c r="N81" s="4" t="s">
        <v>10</v>
      </c>
      <c r="O81">
        <v>0.39800000000000002</v>
      </c>
      <c r="P81">
        <v>2.5499999999999998E-2</v>
      </c>
      <c r="Q81" t="s">
        <v>62</v>
      </c>
      <c r="R81" t="s">
        <v>63</v>
      </c>
      <c r="S81">
        <v>0.52470000000000006</v>
      </c>
      <c r="T81">
        <v>0.2495</v>
      </c>
      <c r="U81" s="5">
        <v>4.077</v>
      </c>
    </row>
    <row r="82" spans="2:21" ht="15.75" thickBot="1">
      <c r="B82" s="4">
        <v>302</v>
      </c>
      <c r="C82">
        <v>1.21</v>
      </c>
      <c r="D82">
        <v>9.6000000000000002E-2</v>
      </c>
      <c r="E82" t="s">
        <v>62</v>
      </c>
      <c r="F82" t="s">
        <v>63</v>
      </c>
      <c r="G82">
        <v>30.38</v>
      </c>
      <c r="H82">
        <v>29.67</v>
      </c>
      <c r="I82">
        <v>30.37</v>
      </c>
      <c r="J82">
        <v>4.7</v>
      </c>
      <c r="K82" s="42">
        <f t="shared" si="16"/>
        <v>27.374746601999998</v>
      </c>
      <c r="L82" s="16">
        <f t="shared" si="17"/>
        <v>0.17169108698367341</v>
      </c>
      <c r="N82" s="6" t="s">
        <v>11</v>
      </c>
      <c r="O82" s="7">
        <v>26.72</v>
      </c>
      <c r="P82" s="7">
        <v>22.53</v>
      </c>
      <c r="Q82" s="7" t="s">
        <v>62</v>
      </c>
      <c r="R82" s="7" t="s">
        <v>63</v>
      </c>
      <c r="S82" s="7">
        <v>1.7</v>
      </c>
      <c r="T82" s="7">
        <v>0.83</v>
      </c>
      <c r="U82" s="8">
        <v>12.97</v>
      </c>
    </row>
    <row r="83" spans="2:21">
      <c r="B83" s="4">
        <v>305</v>
      </c>
      <c r="C83">
        <v>0.99299999999999999</v>
      </c>
      <c r="D83">
        <v>7.9699999999999993E-2</v>
      </c>
      <c r="E83" t="s">
        <v>62</v>
      </c>
      <c r="F83" t="s">
        <v>63</v>
      </c>
      <c r="G83">
        <v>30.6</v>
      </c>
      <c r="H83">
        <v>30.15</v>
      </c>
      <c r="I83">
        <v>39.71</v>
      </c>
      <c r="J83">
        <v>4.7</v>
      </c>
      <c r="K83" s="42">
        <f t="shared" si="16"/>
        <v>36.636048899999999</v>
      </c>
      <c r="L83" s="16">
        <f t="shared" si="17"/>
        <v>0.12828894329814045</v>
      </c>
    </row>
    <row r="84" spans="2:21">
      <c r="B84" s="4">
        <v>308</v>
      </c>
      <c r="C84">
        <v>1.96</v>
      </c>
      <c r="D84">
        <v>0.14699999999999999</v>
      </c>
      <c r="E84" t="s">
        <v>62</v>
      </c>
      <c r="F84" t="s">
        <v>63</v>
      </c>
      <c r="G84">
        <v>31.2</v>
      </c>
      <c r="H84">
        <v>30.09</v>
      </c>
      <c r="I84">
        <v>29.73</v>
      </c>
      <c r="J84">
        <v>5.4</v>
      </c>
      <c r="K84" s="42">
        <f t="shared" si="16"/>
        <v>27.910761839999999</v>
      </c>
      <c r="L84" s="16">
        <f t="shared" si="17"/>
        <v>0.19347375865108241</v>
      </c>
    </row>
    <row r="85" spans="2:21" ht="15.75" thickBot="1">
      <c r="B85" s="6">
        <v>311</v>
      </c>
      <c r="C85" s="7">
        <v>1.47</v>
      </c>
      <c r="D85" s="7">
        <v>0.105</v>
      </c>
      <c r="E85" s="7" t="s">
        <v>62</v>
      </c>
      <c r="F85" s="7" t="s">
        <v>63</v>
      </c>
      <c r="G85" s="7">
        <v>31.55</v>
      </c>
      <c r="H85" s="7">
        <v>30.21</v>
      </c>
      <c r="I85" s="7">
        <v>29.66</v>
      </c>
      <c r="J85" s="7">
        <v>5.3</v>
      </c>
      <c r="K85" s="25">
        <f t="shared" si="16"/>
        <v>28.269702330000005</v>
      </c>
      <c r="L85" s="19">
        <f t="shared" si="17"/>
        <v>0.18747986583415854</v>
      </c>
    </row>
    <row r="86" spans="2:21" ht="15.75" thickBot="1"/>
    <row r="87" spans="2:21" ht="18.75">
      <c r="B87" s="1" t="s">
        <v>95</v>
      </c>
      <c r="C87" s="2" t="s">
        <v>21</v>
      </c>
      <c r="D87" s="2" t="s">
        <v>22</v>
      </c>
      <c r="E87" s="2" t="s">
        <v>23</v>
      </c>
      <c r="F87" s="2" t="s">
        <v>24</v>
      </c>
      <c r="G87" s="2" t="s">
        <v>26</v>
      </c>
      <c r="H87" s="2" t="s">
        <v>27</v>
      </c>
      <c r="I87" s="2" t="s">
        <v>28</v>
      </c>
      <c r="J87" s="2" t="s">
        <v>30</v>
      </c>
      <c r="K87" s="2" t="s">
        <v>31</v>
      </c>
      <c r="L87" s="3" t="s">
        <v>32</v>
      </c>
      <c r="N87" s="1" t="s">
        <v>6</v>
      </c>
      <c r="O87" s="2" t="s">
        <v>37</v>
      </c>
      <c r="P87" s="2" t="s">
        <v>38</v>
      </c>
      <c r="Q87" s="2" t="s">
        <v>39</v>
      </c>
      <c r="R87" s="2" t="s">
        <v>40</v>
      </c>
      <c r="S87" s="2" t="s">
        <v>36</v>
      </c>
      <c r="T87" s="2" t="s">
        <v>42</v>
      </c>
      <c r="U87" s="3" t="s">
        <v>28</v>
      </c>
    </row>
    <row r="88" spans="2:21" ht="15.75" thickBot="1">
      <c r="B88" s="4" t="s">
        <v>0</v>
      </c>
      <c r="C88" t="s">
        <v>1</v>
      </c>
      <c r="D88" t="s">
        <v>2</v>
      </c>
      <c r="E88" t="s">
        <v>3</v>
      </c>
      <c r="F88" t="s">
        <v>2</v>
      </c>
      <c r="G88" t="s">
        <v>4</v>
      </c>
      <c r="H88" t="s">
        <v>4</v>
      </c>
      <c r="I88" t="s">
        <v>5</v>
      </c>
      <c r="J88" t="s">
        <v>33</v>
      </c>
      <c r="K88" t="s">
        <v>34</v>
      </c>
      <c r="L88" s="5" t="s">
        <v>35</v>
      </c>
      <c r="N88" s="4" t="s">
        <v>14</v>
      </c>
      <c r="O88" t="s">
        <v>1</v>
      </c>
      <c r="P88" t="s">
        <v>2</v>
      </c>
      <c r="Q88" t="s">
        <v>3</v>
      </c>
      <c r="R88" t="s">
        <v>2</v>
      </c>
      <c r="S88" t="s">
        <v>3</v>
      </c>
      <c r="T88" t="s">
        <v>8</v>
      </c>
      <c r="U88" s="5" t="s">
        <v>8</v>
      </c>
    </row>
    <row r="89" spans="2:21">
      <c r="B89" s="1">
        <v>5</v>
      </c>
      <c r="C89" s="2">
        <v>1.1000000000000001</v>
      </c>
      <c r="D89" s="2">
        <v>9.0300000000000005E-2</v>
      </c>
      <c r="E89" s="2" t="s">
        <v>62</v>
      </c>
      <c r="F89" s="2" t="s">
        <v>63</v>
      </c>
      <c r="G89" s="2">
        <v>31.18</v>
      </c>
      <c r="H89" s="2">
        <v>30.25</v>
      </c>
      <c r="I89" s="2">
        <v>30</v>
      </c>
      <c r="J89" s="2">
        <v>4</v>
      </c>
      <c r="K89" s="10">
        <f>(G89*H89*I89)/1000</f>
        <v>28.295849999999998</v>
      </c>
      <c r="L89" s="11">
        <f>J89/K89</f>
        <v>0.14136348616493233</v>
      </c>
      <c r="N89" s="4" t="s">
        <v>9</v>
      </c>
      <c r="O89" s="42">
        <f>AVERAGE(C89:C93)</f>
        <v>0.97140000000000004</v>
      </c>
      <c r="P89" s="42">
        <f>AVERAGE(D89:D93)</f>
        <v>8.2160000000000011E-2</v>
      </c>
      <c r="Q89" s="42" t="s">
        <v>62</v>
      </c>
      <c r="R89" s="42" t="s">
        <v>63</v>
      </c>
      <c r="S89" s="42">
        <f>AVERAGE(G89:G93)</f>
        <v>31.163999999999998</v>
      </c>
      <c r="T89" s="42">
        <f>AVERAGE(H89:H93)</f>
        <v>30.083999999999996</v>
      </c>
      <c r="U89" s="16">
        <f>AVERAGE(I89:I93)</f>
        <v>30.123999999999995</v>
      </c>
    </row>
    <row r="90" spans="2:21">
      <c r="B90" s="4">
        <v>9</v>
      </c>
      <c r="C90">
        <v>0.99299999999999999</v>
      </c>
      <c r="D90">
        <v>8.5099999999999995E-2</v>
      </c>
      <c r="E90" t="s">
        <v>62</v>
      </c>
      <c r="F90" t="s">
        <v>63</v>
      </c>
      <c r="G90">
        <v>31.32</v>
      </c>
      <c r="H90">
        <v>30.19</v>
      </c>
      <c r="I90">
        <v>30.04</v>
      </c>
      <c r="J90">
        <v>3.9</v>
      </c>
      <c r="K90" s="42">
        <f t="shared" ref="K90:K93" si="18">(G90*H90*I90)/1000</f>
        <v>28.404346032000003</v>
      </c>
      <c r="L90" s="16">
        <f t="shared" ref="L90:L93" si="19">J90/K90</f>
        <v>0.13730293229093554</v>
      </c>
      <c r="N90" s="4" t="s">
        <v>10</v>
      </c>
      <c r="O90" s="42">
        <f>_xlfn.STDEV.S(C89:C93)</f>
        <v>0.10291647098496921</v>
      </c>
      <c r="P90" s="42">
        <f>_xlfn.STDEV.S(D89:D93)</f>
        <v>7.1458379494640087E-3</v>
      </c>
      <c r="Q90" s="42" t="s">
        <v>62</v>
      </c>
      <c r="R90" s="42" t="s">
        <v>63</v>
      </c>
      <c r="S90" s="42">
        <f>_xlfn.STDEV.S(G89:G93)</f>
        <v>0.42887060985803194</v>
      </c>
      <c r="T90" s="42">
        <f>_xlfn.STDEV.S(H89:H93)</f>
        <v>0.16949926253526906</v>
      </c>
      <c r="U90" s="16">
        <f>_xlfn.STDEV.S(I89:I93)</f>
        <v>0.15757537878742386</v>
      </c>
    </row>
    <row r="91" spans="2:21" ht="15.75" thickBot="1">
      <c r="B91" s="4">
        <v>13</v>
      </c>
      <c r="C91">
        <v>0.93200000000000005</v>
      </c>
      <c r="D91">
        <v>7.9399999999999998E-2</v>
      </c>
      <c r="E91" t="s">
        <v>62</v>
      </c>
      <c r="F91" t="s">
        <v>63</v>
      </c>
      <c r="G91">
        <v>31.53</v>
      </c>
      <c r="H91">
        <v>30.16</v>
      </c>
      <c r="I91">
        <v>30.28</v>
      </c>
      <c r="J91">
        <v>4.0999999999999996</v>
      </c>
      <c r="K91" s="42">
        <f t="shared" si="18"/>
        <v>28.794608544000003</v>
      </c>
      <c r="L91" s="16">
        <f t="shared" si="19"/>
        <v>0.14238776657563992</v>
      </c>
      <c r="N91" s="6" t="s">
        <v>11</v>
      </c>
      <c r="O91" s="25">
        <f>O90/O89*100</f>
        <v>10.594654208870621</v>
      </c>
      <c r="P91" s="25">
        <f>P90/P89*100</f>
        <v>8.6974658586465523</v>
      </c>
      <c r="Q91" s="25" t="s">
        <v>62</v>
      </c>
      <c r="R91" s="25" t="s">
        <v>63</v>
      </c>
      <c r="S91" s="25">
        <f>S90/S89*100</f>
        <v>1.3761731801374406</v>
      </c>
      <c r="T91" s="25">
        <f>T90/T89*100</f>
        <v>0.56341996587976695</v>
      </c>
      <c r="U91" s="19">
        <f>U90/U89*100</f>
        <v>0.52308916076027046</v>
      </c>
    </row>
    <row r="92" spans="2:21">
      <c r="B92" s="4">
        <v>17</v>
      </c>
      <c r="C92">
        <v>0.82199999999999995</v>
      </c>
      <c r="D92">
        <v>7.1400000000000005E-2</v>
      </c>
      <c r="E92" t="s">
        <v>62</v>
      </c>
      <c r="F92" t="s">
        <v>63</v>
      </c>
      <c r="G92">
        <v>30.43</v>
      </c>
      <c r="H92">
        <v>29.84</v>
      </c>
      <c r="I92">
        <v>29.99</v>
      </c>
      <c r="J92">
        <v>3.6</v>
      </c>
      <c r="K92" s="42">
        <f t="shared" si="18"/>
        <v>27.231855688</v>
      </c>
      <c r="L92" s="16">
        <f>J92/K92</f>
        <v>0.13219811537068249</v>
      </c>
    </row>
    <row r="93" spans="2:21" ht="15.75" thickBot="1">
      <c r="B93" s="6">
        <v>18</v>
      </c>
      <c r="C93" s="7">
        <v>1.01</v>
      </c>
      <c r="D93" s="7">
        <v>8.4599999999999995E-2</v>
      </c>
      <c r="E93" s="7" t="s">
        <v>62</v>
      </c>
      <c r="F93" s="7" t="s">
        <v>63</v>
      </c>
      <c r="G93" s="7">
        <v>31.36</v>
      </c>
      <c r="H93" s="7">
        <v>29.98</v>
      </c>
      <c r="I93" s="7">
        <v>30.31</v>
      </c>
      <c r="J93" s="7">
        <v>3.9</v>
      </c>
      <c r="K93" s="25">
        <f t="shared" si="18"/>
        <v>28.496637568000001</v>
      </c>
      <c r="L93" s="19">
        <f t="shared" si="19"/>
        <v>0.13685825180931044</v>
      </c>
    </row>
    <row r="94" spans="2:21" ht="15.75" thickBot="1"/>
    <row r="95" spans="2:21" ht="18.75">
      <c r="B95" s="1" t="s">
        <v>96</v>
      </c>
      <c r="C95" s="2" t="s">
        <v>21</v>
      </c>
      <c r="D95" s="2" t="s">
        <v>22</v>
      </c>
      <c r="E95" s="2" t="s">
        <v>23</v>
      </c>
      <c r="F95" s="2" t="s">
        <v>24</v>
      </c>
      <c r="G95" s="2" t="s">
        <v>26</v>
      </c>
      <c r="H95" s="2" t="s">
        <v>27</v>
      </c>
      <c r="I95" s="2" t="s">
        <v>28</v>
      </c>
      <c r="J95" s="2" t="s">
        <v>30</v>
      </c>
      <c r="K95" s="2" t="s">
        <v>31</v>
      </c>
      <c r="L95" s="3" t="s">
        <v>32</v>
      </c>
      <c r="N95" s="1" t="s">
        <v>6</v>
      </c>
      <c r="O95" s="2" t="s">
        <v>37</v>
      </c>
      <c r="P95" s="2" t="s">
        <v>38</v>
      </c>
      <c r="Q95" s="2" t="s">
        <v>39</v>
      </c>
      <c r="R95" s="2" t="s">
        <v>40</v>
      </c>
      <c r="S95" s="2" t="s">
        <v>36</v>
      </c>
      <c r="T95" s="2" t="s">
        <v>42</v>
      </c>
      <c r="U95" s="3" t="s">
        <v>28</v>
      </c>
    </row>
    <row r="96" spans="2:21" ht="15.75" thickBot="1">
      <c r="B96" s="4" t="s">
        <v>0</v>
      </c>
      <c r="C96" t="s">
        <v>1</v>
      </c>
      <c r="D96" t="s">
        <v>2</v>
      </c>
      <c r="E96" t="s">
        <v>3</v>
      </c>
      <c r="F96" t="s">
        <v>2</v>
      </c>
      <c r="G96" t="s">
        <v>4</v>
      </c>
      <c r="H96" t="s">
        <v>4</v>
      </c>
      <c r="I96" t="s">
        <v>5</v>
      </c>
      <c r="L96" s="5"/>
      <c r="N96" s="4" t="s">
        <v>14</v>
      </c>
      <c r="O96" t="s">
        <v>1</v>
      </c>
      <c r="P96" t="s">
        <v>2</v>
      </c>
      <c r="Q96" t="s">
        <v>3</v>
      </c>
      <c r="R96" t="s">
        <v>2</v>
      </c>
      <c r="S96" t="s">
        <v>3</v>
      </c>
      <c r="T96" t="s">
        <v>8</v>
      </c>
      <c r="U96" s="5" t="s">
        <v>8</v>
      </c>
    </row>
    <row r="97" spans="2:21">
      <c r="B97" s="1">
        <v>25</v>
      </c>
      <c r="C97" s="2">
        <v>1.06</v>
      </c>
      <c r="D97" s="2">
        <v>8.3099999999999993E-2</v>
      </c>
      <c r="E97" s="2" t="s">
        <v>62</v>
      </c>
      <c r="F97" s="2" t="s">
        <v>63</v>
      </c>
      <c r="G97" s="2">
        <v>31.52</v>
      </c>
      <c r="H97" s="2">
        <v>30.11</v>
      </c>
      <c r="I97" s="2">
        <v>30.06</v>
      </c>
      <c r="J97" s="2">
        <v>4.0999999999999996</v>
      </c>
      <c r="K97" s="10">
        <f>(G97*H97*I97)/1000</f>
        <v>28.528960032000001</v>
      </c>
      <c r="L97" s="11">
        <f>J97/K97</f>
        <v>0.14371361575750269</v>
      </c>
      <c r="N97" s="4" t="s">
        <v>9</v>
      </c>
      <c r="O97" s="42">
        <f>AVERAGE(C97:C101)</f>
        <v>0.89800000000000002</v>
      </c>
      <c r="P97" s="42">
        <f>AVERAGE(D97:D101)</f>
        <v>7.7280000000000001E-2</v>
      </c>
      <c r="Q97" s="42" t="s">
        <v>62</v>
      </c>
      <c r="R97" s="42" t="s">
        <v>63</v>
      </c>
      <c r="S97" s="42">
        <f>AVERAGE(G97:G101)</f>
        <v>31.778000000000002</v>
      </c>
      <c r="T97" s="42">
        <f>AVERAGE(H97:H101)</f>
        <v>30.131999999999998</v>
      </c>
      <c r="U97" s="16">
        <f>AVERAGE(I97:I101)</f>
        <v>30.131999999999998</v>
      </c>
    </row>
    <row r="98" spans="2:21">
      <c r="B98" s="4">
        <v>29</v>
      </c>
      <c r="C98">
        <v>0.90600000000000003</v>
      </c>
      <c r="D98">
        <v>7.7600000000000002E-2</v>
      </c>
      <c r="E98" t="s">
        <v>62</v>
      </c>
      <c r="F98" t="s">
        <v>63</v>
      </c>
      <c r="G98">
        <v>31.76</v>
      </c>
      <c r="H98">
        <v>30.15</v>
      </c>
      <c r="I98">
        <v>30.24</v>
      </c>
      <c r="J98">
        <v>3.8</v>
      </c>
      <c r="K98" s="42">
        <f t="shared" ref="K98:K101" si="20">(G98*H98*I98)/1000</f>
        <v>28.95673536</v>
      </c>
      <c r="L98" s="16">
        <f t="shared" ref="L98:L101" si="21">J98/K98</f>
        <v>0.13123026310656588</v>
      </c>
      <c r="N98" s="4" t="s">
        <v>10</v>
      </c>
      <c r="O98" s="42">
        <f>_xlfn.STDEV.S(C97:C101)</f>
        <v>0.12858460249967657</v>
      </c>
      <c r="P98" s="42">
        <f>_xlfn.STDEV.S(D97:D101)</f>
        <v>8.0818933425280976E-3</v>
      </c>
      <c r="Q98" s="42" t="s">
        <v>62</v>
      </c>
      <c r="R98" s="42" t="s">
        <v>63</v>
      </c>
      <c r="S98" s="42">
        <f>_xlfn.STDEV.S(G97:G101)</f>
        <v>0.32314083616899963</v>
      </c>
      <c r="T98" s="42">
        <f>_xlfn.STDEV.S(H97:H101)</f>
        <v>7.224956747275349E-2</v>
      </c>
      <c r="U98" s="16">
        <f>_xlfn.STDEV.S(I97:I101)</f>
        <v>6.6858058601786674E-2</v>
      </c>
    </row>
    <row r="99" spans="2:21" ht="15.75" thickBot="1">
      <c r="B99" s="4">
        <v>33</v>
      </c>
      <c r="C99">
        <v>0.74</v>
      </c>
      <c r="D99">
        <v>6.6799999999999998E-2</v>
      </c>
      <c r="E99" t="s">
        <v>62</v>
      </c>
      <c r="F99" t="s">
        <v>63</v>
      </c>
      <c r="G99">
        <v>31.93</v>
      </c>
      <c r="H99">
        <v>30.03</v>
      </c>
      <c r="I99">
        <v>30.13</v>
      </c>
      <c r="J99">
        <v>4</v>
      </c>
      <c r="K99" s="42">
        <f t="shared" si="20"/>
        <v>28.890388526999999</v>
      </c>
      <c r="L99" s="16">
        <f t="shared" si="21"/>
        <v>0.13845435122001673</v>
      </c>
      <c r="N99" s="6" t="s">
        <v>11</v>
      </c>
      <c r="O99" s="25">
        <f>O98/O97*100</f>
        <v>14.318998051188927</v>
      </c>
      <c r="P99" s="25">
        <f>P98/P97*100</f>
        <v>10.457936519834494</v>
      </c>
      <c r="Q99" s="25" t="s">
        <v>62</v>
      </c>
      <c r="R99" s="25" t="s">
        <v>63</v>
      </c>
      <c r="S99" s="25">
        <f>S98/S97*100</f>
        <v>1.0168696461986269</v>
      </c>
      <c r="T99" s="25">
        <f>T98/T97*100</f>
        <v>0.23977687333317901</v>
      </c>
      <c r="U99" s="19">
        <f>U98/U97*100</f>
        <v>0.22188390615221917</v>
      </c>
    </row>
    <row r="100" spans="2:21">
      <c r="B100" s="4">
        <v>37</v>
      </c>
      <c r="C100">
        <v>0.97799999999999998</v>
      </c>
      <c r="D100">
        <v>8.6800000000000002E-2</v>
      </c>
      <c r="E100" t="s">
        <v>62</v>
      </c>
      <c r="F100" t="s">
        <v>63</v>
      </c>
      <c r="G100">
        <v>31.44</v>
      </c>
      <c r="H100">
        <v>30.14</v>
      </c>
      <c r="I100">
        <v>30.1</v>
      </c>
      <c r="J100">
        <v>3.9</v>
      </c>
      <c r="K100" s="42">
        <f t="shared" si="20"/>
        <v>28.522808160000004</v>
      </c>
      <c r="L100" s="16">
        <f t="shared" si="21"/>
        <v>0.13673267997045629</v>
      </c>
    </row>
    <row r="101" spans="2:21" ht="15.75" thickBot="1">
      <c r="B101" s="6">
        <v>38</v>
      </c>
      <c r="C101" s="7">
        <v>0.80600000000000005</v>
      </c>
      <c r="D101" s="7">
        <v>7.2099999999999997E-2</v>
      </c>
      <c r="E101" s="7" t="s">
        <v>62</v>
      </c>
      <c r="F101" s="7" t="s">
        <v>63</v>
      </c>
      <c r="G101" s="7">
        <v>32.24</v>
      </c>
      <c r="H101" s="7">
        <v>30.23</v>
      </c>
      <c r="I101" s="7">
        <v>30.13</v>
      </c>
      <c r="J101" s="7">
        <v>4</v>
      </c>
      <c r="K101" s="25">
        <f t="shared" si="20"/>
        <v>29.365155976</v>
      </c>
      <c r="L101" s="19">
        <f t="shared" si="21"/>
        <v>0.13621586084096338</v>
      </c>
    </row>
    <row r="102" spans="2:21" ht="15.75" thickBot="1"/>
    <row r="103" spans="2:21" ht="18.75">
      <c r="B103" s="1" t="s">
        <v>97</v>
      </c>
      <c r="C103" s="2" t="s">
        <v>21</v>
      </c>
      <c r="D103" s="2" t="s">
        <v>22</v>
      </c>
      <c r="E103" s="2" t="s">
        <v>23</v>
      </c>
      <c r="F103" s="2" t="s">
        <v>24</v>
      </c>
      <c r="G103" s="2" t="s">
        <v>26</v>
      </c>
      <c r="H103" s="2" t="s">
        <v>27</v>
      </c>
      <c r="I103" s="2" t="s">
        <v>28</v>
      </c>
      <c r="J103" s="2" t="s">
        <v>30</v>
      </c>
      <c r="K103" s="2" t="s">
        <v>31</v>
      </c>
      <c r="L103" s="3" t="s">
        <v>32</v>
      </c>
      <c r="N103" s="1" t="s">
        <v>6</v>
      </c>
      <c r="O103" s="2" t="s">
        <v>37</v>
      </c>
      <c r="P103" s="2" t="s">
        <v>38</v>
      </c>
      <c r="Q103" s="2" t="s">
        <v>39</v>
      </c>
      <c r="R103" s="2" t="s">
        <v>40</v>
      </c>
      <c r="S103" s="2" t="s">
        <v>36</v>
      </c>
      <c r="T103" s="2" t="s">
        <v>42</v>
      </c>
      <c r="U103" s="3" t="s">
        <v>28</v>
      </c>
    </row>
    <row r="104" spans="2:21" ht="15.75" thickBot="1">
      <c r="B104" s="4" t="s">
        <v>0</v>
      </c>
      <c r="C104" t="s">
        <v>1</v>
      </c>
      <c r="D104" t="s">
        <v>2</v>
      </c>
      <c r="E104" t="s">
        <v>3</v>
      </c>
      <c r="F104" t="s">
        <v>2</v>
      </c>
      <c r="G104" t="s">
        <v>4</v>
      </c>
      <c r="H104" t="s">
        <v>4</v>
      </c>
      <c r="I104" t="s">
        <v>5</v>
      </c>
      <c r="L104" s="5"/>
      <c r="N104" s="4" t="s">
        <v>14</v>
      </c>
      <c r="O104" t="s">
        <v>1</v>
      </c>
      <c r="P104" t="s">
        <v>2</v>
      </c>
      <c r="Q104" t="s">
        <v>3</v>
      </c>
      <c r="R104" t="s">
        <v>2</v>
      </c>
      <c r="S104" t="s">
        <v>3</v>
      </c>
      <c r="T104" t="s">
        <v>8</v>
      </c>
      <c r="U104" s="5" t="s">
        <v>8</v>
      </c>
    </row>
    <row r="105" spans="2:21">
      <c r="B105" s="1">
        <v>45</v>
      </c>
      <c r="C105" s="2">
        <v>1.1499999999999999</v>
      </c>
      <c r="D105" s="2">
        <v>0.104</v>
      </c>
      <c r="E105" s="2" t="s">
        <v>62</v>
      </c>
      <c r="F105" s="2" t="s">
        <v>63</v>
      </c>
      <c r="G105" s="2">
        <v>31.4</v>
      </c>
      <c r="H105" s="2">
        <v>29.93</v>
      </c>
      <c r="I105" s="2">
        <v>30.33</v>
      </c>
      <c r="J105" s="2">
        <v>5.7</v>
      </c>
      <c r="K105" s="10">
        <f>(G105*H105*I105)/1000</f>
        <v>28.504194659999996</v>
      </c>
      <c r="L105" s="11">
        <f>J105/K105</f>
        <v>0.19997056812128861</v>
      </c>
      <c r="N105" s="4" t="s">
        <v>9</v>
      </c>
      <c r="O105" s="42">
        <f>AVERAGE(C105:C109)</f>
        <v>1.262</v>
      </c>
      <c r="P105" s="42">
        <f>AVERAGE(D105:D109)</f>
        <v>0.11040000000000001</v>
      </c>
      <c r="Q105" s="42" t="s">
        <v>62</v>
      </c>
      <c r="R105" s="42" t="s">
        <v>63</v>
      </c>
      <c r="S105" s="42">
        <f>AVERAGE(G105:G109)</f>
        <v>31.082000000000001</v>
      </c>
      <c r="T105" s="42">
        <f>AVERAGE(H105:H109)</f>
        <v>30.321999999999996</v>
      </c>
      <c r="U105" s="16">
        <f>AVERAGE(I105:I109)</f>
        <v>30.125999999999998</v>
      </c>
    </row>
    <row r="106" spans="2:21">
      <c r="B106" s="4">
        <v>49</v>
      </c>
      <c r="C106">
        <v>1.39</v>
      </c>
      <c r="D106">
        <v>0.113</v>
      </c>
      <c r="E106" t="s">
        <v>62</v>
      </c>
      <c r="F106" t="s">
        <v>63</v>
      </c>
      <c r="G106">
        <v>31.08</v>
      </c>
      <c r="H106">
        <v>30.94</v>
      </c>
      <c r="I106">
        <v>30.36</v>
      </c>
      <c r="J106">
        <v>5.5</v>
      </c>
      <c r="K106" s="42">
        <f t="shared" ref="K106:K109" si="22">(G106*H106*I106)/1000</f>
        <v>29.194637472</v>
      </c>
      <c r="L106" s="16">
        <f t="shared" ref="L106:L109" si="23">J106/K106</f>
        <v>0.18839076201151467</v>
      </c>
      <c r="N106" s="4" t="s">
        <v>10</v>
      </c>
      <c r="O106" s="42">
        <f>_xlfn.STDEV.S(C105:C109)</f>
        <v>0.13292855223765884</v>
      </c>
      <c r="P106" s="42">
        <f>_xlfn.STDEV.S(D105:D109)</f>
        <v>7.7653074633268699E-3</v>
      </c>
      <c r="Q106" s="42" t="s">
        <v>62</v>
      </c>
      <c r="R106" s="42" t="s">
        <v>63</v>
      </c>
      <c r="S106" s="42">
        <f>_xlfn.STDEV.S(G105:G109)</f>
        <v>0.26771253239248932</v>
      </c>
      <c r="T106" s="42">
        <f>_xlfn.STDEV.S(H105:H109)</f>
        <v>0.39417001408021957</v>
      </c>
      <c r="U106" s="16">
        <f>_xlfn.STDEV.S(I105:I109)</f>
        <v>0.20911719202399368</v>
      </c>
    </row>
    <row r="107" spans="2:21" ht="15.75" thickBot="1">
      <c r="B107" s="4">
        <v>53</v>
      </c>
      <c r="C107">
        <v>1.0900000000000001</v>
      </c>
      <c r="D107">
        <v>0.10100000000000001</v>
      </c>
      <c r="E107" t="s">
        <v>62</v>
      </c>
      <c r="F107" t="s">
        <v>63</v>
      </c>
      <c r="G107">
        <v>30.87</v>
      </c>
      <c r="H107">
        <v>30.07</v>
      </c>
      <c r="I107">
        <v>30.06</v>
      </c>
      <c r="J107">
        <v>5.6</v>
      </c>
      <c r="K107" s="42">
        <f t="shared" si="22"/>
        <v>27.903522654</v>
      </c>
      <c r="L107" s="16">
        <f t="shared" si="23"/>
        <v>0.20069150656851684</v>
      </c>
      <c r="N107" s="6" t="s">
        <v>11</v>
      </c>
      <c r="O107" s="25">
        <f>O106/O105*100</f>
        <v>10.533165787453157</v>
      </c>
      <c r="P107" s="25">
        <f>P106/P105*100</f>
        <v>7.0337929921439031</v>
      </c>
      <c r="Q107" s="25" t="s">
        <v>62</v>
      </c>
      <c r="R107" s="25" t="s">
        <v>63</v>
      </c>
      <c r="S107" s="25">
        <f>S106/S105*100</f>
        <v>0.86131050895209227</v>
      </c>
      <c r="T107" s="25">
        <f>T106/T105*100</f>
        <v>1.299947279467778</v>
      </c>
      <c r="U107" s="19">
        <f>U106/U105*100</f>
        <v>0.6941419107216148</v>
      </c>
    </row>
    <row r="108" spans="2:21">
      <c r="B108" s="4">
        <v>57</v>
      </c>
      <c r="C108">
        <v>1.34</v>
      </c>
      <c r="D108">
        <v>0.114</v>
      </c>
      <c r="E108" t="s">
        <v>62</v>
      </c>
      <c r="F108" t="s">
        <v>63</v>
      </c>
      <c r="G108">
        <v>31.29</v>
      </c>
      <c r="H108">
        <v>30.44</v>
      </c>
      <c r="I108">
        <v>29.89</v>
      </c>
      <c r="J108">
        <v>5.8</v>
      </c>
      <c r="K108" s="42">
        <f t="shared" si="22"/>
        <v>28.469256564000002</v>
      </c>
      <c r="L108" s="16">
        <f t="shared" si="23"/>
        <v>0.20372853737720101</v>
      </c>
    </row>
    <row r="109" spans="2:21" ht="15.75" thickBot="1">
      <c r="B109" s="6">
        <v>58</v>
      </c>
      <c r="C109" s="7">
        <v>1.34</v>
      </c>
      <c r="D109" s="7">
        <v>0.12</v>
      </c>
      <c r="E109" s="7" t="s">
        <v>62</v>
      </c>
      <c r="F109" s="7" t="s">
        <v>63</v>
      </c>
      <c r="G109" s="7">
        <v>30.77</v>
      </c>
      <c r="H109" s="7">
        <v>30.23</v>
      </c>
      <c r="I109" s="7">
        <v>29.99</v>
      </c>
      <c r="J109" s="7">
        <v>5.6</v>
      </c>
      <c r="K109" s="25">
        <f t="shared" si="22"/>
        <v>27.896011228999999</v>
      </c>
      <c r="L109" s="19">
        <f t="shared" si="23"/>
        <v>0.20074554580686357</v>
      </c>
    </row>
    <row r="110" spans="2:21" ht="15.75" thickBot="1"/>
    <row r="111" spans="2:21" ht="18.75">
      <c r="B111" s="1" t="s">
        <v>98</v>
      </c>
      <c r="C111" s="2" t="s">
        <v>21</v>
      </c>
      <c r="D111" s="2" t="s">
        <v>22</v>
      </c>
      <c r="E111" s="2" t="s">
        <v>23</v>
      </c>
      <c r="F111" s="2" t="s">
        <v>24</v>
      </c>
      <c r="G111" s="2" t="s">
        <v>26</v>
      </c>
      <c r="H111" s="2" t="s">
        <v>27</v>
      </c>
      <c r="I111" s="2" t="s">
        <v>28</v>
      </c>
      <c r="J111" s="2" t="s">
        <v>30</v>
      </c>
      <c r="K111" s="2" t="s">
        <v>31</v>
      </c>
      <c r="L111" s="3" t="s">
        <v>32</v>
      </c>
      <c r="N111" s="1" t="s">
        <v>6</v>
      </c>
      <c r="O111" s="2" t="s">
        <v>37</v>
      </c>
      <c r="P111" s="2" t="s">
        <v>38</v>
      </c>
      <c r="Q111" s="2" t="s">
        <v>39</v>
      </c>
      <c r="R111" s="2" t="s">
        <v>40</v>
      </c>
      <c r="S111" s="2" t="s">
        <v>36</v>
      </c>
      <c r="T111" s="2" t="s">
        <v>42</v>
      </c>
      <c r="U111" s="3" t="s">
        <v>28</v>
      </c>
    </row>
    <row r="112" spans="2:21" ht="15.75" thickBot="1">
      <c r="B112" s="4" t="s">
        <v>0</v>
      </c>
      <c r="C112" t="s">
        <v>1</v>
      </c>
      <c r="D112" t="s">
        <v>2</v>
      </c>
      <c r="E112" t="s">
        <v>3</v>
      </c>
      <c r="F112" t="s">
        <v>2</v>
      </c>
      <c r="G112" t="s">
        <v>4</v>
      </c>
      <c r="H112" t="s">
        <v>4</v>
      </c>
      <c r="I112" t="s">
        <v>5</v>
      </c>
      <c r="L112" s="5"/>
      <c r="N112" s="4" t="s">
        <v>14</v>
      </c>
      <c r="O112" t="s">
        <v>1</v>
      </c>
      <c r="P112" t="s">
        <v>2</v>
      </c>
      <c r="Q112" t="s">
        <v>3</v>
      </c>
      <c r="R112" t="s">
        <v>2</v>
      </c>
      <c r="S112" t="s">
        <v>3</v>
      </c>
      <c r="T112" t="s">
        <v>8</v>
      </c>
      <c r="U112" s="5" t="s">
        <v>8</v>
      </c>
    </row>
    <row r="113" spans="2:21">
      <c r="B113" s="1">
        <v>66</v>
      </c>
      <c r="C113" s="2">
        <v>0.755</v>
      </c>
      <c r="D113" s="2">
        <v>6.8500000000000005E-2</v>
      </c>
      <c r="E113" s="2" t="s">
        <v>62</v>
      </c>
      <c r="F113" s="2" t="s">
        <v>63</v>
      </c>
      <c r="G113" s="2">
        <v>30.54</v>
      </c>
      <c r="H113" s="2">
        <v>30.35</v>
      </c>
      <c r="I113" s="2">
        <v>30.03</v>
      </c>
      <c r="J113" s="2">
        <v>4.8</v>
      </c>
      <c r="K113" s="10">
        <f>(G113*H113*I113)/1000</f>
        <v>27.834476670000001</v>
      </c>
      <c r="L113" s="11">
        <f>J113/K113</f>
        <v>0.17244800600736424</v>
      </c>
      <c r="N113" s="4" t="s">
        <v>9</v>
      </c>
      <c r="O113" s="42">
        <f>AVERAGE(C113:C117)</f>
        <v>0.71100000000000008</v>
      </c>
      <c r="P113" s="42">
        <f>AVERAGE(D113:D117)</f>
        <v>6.5619999999999998E-2</v>
      </c>
      <c r="Q113" s="42" t="s">
        <v>62</v>
      </c>
      <c r="R113" s="42" t="s">
        <v>63</v>
      </c>
      <c r="S113" s="42">
        <f>AVERAGE(G113:G117)</f>
        <v>29.853999999999996</v>
      </c>
      <c r="T113" s="42">
        <f>AVERAGE(H113:H117)</f>
        <v>30.088000000000001</v>
      </c>
      <c r="U113" s="16">
        <f>AVERAGE(I113:I117)</f>
        <v>29.907999999999998</v>
      </c>
    </row>
    <row r="114" spans="2:21">
      <c r="B114" s="4">
        <v>70</v>
      </c>
      <c r="C114">
        <v>0.89400000000000002</v>
      </c>
      <c r="D114">
        <v>7.7700000000000005E-2</v>
      </c>
      <c r="E114" t="s">
        <v>62</v>
      </c>
      <c r="F114" t="s">
        <v>63</v>
      </c>
      <c r="G114">
        <v>29.19</v>
      </c>
      <c r="H114">
        <v>30.08</v>
      </c>
      <c r="I114">
        <v>29.58</v>
      </c>
      <c r="J114">
        <v>4.5</v>
      </c>
      <c r="K114" s="42">
        <f t="shared" ref="K114:K117" si="24">(G114*H114*I114)/1000</f>
        <v>25.972281215999999</v>
      </c>
      <c r="L114" s="16">
        <f t="shared" ref="L114:L117" si="25">J114/K114</f>
        <v>0.17326163853592552</v>
      </c>
      <c r="N114" s="4" t="s">
        <v>10</v>
      </c>
      <c r="O114" s="42">
        <f>_xlfn.STDEV.S(C113:C117)</f>
        <v>0.12964374261799089</v>
      </c>
      <c r="P114" s="42">
        <f>_xlfn.STDEV.S(D113:D117)</f>
        <v>1.0201323443553751E-2</v>
      </c>
      <c r="Q114" s="42" t="s">
        <v>62</v>
      </c>
      <c r="R114" s="42" t="s">
        <v>63</v>
      </c>
      <c r="S114" s="42">
        <f>_xlfn.STDEV.S(G113:G117)</f>
        <v>0.73934430409654217</v>
      </c>
      <c r="T114" s="42">
        <f>_xlfn.STDEV.S(H113:H117)</f>
        <v>0.15056560032092417</v>
      </c>
      <c r="U114" s="16">
        <f>_xlfn.STDEV.S(I113:I117)</f>
        <v>0.24324884377936948</v>
      </c>
    </row>
    <row r="115" spans="2:21" ht="15.75" thickBot="1">
      <c r="B115" s="4">
        <v>74</v>
      </c>
      <c r="C115">
        <v>0.72199999999999998</v>
      </c>
      <c r="D115">
        <v>7.1099999999999997E-2</v>
      </c>
      <c r="E115" t="s">
        <v>62</v>
      </c>
      <c r="F115" t="s">
        <v>63</v>
      </c>
      <c r="G115">
        <v>28.99</v>
      </c>
      <c r="H115">
        <v>29.99</v>
      </c>
      <c r="I115">
        <v>29.93</v>
      </c>
      <c r="J115">
        <v>4.5999999999999996</v>
      </c>
      <c r="K115" s="42">
        <f t="shared" si="24"/>
        <v>26.021444292999998</v>
      </c>
      <c r="L115" s="16">
        <f t="shared" si="25"/>
        <v>0.1767772744742474</v>
      </c>
      <c r="N115" s="6" t="s">
        <v>11</v>
      </c>
      <c r="O115" s="25">
        <f>O114/O113*100</f>
        <v>18.234000368212499</v>
      </c>
      <c r="P115" s="25">
        <f>P114/P113*100</f>
        <v>15.546058280331836</v>
      </c>
      <c r="Q115" s="25" t="s">
        <v>62</v>
      </c>
      <c r="R115" s="25" t="s">
        <v>63</v>
      </c>
      <c r="S115" s="25">
        <f>S114/S113*100</f>
        <v>2.47653347657447</v>
      </c>
      <c r="T115" s="25">
        <f>T114/T113*100</f>
        <v>0.50041744323625414</v>
      </c>
      <c r="U115" s="19">
        <f>U114/U113*100</f>
        <v>0.8133236718582636</v>
      </c>
    </row>
    <row r="116" spans="2:21">
      <c r="B116" s="4">
        <v>78</v>
      </c>
      <c r="C116">
        <v>0.55100000000000005</v>
      </c>
      <c r="D116">
        <v>5.1999999999999998E-2</v>
      </c>
      <c r="E116" t="s">
        <v>62</v>
      </c>
      <c r="F116" t="s">
        <v>63</v>
      </c>
      <c r="G116">
        <v>30.57</v>
      </c>
      <c r="H116">
        <v>30.02</v>
      </c>
      <c r="I116">
        <v>29.78</v>
      </c>
      <c r="J116">
        <v>4.5</v>
      </c>
      <c r="K116" s="42">
        <f t="shared" si="24"/>
        <v>27.329445492000001</v>
      </c>
      <c r="L116" s="16">
        <f t="shared" si="25"/>
        <v>0.16465756692053121</v>
      </c>
    </row>
    <row r="117" spans="2:21" ht="15.75" thickBot="1">
      <c r="B117" s="6">
        <v>79</v>
      </c>
      <c r="C117" s="7">
        <v>0.63300000000000001</v>
      </c>
      <c r="D117" s="7">
        <v>5.8799999999999998E-2</v>
      </c>
      <c r="E117" s="7" t="s">
        <v>62</v>
      </c>
      <c r="F117" s="7" t="s">
        <v>63</v>
      </c>
      <c r="G117" s="7">
        <v>29.98</v>
      </c>
      <c r="H117" s="7">
        <v>30</v>
      </c>
      <c r="I117" s="7">
        <v>30.22</v>
      </c>
      <c r="J117" s="7">
        <v>4.8</v>
      </c>
      <c r="K117" s="25">
        <f t="shared" si="24"/>
        <v>27.179867999999999</v>
      </c>
      <c r="L117" s="19">
        <f t="shared" si="25"/>
        <v>0.17660129916745732</v>
      </c>
    </row>
    <row r="118" spans="2:21" ht="15.75" thickBot="1"/>
    <row r="119" spans="2:21" ht="18.75">
      <c r="B119" s="1" t="s">
        <v>99</v>
      </c>
      <c r="C119" s="2" t="s">
        <v>21</v>
      </c>
      <c r="D119" s="2" t="s">
        <v>22</v>
      </c>
      <c r="E119" s="2" t="s">
        <v>23</v>
      </c>
      <c r="F119" s="2" t="s">
        <v>24</v>
      </c>
      <c r="G119" s="2" t="s">
        <v>26</v>
      </c>
      <c r="H119" s="2" t="s">
        <v>27</v>
      </c>
      <c r="I119" s="2" t="s">
        <v>28</v>
      </c>
      <c r="J119" s="2" t="s">
        <v>30</v>
      </c>
      <c r="K119" s="2" t="s">
        <v>31</v>
      </c>
      <c r="L119" s="3" t="s">
        <v>32</v>
      </c>
      <c r="N119" s="1" t="s">
        <v>6</v>
      </c>
      <c r="O119" s="2" t="s">
        <v>37</v>
      </c>
      <c r="P119" s="2" t="s">
        <v>38</v>
      </c>
      <c r="Q119" s="2" t="s">
        <v>39</v>
      </c>
      <c r="R119" s="2" t="s">
        <v>40</v>
      </c>
      <c r="S119" s="2" t="s">
        <v>36</v>
      </c>
      <c r="T119" s="2" t="s">
        <v>42</v>
      </c>
      <c r="U119" s="3" t="s">
        <v>28</v>
      </c>
    </row>
    <row r="120" spans="2:21" ht="15.75" thickBot="1">
      <c r="B120" s="4" t="s">
        <v>0</v>
      </c>
      <c r="C120" t="s">
        <v>1</v>
      </c>
      <c r="D120" t="s">
        <v>2</v>
      </c>
      <c r="E120" t="s">
        <v>3</v>
      </c>
      <c r="F120" t="s">
        <v>2</v>
      </c>
      <c r="G120" t="s">
        <v>4</v>
      </c>
      <c r="H120" t="s">
        <v>4</v>
      </c>
      <c r="I120" t="s">
        <v>5</v>
      </c>
      <c r="L120" s="5"/>
      <c r="N120" s="4" t="s">
        <v>14</v>
      </c>
      <c r="O120" t="s">
        <v>1</v>
      </c>
      <c r="P120" t="s">
        <v>2</v>
      </c>
      <c r="Q120" t="s">
        <v>3</v>
      </c>
      <c r="R120" t="s">
        <v>2</v>
      </c>
      <c r="S120" t="s">
        <v>3</v>
      </c>
      <c r="T120" t="s">
        <v>8</v>
      </c>
      <c r="U120" s="5" t="s">
        <v>8</v>
      </c>
    </row>
    <row r="121" spans="2:21">
      <c r="B121" s="1">
        <v>86</v>
      </c>
      <c r="C121" s="2">
        <v>1.0900000000000001</v>
      </c>
      <c r="D121" s="2">
        <v>8.2900000000000001E-2</v>
      </c>
      <c r="E121" s="2" t="s">
        <v>62</v>
      </c>
      <c r="F121" s="2" t="s">
        <v>63</v>
      </c>
      <c r="G121" s="2">
        <v>32.18</v>
      </c>
      <c r="H121" s="2">
        <v>30.1</v>
      </c>
      <c r="I121" s="2">
        <v>29.98</v>
      </c>
      <c r="J121" s="2">
        <v>5.0999999999999996</v>
      </c>
      <c r="K121" s="10">
        <f>(G121*H121*I121)/1000</f>
        <v>29.039167640000002</v>
      </c>
      <c r="L121" s="11">
        <f>J121/K121</f>
        <v>0.1756248685645867</v>
      </c>
      <c r="N121" s="4" t="s">
        <v>9</v>
      </c>
      <c r="O121" s="42">
        <f>AVERAGE(C121:C125)</f>
        <v>1.1124000000000001</v>
      </c>
      <c r="P121" s="42">
        <f>AVERAGE(D121:D125)</f>
        <v>8.072E-2</v>
      </c>
      <c r="Q121" s="42" t="s">
        <v>62</v>
      </c>
      <c r="R121" s="42" t="s">
        <v>63</v>
      </c>
      <c r="S121" s="42">
        <f>AVERAGE(G121:G125)</f>
        <v>32.462000000000003</v>
      </c>
      <c r="T121" s="42">
        <f>AVERAGE(H121:H125)</f>
        <v>30.012</v>
      </c>
      <c r="U121" s="16">
        <f>AVERAGE(I121:I125)</f>
        <v>29.936</v>
      </c>
    </row>
    <row r="122" spans="2:21">
      <c r="B122" s="4">
        <v>90</v>
      </c>
      <c r="C122">
        <v>1.1599999999999999</v>
      </c>
      <c r="D122">
        <v>7.9100000000000004E-2</v>
      </c>
      <c r="E122" t="s">
        <v>62</v>
      </c>
      <c r="F122" t="s">
        <v>63</v>
      </c>
      <c r="G122">
        <v>31.45</v>
      </c>
      <c r="H122">
        <v>29.98</v>
      </c>
      <c r="I122">
        <v>29.74</v>
      </c>
      <c r="J122">
        <v>5.2</v>
      </c>
      <c r="K122" s="42">
        <f t="shared" ref="K122:K125" si="26">(G122*H122*I122)/1000</f>
        <v>28.040983539999999</v>
      </c>
      <c r="L122" s="16">
        <f t="shared" ref="L122:L125" si="27">J122/K122</f>
        <v>0.18544285340713126</v>
      </c>
      <c r="N122" s="4" t="s">
        <v>10</v>
      </c>
      <c r="O122" s="42">
        <f>_xlfn.STDEV.S(C121:C125)</f>
        <v>7.6803645746800292E-2</v>
      </c>
      <c r="P122" s="42">
        <f>_xlfn.STDEV.S(D121:D125)</f>
        <v>3.5974991313411013E-3</v>
      </c>
      <c r="Q122" s="42" t="s">
        <v>62</v>
      </c>
      <c r="R122" s="42" t="s">
        <v>63</v>
      </c>
      <c r="S122" s="42">
        <f>_xlfn.STDEV.S(G121:G125)</f>
        <v>0.68459477064903174</v>
      </c>
      <c r="T122" s="42">
        <f>_xlfn.STDEV.S(H121:H125)</f>
        <v>0.24993999279827184</v>
      </c>
      <c r="U122" s="16">
        <f>_xlfn.STDEV.S(I121:I125)</f>
        <v>0.2202952564173826</v>
      </c>
    </row>
    <row r="123" spans="2:21" ht="15.75" thickBot="1">
      <c r="B123" s="4">
        <v>94</v>
      </c>
      <c r="C123">
        <v>0.99199999999999999</v>
      </c>
      <c r="D123">
        <v>7.5200000000000003E-2</v>
      </c>
      <c r="E123" t="s">
        <v>62</v>
      </c>
      <c r="F123" t="s">
        <v>63</v>
      </c>
      <c r="G123">
        <v>33.25</v>
      </c>
      <c r="H123">
        <v>30.39</v>
      </c>
      <c r="I123">
        <v>29.68</v>
      </c>
      <c r="J123">
        <v>5.3</v>
      </c>
      <c r="K123" s="42">
        <f t="shared" si="26"/>
        <v>29.990675400000001</v>
      </c>
      <c r="L123" s="16">
        <f t="shared" si="27"/>
        <v>0.17672159527290937</v>
      </c>
      <c r="N123" s="6" t="s">
        <v>11</v>
      </c>
      <c r="O123" s="25">
        <f>O122/O121*100</f>
        <v>6.9043191070478498</v>
      </c>
      <c r="P123" s="25">
        <f>P122/P121*100</f>
        <v>4.4567630467555759</v>
      </c>
      <c r="Q123" s="25" t="s">
        <v>62</v>
      </c>
      <c r="R123" s="25" t="s">
        <v>63</v>
      </c>
      <c r="S123" s="25">
        <f>S122/S121*100</f>
        <v>2.1089112520763713</v>
      </c>
      <c r="T123" s="25">
        <f>T122/T121*100</f>
        <v>0.83280018925187205</v>
      </c>
      <c r="U123" s="19">
        <f>U122/U121*100</f>
        <v>0.73588741454229889</v>
      </c>
    </row>
    <row r="124" spans="2:21">
      <c r="B124" s="4">
        <v>98</v>
      </c>
      <c r="C124">
        <v>1.19</v>
      </c>
      <c r="D124">
        <v>8.2299999999999998E-2</v>
      </c>
      <c r="E124" t="s">
        <v>62</v>
      </c>
      <c r="F124" t="s">
        <v>63</v>
      </c>
      <c r="G124">
        <v>32.61</v>
      </c>
      <c r="H124">
        <v>29.84</v>
      </c>
      <c r="I124">
        <v>30.09</v>
      </c>
      <c r="J124">
        <v>5.5</v>
      </c>
      <c r="K124" s="42">
        <f t="shared" si="26"/>
        <v>29.280049416000001</v>
      </c>
      <c r="L124" s="16">
        <f t="shared" si="27"/>
        <v>0.18784121303410575</v>
      </c>
    </row>
    <row r="125" spans="2:21" ht="15.75" thickBot="1">
      <c r="B125" s="6">
        <v>99</v>
      </c>
      <c r="C125" s="7">
        <v>1.1299999999999999</v>
      </c>
      <c r="D125" s="7">
        <v>8.4099999999999994E-2</v>
      </c>
      <c r="E125" s="7" t="s">
        <v>62</v>
      </c>
      <c r="F125" s="7" t="s">
        <v>63</v>
      </c>
      <c r="G125" s="7">
        <v>32.82</v>
      </c>
      <c r="H125" s="7">
        <v>29.75</v>
      </c>
      <c r="I125" s="7">
        <v>30.19</v>
      </c>
      <c r="J125" s="7">
        <v>5.3</v>
      </c>
      <c r="K125" s="25">
        <f t="shared" si="26"/>
        <v>29.47736505</v>
      </c>
      <c r="L125" s="19">
        <f t="shared" si="27"/>
        <v>0.17979897426415323</v>
      </c>
    </row>
    <row r="126" spans="2:21" ht="15.75" thickBot="1"/>
    <row r="127" spans="2:21" ht="18.75">
      <c r="B127" s="1" t="s">
        <v>100</v>
      </c>
      <c r="C127" s="2" t="s">
        <v>21</v>
      </c>
      <c r="D127" s="2" t="s">
        <v>22</v>
      </c>
      <c r="E127" s="2" t="s">
        <v>23</v>
      </c>
      <c r="F127" s="2" t="s">
        <v>24</v>
      </c>
      <c r="G127" s="2" t="s">
        <v>26</v>
      </c>
      <c r="H127" s="2" t="s">
        <v>27</v>
      </c>
      <c r="I127" s="2" t="s">
        <v>28</v>
      </c>
      <c r="J127" s="2" t="s">
        <v>30</v>
      </c>
      <c r="K127" s="2" t="s">
        <v>31</v>
      </c>
      <c r="L127" s="3" t="s">
        <v>32</v>
      </c>
      <c r="N127" s="1" t="s">
        <v>6</v>
      </c>
      <c r="O127" s="2" t="s">
        <v>37</v>
      </c>
      <c r="P127" s="2" t="s">
        <v>38</v>
      </c>
      <c r="Q127" s="2" t="s">
        <v>39</v>
      </c>
      <c r="R127" s="2" t="s">
        <v>40</v>
      </c>
      <c r="S127" s="2" t="s">
        <v>36</v>
      </c>
      <c r="T127" s="2" t="s">
        <v>42</v>
      </c>
      <c r="U127" s="3" t="s">
        <v>28</v>
      </c>
    </row>
    <row r="128" spans="2:21" ht="15.75" thickBot="1">
      <c r="B128" s="4" t="s">
        <v>0</v>
      </c>
      <c r="C128" t="s">
        <v>1</v>
      </c>
      <c r="D128" t="s">
        <v>2</v>
      </c>
      <c r="E128" t="s">
        <v>3</v>
      </c>
      <c r="F128" t="s">
        <v>2</v>
      </c>
      <c r="G128" t="s">
        <v>4</v>
      </c>
      <c r="H128" t="s">
        <v>4</v>
      </c>
      <c r="I128" t="s">
        <v>5</v>
      </c>
      <c r="L128" s="5"/>
      <c r="N128" s="4" t="s">
        <v>14</v>
      </c>
      <c r="O128" t="s">
        <v>1</v>
      </c>
      <c r="P128" t="s">
        <v>2</v>
      </c>
      <c r="Q128" t="s">
        <v>3</v>
      </c>
      <c r="R128" t="s">
        <v>2</v>
      </c>
      <c r="S128" t="s">
        <v>3</v>
      </c>
      <c r="T128" t="s">
        <v>8</v>
      </c>
      <c r="U128" s="5" t="s">
        <v>8</v>
      </c>
    </row>
    <row r="129" spans="2:21">
      <c r="B129" s="1">
        <v>106</v>
      </c>
      <c r="C129" s="2">
        <v>1.45</v>
      </c>
      <c r="D129" s="2">
        <v>0.108</v>
      </c>
      <c r="E129" s="2" t="s">
        <v>62</v>
      </c>
      <c r="F129" s="2" t="s">
        <v>63</v>
      </c>
      <c r="G129" s="2">
        <v>33.159999999999997</v>
      </c>
      <c r="H129" s="2">
        <v>30.17</v>
      </c>
      <c r="I129" s="2">
        <v>29.73</v>
      </c>
      <c r="J129" s="2">
        <v>5.6</v>
      </c>
      <c r="K129" s="10">
        <f>(G129*H129*I129)/1000</f>
        <v>29.742997956</v>
      </c>
      <c r="L129" s="11">
        <f>J129/K129</f>
        <v>0.18827960813783137</v>
      </c>
      <c r="N129" s="4" t="s">
        <v>9</v>
      </c>
      <c r="O129" s="42">
        <f>AVERAGE(C129:C133)</f>
        <v>1.3236000000000001</v>
      </c>
      <c r="P129" s="42">
        <f>AVERAGE(D129:D133)</f>
        <v>9.2799999999999994E-2</v>
      </c>
      <c r="Q129" s="42" t="s">
        <v>62</v>
      </c>
      <c r="R129" s="42" t="s">
        <v>63</v>
      </c>
      <c r="S129" s="42">
        <f>AVERAGE(G129:G133)</f>
        <v>33.246000000000002</v>
      </c>
      <c r="T129" s="42">
        <f>AVERAGE(H129:H133)</f>
        <v>30.086000000000002</v>
      </c>
      <c r="U129" s="16">
        <f>AVERAGE(I129:I133)</f>
        <v>29.916000000000004</v>
      </c>
    </row>
    <row r="130" spans="2:21">
      <c r="B130" s="4">
        <v>110</v>
      </c>
      <c r="C130">
        <v>1.52</v>
      </c>
      <c r="D130">
        <v>0.10199999999999999</v>
      </c>
      <c r="E130" t="s">
        <v>62</v>
      </c>
      <c r="F130" t="s">
        <v>63</v>
      </c>
      <c r="G130">
        <v>33.130000000000003</v>
      </c>
      <c r="H130">
        <v>30.03</v>
      </c>
      <c r="I130">
        <v>30.02</v>
      </c>
      <c r="J130">
        <v>5.6</v>
      </c>
      <c r="K130" s="42">
        <f t="shared" ref="K130:K133" si="28">(G130*H130*I130)/1000</f>
        <v>29.866714878000003</v>
      </c>
      <c r="L130" s="16">
        <f t="shared" ref="L130:L133" si="29">J130/K130</f>
        <v>0.18749969733447291</v>
      </c>
      <c r="N130" s="4" t="s">
        <v>10</v>
      </c>
      <c r="O130" s="42">
        <f>_xlfn.STDEV.S(C129:C133)</f>
        <v>0.29012893685394503</v>
      </c>
      <c r="P130" s="42">
        <f>_xlfn.STDEV.S(D129:D133)</f>
        <v>1.4529108713200595E-2</v>
      </c>
      <c r="Q130" s="42" t="s">
        <v>62</v>
      </c>
      <c r="R130" s="42" t="s">
        <v>63</v>
      </c>
      <c r="S130" s="42">
        <f>_xlfn.STDEV.S(G129:G133)</f>
        <v>0.48921365475628381</v>
      </c>
      <c r="T130" s="42">
        <f>_xlfn.STDEV.S(H129:H133)</f>
        <v>0.10830512453249848</v>
      </c>
      <c r="U130" s="16">
        <f>_xlfn.STDEV.S(I129:I133)</f>
        <v>0.12461942063739517</v>
      </c>
    </row>
    <row r="131" spans="2:21" ht="15.75" thickBot="1">
      <c r="B131" s="4">
        <v>114</v>
      </c>
      <c r="C131">
        <v>1.19</v>
      </c>
      <c r="D131">
        <v>8.4699999999999998E-2</v>
      </c>
      <c r="E131" t="s">
        <v>62</v>
      </c>
      <c r="F131" t="s">
        <v>63</v>
      </c>
      <c r="G131">
        <v>33.74</v>
      </c>
      <c r="H131">
        <v>30.08</v>
      </c>
      <c r="I131">
        <v>30.03</v>
      </c>
      <c r="J131">
        <v>5.8</v>
      </c>
      <c r="K131" s="42">
        <f t="shared" si="28"/>
        <v>30.477422976</v>
      </c>
      <c r="L131" s="16">
        <f t="shared" si="29"/>
        <v>0.1903048038073073</v>
      </c>
      <c r="N131" s="6" t="s">
        <v>11</v>
      </c>
      <c r="O131" s="25">
        <f>O130/O129*100</f>
        <v>21.919683956931475</v>
      </c>
      <c r="P131" s="25">
        <f>P130/P129*100</f>
        <v>15.65636714784547</v>
      </c>
      <c r="Q131" s="25" t="s">
        <v>62</v>
      </c>
      <c r="R131" s="25" t="s">
        <v>63</v>
      </c>
      <c r="S131" s="25">
        <f>S130/S129*100</f>
        <v>1.4714962845343313</v>
      </c>
      <c r="T131" s="25">
        <f>T130/T129*100</f>
        <v>0.35998512441832903</v>
      </c>
      <c r="U131" s="19">
        <f>U130/U129*100</f>
        <v>0.41656444924921499</v>
      </c>
    </row>
    <row r="132" spans="2:21">
      <c r="B132" s="4">
        <v>118</v>
      </c>
      <c r="C132">
        <v>1.58</v>
      </c>
      <c r="D132">
        <v>9.7500000000000003E-2</v>
      </c>
      <c r="E132" t="s">
        <v>62</v>
      </c>
      <c r="F132" t="s">
        <v>63</v>
      </c>
      <c r="G132">
        <v>32.53</v>
      </c>
      <c r="H132">
        <v>30.21</v>
      </c>
      <c r="I132">
        <v>29.86</v>
      </c>
      <c r="J132">
        <v>5.9</v>
      </c>
      <c r="K132" s="42">
        <f t="shared" si="28"/>
        <v>29.344356618000003</v>
      </c>
      <c r="L132" s="16">
        <f t="shared" si="29"/>
        <v>0.20106080623287223</v>
      </c>
    </row>
    <row r="133" spans="2:21" ht="15.75" thickBot="1">
      <c r="B133" s="6">
        <v>119</v>
      </c>
      <c r="C133" s="7">
        <v>0.878</v>
      </c>
      <c r="D133" s="7">
        <v>7.1800000000000003E-2</v>
      </c>
      <c r="E133" s="7" t="s">
        <v>62</v>
      </c>
      <c r="F133" s="7" t="s">
        <v>63</v>
      </c>
      <c r="G133" s="7">
        <v>33.67</v>
      </c>
      <c r="H133" s="7">
        <v>29.94</v>
      </c>
      <c r="I133" s="7">
        <v>29.94</v>
      </c>
      <c r="J133" s="7">
        <v>5.5</v>
      </c>
      <c r="K133" s="25">
        <f t="shared" si="28"/>
        <v>30.181909212000001</v>
      </c>
      <c r="L133" s="19">
        <f t="shared" si="29"/>
        <v>0.18222836605092096</v>
      </c>
    </row>
    <row r="134" spans="2:21" ht="15.75" thickBot="1"/>
    <row r="135" spans="2:21" ht="18.75">
      <c r="B135" s="1" t="s">
        <v>54</v>
      </c>
      <c r="C135" s="2" t="s">
        <v>21</v>
      </c>
      <c r="D135" s="2" t="s">
        <v>22</v>
      </c>
      <c r="E135" s="2" t="s">
        <v>23</v>
      </c>
      <c r="F135" s="2" t="s">
        <v>24</v>
      </c>
      <c r="G135" s="2" t="s">
        <v>26</v>
      </c>
      <c r="H135" s="2" t="s">
        <v>27</v>
      </c>
      <c r="I135" s="2" t="s">
        <v>28</v>
      </c>
      <c r="J135" s="2" t="s">
        <v>30</v>
      </c>
      <c r="K135" s="2" t="s">
        <v>31</v>
      </c>
      <c r="L135" s="3" t="s">
        <v>32</v>
      </c>
      <c r="N135" s="1" t="s">
        <v>6</v>
      </c>
      <c r="O135" s="2" t="s">
        <v>37</v>
      </c>
      <c r="P135" s="2" t="s">
        <v>38</v>
      </c>
      <c r="Q135" s="2" t="s">
        <v>39</v>
      </c>
      <c r="R135" s="2" t="s">
        <v>40</v>
      </c>
      <c r="S135" s="2" t="s">
        <v>36</v>
      </c>
      <c r="T135" s="2" t="s">
        <v>42</v>
      </c>
      <c r="U135" s="3" t="s">
        <v>28</v>
      </c>
    </row>
    <row r="136" spans="2:21" ht="15.75" thickBot="1">
      <c r="B136" s="6" t="s">
        <v>0</v>
      </c>
      <c r="C136" s="7" t="s">
        <v>1</v>
      </c>
      <c r="D136" s="7" t="s">
        <v>2</v>
      </c>
      <c r="E136" s="7" t="s">
        <v>3</v>
      </c>
      <c r="F136" s="7" t="s">
        <v>2</v>
      </c>
      <c r="G136" s="7" t="s">
        <v>4</v>
      </c>
      <c r="H136" s="7" t="s">
        <v>4</v>
      </c>
      <c r="I136" s="7" t="s">
        <v>5</v>
      </c>
      <c r="J136" s="7"/>
      <c r="K136" s="7"/>
      <c r="L136" s="8"/>
      <c r="N136" s="4" t="s">
        <v>14</v>
      </c>
      <c r="O136" t="s">
        <v>1</v>
      </c>
      <c r="P136" t="s">
        <v>2</v>
      </c>
      <c r="Q136" t="s">
        <v>77</v>
      </c>
      <c r="R136" t="s">
        <v>78</v>
      </c>
      <c r="S136" t="s">
        <v>79</v>
      </c>
      <c r="T136" t="s">
        <v>79</v>
      </c>
      <c r="U136" s="5" t="s">
        <v>79</v>
      </c>
    </row>
    <row r="137" spans="2:21">
      <c r="B137" s="4">
        <v>127</v>
      </c>
      <c r="C137">
        <v>0.191</v>
      </c>
      <c r="D137">
        <v>1.9099999999999999E-2</v>
      </c>
      <c r="E137" t="s">
        <v>62</v>
      </c>
      <c r="F137" t="s">
        <v>63</v>
      </c>
      <c r="G137">
        <v>30.07</v>
      </c>
      <c r="H137">
        <v>28.44</v>
      </c>
      <c r="I137">
        <v>28.15</v>
      </c>
      <c r="J137">
        <v>2.7</v>
      </c>
      <c r="K137" s="10">
        <f>(G137*H137*I137)/1000</f>
        <v>24.073621020000001</v>
      </c>
      <c r="L137" s="11">
        <f>J137/K137</f>
        <v>0.11215595683577809</v>
      </c>
      <c r="N137" s="4" t="s">
        <v>9</v>
      </c>
      <c r="O137">
        <v>0.20699999999999999</v>
      </c>
      <c r="P137">
        <v>2.0400000000000001E-2</v>
      </c>
      <c r="Q137" t="s">
        <v>62</v>
      </c>
      <c r="R137" t="s">
        <v>63</v>
      </c>
      <c r="S137">
        <v>31.14</v>
      </c>
      <c r="T137">
        <v>29.02</v>
      </c>
      <c r="U137" s="5">
        <v>28.95</v>
      </c>
    </row>
    <row r="138" spans="2:21">
      <c r="B138" s="4">
        <v>132</v>
      </c>
      <c r="C138">
        <v>0.252</v>
      </c>
      <c r="D138">
        <v>2.4E-2</v>
      </c>
      <c r="E138" t="s">
        <v>62</v>
      </c>
      <c r="F138" t="s">
        <v>63</v>
      </c>
      <c r="G138">
        <v>31.91</v>
      </c>
      <c r="H138">
        <v>29.42</v>
      </c>
      <c r="I138">
        <v>29.13</v>
      </c>
      <c r="J138">
        <v>2.7</v>
      </c>
      <c r="K138" s="42">
        <f t="shared" ref="K138:K141" si="30">(G138*H138*I138)/1000</f>
        <v>27.347016786000001</v>
      </c>
      <c r="L138" s="16">
        <f t="shared" ref="L138:L141" si="31">J138/K138</f>
        <v>9.8731061641145257E-2</v>
      </c>
      <c r="N138" s="4" t="s">
        <v>10</v>
      </c>
      <c r="O138">
        <v>2.52E-2</v>
      </c>
      <c r="P138">
        <v>2.0600000000000002E-3</v>
      </c>
      <c r="Q138" t="s">
        <v>62</v>
      </c>
      <c r="R138" t="s">
        <v>63</v>
      </c>
      <c r="S138">
        <v>1.524</v>
      </c>
      <c r="T138">
        <v>0.61870000000000003</v>
      </c>
      <c r="U138" s="5">
        <v>0.48630000000000001</v>
      </c>
    </row>
    <row r="139" spans="2:21" ht="15.75" thickBot="1">
      <c r="B139" s="4">
        <v>137</v>
      </c>
      <c r="C139">
        <v>0.19800000000000001</v>
      </c>
      <c r="D139">
        <v>1.95E-2</v>
      </c>
      <c r="E139" t="s">
        <v>62</v>
      </c>
      <c r="F139" t="s">
        <v>63</v>
      </c>
      <c r="G139">
        <v>32.36</v>
      </c>
      <c r="H139">
        <v>29.49</v>
      </c>
      <c r="I139">
        <v>29.31</v>
      </c>
      <c r="J139">
        <v>2.7</v>
      </c>
      <c r="K139" s="42">
        <f t="shared" si="30"/>
        <v>27.970427483999995</v>
      </c>
      <c r="L139" s="16">
        <f t="shared" si="31"/>
        <v>9.6530523230096824E-2</v>
      </c>
      <c r="N139" s="6" t="s">
        <v>11</v>
      </c>
      <c r="O139" s="7">
        <v>12.13</v>
      </c>
      <c r="P139" s="7">
        <v>10.14</v>
      </c>
      <c r="Q139" s="7" t="s">
        <v>62</v>
      </c>
      <c r="R139" s="7" t="s">
        <v>63</v>
      </c>
      <c r="S139" s="7">
        <v>4.9000000000000004</v>
      </c>
      <c r="T139" s="7">
        <v>2.13</v>
      </c>
      <c r="U139" s="8">
        <v>1.68</v>
      </c>
    </row>
    <row r="140" spans="2:21">
      <c r="B140" s="4">
        <v>140</v>
      </c>
      <c r="C140">
        <v>0.19600000000000001</v>
      </c>
      <c r="D140">
        <v>1.9400000000000001E-2</v>
      </c>
      <c r="E140" t="s">
        <v>62</v>
      </c>
      <c r="F140" t="s">
        <v>63</v>
      </c>
      <c r="G140">
        <v>32.36</v>
      </c>
      <c r="H140">
        <v>29.49</v>
      </c>
      <c r="I140">
        <v>29.31</v>
      </c>
      <c r="J140">
        <v>2.5</v>
      </c>
      <c r="K140" s="42">
        <f t="shared" si="30"/>
        <v>27.970427483999995</v>
      </c>
      <c r="L140" s="16">
        <f t="shared" si="31"/>
        <v>8.9380114101941494E-2</v>
      </c>
    </row>
    <row r="141" spans="2:21" ht="15.75" thickBot="1">
      <c r="B141" s="6">
        <v>141</v>
      </c>
      <c r="C141" s="7">
        <v>0.19900000000000001</v>
      </c>
      <c r="D141" s="7">
        <v>1.9900000000000001E-2</v>
      </c>
      <c r="E141" s="7" t="s">
        <v>62</v>
      </c>
      <c r="F141" s="7" t="s">
        <v>63</v>
      </c>
      <c r="G141" s="7">
        <v>29</v>
      </c>
      <c r="H141" s="7">
        <v>28.25</v>
      </c>
      <c r="I141" s="7">
        <v>28.83</v>
      </c>
      <c r="J141" s="7">
        <v>2.5</v>
      </c>
      <c r="K141" s="25">
        <f t="shared" si="30"/>
        <v>23.618977499999996</v>
      </c>
      <c r="L141" s="19">
        <f t="shared" si="31"/>
        <v>0.10584708842709217</v>
      </c>
    </row>
    <row r="143" spans="2:21" ht="15.75" thickBot="1"/>
    <row r="144" spans="2:21" ht="18.75">
      <c r="B144" s="1" t="s">
        <v>57</v>
      </c>
      <c r="C144" s="2" t="s">
        <v>21</v>
      </c>
      <c r="D144" s="2" t="s">
        <v>22</v>
      </c>
      <c r="E144" s="2" t="s">
        <v>23</v>
      </c>
      <c r="F144" s="2" t="s">
        <v>24</v>
      </c>
      <c r="G144" s="2" t="s">
        <v>26</v>
      </c>
      <c r="H144" s="2" t="s">
        <v>27</v>
      </c>
      <c r="I144" s="2" t="s">
        <v>28</v>
      </c>
      <c r="J144" s="2" t="s">
        <v>30</v>
      </c>
      <c r="K144" s="2" t="s">
        <v>31</v>
      </c>
      <c r="L144" s="3" t="s">
        <v>32</v>
      </c>
      <c r="N144" s="1" t="s">
        <v>6</v>
      </c>
      <c r="O144" s="2" t="s">
        <v>37</v>
      </c>
      <c r="P144" s="2" t="s">
        <v>38</v>
      </c>
      <c r="Q144" s="2" t="s">
        <v>39</v>
      </c>
      <c r="R144" s="2" t="s">
        <v>40</v>
      </c>
      <c r="S144" s="2" t="s">
        <v>36</v>
      </c>
      <c r="T144" s="2" t="s">
        <v>42</v>
      </c>
      <c r="U144" s="3" t="s">
        <v>28</v>
      </c>
    </row>
    <row r="145" spans="2:21" ht="15.75" thickBot="1">
      <c r="B145" s="6" t="s">
        <v>0</v>
      </c>
      <c r="C145" s="7" t="s">
        <v>1</v>
      </c>
      <c r="D145" s="7" t="s">
        <v>2</v>
      </c>
      <c r="E145" s="7" t="s">
        <v>3</v>
      </c>
      <c r="F145" s="7" t="s">
        <v>2</v>
      </c>
      <c r="G145" s="7" t="s">
        <v>4</v>
      </c>
      <c r="H145" s="7" t="s">
        <v>4</v>
      </c>
      <c r="I145" s="7" t="s">
        <v>5</v>
      </c>
      <c r="J145" s="7"/>
      <c r="K145" s="7"/>
      <c r="L145" s="8"/>
      <c r="N145" s="4" t="s">
        <v>14</v>
      </c>
      <c r="O145" t="s">
        <v>1</v>
      </c>
      <c r="P145" t="s">
        <v>2</v>
      </c>
      <c r="Q145" t="s">
        <v>77</v>
      </c>
      <c r="R145" t="s">
        <v>78</v>
      </c>
      <c r="S145" t="s">
        <v>79</v>
      </c>
      <c r="T145" t="s">
        <v>79</v>
      </c>
      <c r="U145" s="5" t="s">
        <v>79</v>
      </c>
    </row>
    <row r="146" spans="2:21">
      <c r="B146" s="4">
        <v>145</v>
      </c>
      <c r="C146">
        <v>0.33400000000000002</v>
      </c>
      <c r="D146">
        <v>2.9700000000000001E-2</v>
      </c>
      <c r="E146" t="s">
        <v>62</v>
      </c>
      <c r="F146" t="s">
        <v>63</v>
      </c>
      <c r="G146">
        <v>34.28</v>
      </c>
      <c r="H146">
        <v>28.47</v>
      </c>
      <c r="I146">
        <v>28.86</v>
      </c>
      <c r="J146" s="22">
        <v>3.2</v>
      </c>
      <c r="K146" s="10">
        <f>(G146*H146*I146)/1000</f>
        <v>28.165963175999998</v>
      </c>
      <c r="L146" s="11">
        <f>J146/K146</f>
        <v>0.11361230503655191</v>
      </c>
      <c r="N146" s="4" t="s">
        <v>9</v>
      </c>
      <c r="O146">
        <v>0.26400000000000001</v>
      </c>
      <c r="P146">
        <v>2.4799999999999999E-2</v>
      </c>
      <c r="Q146" t="s">
        <v>62</v>
      </c>
      <c r="R146" t="s">
        <v>63</v>
      </c>
      <c r="S146">
        <v>35.020000000000003</v>
      </c>
      <c r="T146">
        <v>29.02</v>
      </c>
      <c r="U146" s="5">
        <v>28.9</v>
      </c>
    </row>
    <row r="147" spans="2:21">
      <c r="B147" s="4">
        <v>146</v>
      </c>
      <c r="C147">
        <v>0.23899999999999999</v>
      </c>
      <c r="D147">
        <v>2.3400000000000001E-2</v>
      </c>
      <c r="E147" t="s">
        <v>62</v>
      </c>
      <c r="F147" t="s">
        <v>63</v>
      </c>
      <c r="G147">
        <v>35.08</v>
      </c>
      <c r="H147">
        <v>28.7</v>
      </c>
      <c r="I147">
        <v>28.38</v>
      </c>
      <c r="J147" s="22">
        <v>3.1</v>
      </c>
      <c r="K147" s="42">
        <f t="shared" ref="K147:K150" si="32">(G147*H147*I147)/1000</f>
        <v>28.572870479999999</v>
      </c>
      <c r="L147" s="16">
        <f t="shared" ref="L147:L150" si="33">J147/K147</f>
        <v>0.10849452462852449</v>
      </c>
      <c r="N147" s="4" t="s">
        <v>10</v>
      </c>
      <c r="O147">
        <v>4.6600000000000003E-2</v>
      </c>
      <c r="P147">
        <v>3.4299999999999999E-3</v>
      </c>
      <c r="Q147" t="s">
        <v>62</v>
      </c>
      <c r="R147" t="s">
        <v>63</v>
      </c>
      <c r="S147">
        <v>0.64070000000000005</v>
      </c>
      <c r="T147">
        <v>0.59940000000000004</v>
      </c>
      <c r="U147" s="5">
        <v>0.42980000000000002</v>
      </c>
    </row>
    <row r="148" spans="2:21" ht="15.75" thickBot="1">
      <c r="B148" s="4">
        <v>149</v>
      </c>
      <c r="C148">
        <v>0.28999999999999998</v>
      </c>
      <c r="D148">
        <v>2.7199999999999998E-2</v>
      </c>
      <c r="E148" t="s">
        <v>62</v>
      </c>
      <c r="F148" t="s">
        <v>63</v>
      </c>
      <c r="G148">
        <v>35.89</v>
      </c>
      <c r="H148">
        <v>28.72</v>
      </c>
      <c r="I148">
        <v>28.6</v>
      </c>
      <c r="J148" s="22">
        <v>3.2</v>
      </c>
      <c r="K148" s="42">
        <f t="shared" si="32"/>
        <v>29.479758880000002</v>
      </c>
      <c r="L148" s="16">
        <f t="shared" si="33"/>
        <v>0.10854905608373144</v>
      </c>
      <c r="N148" s="6" t="s">
        <v>11</v>
      </c>
      <c r="O148" s="7">
        <v>17.66</v>
      </c>
      <c r="P148" s="7">
        <v>13.83</v>
      </c>
      <c r="Q148" s="7" t="s">
        <v>62</v>
      </c>
      <c r="R148" s="7" t="s">
        <v>63</v>
      </c>
      <c r="S148" s="7">
        <v>1.83</v>
      </c>
      <c r="T148" s="7">
        <v>2.0699999999999998</v>
      </c>
      <c r="U148" s="8">
        <v>1.49</v>
      </c>
    </row>
    <row r="149" spans="2:21">
      <c r="B149" s="4">
        <v>154</v>
      </c>
      <c r="C149">
        <v>0.23300000000000001</v>
      </c>
      <c r="D149">
        <v>2.24E-2</v>
      </c>
      <c r="E149" t="s">
        <v>62</v>
      </c>
      <c r="F149" t="s">
        <v>63</v>
      </c>
      <c r="G149">
        <v>34.520000000000003</v>
      </c>
      <c r="H149">
        <v>29.97</v>
      </c>
      <c r="I149">
        <v>29.27</v>
      </c>
      <c r="J149" s="22">
        <v>3.1</v>
      </c>
      <c r="K149" s="42">
        <f t="shared" si="32"/>
        <v>30.281699988</v>
      </c>
      <c r="L149" s="16">
        <f t="shared" si="33"/>
        <v>0.10237205973338567</v>
      </c>
    </row>
    <row r="150" spans="2:21" ht="15.75" thickBot="1">
      <c r="B150" s="6">
        <v>157</v>
      </c>
      <c r="C150" s="7">
        <v>0.22500000000000001</v>
      </c>
      <c r="D150" s="7">
        <v>2.1600000000000001E-2</v>
      </c>
      <c r="E150" s="7" t="s">
        <v>62</v>
      </c>
      <c r="F150" s="7" t="s">
        <v>63</v>
      </c>
      <c r="G150" s="7">
        <v>35.31</v>
      </c>
      <c r="H150" s="7">
        <v>29.22</v>
      </c>
      <c r="I150" s="7">
        <v>29.39</v>
      </c>
      <c r="J150" s="22">
        <v>3.1</v>
      </c>
      <c r="K150" s="25">
        <f t="shared" si="32"/>
        <v>30.323373498000002</v>
      </c>
      <c r="L150" s="19">
        <f t="shared" si="33"/>
        <v>0.1022313694815144</v>
      </c>
    </row>
    <row r="151" spans="2:21" ht="15.75" thickBot="1"/>
    <row r="152" spans="2:21" ht="18.75">
      <c r="B152" s="1" t="s">
        <v>61</v>
      </c>
      <c r="C152" s="2" t="s">
        <v>21</v>
      </c>
      <c r="D152" s="2" t="s">
        <v>22</v>
      </c>
      <c r="E152" s="2" t="s">
        <v>23</v>
      </c>
      <c r="F152" s="2" t="s">
        <v>24</v>
      </c>
      <c r="G152" s="2" t="s">
        <v>26</v>
      </c>
      <c r="H152" s="2" t="s">
        <v>27</v>
      </c>
      <c r="I152" s="2" t="s">
        <v>28</v>
      </c>
      <c r="J152" s="2" t="s">
        <v>30</v>
      </c>
      <c r="K152" s="2" t="s">
        <v>31</v>
      </c>
      <c r="L152" s="3" t="s">
        <v>32</v>
      </c>
      <c r="N152" s="1" t="s">
        <v>6</v>
      </c>
      <c r="O152" s="2" t="s">
        <v>37</v>
      </c>
      <c r="P152" s="2" t="s">
        <v>38</v>
      </c>
      <c r="Q152" s="2" t="s">
        <v>39</v>
      </c>
      <c r="R152" s="2" t="s">
        <v>40</v>
      </c>
      <c r="S152" s="2" t="s">
        <v>36</v>
      </c>
      <c r="T152" s="2" t="s">
        <v>42</v>
      </c>
      <c r="U152" s="3" t="s">
        <v>28</v>
      </c>
    </row>
    <row r="153" spans="2:21" ht="15.75" thickBot="1">
      <c r="B153" s="6" t="s">
        <v>0</v>
      </c>
      <c r="C153" s="7" t="s">
        <v>1</v>
      </c>
      <c r="D153" s="7" t="s">
        <v>2</v>
      </c>
      <c r="E153" s="7" t="s">
        <v>3</v>
      </c>
      <c r="F153" s="7" t="s">
        <v>2</v>
      </c>
      <c r="G153" s="7" t="s">
        <v>4</v>
      </c>
      <c r="H153" s="7" t="s">
        <v>4</v>
      </c>
      <c r="I153" s="7" t="s">
        <v>5</v>
      </c>
      <c r="J153" s="7"/>
      <c r="K153" s="7"/>
      <c r="L153" s="8"/>
      <c r="N153" s="4" t="s">
        <v>14</v>
      </c>
      <c r="O153" t="s">
        <v>1</v>
      </c>
      <c r="P153" t="s">
        <v>2</v>
      </c>
      <c r="Q153" t="s">
        <v>77</v>
      </c>
      <c r="R153" t="s">
        <v>78</v>
      </c>
      <c r="S153" t="s">
        <v>79</v>
      </c>
      <c r="T153" t="s">
        <v>79</v>
      </c>
      <c r="U153" s="5" t="s">
        <v>79</v>
      </c>
    </row>
    <row r="154" spans="2:21">
      <c r="B154" s="4">
        <v>190</v>
      </c>
      <c r="C154">
        <v>0.378</v>
      </c>
      <c r="D154">
        <v>3.4200000000000001E-2</v>
      </c>
      <c r="E154" t="s">
        <v>62</v>
      </c>
      <c r="F154" t="s">
        <v>63</v>
      </c>
      <c r="G154">
        <v>34.700000000000003</v>
      </c>
      <c r="H154">
        <v>30.18</v>
      </c>
      <c r="I154">
        <v>29.37</v>
      </c>
      <c r="J154">
        <v>3</v>
      </c>
      <c r="K154" s="42">
        <f>(G154*H154*I154)/1000</f>
        <v>30.757615020000006</v>
      </c>
      <c r="L154" s="16">
        <f>J154/K154</f>
        <v>9.7536821305854268E-2</v>
      </c>
      <c r="N154" s="4" t="s">
        <v>9</v>
      </c>
      <c r="O154">
        <v>0.36499999999999999</v>
      </c>
      <c r="P154">
        <v>3.3399999999999999E-2</v>
      </c>
      <c r="Q154" t="s">
        <v>62</v>
      </c>
      <c r="R154" t="s">
        <v>63</v>
      </c>
      <c r="S154">
        <v>33.86</v>
      </c>
      <c r="T154">
        <v>29.6</v>
      </c>
      <c r="U154" s="5">
        <v>29.47</v>
      </c>
    </row>
    <row r="155" spans="2:21">
      <c r="B155" s="4">
        <v>196</v>
      </c>
      <c r="C155">
        <v>0.40300000000000002</v>
      </c>
      <c r="D155">
        <v>3.56E-2</v>
      </c>
      <c r="E155" t="s">
        <v>62</v>
      </c>
      <c r="F155" t="s">
        <v>63</v>
      </c>
      <c r="G155">
        <v>33.94</v>
      </c>
      <c r="H155">
        <v>29.48</v>
      </c>
      <c r="I155">
        <v>30.14</v>
      </c>
      <c r="J155">
        <v>3</v>
      </c>
      <c r="K155" s="42">
        <f t="shared" ref="K155:K158" si="34">(G155*H155*I155)/1000</f>
        <v>30.156613168</v>
      </c>
      <c r="L155" s="16">
        <f t="shared" ref="L155:L158" si="35">J155/K155</f>
        <v>9.9480667251565943E-2</v>
      </c>
      <c r="N155" s="4" t="s">
        <v>10</v>
      </c>
      <c r="O155">
        <v>3.0300000000000001E-2</v>
      </c>
      <c r="P155">
        <v>2E-3</v>
      </c>
      <c r="Q155" t="s">
        <v>62</v>
      </c>
      <c r="R155" t="s">
        <v>63</v>
      </c>
      <c r="S155">
        <v>0.64100000000000001</v>
      </c>
      <c r="T155">
        <v>0.64190000000000003</v>
      </c>
      <c r="U155" s="5">
        <v>0.57030000000000003</v>
      </c>
    </row>
    <row r="156" spans="2:21" ht="15.75" thickBot="1">
      <c r="B156" s="4">
        <v>203</v>
      </c>
      <c r="C156">
        <v>0.32500000000000001</v>
      </c>
      <c r="D156">
        <v>3.0200000000000001E-2</v>
      </c>
      <c r="E156" t="s">
        <v>62</v>
      </c>
      <c r="F156" t="s">
        <v>63</v>
      </c>
      <c r="G156">
        <v>34.14</v>
      </c>
      <c r="H156">
        <v>30.23</v>
      </c>
      <c r="I156">
        <v>29.79</v>
      </c>
      <c r="J156">
        <v>2.9</v>
      </c>
      <c r="K156" s="42">
        <f t="shared" si="34"/>
        <v>30.744835038000002</v>
      </c>
      <c r="L156" s="16">
        <f t="shared" si="35"/>
        <v>9.4324786469521069E-2</v>
      </c>
      <c r="N156" s="6" t="s">
        <v>11</v>
      </c>
      <c r="O156" s="7">
        <v>8.2799999999999994</v>
      </c>
      <c r="P156" s="7">
        <v>6.01</v>
      </c>
      <c r="Q156" s="7" t="s">
        <v>62</v>
      </c>
      <c r="R156" s="7" t="s">
        <v>63</v>
      </c>
      <c r="S156" s="7">
        <v>1.89</v>
      </c>
      <c r="T156" s="7">
        <v>2.17</v>
      </c>
      <c r="U156" s="8">
        <v>1.93</v>
      </c>
    </row>
    <row r="157" spans="2:21">
      <c r="B157" s="4">
        <v>205</v>
      </c>
      <c r="C157">
        <v>0.34699999999999998</v>
      </c>
      <c r="D157">
        <v>3.3000000000000002E-2</v>
      </c>
      <c r="E157" t="s">
        <v>62</v>
      </c>
      <c r="F157" t="s">
        <v>63</v>
      </c>
      <c r="G157">
        <v>33.549999999999997</v>
      </c>
      <c r="H157">
        <v>28.66</v>
      </c>
      <c r="I157">
        <v>29.46</v>
      </c>
      <c r="J157">
        <v>2.9</v>
      </c>
      <c r="K157" s="42">
        <f t="shared" si="34"/>
        <v>28.327056779999999</v>
      </c>
      <c r="L157" s="16">
        <f t="shared" si="35"/>
        <v>0.10237561997784085</v>
      </c>
    </row>
    <row r="158" spans="2:21" ht="15.75" thickBot="1">
      <c r="B158" s="6">
        <v>206</v>
      </c>
      <c r="C158" s="7">
        <v>0.375</v>
      </c>
      <c r="D158" s="7">
        <v>3.3700000000000001E-2</v>
      </c>
      <c r="E158" s="7" t="s">
        <v>62</v>
      </c>
      <c r="F158" s="7" t="s">
        <v>63</v>
      </c>
      <c r="G158" s="7">
        <v>32.99</v>
      </c>
      <c r="H158" s="7">
        <v>29.47</v>
      </c>
      <c r="I158" s="7">
        <v>28.61</v>
      </c>
      <c r="J158" s="7">
        <v>2.9</v>
      </c>
      <c r="K158" s="25">
        <f t="shared" si="34"/>
        <v>27.815079733000001</v>
      </c>
      <c r="L158" s="19">
        <f t="shared" si="35"/>
        <v>0.10425999234362862</v>
      </c>
    </row>
    <row r="159" spans="2:21" ht="15.75" thickBot="1"/>
    <row r="160" spans="2:21" ht="18.75">
      <c r="B160" s="1" t="s">
        <v>59</v>
      </c>
      <c r="C160" s="2" t="s">
        <v>21</v>
      </c>
      <c r="D160" s="2" t="s">
        <v>22</v>
      </c>
      <c r="E160" s="2" t="s">
        <v>23</v>
      </c>
      <c r="F160" s="2" t="s">
        <v>24</v>
      </c>
      <c r="G160" s="2" t="s">
        <v>26</v>
      </c>
      <c r="H160" s="2" t="s">
        <v>27</v>
      </c>
      <c r="I160" s="2" t="s">
        <v>28</v>
      </c>
      <c r="J160" s="2" t="s">
        <v>30</v>
      </c>
      <c r="K160" s="2" t="s">
        <v>31</v>
      </c>
      <c r="L160" s="3" t="s">
        <v>32</v>
      </c>
      <c r="N160" s="1" t="s">
        <v>6</v>
      </c>
      <c r="O160" s="2" t="s">
        <v>37</v>
      </c>
      <c r="P160" s="2" t="s">
        <v>38</v>
      </c>
      <c r="Q160" s="2" t="s">
        <v>39</v>
      </c>
      <c r="R160" s="2" t="s">
        <v>40</v>
      </c>
      <c r="S160" s="2" t="s">
        <v>36</v>
      </c>
      <c r="T160" s="2" t="s">
        <v>42</v>
      </c>
      <c r="U160" s="3" t="s">
        <v>28</v>
      </c>
    </row>
    <row r="161" spans="2:21" ht="15.75" thickBot="1">
      <c r="B161" s="6" t="s">
        <v>0</v>
      </c>
      <c r="C161" s="7" t="s">
        <v>1</v>
      </c>
      <c r="D161" s="7" t="s">
        <v>2</v>
      </c>
      <c r="E161" s="7" t="s">
        <v>3</v>
      </c>
      <c r="F161" s="7" t="s">
        <v>2</v>
      </c>
      <c r="G161" s="7" t="s">
        <v>4</v>
      </c>
      <c r="H161" s="7" t="s">
        <v>4</v>
      </c>
      <c r="I161" s="7" t="s">
        <v>5</v>
      </c>
      <c r="J161" s="7"/>
      <c r="K161" s="7"/>
      <c r="L161" s="8"/>
      <c r="N161" s="4" t="s">
        <v>14</v>
      </c>
      <c r="O161" t="s">
        <v>1</v>
      </c>
      <c r="P161" t="s">
        <v>2</v>
      </c>
      <c r="Q161" t="s">
        <v>77</v>
      </c>
      <c r="R161" t="s">
        <v>78</v>
      </c>
      <c r="S161" t="s">
        <v>79</v>
      </c>
      <c r="T161" t="s">
        <v>79</v>
      </c>
      <c r="U161" s="5" t="s">
        <v>79</v>
      </c>
    </row>
    <row r="162" spans="2:21">
      <c r="B162" s="4">
        <v>232</v>
      </c>
      <c r="C162">
        <v>0.36599999999999999</v>
      </c>
      <c r="D162">
        <v>3.4500000000000003E-2</v>
      </c>
      <c r="E162" t="s">
        <v>62</v>
      </c>
      <c r="F162" t="s">
        <v>63</v>
      </c>
      <c r="G162">
        <v>34.11</v>
      </c>
      <c r="H162">
        <v>29.77</v>
      </c>
      <c r="I162">
        <v>30.32</v>
      </c>
      <c r="J162">
        <v>3.1</v>
      </c>
      <c r="K162" s="42">
        <f>(G162*H162*I162)/1000</f>
        <v>30.788586503999998</v>
      </c>
      <c r="L162" s="16">
        <f>J162/K162</f>
        <v>0.10068666190951162</v>
      </c>
      <c r="N162" s="4" t="s">
        <v>9</v>
      </c>
      <c r="O162">
        <v>0.38300000000000001</v>
      </c>
      <c r="P162">
        <v>3.5299999999999998E-2</v>
      </c>
      <c r="Q162" t="s">
        <v>62</v>
      </c>
      <c r="R162" t="s">
        <v>63</v>
      </c>
      <c r="S162">
        <v>33.43</v>
      </c>
      <c r="T162">
        <v>29.37</v>
      </c>
      <c r="U162" s="5">
        <v>30.08</v>
      </c>
    </row>
    <row r="163" spans="2:21">
      <c r="B163" s="4">
        <v>238</v>
      </c>
      <c r="C163">
        <v>0.35099999999999998</v>
      </c>
      <c r="D163">
        <v>3.39E-2</v>
      </c>
      <c r="E163" t="s">
        <v>62</v>
      </c>
      <c r="F163" t="s">
        <v>63</v>
      </c>
      <c r="G163">
        <v>33.549999999999997</v>
      </c>
      <c r="H163">
        <v>29.54</v>
      </c>
      <c r="I163">
        <v>30.47</v>
      </c>
      <c r="J163">
        <v>2.9</v>
      </c>
      <c r="K163" s="42">
        <f t="shared" ref="K163:K166" si="36">(G163*H163*I163)/1000</f>
        <v>30.197811489999996</v>
      </c>
      <c r="L163" s="16">
        <f t="shared" ref="L163:L166" si="37">J163/K163</f>
        <v>9.6033449343186167E-2</v>
      </c>
      <c r="N163" s="4" t="s">
        <v>10</v>
      </c>
      <c r="O163">
        <v>3.8899999999999997E-2</v>
      </c>
      <c r="P163">
        <v>1.91E-3</v>
      </c>
      <c r="Q163" t="s">
        <v>62</v>
      </c>
      <c r="R163" t="s">
        <v>63</v>
      </c>
      <c r="S163">
        <v>0.51629999999999998</v>
      </c>
      <c r="T163">
        <v>0.61909999999999998</v>
      </c>
      <c r="U163" s="5">
        <v>0.48380000000000001</v>
      </c>
    </row>
    <row r="164" spans="2:21" ht="15.75" thickBot="1">
      <c r="B164" s="4">
        <v>244</v>
      </c>
      <c r="C164">
        <v>0.36399999999999999</v>
      </c>
      <c r="D164">
        <v>3.4099999999999998E-2</v>
      </c>
      <c r="E164" t="s">
        <v>62</v>
      </c>
      <c r="F164" t="s">
        <v>63</v>
      </c>
      <c r="G164">
        <v>33.65</v>
      </c>
      <c r="H164">
        <v>30.07</v>
      </c>
      <c r="I164">
        <v>30.47</v>
      </c>
      <c r="J164">
        <v>2.9</v>
      </c>
      <c r="K164" s="42">
        <f t="shared" si="36"/>
        <v>30.831237085000001</v>
      </c>
      <c r="L164" s="16">
        <f t="shared" si="37"/>
        <v>9.4060448888406964E-2</v>
      </c>
      <c r="N164" s="6" t="s">
        <v>11</v>
      </c>
      <c r="O164" s="7">
        <v>10.16</v>
      </c>
      <c r="P164" s="7">
        <v>5.4</v>
      </c>
      <c r="Q164" s="7" t="s">
        <v>62</v>
      </c>
      <c r="R164" s="7" t="s">
        <v>63</v>
      </c>
      <c r="S164" s="7">
        <v>1.54</v>
      </c>
      <c r="T164" s="7">
        <v>2.11</v>
      </c>
      <c r="U164" s="8">
        <v>1.61</v>
      </c>
    </row>
    <row r="165" spans="2:21">
      <c r="B165" s="4">
        <v>246</v>
      </c>
      <c r="C165">
        <v>0.44900000000000001</v>
      </c>
      <c r="D165">
        <v>3.85E-2</v>
      </c>
      <c r="E165" t="s">
        <v>62</v>
      </c>
      <c r="F165" t="s">
        <v>63</v>
      </c>
      <c r="G165">
        <v>32.9</v>
      </c>
      <c r="H165">
        <v>28.83</v>
      </c>
      <c r="I165">
        <v>29.43</v>
      </c>
      <c r="J165">
        <v>2.9</v>
      </c>
      <c r="K165" s="42">
        <f t="shared" si="36"/>
        <v>27.914561009999996</v>
      </c>
      <c r="L165" s="16">
        <f t="shared" si="37"/>
        <v>0.10388843295658907</v>
      </c>
    </row>
    <row r="166" spans="2:21" ht="15.75" thickBot="1">
      <c r="B166" s="6">
        <v>247</v>
      </c>
      <c r="C166" s="7">
        <v>0.38300000000000001</v>
      </c>
      <c r="D166" s="7">
        <v>3.5700000000000003E-2</v>
      </c>
      <c r="E166" s="7" t="s">
        <v>62</v>
      </c>
      <c r="F166" s="7" t="s">
        <v>63</v>
      </c>
      <c r="G166" s="7">
        <v>32.92</v>
      </c>
      <c r="H166" s="7">
        <v>28.62</v>
      </c>
      <c r="I166" s="7">
        <v>29.69</v>
      </c>
      <c r="J166" s="7">
        <v>3</v>
      </c>
      <c r="K166" s="25">
        <f t="shared" si="36"/>
        <v>27.973039176</v>
      </c>
      <c r="L166" s="19">
        <f t="shared" si="37"/>
        <v>0.10724612299452635</v>
      </c>
    </row>
    <row r="168" spans="2:21" ht="15.75" thickBot="1"/>
    <row r="169" spans="2:21" ht="18.75">
      <c r="B169" s="1" t="s">
        <v>53</v>
      </c>
      <c r="C169" s="2" t="s">
        <v>21</v>
      </c>
      <c r="D169" s="2" t="s">
        <v>22</v>
      </c>
      <c r="E169" s="2" t="s">
        <v>23</v>
      </c>
      <c r="F169" s="2" t="s">
        <v>24</v>
      </c>
      <c r="G169" s="2" t="s">
        <v>26</v>
      </c>
      <c r="H169" s="2" t="s">
        <v>27</v>
      </c>
      <c r="I169" s="2" t="s">
        <v>28</v>
      </c>
      <c r="J169" s="2" t="s">
        <v>30</v>
      </c>
      <c r="K169" s="2" t="s">
        <v>31</v>
      </c>
      <c r="L169" s="3" t="s">
        <v>32</v>
      </c>
      <c r="N169" s="1" t="s">
        <v>6</v>
      </c>
      <c r="O169" s="2" t="s">
        <v>37</v>
      </c>
      <c r="P169" s="2" t="s">
        <v>38</v>
      </c>
      <c r="Q169" s="2" t="s">
        <v>39</v>
      </c>
      <c r="R169" s="2" t="s">
        <v>40</v>
      </c>
      <c r="S169" s="2" t="s">
        <v>36</v>
      </c>
      <c r="T169" s="2" t="s">
        <v>42</v>
      </c>
      <c r="U169" s="3" t="s">
        <v>28</v>
      </c>
    </row>
    <row r="170" spans="2:21" ht="15.75" thickBot="1">
      <c r="B170" s="6" t="s">
        <v>0</v>
      </c>
      <c r="C170" s="7" t="s">
        <v>1</v>
      </c>
      <c r="D170" s="7" t="s">
        <v>2</v>
      </c>
      <c r="E170" s="7" t="s">
        <v>3</v>
      </c>
      <c r="F170" s="7" t="s">
        <v>2</v>
      </c>
      <c r="G170" s="7" t="s">
        <v>4</v>
      </c>
      <c r="H170" s="7" t="s">
        <v>4</v>
      </c>
      <c r="I170" s="7" t="s">
        <v>5</v>
      </c>
      <c r="J170" s="7"/>
      <c r="K170" s="7"/>
      <c r="L170" s="8"/>
      <c r="N170" s="4" t="s">
        <v>14</v>
      </c>
      <c r="O170" t="s">
        <v>1</v>
      </c>
      <c r="P170" t="s">
        <v>2</v>
      </c>
      <c r="Q170" t="s">
        <v>77</v>
      </c>
      <c r="R170" t="s">
        <v>78</v>
      </c>
      <c r="S170" t="s">
        <v>79</v>
      </c>
      <c r="T170" t="s">
        <v>79</v>
      </c>
      <c r="U170" s="5" t="s">
        <v>79</v>
      </c>
    </row>
    <row r="171" spans="2:21">
      <c r="B171" s="4">
        <v>250</v>
      </c>
      <c r="C171">
        <v>0.26900000000000002</v>
      </c>
      <c r="D171">
        <v>2.5999999999999999E-2</v>
      </c>
      <c r="E171" t="s">
        <v>62</v>
      </c>
      <c r="F171" t="s">
        <v>63</v>
      </c>
      <c r="G171">
        <v>30.79</v>
      </c>
      <c r="H171">
        <v>28.22</v>
      </c>
      <c r="I171">
        <v>28.69</v>
      </c>
      <c r="J171">
        <v>3.4</v>
      </c>
      <c r="K171" s="42">
        <f>(G171*H171*I171)/1000</f>
        <v>24.928563122</v>
      </c>
      <c r="L171" s="16">
        <f>J171/K171</f>
        <v>0.13638973026084386</v>
      </c>
      <c r="N171" s="4" t="s">
        <v>9</v>
      </c>
      <c r="O171">
        <v>0.28100000000000003</v>
      </c>
      <c r="P171">
        <v>2.63E-2</v>
      </c>
      <c r="Q171" t="s">
        <v>62</v>
      </c>
      <c r="R171" t="s">
        <v>63</v>
      </c>
      <c r="S171">
        <v>32.5</v>
      </c>
      <c r="T171">
        <v>28.95</v>
      </c>
      <c r="U171" s="5">
        <v>29.14</v>
      </c>
    </row>
    <row r="172" spans="2:21">
      <c r="B172" s="4">
        <v>251</v>
      </c>
      <c r="C172">
        <v>0.29199999999999998</v>
      </c>
      <c r="D172">
        <v>2.5899999999999999E-2</v>
      </c>
      <c r="E172" t="s">
        <v>62</v>
      </c>
      <c r="F172" t="s">
        <v>63</v>
      </c>
      <c r="G172">
        <v>31.03</v>
      </c>
      <c r="H172">
        <v>28.07</v>
      </c>
      <c r="I172">
        <v>28.98</v>
      </c>
      <c r="J172">
        <v>3.6</v>
      </c>
      <c r="K172" s="42">
        <f t="shared" ref="K172:K175" si="38">(G172*H172*I172)/1000</f>
        <v>25.241930658000001</v>
      </c>
      <c r="L172" s="16">
        <f t="shared" ref="L172:L175" si="39">J172/K172</f>
        <v>0.14261983557343469</v>
      </c>
      <c r="N172" s="4" t="s">
        <v>10</v>
      </c>
      <c r="O172">
        <v>1.0699999999999999E-2</v>
      </c>
      <c r="P172">
        <v>8.6600000000000002E-4</v>
      </c>
      <c r="Q172" t="s">
        <v>62</v>
      </c>
      <c r="R172" t="s">
        <v>63</v>
      </c>
      <c r="S172">
        <v>1.49</v>
      </c>
      <c r="T172">
        <v>0.75660000000000005</v>
      </c>
      <c r="U172" s="5">
        <v>0.42199999999999999</v>
      </c>
    </row>
    <row r="173" spans="2:21" ht="15.75" thickBot="1">
      <c r="B173" s="4">
        <v>254</v>
      </c>
      <c r="C173">
        <v>0.29199999999999998</v>
      </c>
      <c r="D173">
        <v>2.7799999999999998E-2</v>
      </c>
      <c r="E173" t="s">
        <v>62</v>
      </c>
      <c r="F173" t="s">
        <v>63</v>
      </c>
      <c r="G173">
        <v>34.06</v>
      </c>
      <c r="H173">
        <v>29.27</v>
      </c>
      <c r="I173">
        <v>29.83</v>
      </c>
      <c r="J173">
        <v>3.8</v>
      </c>
      <c r="K173" s="42">
        <f t="shared" si="38"/>
        <v>29.738606846000003</v>
      </c>
      <c r="L173" s="16">
        <f t="shared" si="39"/>
        <v>0.12778002748004047</v>
      </c>
      <c r="N173" s="6" t="s">
        <v>11</v>
      </c>
      <c r="O173" s="7">
        <v>3.81</v>
      </c>
      <c r="P173" s="7">
        <v>3.29</v>
      </c>
      <c r="Q173" s="7" t="s">
        <v>62</v>
      </c>
      <c r="R173" s="7" t="s">
        <v>63</v>
      </c>
      <c r="S173" s="7">
        <v>4.58</v>
      </c>
      <c r="T173" s="7">
        <v>2.61</v>
      </c>
      <c r="U173" s="8">
        <v>1.45</v>
      </c>
    </row>
    <row r="174" spans="2:21">
      <c r="B174" s="4">
        <v>263</v>
      </c>
      <c r="C174">
        <v>0.28000000000000003</v>
      </c>
      <c r="D174">
        <v>2.6100000000000002E-2</v>
      </c>
      <c r="E174" t="s">
        <v>62</v>
      </c>
      <c r="F174" t="s">
        <v>63</v>
      </c>
      <c r="G174">
        <v>33.42</v>
      </c>
      <c r="H174">
        <v>29.5</v>
      </c>
      <c r="I174">
        <v>29.05</v>
      </c>
      <c r="J174">
        <v>3.6</v>
      </c>
      <c r="K174" s="42">
        <f t="shared" si="38"/>
        <v>28.640104500000003</v>
      </c>
      <c r="L174" s="16">
        <f t="shared" si="39"/>
        <v>0.12569786538313782</v>
      </c>
    </row>
    <row r="175" spans="2:21" ht="15.75" thickBot="1">
      <c r="B175" s="6">
        <v>269</v>
      </c>
      <c r="C175" s="7">
        <v>0.27200000000000002</v>
      </c>
      <c r="D175" s="7">
        <v>2.5600000000000001E-2</v>
      </c>
      <c r="E175" s="7" t="s">
        <v>62</v>
      </c>
      <c r="F175" s="7" t="s">
        <v>63</v>
      </c>
      <c r="G175" s="7">
        <v>33.22</v>
      </c>
      <c r="H175" s="7">
        <v>29.71</v>
      </c>
      <c r="I175" s="7">
        <v>29.13</v>
      </c>
      <c r="J175" s="7">
        <v>3.6</v>
      </c>
      <c r="K175" s="25">
        <f t="shared" si="38"/>
        <v>28.750325405999995</v>
      </c>
      <c r="L175" s="19">
        <f t="shared" si="39"/>
        <v>0.12521597405115648</v>
      </c>
    </row>
    <row r="177" spans="2:21" ht="15.75" thickBot="1"/>
    <row r="178" spans="2:21" ht="18.75">
      <c r="B178" s="1" t="s">
        <v>58</v>
      </c>
      <c r="C178" s="2" t="s">
        <v>21</v>
      </c>
      <c r="D178" s="2" t="s">
        <v>22</v>
      </c>
      <c r="E178" s="2" t="s">
        <v>23</v>
      </c>
      <c r="F178" s="2" t="s">
        <v>24</v>
      </c>
      <c r="G178" s="2" t="s">
        <v>26</v>
      </c>
      <c r="H178" s="2" t="s">
        <v>27</v>
      </c>
      <c r="I178" s="2" t="s">
        <v>28</v>
      </c>
      <c r="J178" s="2" t="s">
        <v>30</v>
      </c>
      <c r="K178" s="2" t="s">
        <v>31</v>
      </c>
      <c r="L178" s="3" t="s">
        <v>32</v>
      </c>
      <c r="N178" s="1" t="s">
        <v>6</v>
      </c>
      <c r="O178" s="2" t="s">
        <v>37</v>
      </c>
      <c r="P178" s="2" t="s">
        <v>38</v>
      </c>
      <c r="Q178" s="2" t="s">
        <v>39</v>
      </c>
      <c r="R178" s="2" t="s">
        <v>40</v>
      </c>
      <c r="S178" s="2" t="s">
        <v>36</v>
      </c>
      <c r="T178" s="2" t="s">
        <v>42</v>
      </c>
      <c r="U178" s="3" t="s">
        <v>28</v>
      </c>
    </row>
    <row r="179" spans="2:21" ht="15.75" thickBot="1">
      <c r="B179" s="6" t="s">
        <v>0</v>
      </c>
      <c r="C179" s="7" t="s">
        <v>1</v>
      </c>
      <c r="D179" s="7" t="s">
        <v>2</v>
      </c>
      <c r="E179" s="7" t="s">
        <v>3</v>
      </c>
      <c r="F179" s="7" t="s">
        <v>2</v>
      </c>
      <c r="G179" s="7" t="s">
        <v>4</v>
      </c>
      <c r="H179" s="7" t="s">
        <v>4</v>
      </c>
      <c r="I179" s="7" t="s">
        <v>5</v>
      </c>
      <c r="J179" s="7"/>
      <c r="K179" s="7"/>
      <c r="L179" s="8"/>
      <c r="N179" s="4" t="s">
        <v>14</v>
      </c>
      <c r="O179" t="s">
        <v>1</v>
      </c>
      <c r="P179" t="s">
        <v>2</v>
      </c>
      <c r="Q179" t="s">
        <v>77</v>
      </c>
      <c r="R179" t="s">
        <v>78</v>
      </c>
      <c r="S179" t="s">
        <v>79</v>
      </c>
      <c r="T179" t="s">
        <v>79</v>
      </c>
      <c r="U179" s="5" t="s">
        <v>79</v>
      </c>
    </row>
    <row r="180" spans="2:21">
      <c r="B180" s="4">
        <v>273</v>
      </c>
      <c r="C180">
        <v>0.38700000000000001</v>
      </c>
      <c r="D180">
        <v>3.5799999999999998E-2</v>
      </c>
      <c r="E180" t="s">
        <v>62</v>
      </c>
      <c r="F180" t="s">
        <v>63</v>
      </c>
      <c r="G180">
        <v>30.61</v>
      </c>
      <c r="H180">
        <v>29.81</v>
      </c>
      <c r="I180">
        <v>29.47</v>
      </c>
      <c r="J180">
        <v>3.8</v>
      </c>
      <c r="K180" s="42">
        <f>(G180*H180*I180)/1000</f>
        <v>26.890906426999994</v>
      </c>
      <c r="L180" s="16">
        <f>J180/K180</f>
        <v>0.14131171109147087</v>
      </c>
      <c r="N180" s="4" t="s">
        <v>9</v>
      </c>
      <c r="O180">
        <v>0.35699999999999998</v>
      </c>
      <c r="P180">
        <v>3.3599999999999998E-2</v>
      </c>
      <c r="Q180" t="s">
        <v>62</v>
      </c>
      <c r="R180" t="s">
        <v>63</v>
      </c>
      <c r="S180">
        <v>30.95</v>
      </c>
      <c r="T180">
        <v>29.41</v>
      </c>
      <c r="U180" s="5">
        <v>28.98</v>
      </c>
    </row>
    <row r="181" spans="2:21">
      <c r="B181" s="4">
        <v>281</v>
      </c>
      <c r="C181">
        <v>0.33200000000000002</v>
      </c>
      <c r="D181">
        <v>3.0800000000000001E-2</v>
      </c>
      <c r="E181" t="s">
        <v>62</v>
      </c>
      <c r="F181" t="s">
        <v>63</v>
      </c>
      <c r="G181">
        <v>30.99</v>
      </c>
      <c r="H181">
        <v>29.51</v>
      </c>
      <c r="I181">
        <v>29.57</v>
      </c>
      <c r="J181">
        <v>3.7</v>
      </c>
      <c r="K181" s="42">
        <f t="shared" ref="K181:K184" si="40">(G181*H181*I181)/1000</f>
        <v>27.042205593000002</v>
      </c>
      <c r="L181" s="16">
        <f t="shared" ref="L181:L184" si="41">J181/K181</f>
        <v>0.13682315916412388</v>
      </c>
      <c r="N181" s="4" t="s">
        <v>10</v>
      </c>
      <c r="O181">
        <v>2.4500000000000001E-2</v>
      </c>
      <c r="P181">
        <v>1.9400000000000001E-3</v>
      </c>
      <c r="Q181" t="s">
        <v>62</v>
      </c>
      <c r="R181" t="s">
        <v>63</v>
      </c>
      <c r="S181">
        <v>0.52949999999999997</v>
      </c>
      <c r="T181">
        <v>0.43390000000000001</v>
      </c>
      <c r="U181" s="5">
        <v>0.56220000000000003</v>
      </c>
    </row>
    <row r="182" spans="2:21" ht="15.75" thickBot="1">
      <c r="B182" s="4">
        <v>287</v>
      </c>
      <c r="C182">
        <v>0.375</v>
      </c>
      <c r="D182">
        <v>3.4599999999999999E-2</v>
      </c>
      <c r="E182" t="s">
        <v>62</v>
      </c>
      <c r="F182" t="s">
        <v>63</v>
      </c>
      <c r="G182">
        <v>31.13</v>
      </c>
      <c r="H182">
        <v>29.83</v>
      </c>
      <c r="I182">
        <v>29.04</v>
      </c>
      <c r="J182">
        <v>3.8</v>
      </c>
      <c r="K182" s="42">
        <f t="shared" si="40"/>
        <v>26.966773415999999</v>
      </c>
      <c r="L182" s="16">
        <f t="shared" si="41"/>
        <v>0.14091415169993507</v>
      </c>
      <c r="N182" s="6" t="s">
        <v>11</v>
      </c>
      <c r="O182" s="7">
        <v>6.87</v>
      </c>
      <c r="P182" s="7">
        <v>5.76</v>
      </c>
      <c r="Q182" s="7" t="s">
        <v>62</v>
      </c>
      <c r="R182" s="7" t="s">
        <v>63</v>
      </c>
      <c r="S182" s="7">
        <v>1.71</v>
      </c>
      <c r="T182" s="7">
        <v>1.48</v>
      </c>
      <c r="U182" s="8">
        <v>1.94</v>
      </c>
    </row>
    <row r="183" spans="2:21">
      <c r="B183" s="4">
        <v>289</v>
      </c>
      <c r="C183">
        <v>0.33300000000000002</v>
      </c>
      <c r="D183">
        <v>3.27E-2</v>
      </c>
      <c r="E183" t="s">
        <v>62</v>
      </c>
      <c r="F183" t="s">
        <v>63</v>
      </c>
      <c r="G183">
        <v>30.31</v>
      </c>
      <c r="H183">
        <v>28.99</v>
      </c>
      <c r="I183">
        <v>28.33</v>
      </c>
      <c r="J183">
        <v>3.8</v>
      </c>
      <c r="K183" s="42">
        <f t="shared" si="40"/>
        <v>24.893199876999997</v>
      </c>
      <c r="L183" s="16">
        <f t="shared" si="41"/>
        <v>0.15265213065319896</v>
      </c>
    </row>
    <row r="184" spans="2:21" ht="15.75" thickBot="1">
      <c r="B184" s="6">
        <v>290</v>
      </c>
      <c r="C184" s="7">
        <v>0.35899999999999999</v>
      </c>
      <c r="D184" s="7">
        <v>3.4299999999999997E-2</v>
      </c>
      <c r="E184" s="7" t="s">
        <v>62</v>
      </c>
      <c r="F184" s="7" t="s">
        <v>63</v>
      </c>
      <c r="G184" s="7">
        <v>31.7</v>
      </c>
      <c r="H184" s="7">
        <v>28.93</v>
      </c>
      <c r="I184" s="7">
        <v>28.48</v>
      </c>
      <c r="J184" s="7">
        <v>3.9</v>
      </c>
      <c r="K184" s="25">
        <f t="shared" si="40"/>
        <v>26.11846688</v>
      </c>
      <c r="L184" s="19">
        <f t="shared" si="41"/>
        <v>0.14931963724817221</v>
      </c>
    </row>
    <row r="185" spans="2:21" ht="15.75" thickBot="1"/>
    <row r="186" spans="2:21" ht="18.75">
      <c r="B186" s="1" t="s">
        <v>56</v>
      </c>
      <c r="C186" s="2" t="s">
        <v>21</v>
      </c>
      <c r="D186" s="2" t="s">
        <v>22</v>
      </c>
      <c r="E186" s="2" t="s">
        <v>23</v>
      </c>
      <c r="F186" s="2" t="s">
        <v>24</v>
      </c>
      <c r="G186" s="2" t="s">
        <v>26</v>
      </c>
      <c r="H186" s="2" t="s">
        <v>27</v>
      </c>
      <c r="I186" s="2" t="s">
        <v>28</v>
      </c>
      <c r="J186" s="2" t="s">
        <v>30</v>
      </c>
      <c r="K186" s="2" t="s">
        <v>31</v>
      </c>
      <c r="L186" s="3" t="s">
        <v>32</v>
      </c>
      <c r="N186" s="1" t="s">
        <v>6</v>
      </c>
      <c r="O186" s="2" t="s">
        <v>37</v>
      </c>
      <c r="P186" s="2" t="s">
        <v>38</v>
      </c>
      <c r="Q186" s="2" t="s">
        <v>39</v>
      </c>
      <c r="R186" s="2" t="s">
        <v>40</v>
      </c>
      <c r="S186" s="2" t="s">
        <v>36</v>
      </c>
      <c r="T186" s="2" t="s">
        <v>42</v>
      </c>
      <c r="U186" s="3" t="s">
        <v>28</v>
      </c>
    </row>
    <row r="187" spans="2:21" ht="15.75" thickBot="1">
      <c r="B187" s="6" t="s">
        <v>0</v>
      </c>
      <c r="C187" s="7" t="s">
        <v>1</v>
      </c>
      <c r="D187" s="7" t="s">
        <v>2</v>
      </c>
      <c r="E187" s="7" t="s">
        <v>3</v>
      </c>
      <c r="F187" s="7" t="s">
        <v>2</v>
      </c>
      <c r="G187" s="7" t="s">
        <v>4</v>
      </c>
      <c r="H187" s="7" t="s">
        <v>4</v>
      </c>
      <c r="I187" s="7" t="s">
        <v>5</v>
      </c>
      <c r="J187" s="7"/>
      <c r="K187" s="7"/>
      <c r="L187" s="8"/>
      <c r="N187" s="4" t="s">
        <v>14</v>
      </c>
      <c r="O187" t="s">
        <v>1</v>
      </c>
      <c r="P187" t="s">
        <v>2</v>
      </c>
      <c r="Q187" t="s">
        <v>77</v>
      </c>
      <c r="R187" t="s">
        <v>78</v>
      </c>
      <c r="S187" t="s">
        <v>79</v>
      </c>
      <c r="T187" t="s">
        <v>79</v>
      </c>
      <c r="U187" s="5" t="s">
        <v>79</v>
      </c>
    </row>
    <row r="188" spans="2:21">
      <c r="B188" s="4">
        <v>165</v>
      </c>
      <c r="C188">
        <v>0.161</v>
      </c>
      <c r="D188">
        <v>1.6199999999999999E-2</v>
      </c>
      <c r="E188" t="s">
        <v>62</v>
      </c>
      <c r="F188" t="s">
        <v>63</v>
      </c>
      <c r="G188">
        <v>32.89</v>
      </c>
      <c r="H188">
        <v>28.62</v>
      </c>
      <c r="I188">
        <v>30.02</v>
      </c>
      <c r="J188">
        <v>2.7</v>
      </c>
      <c r="K188" s="42">
        <f>(G188*H188*I188)/1000</f>
        <v>28.258180236000001</v>
      </c>
      <c r="L188" s="16">
        <f>J188/K188</f>
        <v>9.5547553927775156E-2</v>
      </c>
      <c r="N188" s="4" t="s">
        <v>9</v>
      </c>
      <c r="O188">
        <v>0.20399999999999999</v>
      </c>
      <c r="P188">
        <v>1.9900000000000001E-2</v>
      </c>
      <c r="Q188" t="s">
        <v>62</v>
      </c>
      <c r="R188" t="s">
        <v>63</v>
      </c>
      <c r="S188">
        <v>33.61</v>
      </c>
      <c r="T188">
        <v>28.67</v>
      </c>
      <c r="U188" s="5">
        <v>29.55</v>
      </c>
    </row>
    <row r="189" spans="2:21">
      <c r="B189" s="4">
        <v>170</v>
      </c>
      <c r="C189">
        <v>0.19900000000000001</v>
      </c>
      <c r="D189">
        <v>1.95E-2</v>
      </c>
      <c r="E189" t="s">
        <v>62</v>
      </c>
      <c r="F189" t="s">
        <v>63</v>
      </c>
      <c r="G189">
        <v>32.89</v>
      </c>
      <c r="H189">
        <v>29.02</v>
      </c>
      <c r="I189">
        <v>29.93</v>
      </c>
      <c r="J189">
        <v>2.7</v>
      </c>
      <c r="K189" s="42">
        <f t="shared" ref="K189:K192" si="42">(G189*H189*I189)/1000</f>
        <v>28.567221254</v>
      </c>
      <c r="L189" s="16">
        <f t="shared" ref="L189:L192" si="43">J189/K189</f>
        <v>9.4513917751869014E-2</v>
      </c>
      <c r="N189" s="4" t="s">
        <v>10</v>
      </c>
      <c r="O189">
        <v>2.93E-2</v>
      </c>
      <c r="P189">
        <v>2.48E-3</v>
      </c>
      <c r="Q189" t="s">
        <v>62</v>
      </c>
      <c r="R189" t="s">
        <v>63</v>
      </c>
      <c r="S189">
        <v>0.91290000000000004</v>
      </c>
      <c r="T189">
        <v>0.4924</v>
      </c>
      <c r="U189" s="5">
        <v>0.48399999999999999</v>
      </c>
    </row>
    <row r="190" spans="2:21" ht="15.75" thickBot="1">
      <c r="B190" s="4">
        <v>174</v>
      </c>
      <c r="C190">
        <v>0.223</v>
      </c>
      <c r="D190">
        <v>2.1399999999999999E-2</v>
      </c>
      <c r="E190" t="s">
        <v>62</v>
      </c>
      <c r="F190" t="s">
        <v>63</v>
      </c>
      <c r="G190">
        <v>33.36</v>
      </c>
      <c r="H190">
        <v>29.25</v>
      </c>
      <c r="I190">
        <v>29.69</v>
      </c>
      <c r="J190">
        <v>2.8</v>
      </c>
      <c r="K190" s="42">
        <f t="shared" si="42"/>
        <v>28.9709082</v>
      </c>
      <c r="L190" s="16">
        <f t="shared" si="43"/>
        <v>9.6648678759749751E-2</v>
      </c>
      <c r="N190" s="6" t="s">
        <v>11</v>
      </c>
      <c r="O190" s="7">
        <v>14.35</v>
      </c>
      <c r="P190" s="7">
        <v>12.43</v>
      </c>
      <c r="Q190" s="7" t="s">
        <v>62</v>
      </c>
      <c r="R190" s="7" t="s">
        <v>63</v>
      </c>
      <c r="S190" s="7">
        <v>2.72</v>
      </c>
      <c r="T190" s="7">
        <v>1.72</v>
      </c>
      <c r="U190" s="8">
        <v>1.64</v>
      </c>
    </row>
    <row r="191" spans="2:21">
      <c r="B191" s="4">
        <v>177</v>
      </c>
      <c r="C191">
        <v>0.19900000000000001</v>
      </c>
      <c r="D191">
        <v>1.9800000000000002E-2</v>
      </c>
      <c r="E191" t="s">
        <v>62</v>
      </c>
      <c r="F191" t="s">
        <v>63</v>
      </c>
      <c r="G191">
        <v>35.090000000000003</v>
      </c>
      <c r="H191">
        <v>27.98</v>
      </c>
      <c r="I191">
        <v>29.19</v>
      </c>
      <c r="J191">
        <v>2.7</v>
      </c>
      <c r="K191" s="42">
        <f t="shared" si="42"/>
        <v>28.659273258000006</v>
      </c>
      <c r="L191" s="16">
        <f t="shared" si="43"/>
        <v>9.4210344264271148E-2</v>
      </c>
    </row>
    <row r="192" spans="2:21" ht="15.75" thickBot="1">
      <c r="B192" s="6">
        <v>178</v>
      </c>
      <c r="C192" s="7">
        <v>0.23899999999999999</v>
      </c>
      <c r="D192" s="7">
        <v>2.2800000000000001E-2</v>
      </c>
      <c r="E192" s="7" t="s">
        <v>62</v>
      </c>
      <c r="F192" s="7" t="s">
        <v>63</v>
      </c>
      <c r="G192" s="7">
        <v>33.82</v>
      </c>
      <c r="H192" s="7">
        <v>28.49</v>
      </c>
      <c r="I192" s="7">
        <v>28.9</v>
      </c>
      <c r="J192" s="7">
        <v>2.8</v>
      </c>
      <c r="K192" s="25">
        <f t="shared" si="42"/>
        <v>27.846069019999998</v>
      </c>
      <c r="L192" s="19">
        <f t="shared" si="43"/>
        <v>0.10055279249609501</v>
      </c>
    </row>
    <row r="193" spans="2:21" ht="15.75" thickBot="1">
      <c r="K193" s="42"/>
      <c r="L193" s="42"/>
    </row>
    <row r="194" spans="2:21" ht="18.75">
      <c r="B194" s="1" t="s">
        <v>55</v>
      </c>
      <c r="C194" s="2" t="s">
        <v>21</v>
      </c>
      <c r="D194" s="2" t="s">
        <v>22</v>
      </c>
      <c r="E194" s="2" t="s">
        <v>23</v>
      </c>
      <c r="F194" s="2" t="s">
        <v>24</v>
      </c>
      <c r="G194" s="2" t="s">
        <v>26</v>
      </c>
      <c r="H194" s="2" t="s">
        <v>27</v>
      </c>
      <c r="I194" s="2" t="s">
        <v>28</v>
      </c>
      <c r="J194" s="2" t="s">
        <v>30</v>
      </c>
      <c r="K194" s="2" t="s">
        <v>31</v>
      </c>
      <c r="L194" s="3" t="s">
        <v>32</v>
      </c>
      <c r="N194" s="1" t="s">
        <v>6</v>
      </c>
      <c r="O194" s="2" t="s">
        <v>37</v>
      </c>
      <c r="P194" s="2" t="s">
        <v>38</v>
      </c>
      <c r="Q194" s="2" t="s">
        <v>39</v>
      </c>
      <c r="R194" s="2" t="s">
        <v>40</v>
      </c>
      <c r="S194" s="2" t="s">
        <v>36</v>
      </c>
      <c r="T194" s="2" t="s">
        <v>42</v>
      </c>
      <c r="U194" s="3" t="s">
        <v>28</v>
      </c>
    </row>
    <row r="195" spans="2:21" ht="15.75" thickBot="1">
      <c r="B195" s="6" t="s">
        <v>0</v>
      </c>
      <c r="C195" s="7" t="s">
        <v>1</v>
      </c>
      <c r="D195" s="7" t="s">
        <v>2</v>
      </c>
      <c r="E195" s="7" t="s">
        <v>3</v>
      </c>
      <c r="F195" s="7" t="s">
        <v>2</v>
      </c>
      <c r="G195" s="7" t="s">
        <v>4</v>
      </c>
      <c r="H195" s="7" t="s">
        <v>4</v>
      </c>
      <c r="I195" s="7" t="s">
        <v>5</v>
      </c>
      <c r="J195" s="7"/>
      <c r="K195" s="7"/>
      <c r="L195" s="8"/>
      <c r="N195" s="4" t="s">
        <v>14</v>
      </c>
      <c r="O195" t="s">
        <v>1</v>
      </c>
      <c r="P195" t="s">
        <v>2</v>
      </c>
      <c r="Q195" t="s">
        <v>77</v>
      </c>
      <c r="R195" t="s">
        <v>78</v>
      </c>
      <c r="S195" t="s">
        <v>79</v>
      </c>
      <c r="T195" t="s">
        <v>79</v>
      </c>
      <c r="U195" s="5" t="s">
        <v>79</v>
      </c>
    </row>
    <row r="196" spans="2:21">
      <c r="B196" s="4">
        <v>210</v>
      </c>
      <c r="C196">
        <v>0.29199999999999998</v>
      </c>
      <c r="D196">
        <v>2.9100000000000001E-2</v>
      </c>
      <c r="E196" t="s">
        <v>62</v>
      </c>
      <c r="F196" t="s">
        <v>63</v>
      </c>
      <c r="G196">
        <v>34.14</v>
      </c>
      <c r="H196">
        <v>29.45</v>
      </c>
      <c r="I196">
        <v>29.98</v>
      </c>
      <c r="J196">
        <v>3.1</v>
      </c>
      <c r="K196" s="42">
        <f>(G196*H196*I196)/1000</f>
        <v>30.142581539999998</v>
      </c>
      <c r="L196" s="16">
        <f>J196/K196</f>
        <v>0.10284454222629268</v>
      </c>
      <c r="N196" s="4" t="s">
        <v>9</v>
      </c>
      <c r="O196">
        <v>0.26400000000000001</v>
      </c>
      <c r="P196">
        <v>2.5100000000000001E-2</v>
      </c>
      <c r="Q196" t="s">
        <v>62</v>
      </c>
      <c r="R196" t="s">
        <v>63</v>
      </c>
      <c r="S196">
        <v>34.479999999999997</v>
      </c>
      <c r="T196">
        <v>29.02</v>
      </c>
      <c r="U196" s="5">
        <v>29.34</v>
      </c>
    </row>
    <row r="197" spans="2:21">
      <c r="B197" s="4">
        <v>216</v>
      </c>
      <c r="C197">
        <v>0.247</v>
      </c>
      <c r="D197">
        <v>2.3800000000000002E-2</v>
      </c>
      <c r="E197" t="s">
        <v>62</v>
      </c>
      <c r="F197" t="s">
        <v>63</v>
      </c>
      <c r="G197">
        <v>34.729999999999997</v>
      </c>
      <c r="H197">
        <v>29.03</v>
      </c>
      <c r="I197">
        <v>29.88</v>
      </c>
      <c r="J197">
        <v>3.1</v>
      </c>
      <c r="K197" s="42">
        <f t="shared" ref="K197:K200" si="44">(G197*H197*I197)/1000</f>
        <v>30.125371571999995</v>
      </c>
      <c r="L197" s="16">
        <f t="shared" ref="L197:L200" si="45">J197/K197</f>
        <v>0.10290329507109856</v>
      </c>
      <c r="N197" s="4" t="s">
        <v>10</v>
      </c>
      <c r="O197">
        <v>4.1200000000000001E-2</v>
      </c>
      <c r="P197">
        <v>3.63E-3</v>
      </c>
      <c r="Q197" t="s">
        <v>62</v>
      </c>
      <c r="R197" t="s">
        <v>63</v>
      </c>
      <c r="S197">
        <v>0.4103</v>
      </c>
      <c r="T197">
        <v>0.31319999999999998</v>
      </c>
      <c r="U197" s="5">
        <v>0.74309999999999998</v>
      </c>
    </row>
    <row r="198" spans="2:21" ht="15.75" thickBot="1">
      <c r="B198" s="4">
        <v>222</v>
      </c>
      <c r="C198">
        <v>0.24299999999999999</v>
      </c>
      <c r="D198">
        <v>2.24E-2</v>
      </c>
      <c r="E198" t="s">
        <v>62</v>
      </c>
      <c r="F198" t="s">
        <v>63</v>
      </c>
      <c r="G198">
        <v>34.68</v>
      </c>
      <c r="H198">
        <v>29.15</v>
      </c>
      <c r="I198">
        <v>29.72</v>
      </c>
      <c r="J198">
        <v>3</v>
      </c>
      <c r="K198" s="42">
        <f t="shared" si="44"/>
        <v>30.044601839999995</v>
      </c>
      <c r="L198" s="16">
        <f t="shared" si="45"/>
        <v>9.9851547907882032E-2</v>
      </c>
      <c r="N198" s="6" t="s">
        <v>11</v>
      </c>
      <c r="O198" s="7">
        <v>15.63</v>
      </c>
      <c r="P198" s="7">
        <v>14.48</v>
      </c>
      <c r="Q198" s="7" t="s">
        <v>62</v>
      </c>
      <c r="R198" s="7" t="s">
        <v>63</v>
      </c>
      <c r="S198" s="7">
        <v>1.19</v>
      </c>
      <c r="T198" s="7">
        <v>1.08</v>
      </c>
      <c r="U198" s="8">
        <v>2.5299999999999998</v>
      </c>
    </row>
    <row r="199" spans="2:21">
      <c r="B199" s="4">
        <v>226</v>
      </c>
      <c r="C199">
        <v>0.32</v>
      </c>
      <c r="D199">
        <v>2.8799999999999999E-2</v>
      </c>
      <c r="E199" t="s">
        <v>62</v>
      </c>
      <c r="F199" t="s">
        <v>63</v>
      </c>
      <c r="G199">
        <v>34.909999999999997</v>
      </c>
      <c r="H199">
        <v>28.87</v>
      </c>
      <c r="I199">
        <v>28.31</v>
      </c>
      <c r="J199">
        <v>3.1</v>
      </c>
      <c r="K199" s="42">
        <f t="shared" si="44"/>
        <v>28.532281626999996</v>
      </c>
      <c r="L199" s="16">
        <f t="shared" si="45"/>
        <v>0.10864886448711067</v>
      </c>
    </row>
    <row r="200" spans="2:21" ht="15.75" thickBot="1">
      <c r="B200" s="6">
        <v>227</v>
      </c>
      <c r="C200" s="7">
        <v>0.218</v>
      </c>
      <c r="D200" s="7">
        <v>2.1299999999999999E-2</v>
      </c>
      <c r="E200" s="7" t="s">
        <v>62</v>
      </c>
      <c r="F200" s="7" t="s">
        <v>63</v>
      </c>
      <c r="G200" s="7">
        <v>33.96</v>
      </c>
      <c r="H200" s="7">
        <v>28.61</v>
      </c>
      <c r="I200" s="7">
        <v>28.79</v>
      </c>
      <c r="J200" s="7">
        <v>3</v>
      </c>
      <c r="K200" s="25">
        <f t="shared" si="44"/>
        <v>27.972237323999998</v>
      </c>
      <c r="L200" s="19">
        <f t="shared" si="45"/>
        <v>0.10724919731129334</v>
      </c>
    </row>
    <row r="202" spans="2:21">
      <c r="B202" s="2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987B4-A90B-4FC5-B75B-CE366FCD667A}">
  <dimension ref="A1:K123"/>
  <sheetViews>
    <sheetView topLeftCell="A76" workbookViewId="0">
      <selection activeCell="P91" sqref="P91"/>
    </sheetView>
  </sheetViews>
  <sheetFormatPr defaultRowHeight="15"/>
  <sheetData>
    <row r="1" spans="1:11">
      <c r="A1" t="s">
        <v>108</v>
      </c>
      <c r="B1" t="s">
        <v>109</v>
      </c>
      <c r="C1" t="s">
        <v>110</v>
      </c>
      <c r="D1" t="s">
        <v>111</v>
      </c>
      <c r="E1" t="s">
        <v>22</v>
      </c>
      <c r="F1" t="s">
        <v>102</v>
      </c>
      <c r="G1" t="s">
        <v>103</v>
      </c>
      <c r="H1" t="s">
        <v>104</v>
      </c>
      <c r="I1" t="s">
        <v>107</v>
      </c>
      <c r="J1" t="s">
        <v>106</v>
      </c>
      <c r="K1" t="s">
        <v>105</v>
      </c>
    </row>
    <row r="2" spans="1:11">
      <c r="A2" t="s">
        <v>113</v>
      </c>
      <c r="B2">
        <v>0</v>
      </c>
      <c r="C2">
        <v>1</v>
      </c>
      <c r="D2">
        <v>5.55</v>
      </c>
      <c r="E2">
        <v>0.14199999999999999</v>
      </c>
      <c r="F2">
        <v>3.9</v>
      </c>
      <c r="G2">
        <v>7.0699999999999999E-2</v>
      </c>
      <c r="H2">
        <v>4.8</v>
      </c>
      <c r="I2">
        <v>21.9</v>
      </c>
      <c r="J2">
        <v>149.752983</v>
      </c>
      <c r="K2">
        <v>0.14624082646821132</v>
      </c>
    </row>
    <row r="3" spans="1:11">
      <c r="A3" t="s">
        <v>113</v>
      </c>
      <c r="B3">
        <v>0</v>
      </c>
      <c r="C3">
        <v>2</v>
      </c>
      <c r="D3">
        <v>3.64</v>
      </c>
      <c r="E3">
        <v>9.4100000000000003E-2</v>
      </c>
      <c r="F3">
        <v>4.0999999999999996</v>
      </c>
      <c r="G3">
        <v>4.7E-2</v>
      </c>
      <c r="H3">
        <v>6.7</v>
      </c>
      <c r="I3">
        <v>22.1</v>
      </c>
      <c r="J3">
        <v>151.347804</v>
      </c>
      <c r="K3">
        <v>0.1460212795687475</v>
      </c>
    </row>
    <row r="4" spans="1:11">
      <c r="A4" t="s">
        <v>113</v>
      </c>
      <c r="B4">
        <v>0</v>
      </c>
      <c r="C4">
        <v>3</v>
      </c>
      <c r="D4">
        <v>4</v>
      </c>
      <c r="E4">
        <v>7.46E-2</v>
      </c>
      <c r="F4">
        <v>2.6</v>
      </c>
      <c r="G4">
        <v>3.73E-2</v>
      </c>
      <c r="H4">
        <v>7.1</v>
      </c>
      <c r="I4">
        <v>22.4</v>
      </c>
      <c r="J4">
        <v>151.622524</v>
      </c>
      <c r="K4">
        <v>0.14773530613433133</v>
      </c>
    </row>
    <row r="5" spans="1:11">
      <c r="A5" t="s">
        <v>113</v>
      </c>
      <c r="B5">
        <v>0</v>
      </c>
      <c r="C5">
        <v>4</v>
      </c>
      <c r="D5">
        <v>3.78</v>
      </c>
      <c r="E5">
        <v>8.3400000000000002E-2</v>
      </c>
      <c r="F5">
        <v>3.1</v>
      </c>
      <c r="G5">
        <v>4.1700000000000001E-2</v>
      </c>
      <c r="H5">
        <v>5.4</v>
      </c>
      <c r="I5">
        <v>22.4</v>
      </c>
      <c r="J5">
        <v>153.510153</v>
      </c>
      <c r="K5">
        <v>0.14591868721543128</v>
      </c>
    </row>
    <row r="6" spans="1:11">
      <c r="A6" t="s">
        <v>114</v>
      </c>
      <c r="B6">
        <v>0</v>
      </c>
      <c r="C6">
        <v>1</v>
      </c>
      <c r="D6">
        <v>4.03</v>
      </c>
      <c r="E6">
        <v>0.125</v>
      </c>
      <c r="F6">
        <v>4.0999999999999996</v>
      </c>
      <c r="G6">
        <v>6.2399999999999997E-2</v>
      </c>
      <c r="H6">
        <v>5.4</v>
      </c>
      <c r="I6">
        <v>31.4</v>
      </c>
      <c r="J6">
        <v>150.65549600000003</v>
      </c>
      <c r="K6">
        <v>0.20842253242457209</v>
      </c>
    </row>
    <row r="7" spans="1:11">
      <c r="A7" t="s">
        <v>114</v>
      </c>
      <c r="B7">
        <v>0</v>
      </c>
      <c r="C7">
        <v>2</v>
      </c>
      <c r="D7">
        <v>3.95</v>
      </c>
      <c r="E7">
        <v>8.1699999999999995E-2</v>
      </c>
      <c r="F7">
        <v>2.9</v>
      </c>
      <c r="G7">
        <v>4.0800000000000003E-2</v>
      </c>
      <c r="H7">
        <v>4.7</v>
      </c>
      <c r="I7">
        <v>32.9</v>
      </c>
      <c r="J7">
        <v>152.76164300000002</v>
      </c>
      <c r="K7">
        <v>0.21536819946352628</v>
      </c>
    </row>
    <row r="8" spans="1:11">
      <c r="A8" t="s">
        <v>114</v>
      </c>
      <c r="B8">
        <v>0</v>
      </c>
      <c r="C8">
        <v>3</v>
      </c>
      <c r="D8">
        <v>3.57</v>
      </c>
      <c r="E8">
        <v>7.6200000000000004E-2</v>
      </c>
      <c r="F8">
        <v>3</v>
      </c>
      <c r="G8">
        <v>3.8100000000000002E-2</v>
      </c>
      <c r="H8">
        <v>4.5</v>
      </c>
      <c r="I8">
        <v>32.799999999999997</v>
      </c>
      <c r="J8">
        <v>148.38558799999998</v>
      </c>
      <c r="K8">
        <v>0.22104572581536691</v>
      </c>
    </row>
    <row r="9" spans="1:11">
      <c r="A9" t="s">
        <v>114</v>
      </c>
      <c r="B9">
        <v>0</v>
      </c>
      <c r="C9">
        <v>4</v>
      </c>
      <c r="D9">
        <v>3.22</v>
      </c>
      <c r="E9">
        <v>6.1800000000000001E-2</v>
      </c>
      <c r="F9">
        <v>2.6</v>
      </c>
      <c r="G9">
        <v>3.09E-2</v>
      </c>
      <c r="H9">
        <v>5.4</v>
      </c>
      <c r="I9">
        <v>32.200000000000003</v>
      </c>
      <c r="J9">
        <v>147.81363999999999</v>
      </c>
      <c r="K9">
        <v>0.21784187169736166</v>
      </c>
    </row>
    <row r="10" spans="1:11">
      <c r="A10" t="s">
        <v>114</v>
      </c>
      <c r="B10">
        <v>0</v>
      </c>
      <c r="C10">
        <v>5</v>
      </c>
      <c r="D10">
        <v>3.48</v>
      </c>
      <c r="E10">
        <v>6.3500000000000001E-2</v>
      </c>
      <c r="F10">
        <v>2.2000000000000002</v>
      </c>
      <c r="G10">
        <v>3.1800000000000002E-2</v>
      </c>
      <c r="H10">
        <v>5.4</v>
      </c>
      <c r="I10">
        <v>32</v>
      </c>
      <c r="J10">
        <v>147.79624900000002</v>
      </c>
      <c r="K10">
        <v>0.21651429056227264</v>
      </c>
    </row>
    <row r="11" spans="1:11">
      <c r="A11" t="s">
        <v>115</v>
      </c>
      <c r="B11">
        <v>0</v>
      </c>
      <c r="C11">
        <v>1</v>
      </c>
      <c r="D11">
        <v>2.68</v>
      </c>
      <c r="E11">
        <v>6.3200000000000006E-2</v>
      </c>
      <c r="F11">
        <v>2.9</v>
      </c>
      <c r="G11">
        <v>3.1600000000000003E-2</v>
      </c>
      <c r="H11">
        <v>3.5</v>
      </c>
      <c r="I11">
        <v>36.1</v>
      </c>
      <c r="J11">
        <v>157.37733000000003</v>
      </c>
      <c r="K11">
        <v>0.22938500735779413</v>
      </c>
    </row>
    <row r="12" spans="1:11">
      <c r="A12" t="s">
        <v>115</v>
      </c>
      <c r="B12">
        <v>0</v>
      </c>
      <c r="C12">
        <v>2</v>
      </c>
      <c r="D12">
        <v>5.61</v>
      </c>
      <c r="E12">
        <v>5.0700000000000002E-2</v>
      </c>
      <c r="F12">
        <v>1.4</v>
      </c>
      <c r="G12">
        <v>2.52E-2</v>
      </c>
      <c r="H12">
        <v>2.1</v>
      </c>
      <c r="I12">
        <v>36.299999999999997</v>
      </c>
      <c r="J12">
        <v>158.97108000000003</v>
      </c>
      <c r="K12">
        <v>0.22834341944459327</v>
      </c>
    </row>
    <row r="13" spans="1:11">
      <c r="A13" t="s">
        <v>115</v>
      </c>
      <c r="B13">
        <v>0</v>
      </c>
      <c r="C13">
        <v>3</v>
      </c>
      <c r="D13">
        <v>5.04</v>
      </c>
      <c r="E13">
        <v>3.7699999999999997E-2</v>
      </c>
      <c r="F13">
        <v>1.2</v>
      </c>
      <c r="G13">
        <v>2.7E-2</v>
      </c>
      <c r="H13">
        <v>1.5</v>
      </c>
      <c r="I13">
        <v>36.700000000000003</v>
      </c>
      <c r="J13">
        <v>160.28687999999997</v>
      </c>
      <c r="K13">
        <v>0.22896446671118689</v>
      </c>
    </row>
    <row r="14" spans="1:11" ht="14.25" customHeight="1">
      <c r="A14" t="s">
        <v>115</v>
      </c>
      <c r="B14">
        <v>0</v>
      </c>
      <c r="C14">
        <v>4</v>
      </c>
      <c r="D14">
        <v>4.74</v>
      </c>
      <c r="E14">
        <v>3.6400000000000002E-2</v>
      </c>
      <c r="F14">
        <v>1.1000000000000001</v>
      </c>
      <c r="G14">
        <v>1.8200000000000001E-2</v>
      </c>
      <c r="H14">
        <v>1.9</v>
      </c>
      <c r="I14">
        <v>36.9</v>
      </c>
      <c r="J14">
        <v>160.71854400000001</v>
      </c>
      <c r="K14">
        <v>0.22959391667958365</v>
      </c>
    </row>
    <row r="15" spans="1:11">
      <c r="A15" t="s">
        <v>117</v>
      </c>
      <c r="B15">
        <v>0</v>
      </c>
      <c r="C15">
        <v>1</v>
      </c>
      <c r="D15">
        <v>2.73</v>
      </c>
      <c r="E15">
        <v>5.96E-2</v>
      </c>
      <c r="F15">
        <v>2.7</v>
      </c>
      <c r="G15">
        <v>2.9700000000000001E-2</v>
      </c>
      <c r="H15">
        <v>4.9000000000000004</v>
      </c>
      <c r="I15">
        <v>18.8</v>
      </c>
      <c r="J15">
        <v>142.90876600000001</v>
      </c>
      <c r="K15">
        <v>0.13155246193924869</v>
      </c>
    </row>
    <row r="16" spans="1:11">
      <c r="A16" t="s">
        <v>117</v>
      </c>
      <c r="B16">
        <v>0</v>
      </c>
      <c r="C16">
        <v>2</v>
      </c>
      <c r="D16">
        <v>2.56</v>
      </c>
      <c r="E16">
        <v>4.2000000000000003E-2</v>
      </c>
      <c r="F16">
        <v>1.8</v>
      </c>
      <c r="G16">
        <v>2.1000000000000001E-2</v>
      </c>
      <c r="H16">
        <v>4</v>
      </c>
      <c r="I16">
        <v>19.3</v>
      </c>
      <c r="J16">
        <v>144.84402900000001</v>
      </c>
      <c r="K16">
        <v>0.13324677677945565</v>
      </c>
    </row>
    <row r="17" spans="1:11">
      <c r="A17" t="s">
        <v>117</v>
      </c>
      <c r="B17">
        <v>0</v>
      </c>
      <c r="C17">
        <v>3</v>
      </c>
      <c r="D17">
        <v>2.6</v>
      </c>
      <c r="E17">
        <v>5.2400000000000002E-2</v>
      </c>
      <c r="F17">
        <v>2.4</v>
      </c>
      <c r="G17">
        <v>2.5700000000000001E-2</v>
      </c>
      <c r="H17">
        <v>3.6</v>
      </c>
      <c r="I17">
        <v>20.399999999999999</v>
      </c>
      <c r="J17">
        <v>146.00586000000001</v>
      </c>
      <c r="K17">
        <v>0.13972041944069913</v>
      </c>
    </row>
    <row r="18" spans="1:11">
      <c r="A18" t="s">
        <v>117</v>
      </c>
      <c r="B18">
        <v>0</v>
      </c>
      <c r="C18">
        <v>4</v>
      </c>
      <c r="D18">
        <v>2.13</v>
      </c>
      <c r="E18">
        <v>5.2499999999999998E-2</v>
      </c>
      <c r="F18">
        <v>2.2000000000000002</v>
      </c>
      <c r="G18">
        <v>2.5899999999999999E-2</v>
      </c>
      <c r="H18">
        <v>2.9</v>
      </c>
      <c r="I18">
        <v>20.399999999999999</v>
      </c>
      <c r="J18">
        <v>147.13499999999999</v>
      </c>
      <c r="K18">
        <v>0.13864818024263431</v>
      </c>
    </row>
    <row r="19" spans="1:11">
      <c r="A19" t="s">
        <v>118</v>
      </c>
      <c r="B19">
        <v>0</v>
      </c>
      <c r="C19">
        <v>1</v>
      </c>
      <c r="D19">
        <v>2.4500000000000002</v>
      </c>
      <c r="E19">
        <v>6.3799999999999996E-2</v>
      </c>
      <c r="F19">
        <v>3.9</v>
      </c>
      <c r="G19">
        <v>3.1899999999999998E-2</v>
      </c>
      <c r="H19">
        <v>5.4</v>
      </c>
      <c r="I19">
        <v>18.7</v>
      </c>
      <c r="J19">
        <v>158.3023</v>
      </c>
      <c r="K19">
        <v>0.11812841632749492</v>
      </c>
    </row>
    <row r="20" spans="1:11">
      <c r="A20" t="s">
        <v>118</v>
      </c>
      <c r="B20">
        <v>0</v>
      </c>
      <c r="C20">
        <v>2</v>
      </c>
      <c r="D20">
        <v>2.4</v>
      </c>
      <c r="E20">
        <v>8.8800000000000004E-2</v>
      </c>
      <c r="F20">
        <v>4</v>
      </c>
      <c r="G20">
        <v>4.4400000000000002E-2</v>
      </c>
      <c r="H20">
        <v>6.1</v>
      </c>
      <c r="I20">
        <v>19.399999999999999</v>
      </c>
      <c r="J20">
        <v>161.74378000000002</v>
      </c>
      <c r="K20">
        <v>0.11994278852639648</v>
      </c>
    </row>
    <row r="21" spans="1:11">
      <c r="A21" t="s">
        <v>118</v>
      </c>
      <c r="B21">
        <v>0</v>
      </c>
      <c r="C21">
        <v>3</v>
      </c>
      <c r="D21">
        <v>2.84</v>
      </c>
      <c r="E21">
        <v>8.5800000000000001E-2</v>
      </c>
      <c r="F21">
        <v>4.5</v>
      </c>
      <c r="G21">
        <v>4.2900000000000001E-2</v>
      </c>
      <c r="H21">
        <v>6.9</v>
      </c>
      <c r="I21">
        <v>19.7</v>
      </c>
      <c r="J21">
        <v>165.495</v>
      </c>
      <c r="K21">
        <v>0.11903682890721773</v>
      </c>
    </row>
    <row r="22" spans="1:11">
      <c r="A22" t="s">
        <v>118</v>
      </c>
      <c r="B22">
        <v>0</v>
      </c>
      <c r="C22">
        <v>4</v>
      </c>
      <c r="D22">
        <v>2.7</v>
      </c>
      <c r="E22">
        <v>8.4500000000000006E-2</v>
      </c>
      <c r="F22">
        <v>4.2</v>
      </c>
      <c r="G22">
        <v>4.2200000000000001E-2</v>
      </c>
      <c r="H22">
        <v>6.7</v>
      </c>
      <c r="I22">
        <v>19.600000000000001</v>
      </c>
      <c r="J22">
        <v>161.903988</v>
      </c>
      <c r="K22">
        <v>0.12105940219335426</v>
      </c>
    </row>
    <row r="23" spans="1:11">
      <c r="A23" t="s">
        <v>118</v>
      </c>
      <c r="B23">
        <v>0</v>
      </c>
      <c r="C23">
        <v>5</v>
      </c>
      <c r="D23">
        <v>2.36</v>
      </c>
      <c r="E23">
        <v>7.8799999999999995E-2</v>
      </c>
      <c r="F23">
        <v>4.5</v>
      </c>
      <c r="G23">
        <v>3.9399999999999998E-2</v>
      </c>
      <c r="H23">
        <v>7.6</v>
      </c>
      <c r="I23">
        <v>19.399999999999999</v>
      </c>
      <c r="J23">
        <v>161.315584</v>
      </c>
      <c r="K23">
        <v>0.12026116460019137</v>
      </c>
    </row>
    <row r="24" spans="1:11">
      <c r="A24" t="s">
        <v>119</v>
      </c>
      <c r="B24">
        <v>0</v>
      </c>
      <c r="C24">
        <v>1</v>
      </c>
      <c r="D24">
        <v>2.4900000000000002</v>
      </c>
      <c r="E24">
        <v>8.9099999999999999E-2</v>
      </c>
      <c r="F24">
        <v>4.0999999999999996</v>
      </c>
      <c r="G24">
        <v>4.4499999999999998E-2</v>
      </c>
      <c r="H24">
        <v>6.3</v>
      </c>
      <c r="I24">
        <v>24.5</v>
      </c>
      <c r="J24">
        <v>153.60067800000002</v>
      </c>
      <c r="K24">
        <v>0.15950450427048243</v>
      </c>
    </row>
    <row r="25" spans="1:11">
      <c r="A25" t="s">
        <v>119</v>
      </c>
      <c r="B25">
        <v>0</v>
      </c>
      <c r="C25">
        <v>2</v>
      </c>
      <c r="D25">
        <v>3.14</v>
      </c>
      <c r="E25">
        <v>8.2600000000000007E-2</v>
      </c>
      <c r="F25">
        <v>3.3</v>
      </c>
      <c r="G25">
        <v>4.1300000000000003E-2</v>
      </c>
      <c r="H25">
        <v>5.2</v>
      </c>
      <c r="I25">
        <v>24.1</v>
      </c>
      <c r="J25">
        <v>155.31585899999999</v>
      </c>
      <c r="K25">
        <v>0.15516767028922657</v>
      </c>
    </row>
    <row r="26" spans="1:11">
      <c r="A26" t="s">
        <v>119</v>
      </c>
      <c r="B26">
        <v>0</v>
      </c>
      <c r="C26">
        <v>3</v>
      </c>
      <c r="D26">
        <v>2.77</v>
      </c>
      <c r="E26">
        <v>7.6700000000000004E-2</v>
      </c>
      <c r="F26">
        <v>3.3</v>
      </c>
      <c r="G26">
        <v>3.8300000000000001E-2</v>
      </c>
      <c r="H26">
        <v>6.1</v>
      </c>
      <c r="I26">
        <v>24.1</v>
      </c>
      <c r="J26">
        <v>159.17569199999997</v>
      </c>
      <c r="K26">
        <v>0.15140502734550704</v>
      </c>
    </row>
    <row r="27" spans="1:11">
      <c r="A27" t="s">
        <v>119</v>
      </c>
      <c r="B27">
        <v>0</v>
      </c>
      <c r="C27">
        <v>4</v>
      </c>
      <c r="D27">
        <v>3.44</v>
      </c>
      <c r="E27">
        <v>9.9900000000000003E-2</v>
      </c>
      <c r="F27">
        <v>3.6</v>
      </c>
      <c r="G27">
        <v>4.99E-2</v>
      </c>
      <c r="H27">
        <v>4.4000000000000004</v>
      </c>
      <c r="I27">
        <v>24.5</v>
      </c>
      <c r="J27">
        <v>154.52932000000001</v>
      </c>
      <c r="K27">
        <v>0.15854596396334364</v>
      </c>
    </row>
    <row r="28" spans="1:11">
      <c r="A28" t="s">
        <v>119</v>
      </c>
      <c r="B28">
        <v>0</v>
      </c>
      <c r="C28">
        <v>5</v>
      </c>
      <c r="D28">
        <v>1.63</v>
      </c>
      <c r="E28">
        <v>8.7499999999999994E-2</v>
      </c>
      <c r="F28">
        <v>3.5</v>
      </c>
      <c r="G28">
        <v>4.3700000000000003E-2</v>
      </c>
      <c r="H28">
        <v>4.2</v>
      </c>
      <c r="I28">
        <v>24.8</v>
      </c>
      <c r="J28">
        <v>158.37213600000001</v>
      </c>
      <c r="K28">
        <v>0.15659320273359198</v>
      </c>
    </row>
    <row r="29" spans="1:11">
      <c r="A29" t="s">
        <v>120</v>
      </c>
      <c r="B29">
        <v>0</v>
      </c>
      <c r="C29">
        <v>1</v>
      </c>
      <c r="D29">
        <v>0.92800000000000005</v>
      </c>
      <c r="E29">
        <v>1.9199999999999998E-2</v>
      </c>
      <c r="F29">
        <v>1.9</v>
      </c>
      <c r="G29">
        <v>9.5999999999999992E-3</v>
      </c>
      <c r="H29">
        <v>5.9</v>
      </c>
      <c r="I29">
        <v>18</v>
      </c>
      <c r="J29">
        <v>152.28508199999999</v>
      </c>
      <c r="K29">
        <v>0.1181993650566508</v>
      </c>
    </row>
    <row r="30" spans="1:11">
      <c r="A30" t="s">
        <v>120</v>
      </c>
      <c r="B30">
        <v>0</v>
      </c>
      <c r="C30">
        <v>2</v>
      </c>
      <c r="D30">
        <v>1.46</v>
      </c>
      <c r="E30">
        <v>3.4599999999999999E-2</v>
      </c>
      <c r="F30">
        <v>2.6</v>
      </c>
      <c r="G30">
        <v>1.72E-2</v>
      </c>
      <c r="H30">
        <v>3.9</v>
      </c>
      <c r="I30">
        <v>18.100000000000001</v>
      </c>
      <c r="J30">
        <v>155.71804500000002</v>
      </c>
      <c r="K30">
        <v>0.11623572592373607</v>
      </c>
    </row>
    <row r="31" spans="1:11">
      <c r="A31" t="s">
        <v>120</v>
      </c>
      <c r="B31">
        <v>0</v>
      </c>
      <c r="C31">
        <v>3</v>
      </c>
      <c r="D31">
        <v>1.1499999999999999</v>
      </c>
      <c r="E31">
        <v>4.2599999999999999E-2</v>
      </c>
      <c r="F31">
        <v>4.4000000000000004</v>
      </c>
      <c r="G31">
        <v>2.1299999999999999E-2</v>
      </c>
      <c r="H31">
        <v>7.7</v>
      </c>
      <c r="I31">
        <v>18.899999999999999</v>
      </c>
      <c r="J31">
        <v>166.97338800000003</v>
      </c>
      <c r="K31">
        <v>0.11319169016322526</v>
      </c>
    </row>
    <row r="32" spans="1:11">
      <c r="A32" t="s">
        <v>120</v>
      </c>
      <c r="B32">
        <v>0</v>
      </c>
      <c r="C32">
        <v>4</v>
      </c>
      <c r="D32">
        <v>0.54100000000000004</v>
      </c>
      <c r="E32">
        <v>1.2E-2</v>
      </c>
      <c r="F32">
        <v>1.1000000000000001</v>
      </c>
      <c r="G32">
        <v>6.0099999999999997E-3</v>
      </c>
      <c r="H32">
        <v>3.3</v>
      </c>
      <c r="I32">
        <v>19</v>
      </c>
      <c r="J32">
        <v>170.525385</v>
      </c>
      <c r="K32">
        <v>0.11142036125589161</v>
      </c>
    </row>
    <row r="33" spans="1:11">
      <c r="A33" t="s">
        <v>116</v>
      </c>
      <c r="B33">
        <v>0</v>
      </c>
      <c r="C33">
        <v>1</v>
      </c>
      <c r="D33">
        <v>4.3899999999999997</v>
      </c>
      <c r="E33">
        <v>9.5899999999999999E-2</v>
      </c>
      <c r="F33">
        <v>3</v>
      </c>
      <c r="G33">
        <v>4.7899999999999998E-2</v>
      </c>
      <c r="H33">
        <v>3.7</v>
      </c>
      <c r="I33">
        <v>31.5</v>
      </c>
      <c r="J33">
        <v>163.44514559999999</v>
      </c>
      <c r="K33">
        <v>0.19272520994346376</v>
      </c>
    </row>
    <row r="34" spans="1:11">
      <c r="A34" t="s">
        <v>116</v>
      </c>
      <c r="B34">
        <v>0</v>
      </c>
      <c r="C34">
        <v>2</v>
      </c>
      <c r="D34">
        <v>4.01</v>
      </c>
      <c r="E34">
        <v>0.105</v>
      </c>
      <c r="F34">
        <v>3.5</v>
      </c>
      <c r="G34">
        <v>5.1999999999999998E-2</v>
      </c>
      <c r="H34">
        <v>4.2</v>
      </c>
      <c r="I34">
        <v>31.1</v>
      </c>
      <c r="J34">
        <v>163.38173279999998</v>
      </c>
      <c r="K34">
        <v>0.19035175761093412</v>
      </c>
    </row>
    <row r="35" spans="1:11">
      <c r="A35" t="s">
        <v>116</v>
      </c>
      <c r="B35">
        <v>0</v>
      </c>
      <c r="C35">
        <v>3</v>
      </c>
      <c r="D35">
        <v>4.13</v>
      </c>
      <c r="E35">
        <v>8.4099999999999994E-2</v>
      </c>
      <c r="F35">
        <v>2.6</v>
      </c>
      <c r="G35">
        <v>4.19E-2</v>
      </c>
      <c r="H35">
        <v>2.9</v>
      </c>
      <c r="I35">
        <v>31.1</v>
      </c>
      <c r="J35">
        <v>161.58776040000001</v>
      </c>
      <c r="K35">
        <v>0.19246507237314245</v>
      </c>
    </row>
    <row r="36" spans="1:11">
      <c r="A36" t="s">
        <v>116</v>
      </c>
      <c r="B36">
        <v>0</v>
      </c>
      <c r="C36">
        <v>4</v>
      </c>
      <c r="D36">
        <v>4.01</v>
      </c>
      <c r="E36">
        <v>8.4099999999999994E-2</v>
      </c>
      <c r="F36">
        <v>2.6</v>
      </c>
      <c r="G36">
        <v>4.2000000000000003E-2</v>
      </c>
      <c r="H36">
        <v>3.5</v>
      </c>
      <c r="I36">
        <v>31.5</v>
      </c>
      <c r="J36">
        <v>161.48219760000001</v>
      </c>
      <c r="K36">
        <v>0.19506794227576205</v>
      </c>
    </row>
    <row r="37" spans="1:11">
      <c r="A37" t="s">
        <v>116</v>
      </c>
      <c r="B37">
        <v>0</v>
      </c>
      <c r="C37">
        <v>5</v>
      </c>
      <c r="D37">
        <v>3.97</v>
      </c>
      <c r="E37">
        <v>0.107</v>
      </c>
      <c r="F37">
        <v>3.9</v>
      </c>
      <c r="G37">
        <v>5.3499999999999999E-2</v>
      </c>
      <c r="H37">
        <v>5.0999999999999996</v>
      </c>
      <c r="I37">
        <v>31.1</v>
      </c>
      <c r="J37">
        <v>162.33289499999998</v>
      </c>
      <c r="K37">
        <v>0.19158162613929855</v>
      </c>
    </row>
    <row r="38" spans="1:11">
      <c r="A38" t="s">
        <v>116</v>
      </c>
      <c r="B38">
        <v>2</v>
      </c>
      <c r="C38">
        <v>1</v>
      </c>
      <c r="D38">
        <v>4.59</v>
      </c>
      <c r="E38">
        <v>0.13</v>
      </c>
      <c r="F38">
        <v>4.2</v>
      </c>
      <c r="G38">
        <v>6.5199999999999994E-2</v>
      </c>
      <c r="H38">
        <v>4.5</v>
      </c>
      <c r="I38">
        <v>29.3</v>
      </c>
      <c r="J38">
        <v>159.13157919999998</v>
      </c>
      <c r="K38">
        <v>0.18412435889406423</v>
      </c>
    </row>
    <row r="39" spans="1:11">
      <c r="A39" t="s">
        <v>116</v>
      </c>
      <c r="B39">
        <v>2</v>
      </c>
      <c r="C39">
        <v>2</v>
      </c>
      <c r="D39">
        <v>3.51</v>
      </c>
      <c r="E39">
        <v>8.7800000000000003E-2</v>
      </c>
      <c r="F39">
        <v>3.3</v>
      </c>
      <c r="G39">
        <v>4.3799999999999999E-2</v>
      </c>
      <c r="H39">
        <v>3.6</v>
      </c>
      <c r="I39">
        <v>30.3</v>
      </c>
      <c r="J39">
        <v>161.65815600000002</v>
      </c>
      <c r="K39">
        <v>0.18743254748000465</v>
      </c>
    </row>
    <row r="40" spans="1:11">
      <c r="A40" t="s">
        <v>116</v>
      </c>
      <c r="B40">
        <v>2</v>
      </c>
      <c r="C40">
        <v>3</v>
      </c>
      <c r="D40">
        <v>3.26</v>
      </c>
      <c r="E40">
        <v>9.9099999999999994E-2</v>
      </c>
      <c r="F40">
        <v>3.7</v>
      </c>
      <c r="G40">
        <v>4.9500000000000002E-2</v>
      </c>
      <c r="H40">
        <v>4.5</v>
      </c>
      <c r="I40">
        <v>30.2</v>
      </c>
      <c r="J40">
        <v>162.64048320000001</v>
      </c>
      <c r="K40">
        <v>0.18568562639390879</v>
      </c>
    </row>
    <row r="41" spans="1:11">
      <c r="A41" t="s">
        <v>116</v>
      </c>
      <c r="B41">
        <v>2</v>
      </c>
      <c r="C41">
        <v>4</v>
      </c>
      <c r="D41">
        <v>3.74</v>
      </c>
      <c r="E41">
        <v>0.125</v>
      </c>
      <c r="F41">
        <v>5.5</v>
      </c>
      <c r="G41">
        <v>6.2100000000000002E-2</v>
      </c>
      <c r="H41">
        <v>6</v>
      </c>
      <c r="I41">
        <v>30</v>
      </c>
      <c r="J41">
        <v>160.32367680000002</v>
      </c>
      <c r="K41">
        <v>0.18712145703484762</v>
      </c>
    </row>
    <row r="42" spans="1:11">
      <c r="A42" t="s">
        <v>116</v>
      </c>
      <c r="B42">
        <v>2</v>
      </c>
      <c r="C42">
        <v>5</v>
      </c>
      <c r="D42">
        <v>3.25</v>
      </c>
      <c r="E42">
        <v>8.3299999999999999E-2</v>
      </c>
      <c r="F42">
        <v>3.4</v>
      </c>
      <c r="G42">
        <v>4.1599999999999998E-2</v>
      </c>
      <c r="H42">
        <v>3.8</v>
      </c>
      <c r="I42">
        <v>29.1</v>
      </c>
      <c r="J42">
        <v>162.08070839999996</v>
      </c>
      <c r="K42">
        <v>0.17954018271060326</v>
      </c>
    </row>
    <row r="43" spans="1:11">
      <c r="A43" t="s">
        <v>113</v>
      </c>
      <c r="B43">
        <v>2</v>
      </c>
      <c r="C43">
        <v>1</v>
      </c>
      <c r="D43">
        <v>3.9</v>
      </c>
      <c r="E43">
        <v>0.14599999999999999</v>
      </c>
      <c r="F43">
        <v>6.3</v>
      </c>
      <c r="G43">
        <v>7.3099999999999998E-2</v>
      </c>
      <c r="H43">
        <v>8.6</v>
      </c>
      <c r="I43">
        <v>23.7</v>
      </c>
      <c r="J43">
        <v>170.00479440000001</v>
      </c>
      <c r="K43">
        <v>0.13940783307697113</v>
      </c>
    </row>
    <row r="44" spans="1:11">
      <c r="A44" t="s">
        <v>113</v>
      </c>
      <c r="B44">
        <v>2</v>
      </c>
      <c r="C44">
        <v>2</v>
      </c>
      <c r="D44">
        <v>4.26</v>
      </c>
      <c r="E44">
        <v>0.17899999999999999</v>
      </c>
      <c r="F44">
        <v>6.4</v>
      </c>
      <c r="G44">
        <v>8.9599999999999999E-2</v>
      </c>
      <c r="H44">
        <v>8.3000000000000007</v>
      </c>
      <c r="I44">
        <v>24.7</v>
      </c>
      <c r="J44">
        <v>176.94029</v>
      </c>
      <c r="K44">
        <v>0.13959511426142682</v>
      </c>
    </row>
    <row r="45" spans="1:11">
      <c r="A45" t="s">
        <v>113</v>
      </c>
      <c r="B45">
        <v>2</v>
      </c>
      <c r="C45">
        <v>3</v>
      </c>
      <c r="D45">
        <v>3.25</v>
      </c>
      <c r="E45">
        <v>0.112</v>
      </c>
      <c r="F45">
        <v>5.4</v>
      </c>
      <c r="G45">
        <v>5.5899999999999998E-2</v>
      </c>
      <c r="H45">
        <v>6.4</v>
      </c>
      <c r="I45">
        <v>24.6</v>
      </c>
      <c r="J45">
        <v>172.77358959999998</v>
      </c>
      <c r="K45">
        <v>0.14238287261932309</v>
      </c>
    </row>
    <row r="46" spans="1:11">
      <c r="A46" t="s">
        <v>113</v>
      </c>
      <c r="B46">
        <v>2</v>
      </c>
      <c r="C46">
        <v>4</v>
      </c>
      <c r="D46">
        <v>2.93</v>
      </c>
      <c r="E46">
        <v>7.7899999999999997E-2</v>
      </c>
      <c r="F46">
        <v>3.3</v>
      </c>
      <c r="G46">
        <v>3.8899999999999997E-2</v>
      </c>
      <c r="H46">
        <v>5.2</v>
      </c>
      <c r="I46">
        <v>24.9</v>
      </c>
      <c r="J46">
        <v>174.00392400000001</v>
      </c>
      <c r="K46">
        <v>0.1431002211191513</v>
      </c>
    </row>
    <row r="47" spans="1:11">
      <c r="A47" t="s">
        <v>113</v>
      </c>
      <c r="B47">
        <v>2</v>
      </c>
      <c r="C47">
        <v>5</v>
      </c>
      <c r="D47">
        <v>4.2300000000000004</v>
      </c>
      <c r="E47">
        <v>0.108</v>
      </c>
      <c r="F47">
        <v>3.7</v>
      </c>
      <c r="G47">
        <v>5.3900000000000003E-2</v>
      </c>
      <c r="H47">
        <v>5.7</v>
      </c>
      <c r="I47">
        <v>25</v>
      </c>
      <c r="J47">
        <v>174.37970720000001</v>
      </c>
      <c r="K47">
        <v>0.14336530552449511</v>
      </c>
    </row>
    <row r="48" spans="1:11">
      <c r="A48" t="s">
        <v>113</v>
      </c>
      <c r="B48">
        <v>4</v>
      </c>
      <c r="C48">
        <v>1</v>
      </c>
      <c r="D48">
        <v>2.65</v>
      </c>
      <c r="E48">
        <v>0.16600000000000001</v>
      </c>
      <c r="F48">
        <v>8.6999999999999993</v>
      </c>
      <c r="G48">
        <v>8.2799999999999999E-2</v>
      </c>
      <c r="H48">
        <v>10.4</v>
      </c>
      <c r="I48">
        <v>23.1</v>
      </c>
      <c r="J48">
        <v>172.6056528</v>
      </c>
      <c r="K48">
        <v>0.13383107462167659</v>
      </c>
    </row>
    <row r="49" spans="1:11">
      <c r="A49" t="s">
        <v>113</v>
      </c>
      <c r="B49">
        <v>4</v>
      </c>
      <c r="C49">
        <v>2</v>
      </c>
      <c r="D49">
        <v>3.46</v>
      </c>
      <c r="E49">
        <v>0.13200000000000001</v>
      </c>
      <c r="F49">
        <v>6.9</v>
      </c>
      <c r="G49">
        <v>6.6000000000000003E-2</v>
      </c>
      <c r="H49">
        <v>8.9</v>
      </c>
      <c r="I49">
        <v>25.2</v>
      </c>
      <c r="J49">
        <v>177.99423999999999</v>
      </c>
      <c r="K49">
        <v>0.14157761509585928</v>
      </c>
    </row>
    <row r="50" spans="1:11">
      <c r="A50" t="s">
        <v>113</v>
      </c>
      <c r="B50">
        <v>4</v>
      </c>
      <c r="C50">
        <v>3</v>
      </c>
      <c r="D50">
        <v>2.94</v>
      </c>
      <c r="E50">
        <v>0.14299999999999999</v>
      </c>
      <c r="F50">
        <v>7.2</v>
      </c>
      <c r="G50">
        <v>7.1300000000000002E-2</v>
      </c>
      <c r="H50">
        <v>9.1</v>
      </c>
      <c r="I50">
        <v>25.9</v>
      </c>
      <c r="J50">
        <v>177.22955250000001</v>
      </c>
      <c r="K50">
        <v>0.14613815605047017</v>
      </c>
    </row>
    <row r="51" spans="1:11">
      <c r="A51" t="s">
        <v>113</v>
      </c>
      <c r="B51">
        <v>4</v>
      </c>
      <c r="C51">
        <v>4</v>
      </c>
      <c r="D51">
        <v>3.34</v>
      </c>
      <c r="E51">
        <v>0.11799999999999999</v>
      </c>
      <c r="F51">
        <v>5.2</v>
      </c>
      <c r="G51">
        <v>5.8999999999999997E-2</v>
      </c>
      <c r="H51">
        <v>5.7</v>
      </c>
      <c r="I51">
        <v>25.5</v>
      </c>
      <c r="J51">
        <v>179.02493440000001</v>
      </c>
      <c r="K51">
        <v>0.14243825914788324</v>
      </c>
    </row>
    <row r="52" spans="1:11">
      <c r="A52" t="s">
        <v>113</v>
      </c>
      <c r="B52">
        <v>4</v>
      </c>
      <c r="C52">
        <v>5</v>
      </c>
      <c r="D52">
        <v>3.02</v>
      </c>
      <c r="E52">
        <v>0.10299999999999999</v>
      </c>
      <c r="F52">
        <v>4</v>
      </c>
      <c r="G52">
        <v>5.1400000000000001E-2</v>
      </c>
      <c r="H52">
        <v>5</v>
      </c>
      <c r="I52">
        <v>25.2</v>
      </c>
      <c r="J52">
        <v>177.35340479999999</v>
      </c>
      <c r="K52">
        <v>0.14208918079930766</v>
      </c>
    </row>
    <row r="53" spans="1:11">
      <c r="A53" t="s">
        <v>114</v>
      </c>
      <c r="B53">
        <v>2</v>
      </c>
      <c r="C53">
        <v>1</v>
      </c>
      <c r="D53">
        <v>3.28</v>
      </c>
      <c r="E53">
        <v>0.14099999999999999</v>
      </c>
      <c r="F53">
        <v>8.5</v>
      </c>
      <c r="G53">
        <v>7.0400000000000004E-2</v>
      </c>
      <c r="H53">
        <v>10.9</v>
      </c>
      <c r="I53">
        <v>31.8</v>
      </c>
      <c r="J53">
        <v>164.16750680000001</v>
      </c>
      <c r="K53">
        <v>0.19370459246080235</v>
      </c>
    </row>
    <row r="54" spans="1:11">
      <c r="A54" t="s">
        <v>114</v>
      </c>
      <c r="B54">
        <v>2</v>
      </c>
      <c r="C54">
        <v>2</v>
      </c>
      <c r="D54">
        <v>5.61</v>
      </c>
      <c r="E54">
        <v>0.11899999999999999</v>
      </c>
      <c r="F54">
        <v>3.2</v>
      </c>
      <c r="G54">
        <v>5.96E-2</v>
      </c>
      <c r="H54">
        <v>5.7</v>
      </c>
      <c r="I54">
        <v>35.799999999999997</v>
      </c>
      <c r="J54">
        <v>169.80450760000002</v>
      </c>
      <c r="K54">
        <v>0.21083068115207085</v>
      </c>
    </row>
    <row r="55" spans="1:11">
      <c r="A55" t="s">
        <v>114</v>
      </c>
      <c r="B55">
        <v>2</v>
      </c>
      <c r="C55">
        <v>3</v>
      </c>
      <c r="D55">
        <v>4.62</v>
      </c>
      <c r="E55">
        <v>7.5600000000000001E-2</v>
      </c>
      <c r="F55">
        <v>2.5</v>
      </c>
      <c r="G55">
        <v>3.78E-2</v>
      </c>
      <c r="H55">
        <v>4.5</v>
      </c>
      <c r="I55">
        <v>36.799999999999997</v>
      </c>
      <c r="J55">
        <v>175.1166312</v>
      </c>
      <c r="K55">
        <v>0.21014565976872215</v>
      </c>
    </row>
    <row r="56" spans="1:11">
      <c r="A56" t="s">
        <v>114</v>
      </c>
      <c r="B56">
        <v>2</v>
      </c>
      <c r="C56">
        <v>4</v>
      </c>
      <c r="D56">
        <v>4.13</v>
      </c>
      <c r="E56">
        <v>8.1799999999999998E-2</v>
      </c>
      <c r="F56">
        <v>2.9</v>
      </c>
      <c r="G56">
        <v>4.0899999999999999E-2</v>
      </c>
      <c r="H56">
        <v>4.5999999999999996</v>
      </c>
      <c r="I56">
        <v>36.6</v>
      </c>
      <c r="J56">
        <v>173.97260999999997</v>
      </c>
      <c r="K56">
        <v>0.21037794397635357</v>
      </c>
    </row>
    <row r="57" spans="1:11" ht="15.75" customHeight="1">
      <c r="A57" t="s">
        <v>114</v>
      </c>
      <c r="B57">
        <v>2</v>
      </c>
      <c r="C57">
        <v>5</v>
      </c>
      <c r="D57">
        <v>3.41</v>
      </c>
      <c r="E57">
        <v>0.114</v>
      </c>
      <c r="F57">
        <v>3.7</v>
      </c>
      <c r="G57">
        <v>5.7000000000000002E-2</v>
      </c>
      <c r="H57">
        <v>5.3</v>
      </c>
      <c r="I57">
        <v>35.799999999999997</v>
      </c>
      <c r="J57">
        <v>170.44896959999997</v>
      </c>
      <c r="K57">
        <v>0.21003353721652537</v>
      </c>
    </row>
    <row r="58" spans="1:11">
      <c r="A58" t="s">
        <v>114</v>
      </c>
      <c r="B58">
        <v>4</v>
      </c>
      <c r="C58">
        <v>1</v>
      </c>
      <c r="D58">
        <v>2.04</v>
      </c>
      <c r="E58">
        <v>9.6600000000000005E-2</v>
      </c>
      <c r="F58">
        <v>7</v>
      </c>
      <c r="G58">
        <v>4.8300000000000003E-2</v>
      </c>
      <c r="H58">
        <v>8.8000000000000007</v>
      </c>
      <c r="I58">
        <v>27.7</v>
      </c>
      <c r="J58">
        <v>162.4079912</v>
      </c>
      <c r="K58">
        <v>0.17055810982778782</v>
      </c>
    </row>
    <row r="59" spans="1:11">
      <c r="A59" t="s">
        <v>114</v>
      </c>
      <c r="B59">
        <v>4</v>
      </c>
      <c r="C59">
        <v>2</v>
      </c>
      <c r="D59">
        <v>2.66</v>
      </c>
      <c r="E59">
        <v>9.5299999999999996E-2</v>
      </c>
      <c r="F59">
        <v>6.1</v>
      </c>
      <c r="G59">
        <v>4.7600000000000003E-2</v>
      </c>
      <c r="H59">
        <v>7.5</v>
      </c>
      <c r="I59">
        <v>30.9</v>
      </c>
      <c r="J59">
        <v>169.0359</v>
      </c>
      <c r="K59">
        <v>0.1828014049086614</v>
      </c>
    </row>
    <row r="60" spans="1:11">
      <c r="A60" t="s">
        <v>114</v>
      </c>
      <c r="B60">
        <v>4</v>
      </c>
      <c r="C60">
        <v>3</v>
      </c>
      <c r="D60">
        <v>1.95</v>
      </c>
      <c r="E60">
        <v>7.3400000000000007E-2</v>
      </c>
      <c r="F60">
        <v>5.3</v>
      </c>
      <c r="G60">
        <v>3.6700000000000003E-2</v>
      </c>
      <c r="H60">
        <v>7.2</v>
      </c>
      <c r="I60">
        <v>30.6</v>
      </c>
      <c r="J60">
        <v>166.429081</v>
      </c>
      <c r="K60">
        <v>0.18386209799476091</v>
      </c>
    </row>
    <row r="61" spans="1:11">
      <c r="A61" t="s">
        <v>114</v>
      </c>
      <c r="B61">
        <v>4</v>
      </c>
      <c r="C61">
        <v>4</v>
      </c>
      <c r="D61">
        <v>2.21</v>
      </c>
      <c r="E61">
        <v>6.4000000000000001E-2</v>
      </c>
      <c r="F61">
        <v>4</v>
      </c>
      <c r="G61">
        <v>3.2000000000000001E-2</v>
      </c>
      <c r="H61">
        <v>5.6</v>
      </c>
      <c r="I61">
        <v>30.6</v>
      </c>
      <c r="J61">
        <v>169.1160744</v>
      </c>
      <c r="K61">
        <v>0.18094081303959123</v>
      </c>
    </row>
    <row r="62" spans="1:11">
      <c r="A62" t="s">
        <v>114</v>
      </c>
      <c r="B62">
        <v>4</v>
      </c>
      <c r="C62">
        <v>5</v>
      </c>
      <c r="D62">
        <v>2.2999999999999998</v>
      </c>
      <c r="E62">
        <v>8.09E-2</v>
      </c>
      <c r="F62">
        <v>6.4</v>
      </c>
      <c r="G62">
        <v>4.0399999999999998E-2</v>
      </c>
      <c r="H62">
        <v>7.7</v>
      </c>
      <c r="I62">
        <v>29.2</v>
      </c>
      <c r="J62">
        <v>164.4255</v>
      </c>
      <c r="K62">
        <v>0.17758802618815209</v>
      </c>
    </row>
    <row r="63" spans="1:11">
      <c r="A63" t="s">
        <v>115</v>
      </c>
      <c r="B63">
        <v>2</v>
      </c>
      <c r="C63">
        <v>1</v>
      </c>
      <c r="D63">
        <v>1.17</v>
      </c>
      <c r="E63">
        <v>4.4499999999999998E-2</v>
      </c>
      <c r="F63">
        <v>4.8</v>
      </c>
      <c r="G63">
        <v>2.6200000000000001E-2</v>
      </c>
      <c r="H63">
        <v>5.6</v>
      </c>
      <c r="I63">
        <v>29.1</v>
      </c>
      <c r="J63">
        <v>161.30457720000001</v>
      </c>
      <c r="K63">
        <v>0.18040405613486832</v>
      </c>
    </row>
    <row r="64" spans="1:11">
      <c r="A64" t="s">
        <v>115</v>
      </c>
      <c r="B64">
        <v>2</v>
      </c>
      <c r="C64">
        <v>2</v>
      </c>
      <c r="D64">
        <v>1.32</v>
      </c>
      <c r="E64">
        <v>6.25E-2</v>
      </c>
      <c r="F64">
        <v>5.0999999999999996</v>
      </c>
      <c r="G64">
        <v>3.1300000000000001E-2</v>
      </c>
      <c r="H64">
        <v>6</v>
      </c>
      <c r="I64">
        <v>31.2</v>
      </c>
      <c r="J64">
        <v>162.90144480000001</v>
      </c>
      <c r="K64">
        <v>0.19152684642119269</v>
      </c>
    </row>
    <row r="65" spans="1:11">
      <c r="A65" t="s">
        <v>115</v>
      </c>
      <c r="B65">
        <v>2</v>
      </c>
      <c r="C65">
        <v>3</v>
      </c>
      <c r="D65">
        <v>1.35</v>
      </c>
      <c r="E65">
        <v>6.3100000000000003E-2</v>
      </c>
      <c r="F65">
        <v>5.8</v>
      </c>
      <c r="G65">
        <v>3.09E-2</v>
      </c>
      <c r="H65">
        <v>6.1</v>
      </c>
      <c r="I65">
        <v>31.7</v>
      </c>
      <c r="J65">
        <v>168.16003750000002</v>
      </c>
      <c r="K65">
        <v>0.18851089992174863</v>
      </c>
    </row>
    <row r="66" spans="1:11">
      <c r="A66" t="s">
        <v>115</v>
      </c>
      <c r="B66">
        <v>2</v>
      </c>
      <c r="C66">
        <v>4</v>
      </c>
      <c r="D66">
        <v>1.51</v>
      </c>
      <c r="E66">
        <v>7.3800000000000004E-2</v>
      </c>
      <c r="F66">
        <v>6.5</v>
      </c>
      <c r="G66">
        <v>5.28E-2</v>
      </c>
      <c r="H66">
        <v>6.9</v>
      </c>
      <c r="I66">
        <v>32.299999999999997</v>
      </c>
      <c r="J66">
        <v>167.7714264</v>
      </c>
      <c r="K66">
        <v>0.19252384445364648</v>
      </c>
    </row>
    <row r="67" spans="1:11">
      <c r="A67" t="s">
        <v>115</v>
      </c>
      <c r="B67">
        <v>2</v>
      </c>
      <c r="C67">
        <v>5</v>
      </c>
      <c r="D67">
        <v>1.57</v>
      </c>
      <c r="E67">
        <v>6.6100000000000006E-2</v>
      </c>
      <c r="F67">
        <v>5.2</v>
      </c>
      <c r="G67">
        <v>3.27E-2</v>
      </c>
      <c r="H67">
        <v>5.8</v>
      </c>
      <c r="I67">
        <v>32.6</v>
      </c>
      <c r="J67">
        <v>170.62579199999999</v>
      </c>
      <c r="K67">
        <v>0.19106138420151628</v>
      </c>
    </row>
    <row r="68" spans="1:11">
      <c r="A68" t="s">
        <v>115</v>
      </c>
      <c r="B68">
        <v>4</v>
      </c>
      <c r="C68">
        <v>1</v>
      </c>
      <c r="D68">
        <v>1.75</v>
      </c>
      <c r="E68">
        <v>9.5299999999999996E-2</v>
      </c>
      <c r="F68">
        <v>6.8</v>
      </c>
      <c r="G68">
        <v>4.65E-2</v>
      </c>
      <c r="H68">
        <v>7.3</v>
      </c>
      <c r="I68">
        <v>34.4</v>
      </c>
      <c r="J68">
        <v>176.62470000000002</v>
      </c>
      <c r="K68">
        <v>0.19476324659008618</v>
      </c>
    </row>
    <row r="69" spans="1:11">
      <c r="A69" t="s">
        <v>115</v>
      </c>
      <c r="B69">
        <v>4</v>
      </c>
      <c r="C69">
        <v>2</v>
      </c>
      <c r="D69">
        <v>1.7</v>
      </c>
      <c r="E69">
        <v>6.1899999999999997E-2</v>
      </c>
      <c r="F69">
        <v>4.8</v>
      </c>
      <c r="G69">
        <v>3.0599999999999999E-2</v>
      </c>
      <c r="H69">
        <v>5.4</v>
      </c>
      <c r="I69">
        <v>34.200000000000003</v>
      </c>
      <c r="J69">
        <v>175.06794239999999</v>
      </c>
      <c r="K69">
        <v>0.19535272723922759</v>
      </c>
    </row>
    <row r="70" spans="1:11">
      <c r="A70" t="s">
        <v>115</v>
      </c>
      <c r="B70">
        <v>4</v>
      </c>
      <c r="C70">
        <v>3</v>
      </c>
      <c r="D70">
        <v>1.65</v>
      </c>
      <c r="E70">
        <v>5.4100000000000002E-2</v>
      </c>
      <c r="F70">
        <v>3.6</v>
      </c>
      <c r="G70">
        <v>2.6599999999999999E-2</v>
      </c>
      <c r="H70">
        <v>3.9</v>
      </c>
      <c r="I70">
        <v>34.6</v>
      </c>
      <c r="J70">
        <v>177.32258250000001</v>
      </c>
      <c r="K70">
        <v>0.19512461138445239</v>
      </c>
    </row>
    <row r="71" spans="1:11">
      <c r="A71" t="s">
        <v>115</v>
      </c>
      <c r="B71">
        <v>4</v>
      </c>
      <c r="C71">
        <v>4</v>
      </c>
      <c r="D71">
        <v>1.68</v>
      </c>
      <c r="E71">
        <v>4.6600000000000003E-2</v>
      </c>
      <c r="F71">
        <v>3</v>
      </c>
      <c r="G71">
        <v>2.3199999999999998E-2</v>
      </c>
      <c r="H71">
        <v>3.3</v>
      </c>
      <c r="I71">
        <v>35.200000000000003</v>
      </c>
      <c r="J71">
        <v>175.91574</v>
      </c>
      <c r="K71">
        <v>0.20009579586226908</v>
      </c>
    </row>
    <row r="72" spans="1:11">
      <c r="A72" t="s">
        <v>115</v>
      </c>
      <c r="B72">
        <v>4</v>
      </c>
      <c r="C72">
        <v>5</v>
      </c>
      <c r="D72">
        <v>2.5099999999999998</v>
      </c>
      <c r="E72">
        <v>7.8E-2</v>
      </c>
      <c r="F72">
        <v>4.3</v>
      </c>
      <c r="G72">
        <v>3.8800000000000001E-2</v>
      </c>
      <c r="H72">
        <v>4.8</v>
      </c>
      <c r="I72">
        <v>35.299999999999997</v>
      </c>
      <c r="J72">
        <v>168.08400000000003</v>
      </c>
      <c r="K72">
        <v>0.21001404059874818</v>
      </c>
    </row>
    <row r="73" spans="1:11">
      <c r="A73" t="s">
        <v>117</v>
      </c>
      <c r="B73">
        <v>2</v>
      </c>
      <c r="C73">
        <v>1</v>
      </c>
      <c r="D73">
        <v>1.04</v>
      </c>
      <c r="E73">
        <v>3.7100000000000001E-2</v>
      </c>
      <c r="F73">
        <v>4.4000000000000004</v>
      </c>
      <c r="G73">
        <v>1.8499999999999999E-2</v>
      </c>
      <c r="H73">
        <v>6.7</v>
      </c>
      <c r="I73">
        <v>17.399999999999999</v>
      </c>
      <c r="J73">
        <v>163.00392719999999</v>
      </c>
      <c r="K73">
        <v>0.10674589440198469</v>
      </c>
    </row>
    <row r="74" spans="1:11">
      <c r="A74" t="s">
        <v>117</v>
      </c>
      <c r="B74">
        <v>2</v>
      </c>
      <c r="C74">
        <v>2</v>
      </c>
      <c r="D74">
        <v>1.1299999999999999</v>
      </c>
      <c r="E74">
        <v>4.0500000000000001E-2</v>
      </c>
      <c r="F74">
        <v>4.7</v>
      </c>
      <c r="G74">
        <v>2.0199999999999999E-2</v>
      </c>
      <c r="H74">
        <v>5.5</v>
      </c>
      <c r="I74">
        <v>17.5</v>
      </c>
      <c r="J74">
        <v>168.64446719999998</v>
      </c>
      <c r="K74">
        <v>0.10376859846369156</v>
      </c>
    </row>
    <row r="75" spans="1:11">
      <c r="A75" t="s">
        <v>117</v>
      </c>
      <c r="B75">
        <v>2</v>
      </c>
      <c r="C75">
        <v>3</v>
      </c>
      <c r="D75">
        <v>1.1299999999999999</v>
      </c>
      <c r="E75">
        <v>3.9399999999999998E-2</v>
      </c>
      <c r="F75">
        <v>3.9</v>
      </c>
      <c r="G75">
        <v>1.9699999999999999E-2</v>
      </c>
      <c r="H75">
        <v>4.5</v>
      </c>
      <c r="I75">
        <v>17.7</v>
      </c>
      <c r="J75">
        <v>165.07527759999999</v>
      </c>
      <c r="K75">
        <v>0.10722380878189115</v>
      </c>
    </row>
    <row r="76" spans="1:11">
      <c r="A76" t="s">
        <v>117</v>
      </c>
      <c r="B76">
        <v>2</v>
      </c>
      <c r="C76">
        <v>4</v>
      </c>
      <c r="D76">
        <v>0.74</v>
      </c>
      <c r="E76">
        <v>1.9400000000000001E-2</v>
      </c>
      <c r="F76">
        <v>1.9</v>
      </c>
      <c r="G76">
        <v>9.6900000000000007E-3</v>
      </c>
      <c r="H76">
        <v>3.9</v>
      </c>
      <c r="I76">
        <v>17.5</v>
      </c>
      <c r="J76">
        <v>170.14328549999999</v>
      </c>
      <c r="K76">
        <v>0.10285448496291087</v>
      </c>
    </row>
    <row r="77" spans="1:11">
      <c r="A77" t="s">
        <v>117</v>
      </c>
      <c r="B77">
        <v>2</v>
      </c>
      <c r="C77">
        <v>5</v>
      </c>
      <c r="D77">
        <v>0.91700000000000004</v>
      </c>
      <c r="E77">
        <v>2.81E-2</v>
      </c>
      <c r="F77">
        <v>3</v>
      </c>
      <c r="G77">
        <v>1.4E-2</v>
      </c>
      <c r="H77">
        <v>4.5</v>
      </c>
      <c r="I77">
        <v>17.100000000000001</v>
      </c>
      <c r="J77">
        <v>168.4881231</v>
      </c>
      <c r="K77">
        <v>0.10149083321351332</v>
      </c>
    </row>
    <row r="78" spans="1:11">
      <c r="A78" t="s">
        <v>117</v>
      </c>
      <c r="B78">
        <v>4</v>
      </c>
      <c r="C78">
        <v>1</v>
      </c>
      <c r="D78">
        <v>1.1100000000000001</v>
      </c>
      <c r="E78">
        <v>3.85E-2</v>
      </c>
      <c r="F78">
        <v>4.5</v>
      </c>
      <c r="G78">
        <v>1.9300000000000001E-2</v>
      </c>
      <c r="H78">
        <v>6.5</v>
      </c>
      <c r="I78">
        <v>20</v>
      </c>
      <c r="J78">
        <v>184.07151750000006</v>
      </c>
      <c r="K78">
        <v>0.10865342053802536</v>
      </c>
    </row>
    <row r="79" spans="1:11">
      <c r="A79" t="s">
        <v>117</v>
      </c>
      <c r="B79">
        <v>4</v>
      </c>
      <c r="C79">
        <v>2</v>
      </c>
      <c r="D79">
        <v>0.94</v>
      </c>
      <c r="E79">
        <v>3.1899999999999998E-2</v>
      </c>
      <c r="F79">
        <v>3.3</v>
      </c>
      <c r="G79">
        <v>1.5900000000000001E-2</v>
      </c>
      <c r="H79">
        <v>3.7</v>
      </c>
      <c r="I79">
        <v>20.5</v>
      </c>
      <c r="J79">
        <v>182.35299220000005</v>
      </c>
      <c r="K79">
        <v>0.11241932338305768</v>
      </c>
    </row>
    <row r="80" spans="1:11">
      <c r="A80" t="s">
        <v>117</v>
      </c>
      <c r="B80">
        <v>4</v>
      </c>
      <c r="C80">
        <v>3</v>
      </c>
      <c r="D80">
        <v>1.1399999999999999</v>
      </c>
      <c r="E80">
        <v>3.5400000000000001E-2</v>
      </c>
      <c r="F80">
        <v>4.2</v>
      </c>
      <c r="G80">
        <v>1.7600000000000001E-2</v>
      </c>
      <c r="H80">
        <v>5</v>
      </c>
      <c r="I80">
        <v>20.5</v>
      </c>
      <c r="J80">
        <v>183.44370280000004</v>
      </c>
      <c r="K80">
        <v>0.11175090606598896</v>
      </c>
    </row>
    <row r="81" spans="1:11">
      <c r="A81" t="s">
        <v>117</v>
      </c>
      <c r="B81">
        <v>4</v>
      </c>
      <c r="C81">
        <v>4</v>
      </c>
      <c r="D81">
        <v>1.1299999999999999</v>
      </c>
      <c r="E81">
        <v>3.5099999999999999E-2</v>
      </c>
      <c r="F81">
        <v>3.3</v>
      </c>
      <c r="G81">
        <v>1.7500000000000002E-2</v>
      </c>
      <c r="H81">
        <v>5</v>
      </c>
      <c r="I81">
        <v>20.7</v>
      </c>
      <c r="J81">
        <v>181.45761439999998</v>
      </c>
      <c r="K81">
        <v>0.11407622693842712</v>
      </c>
    </row>
    <row r="82" spans="1:11" ht="15.75" customHeight="1">
      <c r="A82" t="s">
        <v>117</v>
      </c>
      <c r="B82">
        <v>4</v>
      </c>
      <c r="C82">
        <v>5</v>
      </c>
      <c r="D82">
        <v>0.77200000000000002</v>
      </c>
      <c r="E82">
        <v>2.9399999999999999E-2</v>
      </c>
      <c r="F82">
        <v>3.8</v>
      </c>
      <c r="G82">
        <v>1.47E-2</v>
      </c>
      <c r="H82">
        <v>6.3</v>
      </c>
      <c r="I82">
        <v>19.8</v>
      </c>
      <c r="J82">
        <v>176.63794399999998</v>
      </c>
      <c r="K82">
        <v>0.11209369601811038</v>
      </c>
    </row>
    <row r="83" spans="1:11">
      <c r="A83" t="s">
        <v>118</v>
      </c>
      <c r="B83">
        <v>2</v>
      </c>
      <c r="C83">
        <v>1</v>
      </c>
      <c r="D83">
        <v>1.97</v>
      </c>
      <c r="E83">
        <v>7.5300000000000006E-2</v>
      </c>
      <c r="F83">
        <v>5.5</v>
      </c>
      <c r="G83">
        <v>3.7600000000000001E-2</v>
      </c>
      <c r="H83">
        <v>6.8</v>
      </c>
      <c r="I83">
        <v>19</v>
      </c>
      <c r="J83">
        <v>190.75224600000001</v>
      </c>
      <c r="K83">
        <v>9.9605642389133386E-2</v>
      </c>
    </row>
    <row r="84" spans="1:11">
      <c r="A84" t="s">
        <v>118</v>
      </c>
      <c r="B84">
        <v>2</v>
      </c>
      <c r="C84">
        <v>2</v>
      </c>
      <c r="D84">
        <v>1.5</v>
      </c>
      <c r="E84">
        <v>6.0299999999999999E-2</v>
      </c>
      <c r="F84">
        <v>5.5</v>
      </c>
      <c r="G84">
        <v>3.0099999999999998E-2</v>
      </c>
      <c r="H84">
        <v>7.9</v>
      </c>
      <c r="I84">
        <v>19</v>
      </c>
      <c r="J84">
        <v>186.73702319999995</v>
      </c>
      <c r="K84">
        <v>0.10174736468649033</v>
      </c>
    </row>
    <row r="85" spans="1:11">
      <c r="A85" t="s">
        <v>118</v>
      </c>
      <c r="B85">
        <v>2</v>
      </c>
      <c r="C85">
        <v>3</v>
      </c>
      <c r="D85">
        <v>1.69</v>
      </c>
      <c r="E85">
        <v>6.2399999999999997E-2</v>
      </c>
      <c r="F85">
        <v>5.2</v>
      </c>
      <c r="G85">
        <v>3.1199999999999999E-2</v>
      </c>
      <c r="H85">
        <v>7.1</v>
      </c>
      <c r="I85">
        <v>18.8</v>
      </c>
      <c r="J85">
        <v>185.07054019999998</v>
      </c>
      <c r="K85">
        <v>0.10158288823106813</v>
      </c>
    </row>
    <row r="86" spans="1:11">
      <c r="A86" t="s">
        <v>118</v>
      </c>
      <c r="B86">
        <v>2</v>
      </c>
      <c r="C86">
        <v>4</v>
      </c>
      <c r="D86">
        <v>1.1000000000000001</v>
      </c>
      <c r="E86">
        <v>4.6199999999999998E-2</v>
      </c>
      <c r="F86">
        <v>5.0999999999999996</v>
      </c>
      <c r="G86">
        <v>2.3099999999999999E-2</v>
      </c>
      <c r="H86">
        <v>7.1</v>
      </c>
      <c r="I86">
        <v>18.3</v>
      </c>
      <c r="J86">
        <v>187.128117</v>
      </c>
      <c r="K86">
        <v>9.7793962197567572E-2</v>
      </c>
    </row>
    <row r="87" spans="1:11">
      <c r="A87" t="s">
        <v>118</v>
      </c>
      <c r="B87">
        <v>2</v>
      </c>
      <c r="C87">
        <v>5</v>
      </c>
      <c r="D87">
        <v>1.39</v>
      </c>
      <c r="E87">
        <v>5.5399999999999998E-2</v>
      </c>
      <c r="F87">
        <v>4.9000000000000004</v>
      </c>
      <c r="G87">
        <v>2.7699999999999999E-2</v>
      </c>
      <c r="H87">
        <v>8.8000000000000007</v>
      </c>
      <c r="I87">
        <v>17.600000000000001</v>
      </c>
      <c r="J87">
        <v>177.59223299999996</v>
      </c>
      <c r="K87">
        <v>9.9103433200257163E-2</v>
      </c>
    </row>
    <row r="88" spans="1:11">
      <c r="A88" t="s">
        <v>118</v>
      </c>
      <c r="B88">
        <v>4</v>
      </c>
      <c r="C88">
        <v>1</v>
      </c>
      <c r="D88">
        <v>1.8</v>
      </c>
      <c r="E88">
        <v>8.3699999999999997E-2</v>
      </c>
      <c r="F88">
        <v>6.3</v>
      </c>
      <c r="G88">
        <v>4.19E-2</v>
      </c>
      <c r="H88">
        <v>7.9</v>
      </c>
      <c r="I88">
        <v>18</v>
      </c>
      <c r="J88">
        <v>179.37162000000004</v>
      </c>
      <c r="K88">
        <v>0.10035032297751448</v>
      </c>
    </row>
    <row r="89" spans="1:11">
      <c r="A89" t="s">
        <v>118</v>
      </c>
      <c r="B89">
        <v>4</v>
      </c>
      <c r="C89">
        <v>2</v>
      </c>
      <c r="D89">
        <v>1.67</v>
      </c>
      <c r="E89">
        <v>8.3599999999999994E-2</v>
      </c>
      <c r="F89">
        <v>6.9</v>
      </c>
      <c r="G89">
        <v>4.1799999999999997E-2</v>
      </c>
      <c r="H89">
        <v>7.7</v>
      </c>
      <c r="I89">
        <v>18.2</v>
      </c>
      <c r="J89">
        <v>179.09100000000001</v>
      </c>
      <c r="K89">
        <v>0.10162431389628736</v>
      </c>
    </row>
    <row r="90" spans="1:11">
      <c r="A90" t="s">
        <v>118</v>
      </c>
      <c r="B90">
        <v>4</v>
      </c>
      <c r="C90">
        <v>3</v>
      </c>
      <c r="D90">
        <v>1.92</v>
      </c>
      <c r="E90">
        <v>7.4899999999999994E-2</v>
      </c>
      <c r="F90">
        <v>6</v>
      </c>
      <c r="G90">
        <v>3.7499999999999999E-2</v>
      </c>
      <c r="H90">
        <v>8.1</v>
      </c>
      <c r="I90">
        <v>18.3</v>
      </c>
      <c r="J90">
        <v>180.41183999999998</v>
      </c>
      <c r="K90">
        <v>0.10143458433770201</v>
      </c>
    </row>
    <row r="91" spans="1:11">
      <c r="A91" t="s">
        <v>118</v>
      </c>
      <c r="B91">
        <v>4</v>
      </c>
      <c r="C91">
        <v>4</v>
      </c>
      <c r="D91">
        <v>1.77</v>
      </c>
      <c r="E91">
        <v>7.2999999999999995E-2</v>
      </c>
      <c r="F91">
        <v>5.5</v>
      </c>
      <c r="G91">
        <v>3.6499999999999998E-2</v>
      </c>
      <c r="H91">
        <v>8.4</v>
      </c>
      <c r="I91">
        <v>18.600000000000001</v>
      </c>
      <c r="J91">
        <v>179.86751999999998</v>
      </c>
      <c r="K91">
        <v>0.10340944268314815</v>
      </c>
    </row>
    <row r="92" spans="1:11">
      <c r="A92" t="s">
        <v>118</v>
      </c>
      <c r="B92">
        <v>4</v>
      </c>
      <c r="C92">
        <v>5</v>
      </c>
      <c r="D92">
        <v>1.34</v>
      </c>
      <c r="E92">
        <v>6.0400000000000002E-2</v>
      </c>
      <c r="F92">
        <v>5.7</v>
      </c>
      <c r="G92">
        <v>3.0200000000000001E-2</v>
      </c>
      <c r="H92">
        <v>7.6</v>
      </c>
      <c r="I92">
        <v>18.100000000000001</v>
      </c>
      <c r="J92">
        <v>178.80202650000001</v>
      </c>
      <c r="K92">
        <v>0.10122927773416483</v>
      </c>
    </row>
    <row r="93" spans="1:11">
      <c r="A93" t="s">
        <v>121</v>
      </c>
      <c r="B93">
        <v>2</v>
      </c>
      <c r="C93">
        <v>1</v>
      </c>
      <c r="D93">
        <v>0.74</v>
      </c>
      <c r="E93">
        <v>2.7199999999999998E-2</v>
      </c>
      <c r="F93">
        <v>3.6</v>
      </c>
      <c r="G93">
        <v>1.3599999999999999E-2</v>
      </c>
      <c r="H93">
        <v>4.9000000000000004</v>
      </c>
      <c r="I93">
        <v>23</v>
      </c>
      <c r="J93">
        <v>166.16605799999999</v>
      </c>
      <c r="K93">
        <v>0.13841575275258683</v>
      </c>
    </row>
    <row r="94" spans="1:11">
      <c r="A94" t="s">
        <v>121</v>
      </c>
      <c r="B94">
        <v>2</v>
      </c>
      <c r="C94">
        <v>2</v>
      </c>
      <c r="D94">
        <v>0.66600000000000004</v>
      </c>
      <c r="E94">
        <v>2.9600000000000001E-2</v>
      </c>
      <c r="F94">
        <v>4.9000000000000004</v>
      </c>
      <c r="G94">
        <v>1.47E-2</v>
      </c>
      <c r="H94">
        <v>6.5</v>
      </c>
      <c r="I94">
        <v>22.6</v>
      </c>
      <c r="J94">
        <v>172.99179199999998</v>
      </c>
      <c r="K94">
        <v>0.13064203647303685</v>
      </c>
    </row>
    <row r="95" spans="1:11">
      <c r="A95" t="s">
        <v>121</v>
      </c>
      <c r="B95">
        <v>2</v>
      </c>
      <c r="C95">
        <v>3</v>
      </c>
      <c r="D95">
        <v>0.53</v>
      </c>
      <c r="E95">
        <v>2.3800000000000002E-2</v>
      </c>
      <c r="F95">
        <v>4.0999999999999996</v>
      </c>
      <c r="G95">
        <v>1.1900000000000001E-2</v>
      </c>
      <c r="H95">
        <v>5.7</v>
      </c>
      <c r="I95">
        <v>22.6</v>
      </c>
      <c r="J95">
        <v>174.60053819999999</v>
      </c>
      <c r="K95">
        <v>0.12943831807730363</v>
      </c>
    </row>
    <row r="96" spans="1:11">
      <c r="A96" t="s">
        <v>121</v>
      </c>
      <c r="B96">
        <v>2</v>
      </c>
      <c r="C96">
        <v>4</v>
      </c>
      <c r="D96">
        <v>0.54</v>
      </c>
      <c r="E96">
        <v>2.23E-2</v>
      </c>
      <c r="F96">
        <v>3.2</v>
      </c>
      <c r="G96">
        <v>1.11E-2</v>
      </c>
      <c r="H96">
        <v>4.4000000000000004</v>
      </c>
      <c r="I96">
        <v>22.3</v>
      </c>
      <c r="J96">
        <v>174.32696999999999</v>
      </c>
      <c r="K96">
        <v>0.12792053920285543</v>
      </c>
    </row>
    <row r="97" spans="1:11">
      <c r="A97" t="s">
        <v>121</v>
      </c>
      <c r="B97">
        <v>2</v>
      </c>
      <c r="C97">
        <v>5</v>
      </c>
      <c r="D97">
        <v>0.77500000000000002</v>
      </c>
      <c r="E97">
        <v>3.09E-2</v>
      </c>
      <c r="F97">
        <v>4.5999999999999996</v>
      </c>
      <c r="G97">
        <v>1.54E-2</v>
      </c>
      <c r="H97">
        <v>5.9</v>
      </c>
      <c r="I97">
        <v>22.8</v>
      </c>
      <c r="J97">
        <v>170.26071880000001</v>
      </c>
      <c r="K97">
        <v>0.13391227383917281</v>
      </c>
    </row>
    <row r="98" spans="1:11">
      <c r="A98" t="s">
        <v>121</v>
      </c>
      <c r="B98">
        <v>4</v>
      </c>
      <c r="C98">
        <v>1</v>
      </c>
      <c r="D98">
        <v>1.1399999999999999</v>
      </c>
      <c r="E98">
        <v>4.48E-2</v>
      </c>
      <c r="F98">
        <v>4.5999999999999996</v>
      </c>
      <c r="G98">
        <v>2.24E-2</v>
      </c>
      <c r="H98">
        <v>6.1</v>
      </c>
      <c r="I98">
        <v>23</v>
      </c>
      <c r="J98">
        <v>158.45811520000001</v>
      </c>
      <c r="K98">
        <v>0.1451487667322702</v>
      </c>
    </row>
    <row r="99" spans="1:11">
      <c r="A99" t="s">
        <v>121</v>
      </c>
      <c r="B99">
        <v>4</v>
      </c>
      <c r="C99">
        <v>2</v>
      </c>
      <c r="D99">
        <v>1.3</v>
      </c>
      <c r="E99">
        <v>3.9300000000000002E-2</v>
      </c>
      <c r="F99">
        <v>3.8</v>
      </c>
      <c r="G99">
        <v>1.9699999999999999E-2</v>
      </c>
      <c r="H99">
        <v>5.6</v>
      </c>
      <c r="I99">
        <v>24.1</v>
      </c>
      <c r="J99">
        <v>161.26</v>
      </c>
      <c r="K99">
        <v>0.14944809624209354</v>
      </c>
    </row>
    <row r="100" spans="1:11">
      <c r="A100" t="s">
        <v>121</v>
      </c>
      <c r="B100">
        <v>4</v>
      </c>
      <c r="C100">
        <v>3</v>
      </c>
      <c r="D100">
        <v>1.1100000000000001</v>
      </c>
      <c r="E100">
        <v>3.1600000000000003E-2</v>
      </c>
      <c r="F100">
        <v>3.3</v>
      </c>
      <c r="G100">
        <v>1.5800000000000002E-2</v>
      </c>
      <c r="H100">
        <v>3.7</v>
      </c>
      <c r="I100">
        <v>24</v>
      </c>
      <c r="J100">
        <v>157.30176</v>
      </c>
      <c r="K100">
        <v>0.15257299091885557</v>
      </c>
    </row>
    <row r="101" spans="1:11">
      <c r="A101" t="s">
        <v>121</v>
      </c>
      <c r="B101">
        <v>4</v>
      </c>
      <c r="C101">
        <v>4</v>
      </c>
      <c r="D101">
        <v>1.1200000000000001</v>
      </c>
      <c r="E101">
        <v>3.6900000000000002E-2</v>
      </c>
      <c r="F101">
        <v>3.9</v>
      </c>
      <c r="G101">
        <v>1.8499999999999999E-2</v>
      </c>
      <c r="H101">
        <v>5.0999999999999996</v>
      </c>
      <c r="I101">
        <v>24</v>
      </c>
      <c r="J101">
        <v>158.43336959999999</v>
      </c>
      <c r="K101">
        <v>0.15148323904612582</v>
      </c>
    </row>
    <row r="102" spans="1:11">
      <c r="A102" t="s">
        <v>121</v>
      </c>
      <c r="B102">
        <v>4</v>
      </c>
      <c r="C102">
        <v>5</v>
      </c>
      <c r="D102">
        <v>1.37</v>
      </c>
      <c r="E102">
        <v>4.1599999999999998E-2</v>
      </c>
      <c r="F102">
        <v>3.9</v>
      </c>
      <c r="G102">
        <v>2.07E-2</v>
      </c>
      <c r="H102">
        <v>4.4000000000000004</v>
      </c>
      <c r="I102">
        <v>23.9</v>
      </c>
      <c r="J102">
        <v>157.7081968</v>
      </c>
      <c r="K102">
        <v>0.15154570583486629</v>
      </c>
    </row>
    <row r="103" spans="1:11">
      <c r="A103" t="s">
        <v>120</v>
      </c>
      <c r="B103">
        <v>2</v>
      </c>
      <c r="C103">
        <v>1</v>
      </c>
      <c r="D103">
        <v>0.82899999999999996</v>
      </c>
      <c r="E103">
        <v>4.3799999999999999E-2</v>
      </c>
      <c r="F103">
        <v>6.3</v>
      </c>
      <c r="G103">
        <v>3.5900000000000001E-2</v>
      </c>
      <c r="H103">
        <v>6.7</v>
      </c>
      <c r="I103">
        <v>17.3</v>
      </c>
      <c r="J103">
        <v>169.65411399999999</v>
      </c>
      <c r="K103">
        <v>0.10197218088091869</v>
      </c>
    </row>
    <row r="104" spans="1:11">
      <c r="A104" t="s">
        <v>120</v>
      </c>
      <c r="B104">
        <v>2</v>
      </c>
      <c r="C104">
        <v>2</v>
      </c>
      <c r="D104">
        <v>1.1200000000000001</v>
      </c>
      <c r="E104">
        <v>3.6799999999999999E-2</v>
      </c>
      <c r="F104">
        <v>3.9</v>
      </c>
      <c r="G104">
        <v>1.84E-2</v>
      </c>
      <c r="H104">
        <v>5.0999999999999996</v>
      </c>
      <c r="I104">
        <v>17.5</v>
      </c>
      <c r="J104">
        <v>164.9948928</v>
      </c>
      <c r="K104">
        <v>0.10606388902723661</v>
      </c>
    </row>
    <row r="105" spans="1:11">
      <c r="A105" t="s">
        <v>120</v>
      </c>
      <c r="B105">
        <v>2</v>
      </c>
      <c r="C105">
        <v>3</v>
      </c>
      <c r="D105">
        <v>0.81299999999999994</v>
      </c>
      <c r="E105">
        <v>2.7699999999999999E-2</v>
      </c>
      <c r="F105">
        <v>3.6</v>
      </c>
      <c r="G105">
        <v>1.3899999999999999E-2</v>
      </c>
      <c r="H105">
        <v>5.2</v>
      </c>
      <c r="I105">
        <v>17.100000000000001</v>
      </c>
      <c r="J105">
        <v>169.21376999999998</v>
      </c>
      <c r="K105">
        <v>0.10105560558103518</v>
      </c>
    </row>
    <row r="106" spans="1:11">
      <c r="A106" t="s">
        <v>120</v>
      </c>
      <c r="B106">
        <v>2</v>
      </c>
      <c r="C106">
        <v>4</v>
      </c>
      <c r="D106">
        <v>0.72399999999999998</v>
      </c>
      <c r="E106">
        <v>3.3700000000000001E-2</v>
      </c>
      <c r="F106">
        <v>5.4</v>
      </c>
      <c r="G106">
        <v>1.6799999999999999E-2</v>
      </c>
      <c r="H106">
        <v>6.3</v>
      </c>
      <c r="I106">
        <v>17.2</v>
      </c>
      <c r="J106">
        <v>169.53805999999997</v>
      </c>
      <c r="K106">
        <v>0.10145214590753251</v>
      </c>
    </row>
    <row r="107" spans="1:11">
      <c r="A107" t="s">
        <v>120</v>
      </c>
      <c r="B107">
        <v>2</v>
      </c>
      <c r="C107">
        <v>5</v>
      </c>
      <c r="D107">
        <v>0.89900000000000002</v>
      </c>
      <c r="E107">
        <v>3.1099999999999999E-2</v>
      </c>
      <c r="F107">
        <v>3.3</v>
      </c>
      <c r="G107">
        <v>1.5599999999999999E-2</v>
      </c>
      <c r="H107">
        <v>4.7</v>
      </c>
      <c r="I107">
        <v>16.8</v>
      </c>
      <c r="J107">
        <v>164.77404659999999</v>
      </c>
      <c r="K107">
        <v>0.10195780431843811</v>
      </c>
    </row>
    <row r="108" spans="1:11">
      <c r="A108" t="s">
        <v>120</v>
      </c>
      <c r="B108">
        <v>4</v>
      </c>
      <c r="C108">
        <v>1</v>
      </c>
      <c r="D108">
        <v>1.38</v>
      </c>
      <c r="E108">
        <v>6.2100000000000002E-2</v>
      </c>
      <c r="F108">
        <v>6.6</v>
      </c>
      <c r="G108">
        <v>3.1E-2</v>
      </c>
      <c r="H108">
        <v>7.6</v>
      </c>
      <c r="I108">
        <v>19.2</v>
      </c>
      <c r="J108">
        <v>179.12222120000001</v>
      </c>
      <c r="K108">
        <v>0.10718938092310792</v>
      </c>
    </row>
    <row r="109" spans="1:11">
      <c r="A109" t="s">
        <v>120</v>
      </c>
      <c r="B109">
        <v>4</v>
      </c>
      <c r="C109">
        <v>2</v>
      </c>
      <c r="D109">
        <v>1.25</v>
      </c>
      <c r="E109">
        <v>4.1799999999999997E-2</v>
      </c>
      <c r="F109">
        <v>3.9</v>
      </c>
      <c r="G109">
        <v>2.0899999999999998E-2</v>
      </c>
      <c r="H109">
        <v>4.8</v>
      </c>
      <c r="I109">
        <v>19.399999999999999</v>
      </c>
      <c r="J109">
        <v>178.11331199999998</v>
      </c>
      <c r="K109">
        <v>0.10891942765064073</v>
      </c>
    </row>
    <row r="110" spans="1:11">
      <c r="A110" t="s">
        <v>120</v>
      </c>
      <c r="B110">
        <v>4</v>
      </c>
      <c r="C110">
        <v>3</v>
      </c>
      <c r="D110">
        <v>1.43</v>
      </c>
      <c r="E110">
        <v>4.6899999999999997E-2</v>
      </c>
      <c r="F110">
        <v>5</v>
      </c>
      <c r="G110">
        <v>2.3400000000000001E-2</v>
      </c>
      <c r="H110">
        <v>6.3</v>
      </c>
      <c r="I110">
        <v>18.899999999999999</v>
      </c>
      <c r="J110">
        <v>178.09150340000002</v>
      </c>
      <c r="K110">
        <v>0.10612522012097292</v>
      </c>
    </row>
    <row r="111" spans="1:11">
      <c r="A111" t="s">
        <v>120</v>
      </c>
      <c r="B111">
        <v>4</v>
      </c>
      <c r="C111">
        <v>4</v>
      </c>
      <c r="D111">
        <v>1.02</v>
      </c>
      <c r="E111">
        <v>4.6600000000000003E-2</v>
      </c>
      <c r="F111">
        <v>6.7</v>
      </c>
      <c r="G111">
        <v>2.7400000000000001E-2</v>
      </c>
      <c r="H111">
        <v>7.8</v>
      </c>
      <c r="I111">
        <v>18.8</v>
      </c>
      <c r="J111">
        <v>182.7549367</v>
      </c>
      <c r="K111">
        <v>0.10286999814872853</v>
      </c>
    </row>
    <row r="112" spans="1:11">
      <c r="A112" t="s">
        <v>120</v>
      </c>
      <c r="B112">
        <v>4</v>
      </c>
      <c r="C112">
        <v>5</v>
      </c>
      <c r="D112">
        <v>0.995</v>
      </c>
      <c r="E112">
        <v>3.7199999999999997E-2</v>
      </c>
      <c r="F112">
        <v>4.5</v>
      </c>
      <c r="G112">
        <v>1.8499999999999999E-2</v>
      </c>
      <c r="H112">
        <v>5.2</v>
      </c>
      <c r="I112">
        <v>19.3</v>
      </c>
      <c r="J112">
        <v>185.20704000000001</v>
      </c>
      <c r="K112">
        <v>0.10420770182386156</v>
      </c>
    </row>
    <row r="113" spans="1:11">
      <c r="A113" t="s">
        <v>119</v>
      </c>
      <c r="B113">
        <v>2</v>
      </c>
      <c r="C113">
        <v>1</v>
      </c>
      <c r="D113">
        <v>4.67</v>
      </c>
      <c r="E113">
        <v>0.11899999999999999</v>
      </c>
      <c r="F113">
        <v>3.9</v>
      </c>
      <c r="G113">
        <v>5.9700000000000003E-2</v>
      </c>
      <c r="H113">
        <v>5.4</v>
      </c>
      <c r="I113">
        <v>27.7</v>
      </c>
      <c r="J113">
        <v>199.10753279999997</v>
      </c>
      <c r="K113">
        <v>0.13912080377101635</v>
      </c>
    </row>
    <row r="114" spans="1:11">
      <c r="A114" t="s">
        <v>119</v>
      </c>
      <c r="B114">
        <v>2</v>
      </c>
      <c r="C114">
        <v>2</v>
      </c>
      <c r="D114">
        <v>3.18</v>
      </c>
      <c r="E114">
        <v>0.12</v>
      </c>
      <c r="F114">
        <v>3.7</v>
      </c>
      <c r="G114">
        <v>5.9900000000000002E-2</v>
      </c>
      <c r="H114">
        <v>4.9000000000000004</v>
      </c>
      <c r="I114">
        <v>27.4</v>
      </c>
      <c r="J114">
        <v>192.34675200000001</v>
      </c>
      <c r="K114">
        <v>0.14245106670686072</v>
      </c>
    </row>
    <row r="115" spans="1:11">
      <c r="A115" t="s">
        <v>119</v>
      </c>
      <c r="B115">
        <v>2</v>
      </c>
      <c r="C115">
        <v>3</v>
      </c>
      <c r="D115">
        <v>4.3600000000000003</v>
      </c>
      <c r="E115">
        <v>0.121</v>
      </c>
      <c r="F115">
        <v>4.3</v>
      </c>
      <c r="G115">
        <v>6.0600000000000001E-2</v>
      </c>
      <c r="H115">
        <v>5.0999999999999996</v>
      </c>
      <c r="I115">
        <v>26.6</v>
      </c>
      <c r="J115">
        <v>182.44362239999998</v>
      </c>
      <c r="K115">
        <v>0.14579846447951259</v>
      </c>
    </row>
    <row r="116" spans="1:11">
      <c r="A116" t="s">
        <v>119</v>
      </c>
      <c r="B116">
        <v>2</v>
      </c>
      <c r="C116">
        <v>4</v>
      </c>
      <c r="D116">
        <v>2.4300000000000002</v>
      </c>
      <c r="E116">
        <v>9.1800000000000007E-2</v>
      </c>
      <c r="F116">
        <v>3.5</v>
      </c>
      <c r="G116">
        <v>4.58E-2</v>
      </c>
      <c r="H116">
        <v>4.8</v>
      </c>
      <c r="I116">
        <v>26.3</v>
      </c>
      <c r="J116">
        <v>189.11838400000002</v>
      </c>
      <c r="K116">
        <v>0.13906633212348091</v>
      </c>
    </row>
    <row r="117" spans="1:11">
      <c r="A117" t="s">
        <v>119</v>
      </c>
      <c r="B117">
        <v>2</v>
      </c>
      <c r="C117">
        <v>5</v>
      </c>
      <c r="D117">
        <v>4.38</v>
      </c>
      <c r="E117">
        <v>0.121</v>
      </c>
      <c r="F117">
        <v>4.4000000000000004</v>
      </c>
      <c r="G117">
        <v>6.0600000000000001E-2</v>
      </c>
      <c r="H117">
        <v>6</v>
      </c>
      <c r="I117">
        <v>26.7</v>
      </c>
      <c r="J117">
        <v>193.79963520000001</v>
      </c>
      <c r="K117">
        <v>0.13777115716676022</v>
      </c>
    </row>
    <row r="118" spans="1:11">
      <c r="A118" t="s">
        <v>119</v>
      </c>
      <c r="B118">
        <v>4</v>
      </c>
      <c r="C118">
        <v>1</v>
      </c>
      <c r="D118">
        <v>5.25</v>
      </c>
      <c r="E118">
        <v>0.151</v>
      </c>
      <c r="F118">
        <v>4</v>
      </c>
      <c r="G118">
        <v>7.5200000000000003E-2</v>
      </c>
      <c r="H118">
        <v>5</v>
      </c>
      <c r="I118">
        <v>25.6</v>
      </c>
      <c r="J118">
        <v>178.60921200000001</v>
      </c>
      <c r="K118">
        <v>0.14332967327575466</v>
      </c>
    </row>
    <row r="119" spans="1:11">
      <c r="A119" t="s">
        <v>119</v>
      </c>
      <c r="B119">
        <v>4</v>
      </c>
      <c r="C119">
        <v>2</v>
      </c>
      <c r="D119">
        <v>2.91</v>
      </c>
      <c r="E119">
        <v>0.107</v>
      </c>
      <c r="F119">
        <v>4.7</v>
      </c>
      <c r="G119">
        <v>5.3499999999999999E-2</v>
      </c>
      <c r="H119">
        <v>6</v>
      </c>
      <c r="I119">
        <v>25.4</v>
      </c>
      <c r="J119">
        <v>183.47895600000004</v>
      </c>
      <c r="K119">
        <v>0.13843549447708867</v>
      </c>
    </row>
    <row r="120" spans="1:11">
      <c r="A120" t="s">
        <v>119</v>
      </c>
      <c r="B120">
        <v>4</v>
      </c>
      <c r="C120">
        <v>3</v>
      </c>
      <c r="D120">
        <v>2.56</v>
      </c>
      <c r="E120">
        <v>0.13800000000000001</v>
      </c>
      <c r="F120">
        <v>3.8</v>
      </c>
      <c r="G120">
        <v>6.9000000000000006E-2</v>
      </c>
      <c r="H120">
        <v>5.8</v>
      </c>
      <c r="I120">
        <v>25.6</v>
      </c>
      <c r="J120">
        <v>182.03447679999999</v>
      </c>
      <c r="K120">
        <v>0.14063270018968188</v>
      </c>
    </row>
    <row r="121" spans="1:11">
      <c r="A121" t="s">
        <v>119</v>
      </c>
      <c r="B121">
        <v>4</v>
      </c>
      <c r="C121">
        <v>4</v>
      </c>
      <c r="D121">
        <v>3.87</v>
      </c>
      <c r="E121">
        <v>0.13900000000000001</v>
      </c>
      <c r="F121">
        <v>4.2</v>
      </c>
      <c r="G121">
        <v>6.9599999999999995E-2</v>
      </c>
      <c r="H121">
        <v>5.0999999999999996</v>
      </c>
      <c r="I121">
        <v>25.7</v>
      </c>
      <c r="J121">
        <v>182.8767996</v>
      </c>
      <c r="K121">
        <v>0.14053176814233795</v>
      </c>
    </row>
    <row r="122" spans="1:11">
      <c r="A122" t="s">
        <v>119</v>
      </c>
      <c r="B122">
        <v>4</v>
      </c>
      <c r="C122">
        <v>5</v>
      </c>
      <c r="D122">
        <v>4.8600000000000003</v>
      </c>
      <c r="E122">
        <v>0.14499999999999999</v>
      </c>
      <c r="F122">
        <v>3.8</v>
      </c>
      <c r="G122">
        <v>7.2599999999999998E-2</v>
      </c>
      <c r="H122">
        <v>4.9000000000000004</v>
      </c>
      <c r="I122">
        <v>25.8</v>
      </c>
      <c r="J122">
        <v>182.92627980000003</v>
      </c>
      <c r="K122">
        <v>0.14104042365158292</v>
      </c>
    </row>
    <row r="123" spans="1:11">
      <c r="A123" t="s">
        <v>119</v>
      </c>
      <c r="B123">
        <v>4</v>
      </c>
      <c r="C123">
        <v>6</v>
      </c>
      <c r="D123">
        <v>1.87</v>
      </c>
      <c r="E123">
        <v>8.6300000000000002E-2</v>
      </c>
      <c r="F123">
        <v>4.0999999999999996</v>
      </c>
      <c r="G123">
        <v>4.3099999999999999E-2</v>
      </c>
      <c r="H123">
        <v>5.7</v>
      </c>
      <c r="I123">
        <v>26</v>
      </c>
      <c r="J123">
        <v>186.89034319999999</v>
      </c>
      <c r="K123">
        <v>0.13911901254403605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4388C-F04B-49A0-861E-1D58772F733A}">
  <dimension ref="A1:H131"/>
  <sheetViews>
    <sheetView topLeftCell="A40" workbookViewId="0">
      <selection activeCell="J9" sqref="J9"/>
    </sheetView>
  </sheetViews>
  <sheetFormatPr defaultRowHeight="15"/>
  <sheetData>
    <row r="1" spans="1:8">
      <c r="A1" t="s">
        <v>108</v>
      </c>
      <c r="B1" t="s">
        <v>109</v>
      </c>
      <c r="C1" t="s">
        <v>110</v>
      </c>
      <c r="D1" t="s">
        <v>111</v>
      </c>
      <c r="E1" t="s">
        <v>112</v>
      </c>
      <c r="F1" t="s">
        <v>107</v>
      </c>
      <c r="G1" t="s">
        <v>106</v>
      </c>
      <c r="H1" t="s">
        <v>105</v>
      </c>
    </row>
    <row r="2" spans="1:8">
      <c r="A2" t="s">
        <v>116</v>
      </c>
      <c r="B2">
        <v>0</v>
      </c>
      <c r="C2">
        <v>1</v>
      </c>
      <c r="D2">
        <v>2.96</v>
      </c>
      <c r="E2">
        <v>0.28499999999999998</v>
      </c>
      <c r="F2">
        <v>6.9</v>
      </c>
      <c r="G2">
        <v>26.695022116000001</v>
      </c>
      <c r="H2">
        <f>F2/G2</f>
        <v>0.25847515578061264</v>
      </c>
    </row>
    <row r="3" spans="1:8">
      <c r="A3" t="s">
        <v>116</v>
      </c>
      <c r="B3">
        <v>0</v>
      </c>
      <c r="C3">
        <v>2</v>
      </c>
      <c r="D3">
        <v>2.38</v>
      </c>
      <c r="E3">
        <v>0.24099999999999999</v>
      </c>
      <c r="F3">
        <v>6.8</v>
      </c>
      <c r="G3">
        <v>26.665495621000002</v>
      </c>
      <c r="H3">
        <f t="shared" ref="H3:H45" si="0">F3/G3</f>
        <v>0.25501119861596588</v>
      </c>
    </row>
    <row r="4" spans="1:8">
      <c r="A4" t="s">
        <v>116</v>
      </c>
      <c r="B4">
        <v>0</v>
      </c>
      <c r="C4">
        <v>3</v>
      </c>
      <c r="D4">
        <v>2.44</v>
      </c>
      <c r="E4">
        <v>0.23</v>
      </c>
      <c r="F4">
        <v>6.6</v>
      </c>
      <c r="G4">
        <v>26.882802288000001</v>
      </c>
      <c r="H4">
        <f t="shared" si="0"/>
        <v>0.24551011941735407</v>
      </c>
    </row>
    <row r="5" spans="1:8">
      <c r="A5" t="s">
        <v>116</v>
      </c>
      <c r="B5">
        <v>0</v>
      </c>
      <c r="C5">
        <v>4</v>
      </c>
      <c r="D5">
        <v>2.0699999999999998</v>
      </c>
      <c r="E5">
        <v>0.20699999999999999</v>
      </c>
      <c r="F5">
        <v>6.5</v>
      </c>
      <c r="G5">
        <v>26.721931998999999</v>
      </c>
      <c r="H5">
        <f t="shared" si="0"/>
        <v>0.24324588507459888</v>
      </c>
    </row>
    <row r="6" spans="1:8">
      <c r="A6" t="s">
        <v>116</v>
      </c>
      <c r="B6">
        <v>0</v>
      </c>
      <c r="C6">
        <v>5</v>
      </c>
      <c r="D6">
        <v>2.16</v>
      </c>
      <c r="F6">
        <v>6.6</v>
      </c>
      <c r="G6">
        <v>26.668228599999999</v>
      </c>
      <c r="H6">
        <f t="shared" si="0"/>
        <v>0.24748550415530784</v>
      </c>
    </row>
    <row r="7" spans="1:8">
      <c r="A7" t="s">
        <v>113</v>
      </c>
      <c r="B7">
        <v>0</v>
      </c>
      <c r="C7">
        <v>1</v>
      </c>
      <c r="D7">
        <v>1.26</v>
      </c>
      <c r="E7">
        <v>0.11600000000000001</v>
      </c>
      <c r="F7">
        <v>3.9</v>
      </c>
      <c r="G7">
        <v>26.403035840000001</v>
      </c>
      <c r="H7">
        <f t="shared" si="0"/>
        <v>0.14771028693948854</v>
      </c>
    </row>
    <row r="8" spans="1:8">
      <c r="A8" t="s">
        <v>113</v>
      </c>
      <c r="B8">
        <v>0</v>
      </c>
      <c r="C8">
        <v>2</v>
      </c>
      <c r="D8">
        <v>0.99399999999999999</v>
      </c>
      <c r="E8">
        <v>9.2399999999999996E-2</v>
      </c>
      <c r="F8">
        <v>4.0999999999999996</v>
      </c>
      <c r="G8">
        <v>27.089391588000002</v>
      </c>
      <c r="H8">
        <f t="shared" si="0"/>
        <v>0.15135075982349522</v>
      </c>
    </row>
    <row r="9" spans="1:8">
      <c r="A9" t="s">
        <v>113</v>
      </c>
      <c r="B9">
        <v>0</v>
      </c>
      <c r="C9">
        <v>3</v>
      </c>
      <c r="D9">
        <v>1.32</v>
      </c>
      <c r="E9">
        <v>0.114</v>
      </c>
      <c r="F9">
        <v>4</v>
      </c>
      <c r="G9">
        <v>26.828073999999997</v>
      </c>
      <c r="H9">
        <f t="shared" si="0"/>
        <v>0.14909754610040216</v>
      </c>
    </row>
    <row r="10" spans="1:8">
      <c r="A10" t="s">
        <v>113</v>
      </c>
      <c r="B10">
        <v>0</v>
      </c>
      <c r="C10">
        <v>4</v>
      </c>
      <c r="D10">
        <v>1.0900000000000001</v>
      </c>
      <c r="F10">
        <v>3.9</v>
      </c>
      <c r="G10">
        <v>26.113563735</v>
      </c>
      <c r="H10">
        <f t="shared" si="0"/>
        <v>0.14934767385934503</v>
      </c>
    </row>
    <row r="11" spans="1:8">
      <c r="A11" t="s">
        <v>113</v>
      </c>
      <c r="B11">
        <v>0</v>
      </c>
      <c r="C11">
        <v>5</v>
      </c>
      <c r="D11">
        <v>1.28</v>
      </c>
      <c r="E11">
        <v>0.127</v>
      </c>
      <c r="F11">
        <v>3.9</v>
      </c>
      <c r="G11">
        <v>27.409325329999998</v>
      </c>
      <c r="H11">
        <f t="shared" si="0"/>
        <v>0.14228734027726614</v>
      </c>
    </row>
    <row r="12" spans="1:8">
      <c r="A12" t="s">
        <v>113</v>
      </c>
      <c r="B12">
        <v>0</v>
      </c>
      <c r="C12">
        <v>6</v>
      </c>
      <c r="D12">
        <v>0.75700000000000001</v>
      </c>
      <c r="E12">
        <v>7.4800000000000005E-2</v>
      </c>
      <c r="F12">
        <v>3.9</v>
      </c>
      <c r="G12">
        <v>26.113563735</v>
      </c>
      <c r="H12">
        <f t="shared" si="0"/>
        <v>0.14934767385934503</v>
      </c>
    </row>
    <row r="13" spans="1:8">
      <c r="A13" t="s">
        <v>114</v>
      </c>
      <c r="B13">
        <v>0</v>
      </c>
      <c r="C13">
        <v>1</v>
      </c>
      <c r="D13">
        <v>1.48</v>
      </c>
      <c r="E13">
        <v>0.14299999999999999</v>
      </c>
      <c r="F13">
        <v>5.5</v>
      </c>
      <c r="G13">
        <v>26.742591712000003</v>
      </c>
      <c r="H13">
        <f t="shared" si="0"/>
        <v>0.20566443444342855</v>
      </c>
    </row>
    <row r="14" spans="1:8">
      <c r="A14" t="s">
        <v>114</v>
      </c>
      <c r="B14">
        <v>0</v>
      </c>
      <c r="C14">
        <v>2</v>
      </c>
      <c r="D14">
        <v>1.33</v>
      </c>
      <c r="E14">
        <v>0.122</v>
      </c>
      <c r="F14">
        <v>5.3</v>
      </c>
      <c r="G14">
        <v>26.382640884000001</v>
      </c>
      <c r="H14">
        <f t="shared" si="0"/>
        <v>0.2008896692072337</v>
      </c>
    </row>
    <row r="15" spans="1:8">
      <c r="A15" t="s">
        <v>114</v>
      </c>
      <c r="B15">
        <v>0</v>
      </c>
      <c r="C15">
        <v>3</v>
      </c>
      <c r="D15">
        <v>1.63</v>
      </c>
      <c r="E15">
        <v>0.14299999999999999</v>
      </c>
      <c r="F15">
        <v>5.7</v>
      </c>
      <c r="G15">
        <v>27.050953809999999</v>
      </c>
      <c r="H15">
        <f t="shared" si="0"/>
        <v>0.21071345727901342</v>
      </c>
    </row>
    <row r="16" spans="1:8">
      <c r="A16" t="s">
        <v>114</v>
      </c>
      <c r="B16">
        <v>0</v>
      </c>
      <c r="C16">
        <v>4</v>
      </c>
      <c r="D16">
        <v>1.1599999999999999</v>
      </c>
      <c r="E16">
        <v>0.11</v>
      </c>
      <c r="F16">
        <v>5.4</v>
      </c>
      <c r="G16">
        <v>27.008699647999997</v>
      </c>
      <c r="H16">
        <f t="shared" si="0"/>
        <v>0.1999355789200267</v>
      </c>
    </row>
    <row r="17" spans="1:8">
      <c r="A17" t="s">
        <v>114</v>
      </c>
      <c r="B17">
        <v>0</v>
      </c>
      <c r="C17">
        <v>5</v>
      </c>
      <c r="D17">
        <v>1.01</v>
      </c>
      <c r="E17">
        <v>9.8000000000000004E-2</v>
      </c>
      <c r="F17">
        <v>5.4</v>
      </c>
      <c r="G17">
        <v>26.942076</v>
      </c>
      <c r="H17">
        <f t="shared" si="0"/>
        <v>0.2004299891366946</v>
      </c>
    </row>
    <row r="18" spans="1:8">
      <c r="A18" t="s">
        <v>115</v>
      </c>
      <c r="B18">
        <v>0</v>
      </c>
      <c r="C18">
        <v>1</v>
      </c>
      <c r="D18">
        <v>1.99</v>
      </c>
      <c r="E18">
        <v>0.153</v>
      </c>
      <c r="F18">
        <v>6.5</v>
      </c>
      <c r="G18">
        <v>29.194928400000002</v>
      </c>
      <c r="H18">
        <f t="shared" si="0"/>
        <v>0.22264140918393208</v>
      </c>
    </row>
    <row r="19" spans="1:8">
      <c r="A19" t="s">
        <v>115</v>
      </c>
      <c r="B19">
        <v>0</v>
      </c>
      <c r="C19">
        <v>2</v>
      </c>
      <c r="D19">
        <v>2.21</v>
      </c>
      <c r="E19">
        <v>0.16</v>
      </c>
      <c r="F19">
        <v>6.6</v>
      </c>
      <c r="G19">
        <v>29.073104100000002</v>
      </c>
      <c r="H19">
        <f t="shared" si="0"/>
        <v>0.22701394310351605</v>
      </c>
    </row>
    <row r="20" spans="1:8">
      <c r="A20" t="s">
        <v>115</v>
      </c>
      <c r="B20">
        <v>0</v>
      </c>
      <c r="C20">
        <v>3</v>
      </c>
      <c r="D20">
        <v>2.11</v>
      </c>
      <c r="E20">
        <v>0.17799999999999999</v>
      </c>
      <c r="F20">
        <v>6.6</v>
      </c>
      <c r="G20">
        <v>28.583222215999999</v>
      </c>
      <c r="H20">
        <f t="shared" si="0"/>
        <v>0.23090468772640774</v>
      </c>
    </row>
    <row r="21" spans="1:8">
      <c r="A21" t="s">
        <v>115</v>
      </c>
      <c r="B21">
        <v>0</v>
      </c>
      <c r="C21">
        <v>4</v>
      </c>
      <c r="D21">
        <v>2.44</v>
      </c>
      <c r="E21">
        <v>0.16200000000000001</v>
      </c>
      <c r="F21">
        <v>6.7</v>
      </c>
      <c r="G21">
        <v>29.09587814</v>
      </c>
      <c r="H21">
        <f t="shared" si="0"/>
        <v>0.23027316679571438</v>
      </c>
    </row>
    <row r="22" spans="1:8">
      <c r="A22" t="s">
        <v>115</v>
      </c>
      <c r="B22">
        <v>0</v>
      </c>
      <c r="C22">
        <v>5</v>
      </c>
      <c r="D22">
        <v>2.35</v>
      </c>
      <c r="E22">
        <v>0.16200000000000001</v>
      </c>
      <c r="F22">
        <v>6.6</v>
      </c>
      <c r="G22">
        <v>28.711593764</v>
      </c>
      <c r="H22">
        <f t="shared" si="0"/>
        <v>0.22987229668439382</v>
      </c>
    </row>
    <row r="23" spans="1:8">
      <c r="A23" t="s">
        <v>117</v>
      </c>
      <c r="B23">
        <v>0</v>
      </c>
      <c r="C23">
        <v>1</v>
      </c>
      <c r="D23">
        <v>0.40200000000000002</v>
      </c>
      <c r="E23">
        <v>4.02E-2</v>
      </c>
      <c r="F23">
        <v>3.4</v>
      </c>
      <c r="G23">
        <v>26.2394037</v>
      </c>
      <c r="H23">
        <f t="shared" si="0"/>
        <v>0.12957611532917571</v>
      </c>
    </row>
    <row r="24" spans="1:8">
      <c r="A24" t="s">
        <v>117</v>
      </c>
      <c r="B24">
        <v>0</v>
      </c>
      <c r="C24">
        <v>2</v>
      </c>
      <c r="D24">
        <v>0.39700000000000002</v>
      </c>
      <c r="E24">
        <v>3.9699999999999999E-2</v>
      </c>
      <c r="F24">
        <v>3.3</v>
      </c>
      <c r="G24">
        <v>27.36102</v>
      </c>
      <c r="H24">
        <f t="shared" si="0"/>
        <v>0.12060953867947904</v>
      </c>
    </row>
    <row r="25" spans="1:8">
      <c r="A25" t="s">
        <v>117</v>
      </c>
      <c r="B25">
        <v>0</v>
      </c>
      <c r="C25">
        <v>3</v>
      </c>
      <c r="D25">
        <v>0.38600000000000001</v>
      </c>
      <c r="E25">
        <v>3.8399999999999997E-2</v>
      </c>
      <c r="F25">
        <v>3.3</v>
      </c>
      <c r="G25">
        <v>25.531291559999996</v>
      </c>
      <c r="H25">
        <f t="shared" si="0"/>
        <v>0.12925315557361486</v>
      </c>
    </row>
    <row r="26" spans="1:8">
      <c r="A26" t="s">
        <v>117</v>
      </c>
      <c r="B26">
        <v>0</v>
      </c>
      <c r="C26">
        <v>4</v>
      </c>
      <c r="D26">
        <v>0.39100000000000001</v>
      </c>
      <c r="E26">
        <v>3.9E-2</v>
      </c>
      <c r="F26">
        <v>3.2</v>
      </c>
      <c r="G26">
        <v>25.371254103999998</v>
      </c>
      <c r="H26">
        <f t="shared" si="0"/>
        <v>0.12612699344237352</v>
      </c>
    </row>
    <row r="27" spans="1:8">
      <c r="A27" t="s">
        <v>117</v>
      </c>
      <c r="B27">
        <v>0</v>
      </c>
      <c r="C27">
        <v>5</v>
      </c>
      <c r="D27">
        <v>0.40799999999999997</v>
      </c>
      <c r="E27">
        <v>4.0599999999999997E-2</v>
      </c>
      <c r="F27">
        <v>3.3</v>
      </c>
      <c r="G27">
        <v>25.938968054999997</v>
      </c>
      <c r="H27">
        <f t="shared" si="0"/>
        <v>0.12722171495037143</v>
      </c>
    </row>
    <row r="28" spans="1:8">
      <c r="A28" t="s">
        <v>119</v>
      </c>
      <c r="B28">
        <v>0</v>
      </c>
      <c r="C28">
        <v>1</v>
      </c>
      <c r="D28">
        <v>0.96</v>
      </c>
      <c r="E28">
        <v>8.9200000000000002E-2</v>
      </c>
      <c r="F28">
        <v>4.5</v>
      </c>
      <c r="G28">
        <v>28.497525</v>
      </c>
      <c r="H28">
        <f t="shared" si="0"/>
        <v>0.15790844994433728</v>
      </c>
    </row>
    <row r="29" spans="1:8">
      <c r="A29" t="s">
        <v>119</v>
      </c>
      <c r="B29">
        <v>0</v>
      </c>
      <c r="C29">
        <v>2</v>
      </c>
      <c r="D29">
        <v>0.90400000000000003</v>
      </c>
      <c r="E29">
        <v>8.5099999999999995E-2</v>
      </c>
      <c r="F29">
        <v>4.4000000000000004</v>
      </c>
      <c r="G29">
        <v>28.173048529999999</v>
      </c>
      <c r="H29">
        <f t="shared" si="0"/>
        <v>0.1561776317999336</v>
      </c>
    </row>
    <row r="30" spans="1:8">
      <c r="A30" t="s">
        <v>119</v>
      </c>
      <c r="B30">
        <v>0</v>
      </c>
      <c r="C30">
        <v>3</v>
      </c>
      <c r="D30">
        <v>0.60499999999999998</v>
      </c>
      <c r="E30">
        <v>5.9799999999999999E-2</v>
      </c>
      <c r="F30">
        <v>4.0999999999999996</v>
      </c>
      <c r="G30">
        <v>27.944600815999998</v>
      </c>
      <c r="H30">
        <f t="shared" si="0"/>
        <v>0.14671886089897188</v>
      </c>
    </row>
    <row r="31" spans="1:8">
      <c r="A31" t="s">
        <v>119</v>
      </c>
      <c r="B31">
        <v>0</v>
      </c>
      <c r="C31">
        <v>4</v>
      </c>
      <c r="D31">
        <v>0.88700000000000001</v>
      </c>
      <c r="E31">
        <v>8.3299999999999999E-2</v>
      </c>
      <c r="F31">
        <v>4.3</v>
      </c>
      <c r="G31">
        <v>28.450947167999999</v>
      </c>
      <c r="H31">
        <f t="shared" si="0"/>
        <v>0.15113732328870916</v>
      </c>
    </row>
    <row r="32" spans="1:8">
      <c r="A32" t="s">
        <v>119</v>
      </c>
      <c r="B32">
        <v>0</v>
      </c>
      <c r="C32">
        <v>5</v>
      </c>
      <c r="D32">
        <v>0.89500000000000002</v>
      </c>
      <c r="E32">
        <v>8.5900000000000004E-2</v>
      </c>
      <c r="F32">
        <v>4.2</v>
      </c>
      <c r="G32">
        <v>28.068402750000001</v>
      </c>
      <c r="H32">
        <f t="shared" si="0"/>
        <v>0.14963444971944476</v>
      </c>
    </row>
    <row r="33" spans="1:8">
      <c r="A33" t="s">
        <v>119</v>
      </c>
      <c r="B33">
        <v>0</v>
      </c>
      <c r="C33">
        <v>6</v>
      </c>
      <c r="D33">
        <v>0.71699999999999997</v>
      </c>
      <c r="E33">
        <v>7.0900000000000005E-2</v>
      </c>
      <c r="F33">
        <v>4.0999999999999996</v>
      </c>
      <c r="G33">
        <v>28.204398319999999</v>
      </c>
      <c r="H33">
        <f t="shared" si="0"/>
        <v>0.14536739814416291</v>
      </c>
    </row>
    <row r="34" spans="1:8">
      <c r="A34" t="s">
        <v>118</v>
      </c>
      <c r="B34">
        <v>0</v>
      </c>
      <c r="C34">
        <v>1</v>
      </c>
      <c r="E34">
        <v>3.4500000000000003E-2</v>
      </c>
      <c r="F34">
        <v>3.3</v>
      </c>
      <c r="G34">
        <v>30.135373696999999</v>
      </c>
      <c r="H34">
        <f t="shared" si="0"/>
        <v>0.1095058595649178</v>
      </c>
    </row>
    <row r="35" spans="1:8">
      <c r="A35" t="s">
        <v>118</v>
      </c>
      <c r="B35">
        <v>0</v>
      </c>
      <c r="C35">
        <v>2</v>
      </c>
      <c r="D35">
        <v>0.68600000000000005</v>
      </c>
      <c r="F35">
        <v>3.3</v>
      </c>
      <c r="G35">
        <v>30.135373696999999</v>
      </c>
      <c r="H35">
        <f t="shared" si="0"/>
        <v>0.1095058595649178</v>
      </c>
    </row>
    <row r="36" spans="1:8">
      <c r="A36" t="s">
        <v>118</v>
      </c>
      <c r="B36">
        <v>0</v>
      </c>
      <c r="C36">
        <v>3</v>
      </c>
      <c r="D36">
        <v>0.38400000000000001</v>
      </c>
      <c r="E36">
        <v>3.8399999999999997E-2</v>
      </c>
      <c r="F36">
        <v>3.3</v>
      </c>
      <c r="G36">
        <v>29.576645280000001</v>
      </c>
      <c r="H36">
        <f t="shared" si="0"/>
        <v>0.11157451998896881</v>
      </c>
    </row>
    <row r="37" spans="1:8">
      <c r="A37" t="s">
        <v>118</v>
      </c>
      <c r="B37">
        <v>0</v>
      </c>
      <c r="C37">
        <v>4</v>
      </c>
      <c r="D37">
        <v>0.39</v>
      </c>
      <c r="E37">
        <v>3.9E-2</v>
      </c>
      <c r="F37">
        <v>3.1</v>
      </c>
      <c r="G37">
        <v>28.539699732000003</v>
      </c>
      <c r="H37">
        <f t="shared" si="0"/>
        <v>0.10862062422206005</v>
      </c>
    </row>
    <row r="38" spans="1:8">
      <c r="A38" t="s">
        <v>118</v>
      </c>
      <c r="B38">
        <v>0</v>
      </c>
      <c r="C38">
        <v>5</v>
      </c>
      <c r="D38">
        <v>0.32900000000000001</v>
      </c>
      <c r="E38">
        <v>3.2899999999999999E-2</v>
      </c>
      <c r="F38">
        <v>3.1</v>
      </c>
      <c r="G38">
        <v>28.328817792000002</v>
      </c>
      <c r="H38">
        <f t="shared" si="0"/>
        <v>0.10942920466223739</v>
      </c>
    </row>
    <row r="39" spans="1:8">
      <c r="A39" t="s">
        <v>118</v>
      </c>
      <c r="B39">
        <v>0</v>
      </c>
      <c r="C39">
        <v>6</v>
      </c>
      <c r="D39">
        <v>0.34499999999999997</v>
      </c>
      <c r="E39">
        <v>3.4500000000000003E-2</v>
      </c>
      <c r="F39">
        <v>3.2</v>
      </c>
      <c r="G39">
        <v>29.68885143</v>
      </c>
      <c r="H39">
        <f t="shared" si="0"/>
        <v>0.10778456713102963</v>
      </c>
    </row>
    <row r="40" spans="1:8">
      <c r="A40" t="s">
        <v>120</v>
      </c>
      <c r="B40">
        <v>0</v>
      </c>
      <c r="C40">
        <v>1</v>
      </c>
      <c r="E40">
        <v>2.1100000000000001E-2</v>
      </c>
      <c r="F40">
        <v>2.9</v>
      </c>
      <c r="G40">
        <v>29.68885143</v>
      </c>
      <c r="H40">
        <f t="shared" si="0"/>
        <v>9.76797639624956E-2</v>
      </c>
    </row>
    <row r="41" spans="1:8">
      <c r="A41" t="s">
        <v>120</v>
      </c>
      <c r="B41">
        <v>0</v>
      </c>
      <c r="C41">
        <v>2</v>
      </c>
      <c r="D41">
        <v>0.22900000000000001</v>
      </c>
      <c r="E41">
        <v>2.29E-2</v>
      </c>
      <c r="F41">
        <v>2.9</v>
      </c>
      <c r="G41">
        <v>27.71740672</v>
      </c>
      <c r="H41">
        <f t="shared" si="0"/>
        <v>0.10462739278950842</v>
      </c>
    </row>
    <row r="42" spans="1:8">
      <c r="A42" t="s">
        <v>120</v>
      </c>
      <c r="B42">
        <v>0</v>
      </c>
      <c r="C42">
        <v>3</v>
      </c>
      <c r="D42">
        <v>0.254</v>
      </c>
      <c r="E42">
        <v>2.52E-2</v>
      </c>
      <c r="F42">
        <v>3</v>
      </c>
      <c r="G42">
        <v>29.432067071999999</v>
      </c>
      <c r="H42">
        <f t="shared" si="0"/>
        <v>0.10192963996246224</v>
      </c>
    </row>
    <row r="43" spans="1:8">
      <c r="A43" t="s">
        <v>120</v>
      </c>
      <c r="B43">
        <v>0</v>
      </c>
      <c r="C43">
        <v>4</v>
      </c>
      <c r="D43">
        <v>0.27</v>
      </c>
      <c r="E43">
        <v>2.7E-2</v>
      </c>
      <c r="F43">
        <v>3.1</v>
      </c>
      <c r="G43">
        <v>29.781258821999998</v>
      </c>
      <c r="H43">
        <f t="shared" si="0"/>
        <v>0.10409230914409734</v>
      </c>
    </row>
    <row r="44" spans="1:8">
      <c r="A44" t="s">
        <v>120</v>
      </c>
      <c r="B44">
        <v>0</v>
      </c>
      <c r="C44">
        <v>5</v>
      </c>
      <c r="D44">
        <v>0.27</v>
      </c>
      <c r="E44">
        <v>2.6700000000000002E-2</v>
      </c>
      <c r="F44">
        <v>3</v>
      </c>
      <c r="G44">
        <v>28.657133963999996</v>
      </c>
      <c r="H44">
        <f t="shared" si="0"/>
        <v>0.10468597466057476</v>
      </c>
    </row>
    <row r="45" spans="1:8">
      <c r="A45" t="s">
        <v>120</v>
      </c>
      <c r="B45">
        <v>0</v>
      </c>
      <c r="C45">
        <v>6</v>
      </c>
      <c r="D45">
        <v>0.26800000000000002</v>
      </c>
      <c r="E45">
        <v>2.6599999999999999E-2</v>
      </c>
      <c r="F45">
        <v>3.1</v>
      </c>
      <c r="G45">
        <v>27.610025741999998</v>
      </c>
      <c r="H45">
        <f t="shared" si="0"/>
        <v>0.1122780554052263</v>
      </c>
    </row>
    <row r="46" spans="1:8">
      <c r="A46" t="s">
        <v>116</v>
      </c>
      <c r="B46">
        <v>2</v>
      </c>
      <c r="C46">
        <v>294</v>
      </c>
      <c r="D46">
        <v>1.35</v>
      </c>
      <c r="E46">
        <v>0.112</v>
      </c>
      <c r="F46">
        <v>4.5999999999999996</v>
      </c>
      <c r="G46">
        <v>26.550060767999998</v>
      </c>
      <c r="H46">
        <v>0.17325760721211769</v>
      </c>
    </row>
    <row r="47" spans="1:8">
      <c r="A47" t="s">
        <v>116</v>
      </c>
      <c r="B47">
        <v>2</v>
      </c>
      <c r="C47">
        <v>297</v>
      </c>
      <c r="D47">
        <v>1.97</v>
      </c>
      <c r="E47">
        <v>0.13800000000000001</v>
      </c>
      <c r="F47">
        <v>5.2</v>
      </c>
      <c r="G47">
        <v>27.734815788000002</v>
      </c>
      <c r="H47">
        <v>0.18748997793055036</v>
      </c>
    </row>
    <row r="48" spans="1:8">
      <c r="A48" t="s">
        <v>116</v>
      </c>
      <c r="B48">
        <v>2</v>
      </c>
      <c r="C48">
        <v>302</v>
      </c>
      <c r="D48">
        <v>1.21</v>
      </c>
      <c r="E48">
        <v>9.6000000000000002E-2</v>
      </c>
      <c r="F48">
        <v>4.7</v>
      </c>
      <c r="G48">
        <v>27.374746601999998</v>
      </c>
      <c r="H48">
        <v>0.17169108698367341</v>
      </c>
    </row>
    <row r="49" spans="1:8">
      <c r="A49" t="s">
        <v>116</v>
      </c>
      <c r="B49">
        <v>2</v>
      </c>
      <c r="C49">
        <v>305</v>
      </c>
      <c r="D49">
        <v>0.99299999999999999</v>
      </c>
      <c r="E49">
        <v>7.9699999999999993E-2</v>
      </c>
      <c r="F49">
        <v>4.7</v>
      </c>
      <c r="G49">
        <v>36.636048899999999</v>
      </c>
      <c r="H49">
        <v>0.12828894329814045</v>
      </c>
    </row>
    <row r="50" spans="1:8">
      <c r="A50" t="s">
        <v>116</v>
      </c>
      <c r="B50">
        <v>2</v>
      </c>
      <c r="C50">
        <v>308</v>
      </c>
      <c r="D50">
        <v>1.96</v>
      </c>
      <c r="E50">
        <v>0.14699999999999999</v>
      </c>
      <c r="F50">
        <v>5.4</v>
      </c>
      <c r="G50">
        <v>27.910761839999999</v>
      </c>
      <c r="H50">
        <v>0.19347375865108241</v>
      </c>
    </row>
    <row r="51" spans="1:8">
      <c r="A51" t="s">
        <v>116</v>
      </c>
      <c r="B51">
        <v>2</v>
      </c>
      <c r="C51">
        <v>311</v>
      </c>
      <c r="D51">
        <v>1.47</v>
      </c>
      <c r="E51">
        <v>0.105</v>
      </c>
      <c r="F51">
        <v>5.3</v>
      </c>
      <c r="G51">
        <v>28.269702330000005</v>
      </c>
      <c r="H51">
        <v>0.18747986583415854</v>
      </c>
    </row>
    <row r="52" spans="1:8">
      <c r="A52" t="s">
        <v>113</v>
      </c>
      <c r="B52">
        <v>2</v>
      </c>
      <c r="C52">
        <v>5</v>
      </c>
      <c r="D52">
        <v>1.1000000000000001</v>
      </c>
      <c r="E52">
        <v>9.0300000000000005E-2</v>
      </c>
      <c r="F52">
        <v>4</v>
      </c>
      <c r="G52">
        <v>28.295849999999998</v>
      </c>
      <c r="H52">
        <v>0.14136348616493233</v>
      </c>
    </row>
    <row r="53" spans="1:8">
      <c r="A53" t="s">
        <v>113</v>
      </c>
      <c r="B53">
        <v>2</v>
      </c>
      <c r="C53">
        <v>9</v>
      </c>
      <c r="D53">
        <v>0.99299999999999999</v>
      </c>
      <c r="E53">
        <v>8.5099999999999995E-2</v>
      </c>
      <c r="F53">
        <v>3.9</v>
      </c>
      <c r="G53">
        <v>28.404346032000003</v>
      </c>
      <c r="H53">
        <v>0.13730293229093554</v>
      </c>
    </row>
    <row r="54" spans="1:8">
      <c r="A54" t="s">
        <v>113</v>
      </c>
      <c r="B54">
        <v>2</v>
      </c>
      <c r="C54">
        <v>13</v>
      </c>
      <c r="D54">
        <v>0.93200000000000005</v>
      </c>
      <c r="E54">
        <v>7.9399999999999998E-2</v>
      </c>
      <c r="F54">
        <v>4.0999999999999996</v>
      </c>
      <c r="G54">
        <v>28.794608544000003</v>
      </c>
      <c r="H54">
        <v>0.14238776657563992</v>
      </c>
    </row>
    <row r="55" spans="1:8">
      <c r="A55" t="s">
        <v>113</v>
      </c>
      <c r="B55">
        <v>2</v>
      </c>
      <c r="C55">
        <v>17</v>
      </c>
      <c r="D55">
        <v>0.82199999999999995</v>
      </c>
      <c r="E55">
        <v>7.1400000000000005E-2</v>
      </c>
      <c r="F55">
        <v>3.6</v>
      </c>
      <c r="G55">
        <v>27.231855688</v>
      </c>
      <c r="H55">
        <v>0.13219811537068249</v>
      </c>
    </row>
    <row r="56" spans="1:8">
      <c r="A56" t="s">
        <v>113</v>
      </c>
      <c r="B56">
        <v>2</v>
      </c>
      <c r="C56">
        <v>18</v>
      </c>
      <c r="D56">
        <v>1.01</v>
      </c>
      <c r="E56">
        <v>8.4599999999999995E-2</v>
      </c>
      <c r="F56">
        <v>3.9</v>
      </c>
      <c r="G56">
        <v>28.496637568000001</v>
      </c>
      <c r="H56">
        <v>0.13685825180931044</v>
      </c>
    </row>
    <row r="57" spans="1:8">
      <c r="A57" t="s">
        <v>113</v>
      </c>
      <c r="B57">
        <v>4</v>
      </c>
      <c r="C57">
        <v>25</v>
      </c>
      <c r="D57">
        <v>1.06</v>
      </c>
      <c r="E57">
        <v>8.3099999999999993E-2</v>
      </c>
      <c r="F57">
        <v>4.0999999999999996</v>
      </c>
      <c r="G57">
        <v>28.528960032000001</v>
      </c>
      <c r="H57">
        <v>0.14371361575750269</v>
      </c>
    </row>
    <row r="58" spans="1:8">
      <c r="A58" t="s">
        <v>113</v>
      </c>
      <c r="B58">
        <v>4</v>
      </c>
      <c r="C58">
        <v>29</v>
      </c>
      <c r="D58">
        <v>0.90600000000000003</v>
      </c>
      <c r="E58">
        <v>7.7600000000000002E-2</v>
      </c>
      <c r="F58">
        <v>3.8</v>
      </c>
      <c r="G58">
        <v>28.95673536</v>
      </c>
      <c r="H58">
        <v>0.13123026310656588</v>
      </c>
    </row>
    <row r="59" spans="1:8">
      <c r="A59" t="s">
        <v>113</v>
      </c>
      <c r="B59">
        <v>4</v>
      </c>
      <c r="C59">
        <v>33</v>
      </c>
      <c r="D59">
        <v>0.74</v>
      </c>
      <c r="E59">
        <v>6.6799999999999998E-2</v>
      </c>
      <c r="F59">
        <v>4</v>
      </c>
      <c r="G59">
        <v>28.890388526999999</v>
      </c>
      <c r="H59">
        <v>0.13845435122001673</v>
      </c>
    </row>
    <row r="60" spans="1:8">
      <c r="A60" t="s">
        <v>113</v>
      </c>
      <c r="B60">
        <v>4</v>
      </c>
      <c r="C60">
        <v>37</v>
      </c>
      <c r="D60">
        <v>0.97799999999999998</v>
      </c>
      <c r="E60">
        <v>8.6800000000000002E-2</v>
      </c>
      <c r="F60">
        <v>3.9</v>
      </c>
      <c r="G60">
        <v>28.522808160000004</v>
      </c>
      <c r="H60">
        <v>0.13673267997045629</v>
      </c>
    </row>
    <row r="61" spans="1:8">
      <c r="A61" t="s">
        <v>113</v>
      </c>
      <c r="B61">
        <v>4</v>
      </c>
      <c r="C61">
        <v>38</v>
      </c>
      <c r="D61">
        <v>0.80600000000000005</v>
      </c>
      <c r="E61">
        <v>7.2099999999999997E-2</v>
      </c>
      <c r="F61">
        <v>4</v>
      </c>
      <c r="G61">
        <v>29.365155976</v>
      </c>
      <c r="H61">
        <v>0.13621586084096338</v>
      </c>
    </row>
    <row r="62" spans="1:8">
      <c r="A62" t="s">
        <v>114</v>
      </c>
      <c r="B62">
        <v>2</v>
      </c>
      <c r="C62">
        <v>45</v>
      </c>
      <c r="D62">
        <v>1.1499999999999999</v>
      </c>
      <c r="E62">
        <v>0.104</v>
      </c>
      <c r="F62">
        <v>5.7</v>
      </c>
      <c r="G62">
        <v>28.504194659999996</v>
      </c>
      <c r="H62">
        <v>0.19997056812128861</v>
      </c>
    </row>
    <row r="63" spans="1:8">
      <c r="A63" t="s">
        <v>114</v>
      </c>
      <c r="B63">
        <v>2</v>
      </c>
      <c r="C63">
        <v>49</v>
      </c>
      <c r="D63">
        <v>1.39</v>
      </c>
      <c r="E63">
        <v>0.113</v>
      </c>
      <c r="F63">
        <v>5.5</v>
      </c>
      <c r="G63">
        <v>29.194637472</v>
      </c>
      <c r="H63">
        <v>0.18839076201151467</v>
      </c>
    </row>
    <row r="64" spans="1:8">
      <c r="A64" t="s">
        <v>114</v>
      </c>
      <c r="B64">
        <v>2</v>
      </c>
      <c r="C64">
        <v>53</v>
      </c>
      <c r="D64">
        <v>1.0900000000000001</v>
      </c>
      <c r="E64">
        <v>0.10100000000000001</v>
      </c>
      <c r="F64">
        <v>5.6</v>
      </c>
      <c r="G64">
        <v>27.903522654</v>
      </c>
      <c r="H64">
        <v>0.20069150656851684</v>
      </c>
    </row>
    <row r="65" spans="1:8">
      <c r="A65" t="s">
        <v>114</v>
      </c>
      <c r="B65">
        <v>2</v>
      </c>
      <c r="C65">
        <v>57</v>
      </c>
      <c r="D65">
        <v>1.34</v>
      </c>
      <c r="E65">
        <v>0.114</v>
      </c>
      <c r="F65">
        <v>5.8</v>
      </c>
      <c r="G65">
        <v>28.469256564000002</v>
      </c>
      <c r="H65">
        <v>0.20372853737720101</v>
      </c>
    </row>
    <row r="66" spans="1:8">
      <c r="A66" t="s">
        <v>114</v>
      </c>
      <c r="B66">
        <v>2</v>
      </c>
      <c r="C66">
        <v>58</v>
      </c>
      <c r="D66">
        <v>1.34</v>
      </c>
      <c r="E66">
        <v>0.12</v>
      </c>
      <c r="F66">
        <v>5.6</v>
      </c>
      <c r="G66">
        <v>27.896011228999999</v>
      </c>
      <c r="H66">
        <v>0.20074554580686357</v>
      </c>
    </row>
    <row r="67" spans="1:8">
      <c r="A67" t="s">
        <v>114</v>
      </c>
      <c r="B67">
        <v>4</v>
      </c>
      <c r="C67">
        <v>66</v>
      </c>
      <c r="D67">
        <v>0.755</v>
      </c>
      <c r="E67">
        <v>6.8500000000000005E-2</v>
      </c>
      <c r="F67">
        <v>4.8</v>
      </c>
      <c r="G67">
        <v>27.834476670000001</v>
      </c>
      <c r="H67">
        <v>0.17244800600736424</v>
      </c>
    </row>
    <row r="68" spans="1:8">
      <c r="A68" t="s">
        <v>114</v>
      </c>
      <c r="B68">
        <v>4</v>
      </c>
      <c r="C68">
        <v>70</v>
      </c>
      <c r="D68">
        <v>0.89400000000000002</v>
      </c>
      <c r="E68">
        <v>7.7700000000000005E-2</v>
      </c>
      <c r="F68">
        <v>4.5</v>
      </c>
      <c r="G68">
        <v>25.972281215999999</v>
      </c>
      <c r="H68">
        <v>0.17326163853592552</v>
      </c>
    </row>
    <row r="69" spans="1:8">
      <c r="A69" t="s">
        <v>114</v>
      </c>
      <c r="B69">
        <v>4</v>
      </c>
      <c r="C69">
        <v>74</v>
      </c>
      <c r="D69">
        <v>0.72199999999999998</v>
      </c>
      <c r="E69">
        <v>7.1099999999999997E-2</v>
      </c>
      <c r="F69">
        <v>4.5999999999999996</v>
      </c>
      <c r="G69">
        <v>26.021444292999998</v>
      </c>
      <c r="H69">
        <v>0.1767772744742474</v>
      </c>
    </row>
    <row r="70" spans="1:8">
      <c r="A70" t="s">
        <v>114</v>
      </c>
      <c r="B70">
        <v>4</v>
      </c>
      <c r="C70">
        <v>78</v>
      </c>
      <c r="D70">
        <v>0.55100000000000005</v>
      </c>
      <c r="E70">
        <v>5.1999999999999998E-2</v>
      </c>
      <c r="F70">
        <v>4.5</v>
      </c>
      <c r="G70">
        <v>27.329445492000001</v>
      </c>
      <c r="H70">
        <v>0.16465756692053121</v>
      </c>
    </row>
    <row r="71" spans="1:8">
      <c r="A71" t="s">
        <v>114</v>
      </c>
      <c r="B71">
        <v>4</v>
      </c>
      <c r="C71">
        <v>79</v>
      </c>
      <c r="D71">
        <v>0.63300000000000001</v>
      </c>
      <c r="E71">
        <v>5.8799999999999998E-2</v>
      </c>
      <c r="F71">
        <v>4.8</v>
      </c>
      <c r="G71">
        <v>27.179867999999999</v>
      </c>
      <c r="H71">
        <v>0.17660129916745732</v>
      </c>
    </row>
    <row r="72" spans="1:8">
      <c r="A72" t="s">
        <v>115</v>
      </c>
      <c r="B72">
        <v>2</v>
      </c>
      <c r="C72">
        <v>86</v>
      </c>
      <c r="D72">
        <v>1.0900000000000001</v>
      </c>
      <c r="E72">
        <v>8.2900000000000001E-2</v>
      </c>
      <c r="F72">
        <v>5.0999999999999996</v>
      </c>
      <c r="G72">
        <v>29.039167640000002</v>
      </c>
      <c r="H72">
        <v>0.1756248685645867</v>
      </c>
    </row>
    <row r="73" spans="1:8">
      <c r="A73" t="s">
        <v>115</v>
      </c>
      <c r="B73">
        <v>2</v>
      </c>
      <c r="C73">
        <v>90</v>
      </c>
      <c r="D73">
        <v>1.1599999999999999</v>
      </c>
      <c r="E73">
        <v>7.9100000000000004E-2</v>
      </c>
      <c r="F73">
        <v>5.2</v>
      </c>
      <c r="G73">
        <v>28.040983539999999</v>
      </c>
      <c r="H73">
        <v>0.18544285340713126</v>
      </c>
    </row>
    <row r="74" spans="1:8">
      <c r="A74" t="s">
        <v>115</v>
      </c>
      <c r="B74">
        <v>2</v>
      </c>
      <c r="C74">
        <v>94</v>
      </c>
      <c r="D74">
        <v>0.99199999999999999</v>
      </c>
      <c r="E74">
        <v>7.5200000000000003E-2</v>
      </c>
      <c r="F74">
        <v>5.3</v>
      </c>
      <c r="G74">
        <v>29.990675400000001</v>
      </c>
      <c r="H74">
        <v>0.17672159527290937</v>
      </c>
    </row>
    <row r="75" spans="1:8">
      <c r="A75" t="s">
        <v>115</v>
      </c>
      <c r="B75">
        <v>2</v>
      </c>
      <c r="C75">
        <v>98</v>
      </c>
      <c r="D75">
        <v>1.19</v>
      </c>
      <c r="E75">
        <v>8.2299999999999998E-2</v>
      </c>
      <c r="F75">
        <v>5.5</v>
      </c>
      <c r="G75">
        <v>29.280049416000001</v>
      </c>
      <c r="H75">
        <v>0.18784121303410575</v>
      </c>
    </row>
    <row r="76" spans="1:8">
      <c r="A76" t="s">
        <v>115</v>
      </c>
      <c r="B76">
        <v>2</v>
      </c>
      <c r="C76">
        <v>99</v>
      </c>
      <c r="D76">
        <v>1.1299999999999999</v>
      </c>
      <c r="E76">
        <v>8.4099999999999994E-2</v>
      </c>
      <c r="F76">
        <v>5.3</v>
      </c>
      <c r="G76">
        <v>29.47736505</v>
      </c>
      <c r="H76">
        <v>0.17979897426415323</v>
      </c>
    </row>
    <row r="77" spans="1:8">
      <c r="A77" t="s">
        <v>115</v>
      </c>
      <c r="B77">
        <v>4</v>
      </c>
      <c r="C77">
        <v>106</v>
      </c>
      <c r="D77">
        <v>1.45</v>
      </c>
      <c r="E77">
        <v>0.108</v>
      </c>
      <c r="F77">
        <v>5.6</v>
      </c>
      <c r="G77">
        <v>29.742997956</v>
      </c>
      <c r="H77">
        <v>0.18827960813783137</v>
      </c>
    </row>
    <row r="78" spans="1:8">
      <c r="A78" t="s">
        <v>115</v>
      </c>
      <c r="B78">
        <v>4</v>
      </c>
      <c r="C78">
        <v>110</v>
      </c>
      <c r="D78">
        <v>1.52</v>
      </c>
      <c r="E78">
        <v>0.10199999999999999</v>
      </c>
      <c r="F78">
        <v>5.6</v>
      </c>
      <c r="G78">
        <v>29.866714878000003</v>
      </c>
      <c r="H78">
        <v>0.18749969733447291</v>
      </c>
    </row>
    <row r="79" spans="1:8">
      <c r="A79" t="s">
        <v>115</v>
      </c>
      <c r="B79">
        <v>4</v>
      </c>
      <c r="C79">
        <v>114</v>
      </c>
      <c r="D79">
        <v>1.19</v>
      </c>
      <c r="E79">
        <v>8.4699999999999998E-2</v>
      </c>
      <c r="F79">
        <v>5.8</v>
      </c>
      <c r="G79">
        <v>30.477422976</v>
      </c>
      <c r="H79">
        <v>0.1903048038073073</v>
      </c>
    </row>
    <row r="80" spans="1:8">
      <c r="A80" t="s">
        <v>115</v>
      </c>
      <c r="B80">
        <v>4</v>
      </c>
      <c r="C80">
        <v>118</v>
      </c>
      <c r="D80">
        <v>1.58</v>
      </c>
      <c r="E80">
        <v>9.7500000000000003E-2</v>
      </c>
      <c r="F80">
        <v>5.9</v>
      </c>
      <c r="G80">
        <v>29.344356618000003</v>
      </c>
      <c r="H80">
        <v>0.20106080623287223</v>
      </c>
    </row>
    <row r="81" spans="1:8">
      <c r="A81" t="s">
        <v>115</v>
      </c>
      <c r="B81">
        <v>4</v>
      </c>
      <c r="C81">
        <v>119</v>
      </c>
      <c r="D81">
        <v>0.878</v>
      </c>
      <c r="E81">
        <v>7.1800000000000003E-2</v>
      </c>
      <c r="F81">
        <v>5.5</v>
      </c>
      <c r="G81">
        <v>30.181909212000001</v>
      </c>
      <c r="H81">
        <v>0.18222836605092096</v>
      </c>
    </row>
    <row r="82" spans="1:8">
      <c r="A82" t="s">
        <v>117</v>
      </c>
      <c r="B82">
        <v>2</v>
      </c>
      <c r="C82">
        <v>127</v>
      </c>
      <c r="D82">
        <v>0.191</v>
      </c>
      <c r="E82">
        <v>1.9099999999999999E-2</v>
      </c>
      <c r="F82">
        <v>2.7</v>
      </c>
      <c r="G82">
        <v>24.073621020000001</v>
      </c>
      <c r="H82">
        <v>0.11215595683577809</v>
      </c>
    </row>
    <row r="83" spans="1:8">
      <c r="A83" t="s">
        <v>117</v>
      </c>
      <c r="B83">
        <v>2</v>
      </c>
      <c r="C83">
        <v>132</v>
      </c>
      <c r="D83">
        <v>0.252</v>
      </c>
      <c r="E83">
        <v>2.4E-2</v>
      </c>
      <c r="F83">
        <v>2.7</v>
      </c>
      <c r="G83">
        <v>27.347016786000001</v>
      </c>
      <c r="H83">
        <v>9.8731061641145257E-2</v>
      </c>
    </row>
    <row r="84" spans="1:8">
      <c r="A84" t="s">
        <v>117</v>
      </c>
      <c r="B84">
        <v>2</v>
      </c>
      <c r="C84">
        <v>137</v>
      </c>
      <c r="D84">
        <v>0.19800000000000001</v>
      </c>
      <c r="E84">
        <v>1.95E-2</v>
      </c>
      <c r="F84">
        <v>2.7</v>
      </c>
      <c r="G84">
        <v>27.970427483999995</v>
      </c>
      <c r="H84">
        <v>9.6530523230096824E-2</v>
      </c>
    </row>
    <row r="85" spans="1:8">
      <c r="A85" t="s">
        <v>117</v>
      </c>
      <c r="B85">
        <v>2</v>
      </c>
      <c r="C85">
        <v>140</v>
      </c>
      <c r="D85">
        <v>0.19600000000000001</v>
      </c>
      <c r="E85">
        <v>1.9400000000000001E-2</v>
      </c>
      <c r="F85">
        <v>2.5</v>
      </c>
      <c r="G85">
        <v>27.970427483999995</v>
      </c>
      <c r="H85">
        <v>8.9380114101941494E-2</v>
      </c>
    </row>
    <row r="86" spans="1:8">
      <c r="A86" t="s">
        <v>117</v>
      </c>
      <c r="B86">
        <v>2</v>
      </c>
      <c r="C86">
        <v>141</v>
      </c>
      <c r="D86">
        <v>0.19900000000000001</v>
      </c>
      <c r="E86">
        <v>1.9900000000000001E-2</v>
      </c>
      <c r="F86" s="22">
        <v>2.5</v>
      </c>
      <c r="G86">
        <v>23.618977499999996</v>
      </c>
      <c r="H86">
        <v>0.10584708842709217</v>
      </c>
    </row>
    <row r="87" spans="1:8">
      <c r="A87" t="s">
        <v>117</v>
      </c>
      <c r="B87">
        <v>4</v>
      </c>
      <c r="C87">
        <v>145</v>
      </c>
      <c r="D87">
        <v>0.33400000000000002</v>
      </c>
      <c r="E87">
        <v>2.9700000000000001E-2</v>
      </c>
      <c r="F87" s="22">
        <v>3.2</v>
      </c>
      <c r="G87">
        <v>28.165963175999998</v>
      </c>
      <c r="H87">
        <v>0.11361230503655191</v>
      </c>
    </row>
    <row r="88" spans="1:8">
      <c r="A88" t="s">
        <v>117</v>
      </c>
      <c r="B88">
        <v>4</v>
      </c>
      <c r="C88">
        <v>146</v>
      </c>
      <c r="D88">
        <v>0.23899999999999999</v>
      </c>
      <c r="E88">
        <v>2.3400000000000001E-2</v>
      </c>
      <c r="F88" s="22">
        <v>3.1</v>
      </c>
      <c r="G88">
        <v>28.572870479999999</v>
      </c>
      <c r="H88">
        <v>0.10849452462852449</v>
      </c>
    </row>
    <row r="89" spans="1:8">
      <c r="A89" t="s">
        <v>117</v>
      </c>
      <c r="B89">
        <v>4</v>
      </c>
      <c r="C89">
        <v>149</v>
      </c>
      <c r="D89">
        <v>0.28999999999999998</v>
      </c>
      <c r="E89">
        <v>2.7199999999999998E-2</v>
      </c>
      <c r="F89" s="22">
        <v>3.2</v>
      </c>
      <c r="G89">
        <v>29.479758880000002</v>
      </c>
      <c r="H89">
        <v>0.10854905608373144</v>
      </c>
    </row>
    <row r="90" spans="1:8">
      <c r="A90" t="s">
        <v>117</v>
      </c>
      <c r="B90">
        <v>4</v>
      </c>
      <c r="C90">
        <v>154</v>
      </c>
      <c r="D90">
        <v>0.23300000000000001</v>
      </c>
      <c r="E90">
        <v>2.24E-2</v>
      </c>
      <c r="F90" s="22">
        <v>3.1</v>
      </c>
      <c r="G90">
        <v>30.281699988</v>
      </c>
      <c r="H90">
        <v>0.10237205973338567</v>
      </c>
    </row>
    <row r="91" spans="1:8">
      <c r="A91" t="s">
        <v>117</v>
      </c>
      <c r="B91">
        <v>4</v>
      </c>
      <c r="C91">
        <v>157</v>
      </c>
      <c r="D91">
        <v>0.22500000000000001</v>
      </c>
      <c r="E91">
        <v>2.1600000000000001E-2</v>
      </c>
      <c r="F91" s="22">
        <v>3.1</v>
      </c>
      <c r="G91">
        <v>30.323373498000002</v>
      </c>
      <c r="H91">
        <v>0.1022313694815144</v>
      </c>
    </row>
    <row r="92" spans="1:8">
      <c r="A92" t="s">
        <v>118</v>
      </c>
      <c r="B92">
        <v>2</v>
      </c>
      <c r="C92">
        <v>190</v>
      </c>
      <c r="D92">
        <v>0.378</v>
      </c>
      <c r="E92">
        <v>3.4200000000000001E-2</v>
      </c>
      <c r="F92">
        <v>3</v>
      </c>
      <c r="G92">
        <v>30.757615020000006</v>
      </c>
      <c r="H92">
        <v>9.7536821305854268E-2</v>
      </c>
    </row>
    <row r="93" spans="1:8">
      <c r="A93" t="s">
        <v>118</v>
      </c>
      <c r="B93">
        <v>2</v>
      </c>
      <c r="C93">
        <v>196</v>
      </c>
      <c r="D93">
        <v>0.40300000000000002</v>
      </c>
      <c r="E93">
        <v>3.56E-2</v>
      </c>
      <c r="F93">
        <v>3</v>
      </c>
      <c r="G93">
        <v>30.156613168</v>
      </c>
      <c r="H93">
        <v>9.9480667251565943E-2</v>
      </c>
    </row>
    <row r="94" spans="1:8">
      <c r="A94" t="s">
        <v>118</v>
      </c>
      <c r="B94">
        <v>2</v>
      </c>
      <c r="C94">
        <v>203</v>
      </c>
      <c r="D94">
        <v>0.32500000000000001</v>
      </c>
      <c r="E94">
        <v>3.0200000000000001E-2</v>
      </c>
      <c r="F94">
        <v>2.9</v>
      </c>
      <c r="G94">
        <v>30.744835038000002</v>
      </c>
      <c r="H94">
        <v>9.4324786469521069E-2</v>
      </c>
    </row>
    <row r="95" spans="1:8">
      <c r="A95" t="s">
        <v>118</v>
      </c>
      <c r="B95">
        <v>2</v>
      </c>
      <c r="C95">
        <v>205</v>
      </c>
      <c r="D95">
        <v>0.34699999999999998</v>
      </c>
      <c r="E95">
        <v>3.3000000000000002E-2</v>
      </c>
      <c r="F95">
        <v>2.9</v>
      </c>
      <c r="G95">
        <v>28.327056779999999</v>
      </c>
      <c r="H95">
        <v>0.10237561997784085</v>
      </c>
    </row>
    <row r="96" spans="1:8">
      <c r="A96" t="s">
        <v>118</v>
      </c>
      <c r="B96">
        <v>2</v>
      </c>
      <c r="C96">
        <v>206</v>
      </c>
      <c r="D96">
        <v>0.375</v>
      </c>
      <c r="E96">
        <v>3.3700000000000001E-2</v>
      </c>
      <c r="F96">
        <v>2.9</v>
      </c>
      <c r="G96">
        <v>27.815079733000001</v>
      </c>
      <c r="H96">
        <v>0.10425999234362862</v>
      </c>
    </row>
    <row r="97" spans="1:8">
      <c r="A97" t="s">
        <v>118</v>
      </c>
      <c r="B97">
        <v>4</v>
      </c>
      <c r="C97">
        <v>232</v>
      </c>
      <c r="D97">
        <v>0.36599999999999999</v>
      </c>
      <c r="E97">
        <v>3.4500000000000003E-2</v>
      </c>
      <c r="F97">
        <v>3.1</v>
      </c>
      <c r="G97">
        <v>30.788586503999998</v>
      </c>
      <c r="H97">
        <v>0.10068666190951162</v>
      </c>
    </row>
    <row r="98" spans="1:8">
      <c r="A98" t="s">
        <v>118</v>
      </c>
      <c r="B98">
        <v>4</v>
      </c>
      <c r="C98">
        <v>238</v>
      </c>
      <c r="D98">
        <v>0.35099999999999998</v>
      </c>
      <c r="E98">
        <v>3.39E-2</v>
      </c>
      <c r="F98">
        <v>2.9</v>
      </c>
      <c r="G98">
        <v>30.197811489999996</v>
      </c>
      <c r="H98">
        <v>9.6033449343186167E-2</v>
      </c>
    </row>
    <row r="99" spans="1:8">
      <c r="A99" t="s">
        <v>118</v>
      </c>
      <c r="B99">
        <v>4</v>
      </c>
      <c r="C99">
        <v>244</v>
      </c>
      <c r="D99">
        <v>0.36399999999999999</v>
      </c>
      <c r="E99">
        <v>3.4099999999999998E-2</v>
      </c>
      <c r="F99">
        <v>2.9</v>
      </c>
      <c r="G99">
        <v>30.831237085000001</v>
      </c>
      <c r="H99">
        <v>9.4060448888406964E-2</v>
      </c>
    </row>
    <row r="100" spans="1:8">
      <c r="A100" t="s">
        <v>118</v>
      </c>
      <c r="B100">
        <v>4</v>
      </c>
      <c r="C100">
        <v>246</v>
      </c>
      <c r="D100">
        <v>0.44900000000000001</v>
      </c>
      <c r="E100">
        <v>3.85E-2</v>
      </c>
      <c r="F100">
        <v>2.9</v>
      </c>
      <c r="G100">
        <v>27.914561009999996</v>
      </c>
      <c r="H100">
        <v>0.10388843295658907</v>
      </c>
    </row>
    <row r="101" spans="1:8">
      <c r="A101" t="s">
        <v>118</v>
      </c>
      <c r="B101">
        <v>4</v>
      </c>
      <c r="C101">
        <v>247</v>
      </c>
      <c r="D101">
        <v>0.38300000000000001</v>
      </c>
      <c r="E101">
        <v>3.5700000000000003E-2</v>
      </c>
      <c r="F101">
        <v>3</v>
      </c>
      <c r="G101">
        <v>27.973039176</v>
      </c>
      <c r="H101">
        <v>0.10724612299452635</v>
      </c>
    </row>
    <row r="102" spans="1:8">
      <c r="A102" t="s">
        <v>121</v>
      </c>
      <c r="B102">
        <v>2</v>
      </c>
      <c r="C102">
        <v>250</v>
      </c>
      <c r="D102">
        <v>0.26900000000000002</v>
      </c>
      <c r="E102">
        <v>2.5999999999999999E-2</v>
      </c>
      <c r="F102">
        <v>3.4</v>
      </c>
      <c r="G102">
        <v>24.928563122</v>
      </c>
      <c r="H102">
        <v>0.13638973026084386</v>
      </c>
    </row>
    <row r="103" spans="1:8">
      <c r="A103" t="s">
        <v>121</v>
      </c>
      <c r="B103">
        <v>2</v>
      </c>
      <c r="C103">
        <v>251</v>
      </c>
      <c r="D103">
        <v>0.29199999999999998</v>
      </c>
      <c r="E103">
        <v>2.5899999999999999E-2</v>
      </c>
      <c r="F103">
        <v>3.6</v>
      </c>
      <c r="G103">
        <v>25.241930658000001</v>
      </c>
      <c r="H103">
        <v>0.14261983557343469</v>
      </c>
    </row>
    <row r="104" spans="1:8">
      <c r="A104" t="s">
        <v>121</v>
      </c>
      <c r="B104">
        <v>2</v>
      </c>
      <c r="C104">
        <v>254</v>
      </c>
      <c r="D104">
        <v>0.29199999999999998</v>
      </c>
      <c r="E104">
        <v>2.7799999999999998E-2</v>
      </c>
      <c r="F104">
        <v>3.8</v>
      </c>
      <c r="G104">
        <v>29.738606846000003</v>
      </c>
      <c r="H104">
        <v>0.12778002748004047</v>
      </c>
    </row>
    <row r="105" spans="1:8">
      <c r="A105" t="s">
        <v>121</v>
      </c>
      <c r="B105">
        <v>2</v>
      </c>
      <c r="C105">
        <v>263</v>
      </c>
      <c r="D105">
        <v>0.28000000000000003</v>
      </c>
      <c r="E105">
        <v>2.6100000000000002E-2</v>
      </c>
      <c r="F105">
        <v>3.6</v>
      </c>
      <c r="G105">
        <v>28.640104500000003</v>
      </c>
      <c r="H105">
        <v>0.12569786538313782</v>
      </c>
    </row>
    <row r="106" spans="1:8">
      <c r="A106" t="s">
        <v>121</v>
      </c>
      <c r="B106">
        <v>2</v>
      </c>
      <c r="C106">
        <v>269</v>
      </c>
      <c r="D106">
        <v>0.27200000000000002</v>
      </c>
      <c r="E106">
        <v>2.5600000000000001E-2</v>
      </c>
      <c r="F106">
        <v>3.6</v>
      </c>
      <c r="G106">
        <v>28.750325405999995</v>
      </c>
      <c r="H106">
        <v>0.12521597405115648</v>
      </c>
    </row>
    <row r="107" spans="1:8">
      <c r="A107" t="s">
        <v>121</v>
      </c>
      <c r="B107">
        <v>4</v>
      </c>
      <c r="C107">
        <v>273</v>
      </c>
      <c r="D107">
        <v>0.38700000000000001</v>
      </c>
      <c r="E107">
        <v>3.5799999999999998E-2</v>
      </c>
      <c r="F107">
        <v>3.8</v>
      </c>
      <c r="G107">
        <v>26.890906426999994</v>
      </c>
      <c r="H107">
        <v>0.14131171109147087</v>
      </c>
    </row>
    <row r="108" spans="1:8">
      <c r="A108" t="s">
        <v>121</v>
      </c>
      <c r="B108">
        <v>4</v>
      </c>
      <c r="C108">
        <v>281</v>
      </c>
      <c r="D108">
        <v>0.33200000000000002</v>
      </c>
      <c r="E108">
        <v>3.0800000000000001E-2</v>
      </c>
      <c r="F108">
        <v>3.7</v>
      </c>
      <c r="G108">
        <v>27.042205593000002</v>
      </c>
      <c r="H108">
        <v>0.13682315916412388</v>
      </c>
    </row>
    <row r="109" spans="1:8">
      <c r="A109" t="s">
        <v>121</v>
      </c>
      <c r="B109">
        <v>4</v>
      </c>
      <c r="C109">
        <v>287</v>
      </c>
      <c r="D109">
        <v>0.375</v>
      </c>
      <c r="E109">
        <v>3.4599999999999999E-2</v>
      </c>
      <c r="F109">
        <v>3.8</v>
      </c>
      <c r="G109">
        <v>26.966773415999999</v>
      </c>
      <c r="H109">
        <v>0.14091415169993507</v>
      </c>
    </row>
    <row r="110" spans="1:8">
      <c r="A110" t="s">
        <v>121</v>
      </c>
      <c r="B110">
        <v>4</v>
      </c>
      <c r="C110">
        <v>289</v>
      </c>
      <c r="D110">
        <v>0.33300000000000002</v>
      </c>
      <c r="E110">
        <v>3.27E-2</v>
      </c>
      <c r="F110">
        <v>3.8</v>
      </c>
      <c r="G110">
        <v>24.893199876999997</v>
      </c>
      <c r="H110">
        <v>0.15265213065319896</v>
      </c>
    </row>
    <row r="111" spans="1:8">
      <c r="A111" t="s">
        <v>121</v>
      </c>
      <c r="B111">
        <v>4</v>
      </c>
      <c r="C111">
        <v>290</v>
      </c>
      <c r="D111">
        <v>0.35899999999999999</v>
      </c>
      <c r="E111">
        <v>3.4299999999999997E-2</v>
      </c>
      <c r="F111">
        <v>3.9</v>
      </c>
      <c r="G111">
        <v>26.11846688</v>
      </c>
      <c r="H111">
        <v>0.14931963724817221</v>
      </c>
    </row>
    <row r="112" spans="1:8">
      <c r="A112" t="s">
        <v>120</v>
      </c>
      <c r="B112">
        <v>2</v>
      </c>
      <c r="C112">
        <v>165</v>
      </c>
      <c r="D112">
        <v>0.161</v>
      </c>
      <c r="E112">
        <v>1.6199999999999999E-2</v>
      </c>
      <c r="F112">
        <v>2.7</v>
      </c>
      <c r="G112">
        <v>28.258180236000001</v>
      </c>
      <c r="H112">
        <v>9.5547553927775156E-2</v>
      </c>
    </row>
    <row r="113" spans="1:8">
      <c r="A113" t="s">
        <v>120</v>
      </c>
      <c r="B113">
        <v>2</v>
      </c>
      <c r="C113">
        <v>170</v>
      </c>
      <c r="D113">
        <v>0.19900000000000001</v>
      </c>
      <c r="E113">
        <v>1.95E-2</v>
      </c>
      <c r="F113">
        <v>2.7</v>
      </c>
      <c r="G113">
        <v>28.567221254</v>
      </c>
      <c r="H113">
        <v>9.4513917751869014E-2</v>
      </c>
    </row>
    <row r="114" spans="1:8">
      <c r="A114" t="s">
        <v>120</v>
      </c>
      <c r="B114">
        <v>2</v>
      </c>
      <c r="C114">
        <v>174</v>
      </c>
      <c r="D114">
        <v>0.223</v>
      </c>
      <c r="E114">
        <v>2.1399999999999999E-2</v>
      </c>
      <c r="F114">
        <v>2.8</v>
      </c>
      <c r="G114">
        <v>28.9709082</v>
      </c>
      <c r="H114">
        <v>9.6648678759749751E-2</v>
      </c>
    </row>
    <row r="115" spans="1:8">
      <c r="A115" t="s">
        <v>120</v>
      </c>
      <c r="B115">
        <v>2</v>
      </c>
      <c r="C115">
        <v>177</v>
      </c>
      <c r="D115">
        <v>0.19900000000000001</v>
      </c>
      <c r="E115">
        <v>1.9800000000000002E-2</v>
      </c>
      <c r="F115">
        <v>2.7</v>
      </c>
      <c r="G115">
        <v>28.659273258000006</v>
      </c>
      <c r="H115">
        <v>9.4210344264271148E-2</v>
      </c>
    </row>
    <row r="116" spans="1:8">
      <c r="A116" t="s">
        <v>120</v>
      </c>
      <c r="B116">
        <v>2</v>
      </c>
      <c r="C116">
        <v>178</v>
      </c>
      <c r="D116">
        <v>0.23899999999999999</v>
      </c>
      <c r="E116">
        <v>2.2800000000000001E-2</v>
      </c>
      <c r="F116">
        <v>2.8</v>
      </c>
      <c r="G116">
        <v>27.846069019999998</v>
      </c>
      <c r="H116">
        <v>0.10055279249609501</v>
      </c>
    </row>
    <row r="117" spans="1:8">
      <c r="A117" t="s">
        <v>120</v>
      </c>
      <c r="B117">
        <v>4</v>
      </c>
      <c r="C117">
        <v>210</v>
      </c>
      <c r="D117">
        <v>0.29199999999999998</v>
      </c>
      <c r="E117">
        <v>2.9100000000000001E-2</v>
      </c>
      <c r="F117">
        <v>3.1</v>
      </c>
      <c r="G117">
        <v>30.142581539999998</v>
      </c>
      <c r="H117">
        <v>0.10284454222629268</v>
      </c>
    </row>
    <row r="118" spans="1:8">
      <c r="A118" t="s">
        <v>120</v>
      </c>
      <c r="B118">
        <v>4</v>
      </c>
      <c r="C118">
        <v>216</v>
      </c>
      <c r="D118">
        <v>0.247</v>
      </c>
      <c r="E118">
        <v>2.3800000000000002E-2</v>
      </c>
      <c r="F118">
        <v>3.1</v>
      </c>
      <c r="G118">
        <v>30.125371571999995</v>
      </c>
      <c r="H118">
        <v>0.10290329507109856</v>
      </c>
    </row>
    <row r="119" spans="1:8">
      <c r="A119" t="s">
        <v>120</v>
      </c>
      <c r="B119">
        <v>4</v>
      </c>
      <c r="C119">
        <v>222</v>
      </c>
      <c r="D119">
        <v>0.24299999999999999</v>
      </c>
      <c r="E119">
        <v>2.24E-2</v>
      </c>
      <c r="F119">
        <v>3</v>
      </c>
      <c r="G119">
        <v>30.044601839999995</v>
      </c>
      <c r="H119">
        <v>9.9851547907882032E-2</v>
      </c>
    </row>
    <row r="120" spans="1:8">
      <c r="A120" t="s">
        <v>120</v>
      </c>
      <c r="B120">
        <v>4</v>
      </c>
      <c r="C120">
        <v>226</v>
      </c>
      <c r="D120">
        <v>0.32</v>
      </c>
      <c r="E120">
        <v>2.8799999999999999E-2</v>
      </c>
      <c r="F120">
        <v>3.1</v>
      </c>
      <c r="G120">
        <v>28.532281626999996</v>
      </c>
      <c r="H120">
        <v>0.10864886448711067</v>
      </c>
    </row>
    <row r="121" spans="1:8">
      <c r="A121" t="s">
        <v>120</v>
      </c>
      <c r="B121">
        <v>4</v>
      </c>
      <c r="C121">
        <v>227</v>
      </c>
      <c r="D121">
        <v>0.218</v>
      </c>
      <c r="E121">
        <v>2.1299999999999999E-2</v>
      </c>
      <c r="F121">
        <v>3</v>
      </c>
      <c r="G121">
        <v>27.972237323999998</v>
      </c>
      <c r="H121">
        <v>0.10724919731129334</v>
      </c>
    </row>
    <row r="122" spans="1:8">
      <c r="A122" t="s">
        <v>119</v>
      </c>
      <c r="B122">
        <v>2</v>
      </c>
      <c r="C122">
        <v>456</v>
      </c>
      <c r="D122">
        <v>0.74199999999999999</v>
      </c>
      <c r="E122">
        <v>6.3600000000000004E-2</v>
      </c>
      <c r="F122">
        <v>4.2</v>
      </c>
      <c r="G122">
        <v>32.572000000000003</v>
      </c>
      <c r="H122">
        <v>0.129</v>
      </c>
    </row>
    <row r="123" spans="1:8">
      <c r="A123" t="s">
        <v>119</v>
      </c>
      <c r="B123">
        <v>2</v>
      </c>
      <c r="C123">
        <v>459</v>
      </c>
      <c r="D123">
        <v>0.55000000000000004</v>
      </c>
      <c r="E123">
        <v>6.5500000000000003E-2</v>
      </c>
      <c r="F123">
        <v>4.3</v>
      </c>
      <c r="G123">
        <v>33.250999999999998</v>
      </c>
      <c r="H123">
        <v>0.129</v>
      </c>
    </row>
    <row r="124" spans="1:8">
      <c r="A124" t="s">
        <v>119</v>
      </c>
      <c r="B124">
        <v>2</v>
      </c>
      <c r="C124">
        <v>462</v>
      </c>
      <c r="D124">
        <v>0.57999999999999996</v>
      </c>
      <c r="E124">
        <v>4.9799999999999997E-2</v>
      </c>
      <c r="F124">
        <v>3.9</v>
      </c>
      <c r="G124">
        <v>32.043999999999997</v>
      </c>
      <c r="H124">
        <v>0.122</v>
      </c>
    </row>
    <row r="125" spans="1:8">
      <c r="A125" t="s">
        <v>119</v>
      </c>
      <c r="B125">
        <v>2</v>
      </c>
      <c r="C125">
        <v>469</v>
      </c>
      <c r="D125">
        <v>0.71599999999999997</v>
      </c>
      <c r="E125">
        <v>5.7099999999999998E-2</v>
      </c>
      <c r="F125">
        <v>4.0999999999999996</v>
      </c>
      <c r="G125">
        <v>31.52</v>
      </c>
      <c r="H125">
        <v>0.13</v>
      </c>
    </row>
    <row r="126" spans="1:8">
      <c r="A126" t="s">
        <v>119</v>
      </c>
      <c r="B126">
        <v>2</v>
      </c>
      <c r="C126">
        <v>473</v>
      </c>
      <c r="D126">
        <v>0.53600000000000003</v>
      </c>
      <c r="E126">
        <v>5.4300000000000001E-2</v>
      </c>
      <c r="F126">
        <v>4</v>
      </c>
      <c r="G126">
        <v>30.67</v>
      </c>
      <c r="H126">
        <v>0.13</v>
      </c>
    </row>
    <row r="127" spans="1:8">
      <c r="A127" t="s">
        <v>119</v>
      </c>
      <c r="B127">
        <v>4</v>
      </c>
      <c r="C127">
        <v>475</v>
      </c>
      <c r="D127">
        <v>0.58199999999999996</v>
      </c>
      <c r="E127">
        <v>6.2199999999999998E-2</v>
      </c>
      <c r="F127">
        <v>3.8</v>
      </c>
      <c r="G127">
        <v>30.803999999999998</v>
      </c>
      <c r="H127">
        <v>0.123</v>
      </c>
    </row>
    <row r="128" spans="1:8">
      <c r="A128" t="s">
        <v>119</v>
      </c>
      <c r="B128">
        <v>4</v>
      </c>
      <c r="C128">
        <v>479</v>
      </c>
      <c r="D128">
        <v>0.64</v>
      </c>
      <c r="E128">
        <v>5.0599999999999999E-2</v>
      </c>
      <c r="F128">
        <v>3.9</v>
      </c>
      <c r="G128">
        <v>32.238</v>
      </c>
      <c r="H128">
        <v>0.121</v>
      </c>
    </row>
    <row r="129" spans="1:8">
      <c r="A129" t="s">
        <v>119</v>
      </c>
      <c r="B129">
        <v>4</v>
      </c>
      <c r="C129">
        <v>485</v>
      </c>
      <c r="D129">
        <v>1</v>
      </c>
      <c r="E129">
        <v>7.0599999999999996E-2</v>
      </c>
      <c r="F129">
        <v>4.2</v>
      </c>
      <c r="G129">
        <v>31.353999999999999</v>
      </c>
      <c r="H129">
        <v>0.13400000000000001</v>
      </c>
    </row>
    <row r="130" spans="1:8">
      <c r="A130" t="s">
        <v>119</v>
      </c>
      <c r="B130">
        <v>4</v>
      </c>
      <c r="C130">
        <v>486</v>
      </c>
      <c r="D130">
        <v>0.68700000000000006</v>
      </c>
      <c r="E130">
        <v>5.9900000000000002E-2</v>
      </c>
      <c r="F130">
        <v>3.9</v>
      </c>
      <c r="G130">
        <v>29.42</v>
      </c>
      <c r="H130">
        <v>0.13300000000000001</v>
      </c>
    </row>
    <row r="131" spans="1:8">
      <c r="A131" t="s">
        <v>119</v>
      </c>
      <c r="B131">
        <v>4</v>
      </c>
      <c r="C131">
        <v>490</v>
      </c>
      <c r="D131">
        <v>0.69199999999999995</v>
      </c>
      <c r="E131">
        <v>7.1099999999999997E-2</v>
      </c>
      <c r="F131">
        <v>4</v>
      </c>
      <c r="G131">
        <v>30.036000000000001</v>
      </c>
      <c r="H131">
        <v>0.13300000000000001</v>
      </c>
    </row>
  </sheetData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E3D66-085D-4621-841C-4C2ACB68E99D}">
  <dimension ref="A1:N26"/>
  <sheetViews>
    <sheetView workbookViewId="0">
      <selection activeCell="R10" sqref="R10"/>
    </sheetView>
  </sheetViews>
  <sheetFormatPr defaultRowHeight="15"/>
  <sheetData>
    <row r="1" spans="1:14">
      <c r="A1" t="s">
        <v>109</v>
      </c>
      <c r="B1" t="s">
        <v>108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</row>
    <row r="2" spans="1:14">
      <c r="A2" t="s">
        <v>134</v>
      </c>
      <c r="B2" t="s">
        <v>116</v>
      </c>
      <c r="C2">
        <v>4.1020000000000003</v>
      </c>
      <c r="D2">
        <v>0.1718138527593161</v>
      </c>
      <c r="E2">
        <v>9.5219999999999999E-2</v>
      </c>
      <c r="F2">
        <v>1.0979389782679179E-2</v>
      </c>
      <c r="G2">
        <v>3.12</v>
      </c>
      <c r="H2">
        <v>0.57183913821983179</v>
      </c>
      <c r="I2">
        <v>4.7460000000000002E-2</v>
      </c>
      <c r="J2">
        <v>5.4316664109645011E-3</v>
      </c>
      <c r="K2">
        <v>3.88</v>
      </c>
      <c r="L2">
        <v>0.82583291288250305</v>
      </c>
      <c r="M2">
        <v>0.19243832166852021</v>
      </c>
      <c r="N2">
        <v>1.738217608408633E-3</v>
      </c>
    </row>
    <row r="3" spans="1:14">
      <c r="A3" t="s">
        <v>134</v>
      </c>
      <c r="B3" t="s">
        <v>113</v>
      </c>
      <c r="C3">
        <v>4.2424999999999997</v>
      </c>
      <c r="D3">
        <v>0.88417098648017922</v>
      </c>
      <c r="E3">
        <v>9.8525000000000001E-2</v>
      </c>
      <c r="F3">
        <v>3.0060092592449981E-2</v>
      </c>
      <c r="G3">
        <v>3.4249999999999998</v>
      </c>
      <c r="H3">
        <v>0.69940450861190939</v>
      </c>
      <c r="I3">
        <v>4.9175000000000003E-2</v>
      </c>
      <c r="J3">
        <v>1.4887886574885861E-2</v>
      </c>
      <c r="K3">
        <v>6</v>
      </c>
      <c r="L3">
        <v>1.080123449734643</v>
      </c>
      <c r="M3">
        <v>0.14647902484668041</v>
      </c>
      <c r="N3">
        <v>8.4823152139631834E-4</v>
      </c>
    </row>
    <row r="4" spans="1:14">
      <c r="A4" t="s">
        <v>134</v>
      </c>
      <c r="B4" t="s">
        <v>114</v>
      </c>
      <c r="C4">
        <v>3.65</v>
      </c>
      <c r="D4">
        <v>0.33712015662075151</v>
      </c>
      <c r="E4">
        <v>8.1640000000000004E-2</v>
      </c>
      <c r="F4">
        <v>2.5653323371446438E-2</v>
      </c>
      <c r="G4">
        <v>2.96</v>
      </c>
      <c r="H4">
        <v>0.70922492905988554</v>
      </c>
      <c r="I4">
        <v>4.0800000000000003E-2</v>
      </c>
      <c r="J4">
        <v>1.2775562609920551E-2</v>
      </c>
      <c r="K4">
        <v>5.08</v>
      </c>
      <c r="L4">
        <v>0.44384682042344309</v>
      </c>
      <c r="M4">
        <v>0.21583852399261991</v>
      </c>
      <c r="N4">
        <v>4.6584103888987014E-3</v>
      </c>
    </row>
    <row r="5" spans="1:14">
      <c r="A5" t="s">
        <v>134</v>
      </c>
      <c r="B5" t="s">
        <v>115</v>
      </c>
      <c r="C5">
        <v>4.5175000000000001</v>
      </c>
      <c r="D5">
        <v>1.2770375875439219</v>
      </c>
      <c r="E5">
        <v>4.7E-2</v>
      </c>
      <c r="F5">
        <v>1.2582792482857961E-2</v>
      </c>
      <c r="G5">
        <v>1.65</v>
      </c>
      <c r="H5">
        <v>0.84261497731763579</v>
      </c>
      <c r="I5">
        <v>2.5499999999999998E-2</v>
      </c>
      <c r="J5">
        <v>5.5629728263462399E-3</v>
      </c>
      <c r="K5">
        <v>2.25</v>
      </c>
      <c r="L5">
        <v>0.86986589004665926</v>
      </c>
      <c r="M5">
        <v>0.22907170254828951</v>
      </c>
      <c r="N5">
        <v>5.5159263545680268E-4</v>
      </c>
    </row>
    <row r="6" spans="1:14">
      <c r="A6" t="s">
        <v>134</v>
      </c>
      <c r="B6" t="s">
        <v>117</v>
      </c>
      <c r="C6">
        <v>2.5049999999999999</v>
      </c>
      <c r="D6">
        <v>0.26032031550892593</v>
      </c>
      <c r="E6">
        <v>5.1624999999999997E-2</v>
      </c>
      <c r="F6">
        <v>7.2481606862247003E-3</v>
      </c>
      <c r="G6">
        <v>2.2749999999999999</v>
      </c>
      <c r="H6">
        <v>0.37749172176353751</v>
      </c>
      <c r="I6">
        <v>2.5575000000000001E-2</v>
      </c>
      <c r="J6">
        <v>3.5621856586464809E-3</v>
      </c>
      <c r="K6">
        <v>3.85</v>
      </c>
      <c r="L6">
        <v>0.83466560170326121</v>
      </c>
      <c r="M6">
        <v>0.13579195960050941</v>
      </c>
      <c r="N6">
        <v>4.0017533276013786E-3</v>
      </c>
    </row>
    <row r="7" spans="1:14">
      <c r="A7" t="s">
        <v>134</v>
      </c>
      <c r="B7" t="s">
        <v>118</v>
      </c>
      <c r="C7">
        <v>2.5499999999999998</v>
      </c>
      <c r="D7">
        <v>0.20928449536456351</v>
      </c>
      <c r="E7">
        <v>8.0339999999999995E-2</v>
      </c>
      <c r="F7">
        <v>9.9326733561514082E-3</v>
      </c>
      <c r="G7">
        <v>4.22</v>
      </c>
      <c r="H7">
        <v>0.2774887385102322</v>
      </c>
      <c r="I7">
        <v>4.0160000000000001E-2</v>
      </c>
      <c r="J7">
        <v>4.9611490604496069E-3</v>
      </c>
      <c r="K7">
        <v>6.54</v>
      </c>
      <c r="L7">
        <v>0.83246621553069633</v>
      </c>
      <c r="M7">
        <v>0.119685720110931</v>
      </c>
      <c r="N7">
        <v>1.1325279093891631E-3</v>
      </c>
    </row>
    <row r="8" spans="1:14">
      <c r="A8" t="s">
        <v>134</v>
      </c>
      <c r="B8" t="s">
        <v>119</v>
      </c>
      <c r="C8">
        <v>2.694</v>
      </c>
      <c r="D8">
        <v>0.69550700931047416</v>
      </c>
      <c r="E8">
        <v>8.7160000000000001E-2</v>
      </c>
      <c r="F8">
        <v>8.6080195167064985E-3</v>
      </c>
      <c r="G8">
        <v>3.56</v>
      </c>
      <c r="H8">
        <v>0.32863353450309962</v>
      </c>
      <c r="I8">
        <v>4.3540000000000002E-2</v>
      </c>
      <c r="J8">
        <v>4.297441099072795E-3</v>
      </c>
      <c r="K8">
        <v>5.24</v>
      </c>
      <c r="L8">
        <v>0.95551033484730008</v>
      </c>
      <c r="M8">
        <v>0.15624327372043029</v>
      </c>
      <c r="N8">
        <v>3.1869267365021619E-3</v>
      </c>
    </row>
    <row r="9" spans="1:14">
      <c r="A9" t="s">
        <v>134</v>
      </c>
      <c r="B9" t="s">
        <v>120</v>
      </c>
      <c r="C9">
        <v>1.0197499999999999</v>
      </c>
      <c r="D9">
        <v>0.38661123884336313</v>
      </c>
      <c r="E9">
        <v>2.7099999999999999E-2</v>
      </c>
      <c r="F9">
        <v>1.3987136947924691E-2</v>
      </c>
      <c r="G9">
        <v>2.5</v>
      </c>
      <c r="H9">
        <v>1.4071247279470289</v>
      </c>
      <c r="I9">
        <v>1.35275E-2</v>
      </c>
      <c r="J9">
        <v>6.9722563301511898E-3</v>
      </c>
      <c r="K9">
        <v>5.2</v>
      </c>
      <c r="L9">
        <v>2.0033305601755629</v>
      </c>
      <c r="M9">
        <v>0.1147617855998759</v>
      </c>
      <c r="N9">
        <v>3.0342362535298079E-3</v>
      </c>
    </row>
    <row r="10" spans="1:14">
      <c r="A10" t="s">
        <v>135</v>
      </c>
      <c r="B10" t="s">
        <v>116</v>
      </c>
      <c r="C10">
        <v>3.67</v>
      </c>
      <c r="D10">
        <v>0.55258483511583989</v>
      </c>
      <c r="E10">
        <v>0.10503999999999999</v>
      </c>
      <c r="F10">
        <v>2.1368972834462589E-2</v>
      </c>
      <c r="G10">
        <v>4.0199999999999996</v>
      </c>
      <c r="H10">
        <v>0.89833178725902829</v>
      </c>
      <c r="I10">
        <v>5.2440000000000001E-2</v>
      </c>
      <c r="J10">
        <v>1.068798390717351E-2</v>
      </c>
      <c r="K10">
        <v>4.4800000000000004</v>
      </c>
      <c r="L10">
        <v>0.94180677423768833</v>
      </c>
      <c r="M10">
        <v>0.1847808345026857</v>
      </c>
      <c r="N10">
        <v>3.2103012066292411E-3</v>
      </c>
    </row>
    <row r="11" spans="1:14">
      <c r="A11" t="s">
        <v>135</v>
      </c>
      <c r="B11" t="s">
        <v>113</v>
      </c>
      <c r="C11">
        <v>3.714</v>
      </c>
      <c r="D11">
        <v>0.59768720916546303</v>
      </c>
      <c r="E11">
        <v>0.12458</v>
      </c>
      <c r="F11">
        <v>3.8834675227172939E-2</v>
      </c>
      <c r="G11">
        <v>5.0199999999999996</v>
      </c>
      <c r="H11">
        <v>1.448102206337661</v>
      </c>
      <c r="I11">
        <v>6.2280000000000002E-2</v>
      </c>
      <c r="J11">
        <v>1.950005128198385E-2</v>
      </c>
      <c r="K11">
        <v>6.84</v>
      </c>
      <c r="L11">
        <v>1.5339491516996251</v>
      </c>
      <c r="M11">
        <v>0.1415702693202735</v>
      </c>
      <c r="N11">
        <v>1.9235773714499579E-3</v>
      </c>
    </row>
    <row r="12" spans="1:14">
      <c r="A12" t="s">
        <v>135</v>
      </c>
      <c r="B12" t="s">
        <v>114</v>
      </c>
      <c r="C12">
        <v>4.21</v>
      </c>
      <c r="D12">
        <v>0.95386057681403325</v>
      </c>
      <c r="E12">
        <v>0.10628</v>
      </c>
      <c r="F12">
        <v>2.723696018281041E-2</v>
      </c>
      <c r="G12">
        <v>4.16</v>
      </c>
      <c r="H12">
        <v>2.465360014277834</v>
      </c>
      <c r="I12">
        <v>5.314E-2</v>
      </c>
      <c r="J12">
        <v>1.359845579468493E-2</v>
      </c>
      <c r="K12">
        <v>6.2</v>
      </c>
      <c r="L12">
        <v>2.6739483914241879</v>
      </c>
      <c r="M12">
        <v>0.20701848291489491</v>
      </c>
      <c r="N12">
        <v>7.4489647026189897E-3</v>
      </c>
    </row>
    <row r="13" spans="1:14">
      <c r="A13" t="s">
        <v>135</v>
      </c>
      <c r="B13" t="s">
        <v>115</v>
      </c>
      <c r="C13">
        <v>1.3839999999999999</v>
      </c>
      <c r="D13">
        <v>0.15931101656822111</v>
      </c>
      <c r="E13">
        <v>6.2E-2</v>
      </c>
      <c r="F13">
        <v>1.0767543823918251E-2</v>
      </c>
      <c r="G13">
        <v>5.48</v>
      </c>
      <c r="H13">
        <v>0.67601775124622288</v>
      </c>
      <c r="I13">
        <v>3.4779999999999998E-2</v>
      </c>
      <c r="J13">
        <v>1.036614682512263E-2</v>
      </c>
      <c r="K13">
        <v>6.08</v>
      </c>
      <c r="L13">
        <v>0.49699094559156731</v>
      </c>
      <c r="M13">
        <v>0.1888054062265945</v>
      </c>
      <c r="N13">
        <v>4.92422261712064E-3</v>
      </c>
    </row>
    <row r="14" spans="1:14">
      <c r="A14" t="s">
        <v>135</v>
      </c>
      <c r="B14" t="s">
        <v>117</v>
      </c>
      <c r="C14">
        <v>0.99139999999999995</v>
      </c>
      <c r="D14">
        <v>0.16546842599118411</v>
      </c>
      <c r="E14">
        <v>3.2899999999999999E-2</v>
      </c>
      <c r="F14">
        <v>8.985265716716451E-3</v>
      </c>
      <c r="G14">
        <v>3.58</v>
      </c>
      <c r="H14">
        <v>1.1388590782006349</v>
      </c>
      <c r="I14">
        <v>1.6417999999999999E-2</v>
      </c>
      <c r="J14">
        <v>4.4867159482186959E-3</v>
      </c>
      <c r="K14">
        <v>5.0199999999999996</v>
      </c>
      <c r="L14">
        <v>1.1009087155618309</v>
      </c>
      <c r="M14">
        <v>0.1044167239647983</v>
      </c>
      <c r="N14">
        <v>2.486275032477015E-3</v>
      </c>
    </row>
    <row r="15" spans="1:14">
      <c r="A15" t="s">
        <v>135</v>
      </c>
      <c r="B15" t="s">
        <v>118</v>
      </c>
      <c r="C15">
        <v>1.53</v>
      </c>
      <c r="D15">
        <v>0.32580669115289818</v>
      </c>
      <c r="E15">
        <v>5.9920000000000001E-2</v>
      </c>
      <c r="F15">
        <v>1.062435880418202E-2</v>
      </c>
      <c r="G15">
        <v>5.24</v>
      </c>
      <c r="H15">
        <v>0.26076809620810593</v>
      </c>
      <c r="I15">
        <v>2.9940000000000001E-2</v>
      </c>
      <c r="J15">
        <v>5.2936754717303938E-3</v>
      </c>
      <c r="K15">
        <v>7.54</v>
      </c>
      <c r="L15">
        <v>0.81424811943289177</v>
      </c>
      <c r="M15">
        <v>9.9966658140903317E-2</v>
      </c>
      <c r="N15">
        <v>1.686654442914862E-3</v>
      </c>
    </row>
    <row r="16" spans="1:14">
      <c r="A16" t="s">
        <v>135</v>
      </c>
      <c r="B16" t="s">
        <v>119</v>
      </c>
      <c r="C16">
        <v>3.8039999999999998</v>
      </c>
      <c r="D16">
        <v>0.95761683360308569</v>
      </c>
      <c r="E16">
        <v>0.11456</v>
      </c>
      <c r="F16">
        <v>1.27502156844502E-2</v>
      </c>
      <c r="G16">
        <v>3.96</v>
      </c>
      <c r="H16">
        <v>0.38470768123342691</v>
      </c>
      <c r="I16">
        <v>5.7320000000000003E-2</v>
      </c>
      <c r="J16">
        <v>6.4526738643759154E-3</v>
      </c>
      <c r="K16">
        <v>5.24</v>
      </c>
      <c r="L16">
        <v>0.48270073544588682</v>
      </c>
      <c r="M16">
        <v>0.14084156484952609</v>
      </c>
      <c r="N16">
        <v>3.2673086565951871E-3</v>
      </c>
    </row>
    <row r="17" spans="1:14">
      <c r="A17" t="s">
        <v>135</v>
      </c>
      <c r="B17" t="s">
        <v>120</v>
      </c>
      <c r="C17">
        <v>0.877</v>
      </c>
      <c r="D17">
        <v>0.14945066075464511</v>
      </c>
      <c r="E17">
        <v>3.4619999999999998E-2</v>
      </c>
      <c r="F17">
        <v>6.1267446494855651E-3</v>
      </c>
      <c r="G17">
        <v>4.5</v>
      </c>
      <c r="H17">
        <v>1.2903487900563939</v>
      </c>
      <c r="I17">
        <v>2.0119999999999999E-2</v>
      </c>
      <c r="J17">
        <v>8.9736837474918858E-3</v>
      </c>
      <c r="K17">
        <v>5.6</v>
      </c>
      <c r="L17">
        <v>0.8544003745317531</v>
      </c>
      <c r="M17">
        <v>0.1025003251430322</v>
      </c>
      <c r="N17">
        <v>2.0284320968470479E-3</v>
      </c>
    </row>
    <row r="18" spans="1:14">
      <c r="A18" t="s">
        <v>135</v>
      </c>
      <c r="B18" t="s">
        <v>121</v>
      </c>
      <c r="C18">
        <v>0.6502</v>
      </c>
      <c r="D18">
        <v>0.1123396635209488</v>
      </c>
      <c r="E18">
        <v>2.6759999999999999E-2</v>
      </c>
      <c r="F18">
        <v>3.6760032644163961E-3</v>
      </c>
      <c r="G18">
        <v>4.08</v>
      </c>
      <c r="H18">
        <v>0.69785385289471602</v>
      </c>
      <c r="I18">
        <v>1.3339999999999999E-2</v>
      </c>
      <c r="J18">
        <v>1.820164827701052E-3</v>
      </c>
      <c r="K18">
        <v>5.48</v>
      </c>
      <c r="L18">
        <v>0.83186537372341673</v>
      </c>
      <c r="M18">
        <v>0.13206578406899111</v>
      </c>
      <c r="N18">
        <v>4.1786755230789358E-3</v>
      </c>
    </row>
    <row r="19" spans="1:14">
      <c r="A19" t="s">
        <v>136</v>
      </c>
      <c r="B19" t="s">
        <v>113</v>
      </c>
      <c r="C19">
        <v>3.0819999999999999</v>
      </c>
      <c r="D19">
        <v>0.32406789412096959</v>
      </c>
      <c r="E19">
        <v>0.13239999999999999</v>
      </c>
      <c r="F19">
        <v>2.4047868928451861E-2</v>
      </c>
      <c r="G19">
        <v>6.4</v>
      </c>
      <c r="H19">
        <v>1.8289341158171879</v>
      </c>
      <c r="I19">
        <v>6.6100000000000006E-2</v>
      </c>
      <c r="J19">
        <v>1.1962859190009721E-2</v>
      </c>
      <c r="K19">
        <v>7.82</v>
      </c>
      <c r="L19">
        <v>2.3402991261802408</v>
      </c>
      <c r="M19">
        <v>0.14121485714303941</v>
      </c>
      <c r="N19">
        <v>4.5042164720512784E-3</v>
      </c>
    </row>
    <row r="20" spans="1:14">
      <c r="A20" t="s">
        <v>136</v>
      </c>
      <c r="B20" t="s">
        <v>114</v>
      </c>
      <c r="C20">
        <v>2.2320000000000002</v>
      </c>
      <c r="D20">
        <v>0.27598913022073901</v>
      </c>
      <c r="E20">
        <v>8.2040000000000002E-2</v>
      </c>
      <c r="F20">
        <v>1.4046458628423041E-2</v>
      </c>
      <c r="G20">
        <v>5.76</v>
      </c>
      <c r="H20">
        <v>1.1588787684654509</v>
      </c>
      <c r="I20">
        <v>4.1000000000000002E-2</v>
      </c>
      <c r="J20">
        <v>7.0124888591711863E-3</v>
      </c>
      <c r="K20">
        <v>7.36</v>
      </c>
      <c r="L20">
        <v>1.1545561917897289</v>
      </c>
      <c r="M20">
        <v>0.1791500903917907</v>
      </c>
      <c r="N20">
        <v>5.3619953268675517E-3</v>
      </c>
    </row>
    <row r="21" spans="1:14">
      <c r="A21" t="s">
        <v>136</v>
      </c>
      <c r="B21" t="s">
        <v>115</v>
      </c>
      <c r="C21">
        <v>1.8580000000000001</v>
      </c>
      <c r="D21">
        <v>0.36629223305988889</v>
      </c>
      <c r="E21">
        <v>6.7180000000000004E-2</v>
      </c>
      <c r="F21">
        <v>1.9559575660018799E-2</v>
      </c>
      <c r="G21">
        <v>4.5</v>
      </c>
      <c r="H21">
        <v>1.456021977856103</v>
      </c>
      <c r="I21">
        <v>3.3140000000000003E-2</v>
      </c>
      <c r="J21">
        <v>9.4677346815381352E-3</v>
      </c>
      <c r="K21">
        <v>4.9400000000000004</v>
      </c>
      <c r="L21">
        <v>1.546932448428179</v>
      </c>
      <c r="M21">
        <v>0.19907008433495671</v>
      </c>
      <c r="N21">
        <v>6.4953178286749833E-3</v>
      </c>
    </row>
    <row r="22" spans="1:14">
      <c r="A22" t="s">
        <v>136</v>
      </c>
      <c r="B22" t="s">
        <v>117</v>
      </c>
      <c r="C22">
        <v>1.0184</v>
      </c>
      <c r="D22">
        <v>0.1600712341428028</v>
      </c>
      <c r="E22">
        <v>3.406E-2</v>
      </c>
      <c r="F22">
        <v>3.498999857102027E-3</v>
      </c>
      <c r="G22">
        <v>3.82</v>
      </c>
      <c r="H22">
        <v>0.5357238094391551</v>
      </c>
      <c r="I22">
        <v>1.7000000000000001E-2</v>
      </c>
      <c r="J22">
        <v>1.7606816861659011E-3</v>
      </c>
      <c r="K22">
        <v>5.3</v>
      </c>
      <c r="L22">
        <v>1.137980667674104</v>
      </c>
      <c r="M22">
        <v>0.1117987145887219</v>
      </c>
      <c r="N22">
        <v>1.9719528482283559E-3</v>
      </c>
    </row>
    <row r="23" spans="1:14">
      <c r="A23" t="s">
        <v>136</v>
      </c>
      <c r="B23" t="s">
        <v>118</v>
      </c>
      <c r="C23">
        <v>1.7</v>
      </c>
      <c r="D23">
        <v>0.2201136070305513</v>
      </c>
      <c r="E23">
        <v>7.5119999999999992E-2</v>
      </c>
      <c r="F23">
        <v>9.5753328923855151E-3</v>
      </c>
      <c r="G23">
        <v>6.08</v>
      </c>
      <c r="H23">
        <v>0.54954526656136349</v>
      </c>
      <c r="I23">
        <v>3.7580000000000002E-2</v>
      </c>
      <c r="J23">
        <v>4.7986456422619908E-3</v>
      </c>
      <c r="K23">
        <v>7.94</v>
      </c>
      <c r="L23">
        <v>0.32093613071762439</v>
      </c>
      <c r="M23">
        <v>0.1016095883257634</v>
      </c>
      <c r="N23">
        <v>1.118112730166782E-3</v>
      </c>
    </row>
    <row r="24" spans="1:14">
      <c r="A24" t="s">
        <v>136</v>
      </c>
      <c r="B24" t="s">
        <v>119</v>
      </c>
      <c r="C24">
        <v>3.5533333333333341</v>
      </c>
      <c r="D24">
        <v>1.3357045581514899</v>
      </c>
      <c r="E24">
        <v>0.1277166666666667</v>
      </c>
      <c r="F24">
        <v>2.5370882260313039E-2</v>
      </c>
      <c r="G24">
        <v>4.0999999999999996</v>
      </c>
      <c r="H24">
        <v>0.33466401061363032</v>
      </c>
      <c r="I24">
        <v>6.3833333333333339E-2</v>
      </c>
      <c r="J24">
        <v>1.267006971830332E-2</v>
      </c>
      <c r="K24">
        <v>5.416666666666667</v>
      </c>
      <c r="L24">
        <v>0.47081489639418439</v>
      </c>
      <c r="M24">
        <v>0.14051484538008041</v>
      </c>
      <c r="N24">
        <v>1.7020995400811509E-3</v>
      </c>
    </row>
    <row r="25" spans="1:14">
      <c r="A25" t="s">
        <v>136</v>
      </c>
      <c r="B25" t="s">
        <v>120</v>
      </c>
      <c r="C25">
        <v>1.2150000000000001</v>
      </c>
      <c r="D25">
        <v>0.20068632240389481</v>
      </c>
      <c r="E25">
        <v>4.6920000000000003E-2</v>
      </c>
      <c r="F25">
        <v>9.3705389386096703E-3</v>
      </c>
      <c r="G25">
        <v>5.34</v>
      </c>
      <c r="H25">
        <v>1.258173279004128</v>
      </c>
      <c r="I25">
        <v>2.4240000000000001E-2</v>
      </c>
      <c r="J25">
        <v>5.0122849081032901E-3</v>
      </c>
      <c r="K25">
        <v>6.34</v>
      </c>
      <c r="L25">
        <v>1.359411637437314</v>
      </c>
      <c r="M25">
        <v>0.1058623457334623</v>
      </c>
      <c r="N25">
        <v>2.3910178649451299E-3</v>
      </c>
    </row>
    <row r="26" spans="1:14">
      <c r="A26" t="s">
        <v>136</v>
      </c>
      <c r="B26" t="s">
        <v>121</v>
      </c>
      <c r="C26">
        <v>1.208</v>
      </c>
      <c r="D26">
        <v>0.11903780911962381</v>
      </c>
      <c r="E26">
        <v>3.884E-2</v>
      </c>
      <c r="F26">
        <v>4.9882862788737346E-3</v>
      </c>
      <c r="G26">
        <v>3.9</v>
      </c>
      <c r="H26">
        <v>0.46368092477478512</v>
      </c>
      <c r="I26">
        <v>1.942E-2</v>
      </c>
      <c r="J26">
        <v>2.477296913977006E-3</v>
      </c>
      <c r="K26">
        <v>4.9800000000000004</v>
      </c>
      <c r="L26">
        <v>0.95236547606472988</v>
      </c>
      <c r="M26">
        <v>0.15003975975484229</v>
      </c>
      <c r="N26">
        <v>2.959756943137356E-3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BE907-B6E1-47BE-86A8-1D918DBFEBBD}">
  <dimension ref="A1:H26"/>
  <sheetViews>
    <sheetView tabSelected="1" workbookViewId="0">
      <selection activeCell="J10" sqref="J10"/>
    </sheetView>
  </sheetViews>
  <sheetFormatPr defaultRowHeight="15"/>
  <sheetData>
    <row r="1" spans="1:8">
      <c r="A1" s="53" t="s">
        <v>109</v>
      </c>
      <c r="B1" s="53" t="s">
        <v>108</v>
      </c>
      <c r="C1" s="53" t="s">
        <v>122</v>
      </c>
      <c r="D1" s="53" t="s">
        <v>123</v>
      </c>
      <c r="E1" s="53" t="s">
        <v>137</v>
      </c>
      <c r="F1" s="53" t="s">
        <v>138</v>
      </c>
      <c r="G1" s="53" t="s">
        <v>132</v>
      </c>
      <c r="H1" s="53" t="s">
        <v>133</v>
      </c>
    </row>
    <row r="2" spans="1:8">
      <c r="A2" t="s">
        <v>134</v>
      </c>
      <c r="B2" t="s">
        <v>116</v>
      </c>
      <c r="C2">
        <v>2.4020000000000001</v>
      </c>
      <c r="D2">
        <v>0.34715990551905618</v>
      </c>
      <c r="E2">
        <v>0.24074999999999999</v>
      </c>
      <c r="F2">
        <v>3.2724863126782758E-2</v>
      </c>
      <c r="G2">
        <v>0.2499455726087679</v>
      </c>
      <c r="H2">
        <v>6.5004874970007037E-3</v>
      </c>
    </row>
    <row r="3" spans="1:8">
      <c r="A3" t="s">
        <v>134</v>
      </c>
      <c r="B3" t="s">
        <v>113</v>
      </c>
      <c r="C3">
        <v>1.1168333333333329</v>
      </c>
      <c r="D3">
        <v>0.2161873415967426</v>
      </c>
      <c r="E3">
        <v>0.10484</v>
      </c>
      <c r="F3">
        <v>2.0956335557534862E-2</v>
      </c>
      <c r="G3">
        <v>0.148190213476557</v>
      </c>
      <c r="H3">
        <v>3.1165999507403799E-3</v>
      </c>
    </row>
    <row r="4" spans="1:8">
      <c r="A4" t="s">
        <v>134</v>
      </c>
      <c r="B4" t="s">
        <v>114</v>
      </c>
      <c r="C4">
        <v>1.3220000000000001</v>
      </c>
      <c r="D4">
        <v>0.24671846303023209</v>
      </c>
      <c r="E4">
        <v>0.1232</v>
      </c>
      <c r="F4">
        <v>1.9967473550752481E-2</v>
      </c>
      <c r="G4">
        <v>0.2035266257972794</v>
      </c>
      <c r="H4">
        <v>4.6276097743457919E-3</v>
      </c>
    </row>
    <row r="5" spans="1:8">
      <c r="A5" t="s">
        <v>134</v>
      </c>
      <c r="B5" t="s">
        <v>115</v>
      </c>
      <c r="C5">
        <v>2.2200000000000002</v>
      </c>
      <c r="D5">
        <v>0.18055470085267791</v>
      </c>
      <c r="E5">
        <v>0.16300000000000001</v>
      </c>
      <c r="F5">
        <v>9.1651513899116775E-3</v>
      </c>
      <c r="G5">
        <v>0.22814110069879279</v>
      </c>
      <c r="H5">
        <v>3.416769294400275E-3</v>
      </c>
    </row>
    <row r="6" spans="1:8">
      <c r="A6" t="s">
        <v>134</v>
      </c>
      <c r="B6" t="s">
        <v>117</v>
      </c>
      <c r="C6">
        <v>0.39679999999999999</v>
      </c>
      <c r="D6">
        <v>8.7005746936624721E-3</v>
      </c>
      <c r="E6">
        <v>3.9579999999999997E-2</v>
      </c>
      <c r="F6">
        <v>8.8994381845147979E-4</v>
      </c>
      <c r="G6">
        <v>0.1265575035950029</v>
      </c>
      <c r="H6">
        <v>3.6188174430295769E-3</v>
      </c>
    </row>
    <row r="7" spans="1:8">
      <c r="A7" t="s">
        <v>134</v>
      </c>
      <c r="B7" t="s">
        <v>118</v>
      </c>
      <c r="C7">
        <v>0.42680000000000001</v>
      </c>
      <c r="D7">
        <v>0.14716215546124631</v>
      </c>
      <c r="E7">
        <v>3.5860000000000003E-2</v>
      </c>
      <c r="F7">
        <v>2.6819768828235621E-3</v>
      </c>
      <c r="G7">
        <v>0.1094034391890219</v>
      </c>
      <c r="H7">
        <v>1.2624406187186029E-3</v>
      </c>
    </row>
    <row r="8" spans="1:8">
      <c r="A8" t="s">
        <v>134</v>
      </c>
      <c r="B8" t="s">
        <v>119</v>
      </c>
      <c r="C8">
        <v>0.82799999999999996</v>
      </c>
      <c r="D8">
        <v>0.1365430335095863</v>
      </c>
      <c r="E8">
        <v>7.903333333333333E-2</v>
      </c>
      <c r="F8">
        <v>1.1327782954606191E-2</v>
      </c>
      <c r="G8">
        <v>0.15115735229925989</v>
      </c>
      <c r="H8">
        <v>5.0264089395050376E-3</v>
      </c>
    </row>
    <row r="9" spans="1:8">
      <c r="A9" t="s">
        <v>134</v>
      </c>
      <c r="B9" t="s">
        <v>120</v>
      </c>
      <c r="C9">
        <v>0.25819999999999999</v>
      </c>
      <c r="D9">
        <v>1.7640861656959959E-2</v>
      </c>
      <c r="E9">
        <v>2.491666666666667E-2</v>
      </c>
      <c r="F9">
        <v>2.4111546335037629E-3</v>
      </c>
      <c r="G9">
        <v>0.1042155226540608</v>
      </c>
      <c r="H9">
        <v>4.7613439150240014E-3</v>
      </c>
    </row>
    <row r="10" spans="1:8">
      <c r="A10" t="s">
        <v>135</v>
      </c>
      <c r="B10" t="s">
        <v>116</v>
      </c>
      <c r="C10">
        <v>1.4921666666666671</v>
      </c>
      <c r="D10">
        <v>0.39916934585043812</v>
      </c>
      <c r="E10">
        <v>0.11294999999999999</v>
      </c>
      <c r="F10">
        <v>2.54710620116241E-2</v>
      </c>
      <c r="G10">
        <v>0.1736135399849538</v>
      </c>
      <c r="H10">
        <v>2.382184034277773E-2</v>
      </c>
    </row>
    <row r="11" spans="1:8">
      <c r="A11" t="s">
        <v>135</v>
      </c>
      <c r="B11" t="s">
        <v>113</v>
      </c>
      <c r="C11">
        <v>0.97140000000000004</v>
      </c>
      <c r="D11">
        <v>0.1029164709849692</v>
      </c>
      <c r="E11">
        <v>8.2159999999999997E-2</v>
      </c>
      <c r="F11">
        <v>7.1458379494640087E-3</v>
      </c>
      <c r="G11">
        <v>0.13802211044230009</v>
      </c>
      <c r="H11">
        <v>4.0624637819793108E-3</v>
      </c>
    </row>
    <row r="12" spans="1:8">
      <c r="A12" t="s">
        <v>135</v>
      </c>
      <c r="B12" t="s">
        <v>114</v>
      </c>
      <c r="C12">
        <v>1.262</v>
      </c>
      <c r="D12">
        <v>0.13292855223765879</v>
      </c>
      <c r="E12">
        <v>0.1104</v>
      </c>
      <c r="F12">
        <v>7.765307463326869E-3</v>
      </c>
      <c r="G12">
        <v>0.1987053839770769</v>
      </c>
      <c r="H12">
        <v>5.9441385105906764E-3</v>
      </c>
    </row>
    <row r="13" spans="1:8">
      <c r="A13" t="s">
        <v>135</v>
      </c>
      <c r="B13" t="s">
        <v>115</v>
      </c>
      <c r="C13">
        <v>1.1124000000000001</v>
      </c>
      <c r="D13">
        <v>7.6803645746800292E-2</v>
      </c>
      <c r="E13">
        <v>8.072E-2</v>
      </c>
      <c r="F13">
        <v>3.5974991313411009E-3</v>
      </c>
      <c r="G13">
        <v>0.18108590090857729</v>
      </c>
      <c r="H13">
        <v>5.3652468517238396E-3</v>
      </c>
    </row>
    <row r="14" spans="1:8">
      <c r="A14" t="s">
        <v>135</v>
      </c>
      <c r="B14" t="s">
        <v>117</v>
      </c>
      <c r="C14">
        <v>0.2072</v>
      </c>
      <c r="D14">
        <v>2.5232915011944222E-2</v>
      </c>
      <c r="E14">
        <v>2.0379999999999999E-2</v>
      </c>
      <c r="F14">
        <v>2.0437710243566918E-3</v>
      </c>
      <c r="G14">
        <v>0.10052894884721079</v>
      </c>
      <c r="H14">
        <v>8.7605114770194763E-3</v>
      </c>
    </row>
    <row r="15" spans="1:8">
      <c r="A15" t="s">
        <v>135</v>
      </c>
      <c r="B15" t="s">
        <v>118</v>
      </c>
      <c r="C15">
        <v>0.36559999999999998</v>
      </c>
      <c r="D15">
        <v>3.0146309890266839E-2</v>
      </c>
      <c r="E15">
        <v>3.3340000000000002E-2</v>
      </c>
      <c r="F15">
        <v>1.9969977466186579E-3</v>
      </c>
      <c r="G15">
        <v>9.9595577469682145E-2</v>
      </c>
      <c r="H15">
        <v>3.9216808109268737E-3</v>
      </c>
    </row>
    <row r="16" spans="1:8">
      <c r="A16" t="s">
        <v>135</v>
      </c>
      <c r="B16" t="s">
        <v>119</v>
      </c>
      <c r="C16">
        <v>0.62480000000000002</v>
      </c>
      <c r="D16">
        <v>9.6877241909542389E-2</v>
      </c>
      <c r="E16">
        <v>5.806E-2</v>
      </c>
      <c r="F16">
        <v>6.5063814828213102E-3</v>
      </c>
      <c r="G16">
        <v>0.128</v>
      </c>
      <c r="H16">
        <v>3.391164991562637E-3</v>
      </c>
    </row>
    <row r="17" spans="1:8">
      <c r="A17" t="s">
        <v>135</v>
      </c>
      <c r="B17" t="s">
        <v>120</v>
      </c>
      <c r="C17">
        <v>0.20419999999999999</v>
      </c>
      <c r="D17">
        <v>2.9516097302997219E-2</v>
      </c>
      <c r="E17">
        <v>1.9939999999999999E-2</v>
      </c>
      <c r="F17">
        <v>2.475479751482529E-3</v>
      </c>
      <c r="G17">
        <v>9.6294657439952011E-2</v>
      </c>
      <c r="H17">
        <v>2.5656677571425281E-3</v>
      </c>
    </row>
    <row r="18" spans="1:8">
      <c r="A18" t="s">
        <v>135</v>
      </c>
      <c r="B18" t="s">
        <v>121</v>
      </c>
      <c r="C18">
        <v>0.28100000000000003</v>
      </c>
      <c r="D18">
        <v>1.081665382639195E-2</v>
      </c>
      <c r="E18">
        <v>2.6280000000000001E-2</v>
      </c>
      <c r="F18">
        <v>8.7005746936624729E-4</v>
      </c>
      <c r="G18">
        <v>0.1315406865497227</v>
      </c>
      <c r="H18">
        <v>7.6574126180874126E-3</v>
      </c>
    </row>
    <row r="19" spans="1:8">
      <c r="A19" t="s">
        <v>136</v>
      </c>
      <c r="B19" t="s">
        <v>113</v>
      </c>
      <c r="C19">
        <v>0.89800000000000002</v>
      </c>
      <c r="D19">
        <v>0.12858460249967721</v>
      </c>
      <c r="E19">
        <v>7.7280000000000001E-2</v>
      </c>
      <c r="F19">
        <v>8.0818933425280993E-3</v>
      </c>
      <c r="G19">
        <v>0.13726935417910099</v>
      </c>
      <c r="H19">
        <v>4.4944747657524294E-3</v>
      </c>
    </row>
    <row r="20" spans="1:8">
      <c r="A20" t="s">
        <v>136</v>
      </c>
      <c r="B20" t="s">
        <v>114</v>
      </c>
      <c r="C20">
        <v>0.71099999999999997</v>
      </c>
      <c r="D20">
        <v>0.12964374261799139</v>
      </c>
      <c r="E20">
        <v>6.5619999999999998E-2</v>
      </c>
      <c r="F20">
        <v>1.020132344355378E-2</v>
      </c>
      <c r="G20">
        <v>0.1727491570211051</v>
      </c>
      <c r="H20">
        <v>4.9216838816564558E-3</v>
      </c>
    </row>
    <row r="21" spans="1:8">
      <c r="A21" t="s">
        <v>136</v>
      </c>
      <c r="B21" t="s">
        <v>115</v>
      </c>
      <c r="C21">
        <v>1.3236000000000001</v>
      </c>
      <c r="D21">
        <v>0.29012893685394431</v>
      </c>
      <c r="E21">
        <v>9.2799999999999994E-2</v>
      </c>
      <c r="F21">
        <v>1.4529108713200539E-2</v>
      </c>
      <c r="G21">
        <v>0.18987465631268099</v>
      </c>
      <c r="H21">
        <v>6.9275778685532691E-3</v>
      </c>
    </row>
    <row r="22" spans="1:8">
      <c r="A22" t="s">
        <v>136</v>
      </c>
      <c r="B22" t="s">
        <v>117</v>
      </c>
      <c r="C22">
        <v>0.26419999999999999</v>
      </c>
      <c r="D22">
        <v>4.6590771618422462E-2</v>
      </c>
      <c r="E22">
        <v>2.486E-2</v>
      </c>
      <c r="F22">
        <v>3.453693674893591E-3</v>
      </c>
      <c r="G22">
        <v>0.10705186299274159</v>
      </c>
      <c r="H22">
        <v>4.8088453862471861E-3</v>
      </c>
    </row>
    <row r="23" spans="1:8">
      <c r="A23" t="s">
        <v>136</v>
      </c>
      <c r="B23" t="s">
        <v>118</v>
      </c>
      <c r="C23">
        <v>0.3826</v>
      </c>
      <c r="D23">
        <v>3.8823961673172931E-2</v>
      </c>
      <c r="E23">
        <v>3.5340000000000003E-2</v>
      </c>
      <c r="F23">
        <v>1.899473611293402E-3</v>
      </c>
      <c r="G23">
        <v>0.100383023218444</v>
      </c>
      <c r="H23">
        <v>5.4400361092235838E-3</v>
      </c>
    </row>
    <row r="24" spans="1:8">
      <c r="A24" t="s">
        <v>136</v>
      </c>
      <c r="B24" t="s">
        <v>119</v>
      </c>
      <c r="C24">
        <v>0.72019999999999995</v>
      </c>
      <c r="D24">
        <v>0.1625706000481022</v>
      </c>
      <c r="E24">
        <v>6.2879999999999991E-2</v>
      </c>
      <c r="F24">
        <v>8.4750811205557188E-3</v>
      </c>
      <c r="G24">
        <v>0.1288</v>
      </c>
      <c r="H24">
        <v>6.2609903369994172E-3</v>
      </c>
    </row>
    <row r="25" spans="1:8">
      <c r="A25" t="s">
        <v>136</v>
      </c>
      <c r="B25" t="s">
        <v>120</v>
      </c>
      <c r="C25">
        <v>0.26400000000000001</v>
      </c>
      <c r="D25">
        <v>4.1127849445357592E-2</v>
      </c>
      <c r="E25">
        <v>2.5080000000000002E-2</v>
      </c>
      <c r="F25">
        <v>3.6437617924337481E-3</v>
      </c>
      <c r="G25">
        <v>0.1042994894007355</v>
      </c>
      <c r="H25">
        <v>3.5870689221830388E-3</v>
      </c>
    </row>
    <row r="26" spans="1:8">
      <c r="A26" t="s">
        <v>136</v>
      </c>
      <c r="B26" t="s">
        <v>121</v>
      </c>
      <c r="C26">
        <v>0.35720000000000002</v>
      </c>
      <c r="D26">
        <v>2.46414285300183E-2</v>
      </c>
      <c r="E26">
        <v>3.3640000000000003E-2</v>
      </c>
      <c r="F26">
        <v>1.934683436637631E-3</v>
      </c>
      <c r="G26">
        <v>0.1442041579713802</v>
      </c>
      <c r="H26">
        <v>6.542283704411048E-3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liece</vt:lpstr>
      <vt:lpstr>spiede visa</vt:lpstr>
      <vt:lpstr>lieceStatistikai</vt:lpstr>
      <vt:lpstr>spiedeStatistikai</vt:lpstr>
      <vt:lpstr>Liece_mean_SD</vt:lpstr>
      <vt:lpstr>Spiede_mean_SD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Dell</cp:lastModifiedBy>
  <dcterms:created xsi:type="dcterms:W3CDTF">2024-05-20T08:30:28Z</dcterms:created>
  <dcterms:modified xsi:type="dcterms:W3CDTF">2025-02-11T13:31:13Z</dcterms:modified>
</cp:coreProperties>
</file>