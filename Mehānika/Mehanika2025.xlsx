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MikusKampuss\2025-2026\"/>
    </mc:Choice>
  </mc:AlternateContent>
  <xr:revisionPtr revIDLastSave="0" documentId="13_ncr:1_{74F70687-A4E1-48A5-8385-471CD8766F3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piede" sheetId="1" r:id="rId1"/>
    <sheet name="liece" sheetId="2" r:id="rId2"/>
    <sheet name="spiede_statistikai" sheetId="3" r:id="rId3"/>
    <sheet name="liece_statistikai" sheetId="4" r:id="rId4"/>
    <sheet name="liece_org" sheetId="5" r:id="rId5"/>
    <sheet name="liece_mean_sd" sheetId="6" r:id="rId6"/>
    <sheet name="spiede_mean_sd" sheetId="7" r:id="rId7"/>
    <sheet name="Org_mean_sd" sheetId="8" r:id="rId8"/>
  </sheets>
  <calcPr calcId="181029"/>
  <extLst>
    <ext uri="GoogleSheetsCustomDataVersion2">
      <go:sheetsCustomData xmlns:go="http://customooxmlschemas.google.com/" r:id="rId12" roundtripDataChecksum="RXlNCbezHA3PDzEjXZ66oPABR29DUXg9M1L9IDr4Q2g="/>
    </ext>
  </extLst>
</workbook>
</file>

<file path=xl/calcChain.xml><?xml version="1.0" encoding="utf-8"?>
<calcChain xmlns="http://schemas.openxmlformats.org/spreadsheetml/2006/main">
  <c r="N42" i="3" l="1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62" i="3"/>
  <c r="J107" i="1"/>
  <c r="K107" i="1" s="1"/>
  <c r="J106" i="1"/>
  <c r="K106" i="1" s="1"/>
  <c r="J105" i="1"/>
  <c r="K105" i="1" s="1"/>
  <c r="J104" i="1"/>
  <c r="K104" i="1" s="1"/>
  <c r="J103" i="1"/>
  <c r="K103" i="1" s="1"/>
  <c r="J115" i="1"/>
  <c r="K115" i="1" s="1"/>
  <c r="J114" i="1"/>
  <c r="K114" i="1" s="1"/>
  <c r="J113" i="1"/>
  <c r="K113" i="1" s="1"/>
  <c r="J112" i="1"/>
  <c r="K112" i="1" s="1"/>
  <c r="J111" i="1"/>
  <c r="K111" i="1" s="1"/>
  <c r="J123" i="1"/>
  <c r="K123" i="1" s="1"/>
  <c r="J122" i="1"/>
  <c r="K122" i="1" s="1"/>
  <c r="J121" i="1"/>
  <c r="K121" i="1" s="1"/>
  <c r="J120" i="1"/>
  <c r="K120" i="1" s="1"/>
  <c r="J119" i="1"/>
  <c r="K119" i="1" s="1"/>
  <c r="J131" i="1"/>
  <c r="K131" i="1" s="1"/>
  <c r="J130" i="1"/>
  <c r="K130" i="1" s="1"/>
  <c r="J129" i="1"/>
  <c r="K129" i="1" s="1"/>
  <c r="J128" i="1"/>
  <c r="K128" i="1" s="1"/>
  <c r="J127" i="1"/>
  <c r="K127" i="1" s="1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159" i="2"/>
  <c r="L159" i="2"/>
  <c r="L158" i="2"/>
  <c r="M158" i="2" s="1"/>
  <c r="M157" i="2"/>
  <c r="L157" i="2"/>
  <c r="M156" i="2"/>
  <c r="L156" i="2"/>
  <c r="M155" i="2"/>
  <c r="L155" i="2"/>
  <c r="M151" i="2"/>
  <c r="L151" i="2"/>
  <c r="M150" i="2"/>
  <c r="L150" i="2"/>
  <c r="M149" i="2"/>
  <c r="L149" i="2"/>
  <c r="M148" i="2"/>
  <c r="L148" i="2"/>
  <c r="M147" i="2"/>
  <c r="L147" i="2"/>
  <c r="M143" i="2"/>
  <c r="L143" i="2"/>
  <c r="L142" i="2"/>
  <c r="M142" i="2" s="1"/>
  <c r="M141" i="2"/>
  <c r="L141" i="2"/>
  <c r="L140" i="2"/>
  <c r="M140" i="2" s="1"/>
  <c r="M139" i="2"/>
  <c r="L139" i="2"/>
  <c r="L134" i="2"/>
  <c r="M134" i="2" s="1"/>
  <c r="M133" i="2"/>
  <c r="L133" i="2"/>
  <c r="L129" i="2"/>
  <c r="M129" i="2" s="1"/>
  <c r="M128" i="2"/>
  <c r="L128" i="2"/>
  <c r="L127" i="2"/>
  <c r="M127" i="2" s="1"/>
  <c r="M126" i="2"/>
  <c r="L126" i="2"/>
  <c r="L122" i="2"/>
  <c r="M122" i="2" s="1"/>
  <c r="M121" i="2"/>
  <c r="L121" i="2"/>
  <c r="L120" i="2"/>
  <c r="M120" i="2" s="1"/>
  <c r="M119" i="2"/>
  <c r="L119" i="2"/>
  <c r="L118" i="2"/>
  <c r="M118" i="2" s="1"/>
  <c r="M114" i="2"/>
  <c r="L114" i="2"/>
  <c r="L113" i="2"/>
  <c r="M113" i="2" s="1"/>
  <c r="M112" i="2"/>
  <c r="L112" i="2"/>
  <c r="L111" i="2"/>
  <c r="M111" i="2" s="1"/>
  <c r="M110" i="2"/>
  <c r="L110" i="2"/>
  <c r="L105" i="2"/>
  <c r="M105" i="2" s="1"/>
  <c r="M104" i="2"/>
  <c r="L104" i="2"/>
  <c r="L98" i="2"/>
  <c r="M98" i="2" s="1"/>
  <c r="M97" i="2"/>
  <c r="L97" i="2"/>
  <c r="L93" i="2"/>
  <c r="M93" i="2" s="1"/>
  <c r="M92" i="2"/>
  <c r="L92" i="2"/>
  <c r="L91" i="2"/>
  <c r="M91" i="2" s="1"/>
  <c r="M90" i="2"/>
  <c r="L90" i="2"/>
  <c r="L89" i="2"/>
  <c r="M89" i="2" s="1"/>
  <c r="M88" i="2"/>
  <c r="L88" i="2"/>
  <c r="L84" i="2"/>
  <c r="M84" i="2" s="1"/>
  <c r="M83" i="2"/>
  <c r="L83" i="2"/>
  <c r="L82" i="2"/>
  <c r="M82" i="2" s="1"/>
  <c r="M77" i="2"/>
  <c r="L77" i="2"/>
  <c r="L76" i="2"/>
  <c r="M76" i="2" s="1"/>
  <c r="M72" i="2"/>
  <c r="L72" i="2"/>
  <c r="L71" i="2"/>
  <c r="M71" i="2" s="1"/>
  <c r="M70" i="2"/>
  <c r="L70" i="2"/>
  <c r="L66" i="2"/>
  <c r="M66" i="2" s="1"/>
  <c r="M65" i="2"/>
  <c r="L65" i="2"/>
  <c r="L64" i="2"/>
  <c r="M64" i="2" s="1"/>
  <c r="M60" i="2"/>
  <c r="L60" i="2"/>
  <c r="L59" i="2"/>
  <c r="M59" i="2" s="1"/>
  <c r="M58" i="2"/>
  <c r="L58" i="2"/>
  <c r="L54" i="2"/>
  <c r="M54" i="2" s="1"/>
  <c r="M53" i="2"/>
  <c r="L53" i="2"/>
  <c r="L52" i="2"/>
  <c r="M52" i="2" s="1"/>
  <c r="M51" i="2"/>
  <c r="L51" i="2"/>
  <c r="L47" i="2"/>
  <c r="M47" i="2" s="1"/>
  <c r="M46" i="2"/>
  <c r="L46" i="2"/>
  <c r="L45" i="2"/>
  <c r="M45" i="2" s="1"/>
  <c r="M44" i="2"/>
  <c r="L44" i="2"/>
  <c r="L43" i="2"/>
  <c r="M43" i="2" s="1"/>
  <c r="M39" i="2"/>
  <c r="L39" i="2"/>
  <c r="L38" i="2"/>
  <c r="M38" i="2" s="1"/>
  <c r="M37" i="2"/>
  <c r="L37" i="2"/>
  <c r="L36" i="2"/>
  <c r="M36" i="2" s="1"/>
  <c r="M35" i="2"/>
  <c r="L35" i="2"/>
  <c r="L31" i="2"/>
  <c r="M31" i="2" s="1"/>
  <c r="M30" i="2"/>
  <c r="L30" i="2"/>
  <c r="L29" i="2"/>
  <c r="M29" i="2" s="1"/>
  <c r="M28" i="2"/>
  <c r="L28" i="2"/>
  <c r="L27" i="2"/>
  <c r="M27" i="2" s="1"/>
  <c r="M22" i="2"/>
  <c r="L22" i="2"/>
  <c r="L21" i="2"/>
  <c r="M21" i="2" s="1"/>
  <c r="M16" i="2"/>
  <c r="L16" i="2"/>
  <c r="L15" i="2"/>
  <c r="M15" i="2" s="1"/>
  <c r="M10" i="2"/>
  <c r="L10" i="2"/>
  <c r="L9" i="2"/>
  <c r="M9" i="2" s="1"/>
  <c r="M4" i="2"/>
  <c r="L4" i="2"/>
  <c r="L3" i="2"/>
  <c r="M3" i="2" s="1"/>
  <c r="J98" i="1"/>
  <c r="K98" i="1" s="1"/>
  <c r="J97" i="1"/>
  <c r="K97" i="1" s="1"/>
  <c r="J96" i="1"/>
  <c r="K96" i="1" s="1"/>
  <c r="J95" i="1"/>
  <c r="K95" i="1" s="1"/>
  <c r="J94" i="1"/>
  <c r="K94" i="1" s="1"/>
  <c r="J90" i="1"/>
  <c r="K90" i="1" s="1"/>
  <c r="J89" i="1"/>
  <c r="K89" i="1" s="1"/>
  <c r="J88" i="1"/>
  <c r="K88" i="1" s="1"/>
  <c r="J87" i="1"/>
  <c r="K87" i="1" s="1"/>
  <c r="J86" i="1"/>
  <c r="K86" i="1" s="1"/>
  <c r="J81" i="1"/>
  <c r="K81" i="1" s="1"/>
  <c r="J80" i="1"/>
  <c r="K80" i="1" s="1"/>
  <c r="J79" i="1"/>
  <c r="K79" i="1" s="1"/>
  <c r="J78" i="1"/>
  <c r="K78" i="1" s="1"/>
  <c r="K77" i="1"/>
  <c r="J77" i="1"/>
  <c r="J72" i="1"/>
  <c r="K72" i="1" s="1"/>
  <c r="J71" i="1"/>
  <c r="K71" i="1" s="1"/>
  <c r="J70" i="1"/>
  <c r="K70" i="1" s="1"/>
  <c r="J69" i="1"/>
  <c r="K69" i="1" s="1"/>
  <c r="J68" i="1"/>
  <c r="K68" i="1" s="1"/>
  <c r="J63" i="1"/>
  <c r="K63" i="1" s="1"/>
  <c r="J62" i="1"/>
  <c r="K62" i="1" s="1"/>
  <c r="J61" i="1"/>
  <c r="K61" i="1" s="1"/>
  <c r="J60" i="1"/>
  <c r="K60" i="1" s="1"/>
  <c r="J59" i="1"/>
  <c r="K59" i="1" s="1"/>
  <c r="J55" i="1"/>
  <c r="K55" i="1" s="1"/>
  <c r="J54" i="1"/>
  <c r="K54" i="1" s="1"/>
  <c r="J53" i="1"/>
  <c r="K53" i="1" s="1"/>
  <c r="J52" i="1"/>
  <c r="K52" i="1" s="1"/>
  <c r="J51" i="1"/>
  <c r="K51" i="1" s="1"/>
  <c r="K47" i="1"/>
  <c r="J47" i="1"/>
  <c r="J46" i="1"/>
  <c r="K46" i="1" s="1"/>
  <c r="J45" i="1"/>
  <c r="K45" i="1" s="1"/>
  <c r="J44" i="1"/>
  <c r="K44" i="1" s="1"/>
  <c r="J43" i="1"/>
  <c r="K43" i="1" s="1"/>
  <c r="J39" i="1"/>
  <c r="K39" i="1" s="1"/>
  <c r="J38" i="1"/>
  <c r="K38" i="1" s="1"/>
  <c r="J37" i="1"/>
  <c r="K37" i="1" s="1"/>
  <c r="K36" i="1"/>
  <c r="J36" i="1"/>
  <c r="J35" i="1"/>
  <c r="K35" i="1" s="1"/>
  <c r="J31" i="1"/>
  <c r="K31" i="1" s="1"/>
  <c r="J30" i="1"/>
  <c r="K30" i="1" s="1"/>
  <c r="J29" i="1"/>
  <c r="K29" i="1" s="1"/>
  <c r="J28" i="1"/>
  <c r="K28" i="1" s="1"/>
  <c r="J27" i="1"/>
  <c r="K27" i="1" s="1"/>
  <c r="J23" i="1"/>
  <c r="K23" i="1" s="1"/>
  <c r="K22" i="1"/>
  <c r="J22" i="1"/>
  <c r="J21" i="1"/>
  <c r="K21" i="1" s="1"/>
  <c r="J20" i="1"/>
  <c r="K20" i="1" s="1"/>
  <c r="J19" i="1"/>
  <c r="K19" i="1" s="1"/>
  <c r="J15" i="1"/>
  <c r="K15" i="1" s="1"/>
  <c r="J14" i="1"/>
  <c r="K14" i="1" s="1"/>
  <c r="J13" i="1"/>
  <c r="K13" i="1" s="1"/>
  <c r="J12" i="1"/>
  <c r="K12" i="1" s="1"/>
  <c r="K11" i="1"/>
  <c r="J11" i="1"/>
  <c r="J7" i="1"/>
  <c r="K7" i="1" s="1"/>
  <c r="J6" i="1"/>
  <c r="K6" i="1" s="1"/>
  <c r="J5" i="1"/>
  <c r="K5" i="1" s="1"/>
  <c r="J4" i="1"/>
  <c r="K4" i="1" s="1"/>
  <c r="J3" i="1"/>
  <c r="K3" i="1" s="1"/>
</calcChain>
</file>

<file path=xl/sharedStrings.xml><?xml version="1.0" encoding="utf-8"?>
<sst xmlns="http://schemas.openxmlformats.org/spreadsheetml/2006/main" count="2325" uniqueCount="257">
  <si>
    <t>sl1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</si>
  <si>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</si>
  <si>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t>Max stipr. 𝜎fM</t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</si>
  <si>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</si>
  <si>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</si>
  <si>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>augstums</t>
  </si>
  <si>
    <t>platums</t>
  </si>
  <si>
    <t>garums</t>
  </si>
  <si>
    <t>masa</t>
  </si>
  <si>
    <t>tilpums</t>
  </si>
  <si>
    <t>blīvums</t>
  </si>
  <si>
    <t>Series</t>
  </si>
  <si>
    <t>Ef</t>
  </si>
  <si>
    <t>σfM</t>
  </si>
  <si>
    <t>εfM</t>
  </si>
  <si>
    <t>σfB</t>
  </si>
  <si>
    <t>biezums</t>
  </si>
  <si>
    <t xml:space="preserve"> platums</t>
  </si>
  <si>
    <t>Nr</t>
  </si>
  <si>
    <t xml:space="preserve">  MPa  </t>
  </si>
  <si>
    <t xml:space="preserve">     MPa      </t>
  </si>
  <si>
    <t xml:space="preserve">       %        </t>
  </si>
  <si>
    <t xml:space="preserve"> mm  </t>
  </si>
  <si>
    <t xml:space="preserve">        mm        </t>
  </si>
  <si>
    <t>g</t>
  </si>
  <si>
    <t>cm3</t>
  </si>
  <si>
    <t>g/cm3</t>
  </si>
  <si>
    <t xml:space="preserve">n = 5 </t>
  </si>
  <si>
    <t xml:space="preserve">     MPa     </t>
  </si>
  <si>
    <t xml:space="preserve">       %       </t>
  </si>
  <si>
    <t xml:space="preserve">  mm   </t>
  </si>
  <si>
    <t xml:space="preserve">      -      </t>
  </si>
  <si>
    <t xml:space="preserve">       -       </t>
  </si>
  <si>
    <t>{ol x}</t>
  </si>
  <si>
    <t xml:space="preserve">  s   </t>
  </si>
  <si>
    <t xml:space="preserve"> {ny} </t>
  </si>
  <si>
    <t>sl2sub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</si>
  <si>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</si>
  <si>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</si>
  <si>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</si>
  <si>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>sl3sub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</si>
  <si>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</si>
  <si>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</si>
  <si>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</si>
  <si>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>sl4sub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</si>
  <si>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</si>
  <si>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</si>
  <si>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</si>
  <si>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>sl1 hito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</si>
  <si>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</si>
  <si>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</si>
  <si>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</si>
  <si>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 xml:space="preserve">      -       </t>
  </si>
  <si>
    <t>sl2 hito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</si>
  <si>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</si>
  <si>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</si>
  <si>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</si>
  <si>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>sl3 hito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</si>
  <si>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</si>
  <si>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</si>
  <si>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</si>
  <si>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>sl4 hito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</si>
  <si>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</si>
  <si>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</si>
  <si>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</si>
  <si>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>Sa1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</si>
  <si>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</si>
  <si>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</si>
  <si>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</si>
  <si>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>Sa2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</si>
  <si>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</si>
  <si>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</si>
  <si>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</si>
  <si>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>Sa3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</si>
  <si>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</si>
  <si>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</si>
  <si>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</si>
  <si>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>Sa4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</si>
  <si>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</si>
  <si>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</si>
  <si>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</si>
  <si>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t>sl1 sub hito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</si>
  <si>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</si>
  <si>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</si>
  <si>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</si>
  <si>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</si>
  <si>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Support separ.</t>
  </si>
  <si>
    <t>εfB</t>
  </si>
  <si>
    <t>mm</t>
  </si>
  <si>
    <t xml:space="preserve">n = 2 </t>
  </si>
  <si>
    <t xml:space="preserve">  mm  </t>
  </si>
  <si>
    <t>sl4 sub hito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</si>
  <si>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</si>
  <si>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</si>
  <si>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</si>
  <si>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</si>
  <si>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sl2 sub hito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</si>
  <si>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</si>
  <si>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</si>
  <si>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</si>
  <si>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</si>
  <si>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sl3 sub hito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</si>
  <si>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</si>
  <si>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</si>
  <si>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</si>
  <si>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</si>
  <si>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 xml:space="preserve"> mm </t>
  </si>
  <si>
    <t xml:space="preserve">Sl1 sub 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</si>
  <si>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</si>
  <si>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</si>
  <si>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</si>
  <si>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</si>
  <si>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sl2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</si>
  <si>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</si>
  <si>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</si>
  <si>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</si>
  <si>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</si>
  <si>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sl3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</si>
  <si>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</si>
  <si>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</si>
  <si>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</si>
  <si>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</si>
  <si>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sl4 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</si>
  <si>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</si>
  <si>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</si>
  <si>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</si>
  <si>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</si>
  <si>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 xml:space="preserve">n = 4 </t>
  </si>
  <si>
    <t>sl2 hito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</si>
  <si>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</si>
  <si>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</si>
  <si>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</si>
  <si>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</si>
  <si>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 xml:space="preserve">n = 3 </t>
  </si>
  <si>
    <t>sl1 hito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</si>
  <si>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</si>
  <si>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</si>
  <si>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</si>
  <si>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</si>
  <si>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sl3 hito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</si>
  <si>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</si>
  <si>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</si>
  <si>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</si>
  <si>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</si>
  <si>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sl4 hito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</si>
  <si>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</si>
  <si>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</si>
  <si>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</si>
  <si>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</si>
  <si>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sl1o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</si>
  <si>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</si>
  <si>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</si>
  <si>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</si>
  <si>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</si>
  <si>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sl2o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</si>
  <si>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</si>
  <si>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</si>
  <si>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</si>
  <si>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</si>
  <si>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 xml:space="preserve">n = 6 </t>
  </si>
  <si>
    <t>sl3o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</si>
  <si>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</si>
  <si>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</si>
  <si>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</si>
  <si>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</si>
  <si>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11.11.25</t>
  </si>
  <si>
    <t>sa1hitosub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</si>
  <si>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</si>
  <si>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</si>
  <si>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</si>
  <si>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</si>
  <si>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 xml:space="preserve">   mm   </t>
  </si>
  <si>
    <t>sa2hitosub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</si>
  <si>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</si>
  <si>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</si>
  <si>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</si>
  <si>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</si>
  <si>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sa3hitosub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</si>
  <si>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</si>
  <si>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</si>
  <si>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</si>
  <si>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</si>
  <si>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sa4hitosub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</si>
  <si>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</si>
  <si>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</si>
  <si>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</si>
  <si>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</si>
  <si>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sa1sub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</si>
  <si>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</si>
  <si>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</si>
  <si>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</si>
  <si>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</si>
  <si>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sa2sub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</si>
  <si>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</si>
  <si>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</si>
  <si>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</si>
  <si>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</si>
  <si>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sa3sub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</si>
  <si>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</si>
  <si>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</si>
  <si>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</si>
  <si>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</si>
  <si>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sa4sub</t>
  </si>
  <si>
    <r>
      <rPr>
        <sz val="11"/>
        <color theme="1"/>
        <rFont val="Calibri"/>
      </rPr>
      <t>Modulis E</t>
    </r>
    <r>
      <rPr>
        <vertAlign val="subscript"/>
        <sz val="11"/>
        <color theme="1"/>
        <rFont val="Calibri (Body)"/>
      </rPr>
      <t>f</t>
    </r>
  </si>
  <si>
    <r>
      <rPr>
        <sz val="11"/>
        <color theme="1"/>
        <rFont val="Calibri"/>
      </rPr>
      <t>Def. pie max stipr. 𝜀</t>
    </r>
    <r>
      <rPr>
        <vertAlign val="subscript"/>
        <sz val="11"/>
        <color theme="1"/>
        <rFont val="Calibri (Body)"/>
      </rPr>
      <t>fM</t>
    </r>
  </si>
  <si>
    <r>
      <rPr>
        <sz val="11"/>
        <color theme="1"/>
        <rFont val="Calibri"/>
      </rPr>
      <t>Stipr. pie salūšanas 𝜎</t>
    </r>
    <r>
      <rPr>
        <vertAlign val="subscript"/>
        <sz val="11"/>
        <color theme="1"/>
        <rFont val="Calibri (Body)"/>
      </rPr>
      <t>fB</t>
    </r>
  </si>
  <si>
    <r>
      <rPr>
        <sz val="11"/>
        <color theme="1"/>
        <rFont val="Calibri"/>
      </rPr>
      <t>Def. pie salūšanas 𝜀</t>
    </r>
    <r>
      <rPr>
        <vertAlign val="subscript"/>
        <sz val="11"/>
        <color theme="1"/>
        <rFont val="Calibri (Body)"/>
      </rPr>
      <t>fM</t>
    </r>
  </si>
  <si>
    <t>apstrade</t>
  </si>
  <si>
    <t>substrate</t>
  </si>
  <si>
    <t>nr</t>
  </si>
  <si>
    <t xml:space="preserve"> Ef</t>
  </si>
  <si>
    <t>Stiprība 𝜎10</t>
  </si>
  <si>
    <t>density</t>
  </si>
  <si>
    <t>mass</t>
  </si>
  <si>
    <t>volume</t>
  </si>
  <si>
    <t>mo</t>
  </si>
  <si>
    <t>m1</t>
  </si>
  <si>
    <t>m2</t>
  </si>
  <si>
    <t>hito_g_g_mk</t>
  </si>
  <si>
    <t>sub_sk_g_g_mk</t>
  </si>
  <si>
    <t>init_density</t>
  </si>
  <si>
    <t>sub</t>
  </si>
  <si>
    <t>BSD1</t>
  </si>
  <si>
    <t>BSD2</t>
  </si>
  <si>
    <t>BSD3</t>
  </si>
  <si>
    <t>BSD4</t>
  </si>
  <si>
    <t>hito_sub</t>
  </si>
  <si>
    <t>WS1</t>
  </si>
  <si>
    <t>WS2</t>
  </si>
  <si>
    <t>WS3</t>
  </si>
  <si>
    <t>WS4</t>
  </si>
  <si>
    <t>Def. pie max stipr. 𝜀fM</t>
  </si>
  <si>
    <t>Stipr. pie salūšanas 𝜎fB</t>
  </si>
  <si>
    <t>Def. pie salūšanas 𝜀fM</t>
  </si>
  <si>
    <t>hito</t>
  </si>
  <si>
    <t>mean_ef</t>
  </si>
  <si>
    <t>sd_ef</t>
  </si>
  <si>
    <t>mean_max_stipr_σf_m</t>
  </si>
  <si>
    <t>sd_max_stipr_σf_m</t>
  </si>
  <si>
    <t>mean_def_pie_max_stipr_εf_m</t>
  </si>
  <si>
    <t>sd_def_pie_max_stipr_εf_m</t>
  </si>
  <si>
    <t>mean_stipr_pie_salusanas_σf_b</t>
  </si>
  <si>
    <t>sd_stipr_pie_salusanas_σf_b</t>
  </si>
  <si>
    <t>mean_def_pie_salusanas_εf_m</t>
  </si>
  <si>
    <t>sd_def_pie_salusanas_εf_m</t>
  </si>
  <si>
    <t>mean_density</t>
  </si>
  <si>
    <t>sd_density</t>
  </si>
  <si>
    <t>control</t>
  </si>
  <si>
    <t>mean_stipriba_σ10</t>
  </si>
  <si>
    <t>sd_stipriba_σ10</t>
  </si>
  <si>
    <t>cont</t>
  </si>
  <si>
    <t>org</t>
  </si>
  <si>
    <t>Sa4hitosub</t>
  </si>
  <si>
    <t>Sa3hitosub</t>
  </si>
  <si>
    <t>Sa2hitosub</t>
  </si>
  <si>
    <t>Sa1hitosub</t>
  </si>
  <si>
    <t>09.12.25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</si>
</sst>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>
    <font>
      <sz val="11"/>
      <color theme="1"/>
      <name val="Calibri"/>
      <scheme val="minor"/>
    </font>
    <font>
      <sz val="11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vertAlign val="subscript"/>
      <sz val="11"/>
      <color theme="1"/>
      <name val="Calibri (Body)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D0CECE"/>
        <bgColor rgb="FFD0CECE"/>
      </patternFill>
    </fill>
    <fill>
      <patternFill patternType="solid">
        <fgColor rgb="FFBFBFBF"/>
        <bgColor rgb="FFBFBFB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2" fillId="2" borderId="6" xfId="0" applyFont="1" applyFill="1" applyBorder="1"/>
    <xf numFmtId="0" fontId="3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2" borderId="11" xfId="0" applyFont="1" applyFill="1" applyBorder="1"/>
    <xf numFmtId="0" fontId="3" fillId="0" borderId="12" xfId="0" applyFont="1" applyBorder="1"/>
    <xf numFmtId="0" fontId="2" fillId="3" borderId="6" xfId="0" applyFont="1" applyFill="1" applyBorder="1"/>
    <xf numFmtId="0" fontId="2" fillId="3" borderId="11" xfId="0" applyFont="1" applyFill="1" applyBorder="1"/>
    <xf numFmtId="0" fontId="2" fillId="4" borderId="6" xfId="0" applyFont="1" applyFill="1" applyBorder="1"/>
    <xf numFmtId="0" fontId="2" fillId="4" borderId="11" xfId="0" applyFont="1" applyFill="1" applyBorder="1"/>
    <xf numFmtId="0" fontId="2" fillId="5" borderId="6" xfId="0" applyFont="1" applyFill="1" applyBorder="1"/>
    <xf numFmtId="0" fontId="2" fillId="5" borderId="11" xfId="0" applyFont="1" applyFill="1" applyBorder="1"/>
    <xf numFmtId="0" fontId="2" fillId="4" borderId="13" xfId="0" applyFont="1" applyFill="1" applyBorder="1"/>
    <xf numFmtId="0" fontId="2" fillId="5" borderId="14" xfId="0" applyFont="1" applyFill="1" applyBorder="1"/>
    <xf numFmtId="1" fontId="1" fillId="0" borderId="4" xfId="0" applyNumberFormat="1" applyFont="1" applyBorder="1"/>
    <xf numFmtId="164" fontId="1" fillId="0" borderId="0" xfId="0" applyNumberFormat="1" applyFont="1"/>
    <xf numFmtId="1" fontId="1" fillId="0" borderId="8" xfId="0" applyNumberFormat="1" applyFont="1" applyBorder="1"/>
    <xf numFmtId="164" fontId="1" fillId="0" borderId="9" xfId="0" applyNumberFormat="1" applyFont="1" applyBorder="1"/>
    <xf numFmtId="2" fontId="1" fillId="0" borderId="2" xfId="0" applyNumberFormat="1" applyFont="1" applyBorder="1"/>
    <xf numFmtId="165" fontId="1" fillId="0" borderId="2" xfId="0" applyNumberFormat="1" applyFont="1" applyBorder="1"/>
    <xf numFmtId="165" fontId="1" fillId="0" borderId="3" xfId="0" applyNumberFormat="1" applyFont="1" applyBorder="1"/>
    <xf numFmtId="0" fontId="4" fillId="0" borderId="15" xfId="0" applyFont="1" applyBorder="1"/>
    <xf numFmtId="0" fontId="1" fillId="0" borderId="0" xfId="0" applyFont="1" applyAlignment="1">
      <alignment vertical="center"/>
    </xf>
    <xf numFmtId="0" fontId="2" fillId="2" borderId="16" xfId="0" applyFont="1" applyFill="1" applyBorder="1"/>
    <xf numFmtId="0" fontId="3" fillId="0" borderId="17" xfId="0" applyFont="1" applyBorder="1"/>
    <xf numFmtId="165" fontId="1" fillId="0" borderId="0" xfId="0" applyNumberFormat="1" applyFont="1"/>
    <xf numFmtId="165" fontId="1" fillId="0" borderId="5" xfId="0" applyNumberFormat="1" applyFont="1" applyBorder="1"/>
    <xf numFmtId="0" fontId="2" fillId="2" borderId="7" xfId="0" applyFont="1" applyFill="1" applyBorder="1"/>
    <xf numFmtId="0" fontId="2" fillId="5" borderId="7" xfId="0" applyFont="1" applyFill="1" applyBorder="1"/>
    <xf numFmtId="0" fontId="2" fillId="3" borderId="7" xfId="0" applyFont="1" applyFill="1" applyBorder="1"/>
    <xf numFmtId="0" fontId="2" fillId="4" borderId="7" xfId="0" applyFont="1" applyFill="1" applyBorder="1"/>
    <xf numFmtId="0" fontId="2" fillId="2" borderId="18" xfId="0" applyFont="1" applyFill="1" applyBorder="1"/>
    <xf numFmtId="0" fontId="2" fillId="3" borderId="18" xfId="0" applyFont="1" applyFill="1" applyBorder="1"/>
    <xf numFmtId="164" fontId="3" fillId="0" borderId="7" xfId="0" applyNumberFormat="1" applyFont="1" applyBorder="1"/>
    <xf numFmtId="0" fontId="2" fillId="4" borderId="18" xfId="0" applyFont="1" applyFill="1" applyBorder="1"/>
    <xf numFmtId="0" fontId="2" fillId="5" borderId="18" xfId="0" applyFont="1" applyFill="1" applyBorder="1"/>
    <xf numFmtId="0" fontId="2" fillId="0" borderId="19" xfId="0" applyFont="1" applyBorder="1"/>
    <xf numFmtId="0" fontId="3" fillId="6" borderId="18" xfId="0" applyFont="1" applyFill="1" applyBorder="1"/>
    <xf numFmtId="0" fontId="1" fillId="7" borderId="14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65" fontId="1" fillId="0" borderId="9" xfId="0" applyNumberFormat="1" applyFont="1" applyBorder="1"/>
    <xf numFmtId="165" fontId="1" fillId="0" borderId="10" xfId="0" applyNumberFormat="1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1" fontId="6" fillId="0" borderId="0" xfId="0" applyNumberFormat="1" applyFont="1"/>
    <xf numFmtId="164" fontId="6" fillId="0" borderId="0" xfId="0" applyNumberFormat="1" applyFont="1"/>
    <xf numFmtId="2" fontId="1" fillId="0" borderId="0" xfId="0" applyNumberFormat="1" applyFont="1"/>
    <xf numFmtId="0" fontId="3" fillId="0" borderId="0" xfId="0" applyFont="1"/>
    <xf numFmtId="1" fontId="1" fillId="0" borderId="14" xfId="0" applyNumberFormat="1" applyFont="1" applyBorder="1"/>
    <xf numFmtId="0" fontId="1" fillId="0" borderId="14" xfId="0" applyFont="1" applyBorder="1"/>
    <xf numFmtId="164" fontId="1" fillId="0" borderId="14" xfId="0" applyNumberFormat="1" applyFont="1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0" fillId="0" borderId="23" xfId="0" applyBorder="1"/>
    <xf numFmtId="0" fontId="0" fillId="0" borderId="14" xfId="0" applyBorder="1"/>
    <xf numFmtId="0" fontId="1" fillId="0" borderId="24" xfId="0" applyFont="1" applyBorder="1"/>
    <xf numFmtId="0" fontId="0" fillId="0" borderId="25" xfId="0" applyBorder="1"/>
    <xf numFmtId="0" fontId="0" fillId="0" borderId="26" xfId="0" applyBorder="1"/>
    <xf numFmtId="0" fontId="1" fillId="0" borderId="26" xfId="0" applyFont="1" applyBorder="1"/>
    <xf numFmtId="0" fontId="1" fillId="0" borderId="27" xfId="0" applyFont="1" applyBorder="1"/>
    <xf numFmtId="0" fontId="1" fillId="0" borderId="20" xfId="0" applyFont="1" applyBorder="1"/>
    <xf numFmtId="0" fontId="0" fillId="0" borderId="24" xfId="0" applyBorder="1"/>
    <xf numFmtId="0" fontId="0" fillId="0" borderId="27" xfId="0" applyBorder="1"/>
    <xf numFmtId="0" fontId="0" fillId="0" borderId="0" xfId="0" applyFont="1"/>
    <xf numFmtId="165" fontId="0" fillId="0" borderId="0" xfId="0" applyNumberFormat="1"/>
    <xf numFmtId="4" fontId="0" fillId="0" borderId="0" xfId="0" applyNumberForma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3"/>
  <sheetViews>
    <sheetView topLeftCell="A112" zoomScale="70" zoomScaleNormal="70" workbookViewId="0">
      <selection activeCell="H137" sqref="H137"/>
    </sheetView>
  </sheetViews>
  <sheetFormatPr defaultColWidth="14.42578125" defaultRowHeight="15" customHeight="1"/>
  <cols>
    <col min="1" max="26" width="8.7109375" customWidth="1"/>
  </cols>
  <sheetData>
    <row r="1" spans="1:20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7</v>
      </c>
    </row>
    <row r="2" spans="1:20">
      <c r="A2" s="4" t="s">
        <v>18</v>
      </c>
      <c r="B2" s="5" t="s">
        <v>19</v>
      </c>
      <c r="C2" s="5" t="s">
        <v>20</v>
      </c>
      <c r="D2" s="5" t="s">
        <v>21</v>
      </c>
      <c r="E2" s="5" t="s">
        <v>20</v>
      </c>
      <c r="F2" s="5" t="s">
        <v>22</v>
      </c>
      <c r="G2" s="5" t="s">
        <v>22</v>
      </c>
      <c r="H2" s="5" t="s">
        <v>23</v>
      </c>
      <c r="I2" s="5" t="s">
        <v>24</v>
      </c>
      <c r="J2" s="5" t="s">
        <v>25</v>
      </c>
      <c r="K2" s="6" t="s">
        <v>26</v>
      </c>
      <c r="M2" s="4" t="s">
        <v>27</v>
      </c>
      <c r="N2" s="5" t="s">
        <v>19</v>
      </c>
      <c r="O2" s="5" t="s">
        <v>20</v>
      </c>
      <c r="P2" s="5" t="s">
        <v>28</v>
      </c>
      <c r="Q2" s="5" t="s">
        <v>29</v>
      </c>
      <c r="R2" s="5" t="s">
        <v>30</v>
      </c>
      <c r="S2" s="5" t="s">
        <v>30</v>
      </c>
      <c r="T2" s="6" t="s">
        <v>30</v>
      </c>
    </row>
    <row r="3" spans="1:20" ht="15.75">
      <c r="A3" s="7">
        <v>3</v>
      </c>
      <c r="B3" s="5">
        <v>2.27</v>
      </c>
      <c r="C3" s="5">
        <v>0.14199999999999999</v>
      </c>
      <c r="D3" s="5" t="s">
        <v>31</v>
      </c>
      <c r="E3" s="5" t="s">
        <v>32</v>
      </c>
      <c r="F3" s="5">
        <v>30.49</v>
      </c>
      <c r="G3" s="5">
        <v>30.22</v>
      </c>
      <c r="H3" s="5">
        <v>30.23</v>
      </c>
      <c r="I3" s="8">
        <v>7.5</v>
      </c>
      <c r="J3" s="5">
        <f t="shared" ref="J3:J7" si="0">F3*G3*H3/1000</f>
        <v>27.854157793999999</v>
      </c>
      <c r="K3" s="6">
        <f t="shared" ref="K3:K7" si="1">I3/J3</f>
        <v>0.26925962204520715</v>
      </c>
      <c r="M3" s="4" t="s">
        <v>33</v>
      </c>
      <c r="N3" s="5">
        <v>2.13</v>
      </c>
      <c r="O3" s="5">
        <v>0.13400000000000001</v>
      </c>
      <c r="P3" s="5" t="s">
        <v>31</v>
      </c>
      <c r="Q3" s="5" t="s">
        <v>32</v>
      </c>
      <c r="R3" s="5">
        <v>30.35</v>
      </c>
      <c r="S3" s="5">
        <v>30.56</v>
      </c>
      <c r="T3" s="6">
        <v>30.5</v>
      </c>
    </row>
    <row r="4" spans="1:20" ht="15.75">
      <c r="A4" s="7">
        <v>22</v>
      </c>
      <c r="B4" s="5">
        <v>1.53</v>
      </c>
      <c r="C4" s="5">
        <v>0.11600000000000001</v>
      </c>
      <c r="D4" s="5" t="s">
        <v>31</v>
      </c>
      <c r="E4" s="5" t="s">
        <v>32</v>
      </c>
      <c r="F4" s="5">
        <v>30.67</v>
      </c>
      <c r="G4" s="5">
        <v>30.93</v>
      </c>
      <c r="H4" s="5">
        <v>30.55</v>
      </c>
      <c r="I4" s="8">
        <v>7.3</v>
      </c>
      <c r="J4" s="5">
        <f t="shared" si="0"/>
        <v>28.980435705000001</v>
      </c>
      <c r="K4" s="6">
        <f t="shared" si="1"/>
        <v>0.25189407344695403</v>
      </c>
      <c r="M4" s="4" t="s">
        <v>34</v>
      </c>
      <c r="N4" s="5">
        <v>0.505</v>
      </c>
      <c r="O4" s="5">
        <v>1.17E-2</v>
      </c>
      <c r="P4" s="5" t="s">
        <v>31</v>
      </c>
      <c r="Q4" s="5" t="s">
        <v>32</v>
      </c>
      <c r="R4" s="5">
        <v>0.46929999999999999</v>
      </c>
      <c r="S4" s="5">
        <v>0.41620000000000001</v>
      </c>
      <c r="T4" s="6">
        <v>0.32229999999999998</v>
      </c>
    </row>
    <row r="5" spans="1:20" ht="15.75">
      <c r="A5" s="7">
        <v>101</v>
      </c>
      <c r="B5" s="5">
        <v>2.86</v>
      </c>
      <c r="C5" s="5">
        <v>0.14399999999999999</v>
      </c>
      <c r="D5" s="5" t="s">
        <v>31</v>
      </c>
      <c r="E5" s="5" t="s">
        <v>32</v>
      </c>
      <c r="F5" s="5">
        <v>29.53</v>
      </c>
      <c r="G5" s="5">
        <v>30.76</v>
      </c>
      <c r="H5" s="5">
        <v>30.42</v>
      </c>
      <c r="I5" s="8">
        <v>7.6</v>
      </c>
      <c r="J5" s="5">
        <f t="shared" si="0"/>
        <v>27.631787976000005</v>
      </c>
      <c r="K5" s="6">
        <f t="shared" si="1"/>
        <v>0.27504553837055679</v>
      </c>
      <c r="M5" s="9" t="s">
        <v>35</v>
      </c>
      <c r="N5" s="10">
        <v>23.69</v>
      </c>
      <c r="O5" s="10">
        <v>8.7799999999999994</v>
      </c>
      <c r="P5" s="10" t="s">
        <v>31</v>
      </c>
      <c r="Q5" s="10" t="s">
        <v>32</v>
      </c>
      <c r="R5" s="10">
        <v>1.55</v>
      </c>
      <c r="S5" s="10">
        <v>1.36</v>
      </c>
      <c r="T5" s="11">
        <v>1.06</v>
      </c>
    </row>
    <row r="6" spans="1:20" ht="15.75">
      <c r="A6" s="7">
        <v>111</v>
      </c>
      <c r="B6" s="5">
        <v>2.2000000000000002</v>
      </c>
      <c r="C6" s="5">
        <v>0.128</v>
      </c>
      <c r="D6" s="5" t="s">
        <v>31</v>
      </c>
      <c r="E6" s="5" t="s">
        <v>32</v>
      </c>
      <c r="F6" s="5">
        <v>30.63</v>
      </c>
      <c r="G6" s="5">
        <v>30.89</v>
      </c>
      <c r="H6" s="5">
        <v>30.27</v>
      </c>
      <c r="I6" s="8">
        <v>7.5</v>
      </c>
      <c r="J6" s="5">
        <f t="shared" si="0"/>
        <v>28.640284389000001</v>
      </c>
      <c r="K6" s="6">
        <f t="shared" si="1"/>
        <v>0.26186890807832053</v>
      </c>
    </row>
    <row r="7" spans="1:20" ht="15.75">
      <c r="A7" s="12">
        <v>115</v>
      </c>
      <c r="B7" s="10">
        <v>1.8</v>
      </c>
      <c r="C7" s="10">
        <v>0.13800000000000001</v>
      </c>
      <c r="D7" s="10" t="s">
        <v>31</v>
      </c>
      <c r="E7" s="10" t="s">
        <v>32</v>
      </c>
      <c r="F7" s="10">
        <v>30.44</v>
      </c>
      <c r="G7" s="10">
        <v>30.02</v>
      </c>
      <c r="H7" s="10">
        <v>31.03</v>
      </c>
      <c r="I7" s="13">
        <v>7.6</v>
      </c>
      <c r="J7" s="10">
        <f t="shared" si="0"/>
        <v>28.355487064000002</v>
      </c>
      <c r="K7" s="11">
        <f t="shared" si="1"/>
        <v>0.26802572577386352</v>
      </c>
    </row>
    <row r="9" spans="1:20" ht="18.75">
      <c r="A9" s="1" t="s">
        <v>36</v>
      </c>
      <c r="B9" s="2" t="s">
        <v>37</v>
      </c>
      <c r="C9" s="2" t="s">
        <v>2</v>
      </c>
      <c r="D9" s="2" t="s">
        <v>38</v>
      </c>
      <c r="E9" s="2" t="s">
        <v>39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3" t="s">
        <v>10</v>
      </c>
      <c r="M9" s="1" t="s">
        <v>11</v>
      </c>
      <c r="N9" s="2" t="s">
        <v>12</v>
      </c>
      <c r="O9" s="2" t="s">
        <v>13</v>
      </c>
      <c r="P9" s="2" t="s">
        <v>14</v>
      </c>
      <c r="Q9" s="2" t="s">
        <v>15</v>
      </c>
      <c r="R9" s="2" t="s">
        <v>16</v>
      </c>
      <c r="S9" s="2" t="s">
        <v>17</v>
      </c>
      <c r="T9" s="3" t="s">
        <v>7</v>
      </c>
    </row>
    <row r="10" spans="1:20">
      <c r="A10" s="4" t="s">
        <v>18</v>
      </c>
      <c r="B10" s="5" t="s">
        <v>19</v>
      </c>
      <c r="C10" s="5" t="s">
        <v>20</v>
      </c>
      <c r="D10" s="5" t="s">
        <v>21</v>
      </c>
      <c r="E10" s="5" t="s">
        <v>20</v>
      </c>
      <c r="F10" s="5" t="s">
        <v>22</v>
      </c>
      <c r="G10" s="5" t="s">
        <v>22</v>
      </c>
      <c r="H10" s="5" t="s">
        <v>23</v>
      </c>
      <c r="I10" s="5" t="s">
        <v>24</v>
      </c>
      <c r="J10" s="5" t="s">
        <v>25</v>
      </c>
      <c r="K10" s="6" t="s">
        <v>26</v>
      </c>
      <c r="M10" s="4" t="s">
        <v>27</v>
      </c>
      <c r="N10" s="5" t="s">
        <v>19</v>
      </c>
      <c r="O10" s="5" t="s">
        <v>20</v>
      </c>
      <c r="P10" s="5" t="s">
        <v>28</v>
      </c>
      <c r="Q10" s="5" t="s">
        <v>29</v>
      </c>
      <c r="R10" s="5" t="s">
        <v>30</v>
      </c>
      <c r="S10" s="5" t="s">
        <v>30</v>
      </c>
      <c r="T10" s="6" t="s">
        <v>30</v>
      </c>
    </row>
    <row r="11" spans="1:20" ht="15.75">
      <c r="A11" s="14">
        <v>33</v>
      </c>
      <c r="B11" s="5">
        <v>1.68</v>
      </c>
      <c r="C11" s="5">
        <v>0.10299999999999999</v>
      </c>
      <c r="D11" s="5" t="s">
        <v>31</v>
      </c>
      <c r="E11" s="5" t="s">
        <v>32</v>
      </c>
      <c r="F11" s="5">
        <v>31.46</v>
      </c>
      <c r="G11" s="5">
        <v>30.68</v>
      </c>
      <c r="H11" s="5">
        <v>31.23</v>
      </c>
      <c r="I11" s="8">
        <v>6.2</v>
      </c>
      <c r="J11" s="5">
        <f t="shared" ref="J11:J15" si="2">F11*G11*H11/1000</f>
        <v>30.142971144000004</v>
      </c>
      <c r="K11" s="6">
        <f t="shared" ref="K11:K15" si="3">I11/J11</f>
        <v>0.2056864258795576</v>
      </c>
      <c r="M11" s="4" t="s">
        <v>33</v>
      </c>
      <c r="N11" s="5">
        <v>1.62</v>
      </c>
      <c r="O11" s="5">
        <v>0.112</v>
      </c>
      <c r="P11" s="5" t="s">
        <v>31</v>
      </c>
      <c r="Q11" s="5" t="s">
        <v>32</v>
      </c>
      <c r="R11" s="5">
        <v>31.01</v>
      </c>
      <c r="S11" s="5">
        <v>30.82</v>
      </c>
      <c r="T11" s="6">
        <v>30.71</v>
      </c>
    </row>
    <row r="12" spans="1:20" ht="15.75">
      <c r="A12" s="14">
        <v>45</v>
      </c>
      <c r="B12" s="5">
        <v>1.39</v>
      </c>
      <c r="C12" s="5">
        <v>9.7000000000000003E-2</v>
      </c>
      <c r="D12" s="5" t="s">
        <v>31</v>
      </c>
      <c r="E12" s="5" t="s">
        <v>32</v>
      </c>
      <c r="F12" s="5">
        <v>30.59</v>
      </c>
      <c r="G12" s="5">
        <v>30.62</v>
      </c>
      <c r="H12" s="5">
        <v>30.62</v>
      </c>
      <c r="I12" s="8">
        <v>6.1</v>
      </c>
      <c r="J12" s="5">
        <f t="shared" si="2"/>
        <v>28.680706796000003</v>
      </c>
      <c r="K12" s="6">
        <f t="shared" si="3"/>
        <v>0.21268652977724892</v>
      </c>
      <c r="M12" s="4" t="s">
        <v>34</v>
      </c>
      <c r="N12" s="5">
        <v>0.25600000000000001</v>
      </c>
      <c r="O12" s="5">
        <v>1.7500000000000002E-2</v>
      </c>
      <c r="P12" s="5" t="s">
        <v>31</v>
      </c>
      <c r="Q12" s="5" t="s">
        <v>32</v>
      </c>
      <c r="R12" s="5">
        <v>0.56269999999999998</v>
      </c>
      <c r="S12" s="5">
        <v>0.24279999999999999</v>
      </c>
      <c r="T12" s="6">
        <v>0.30630000000000002</v>
      </c>
    </row>
    <row r="13" spans="1:20" ht="15.75">
      <c r="A13" s="14">
        <v>56</v>
      </c>
      <c r="B13" s="5">
        <v>1.55</v>
      </c>
      <c r="C13" s="5">
        <v>0.113</v>
      </c>
      <c r="D13" s="5" t="s">
        <v>31</v>
      </c>
      <c r="E13" s="5" t="s">
        <v>32</v>
      </c>
      <c r="F13" s="5">
        <v>31.64</v>
      </c>
      <c r="G13" s="5">
        <v>30.63</v>
      </c>
      <c r="H13" s="5">
        <v>30.45</v>
      </c>
      <c r="I13" s="8">
        <v>6.3</v>
      </c>
      <c r="J13" s="5">
        <f t="shared" si="2"/>
        <v>29.510105939999999</v>
      </c>
      <c r="K13" s="6">
        <f t="shared" si="3"/>
        <v>0.2134861871661583</v>
      </c>
      <c r="M13" s="9" t="s">
        <v>35</v>
      </c>
      <c r="N13" s="10">
        <v>15.78</v>
      </c>
      <c r="O13" s="10">
        <v>15.64</v>
      </c>
      <c r="P13" s="10" t="s">
        <v>31</v>
      </c>
      <c r="Q13" s="10" t="s">
        <v>32</v>
      </c>
      <c r="R13" s="10">
        <v>1.81</v>
      </c>
      <c r="S13" s="10">
        <v>0.79</v>
      </c>
      <c r="T13" s="11">
        <v>1</v>
      </c>
    </row>
    <row r="14" spans="1:20" ht="15.75">
      <c r="A14" s="14">
        <v>125</v>
      </c>
      <c r="B14" s="5">
        <v>1.45</v>
      </c>
      <c r="C14" s="5">
        <v>0.106</v>
      </c>
      <c r="D14" s="5" t="s">
        <v>31</v>
      </c>
      <c r="E14" s="5" t="s">
        <v>32</v>
      </c>
      <c r="F14" s="5">
        <v>31.04</v>
      </c>
      <c r="G14" s="5">
        <v>31.13</v>
      </c>
      <c r="H14" s="5">
        <v>30.69</v>
      </c>
      <c r="I14" s="8">
        <v>6.3</v>
      </c>
      <c r="J14" s="5">
        <f t="shared" si="2"/>
        <v>29.654985887999999</v>
      </c>
      <c r="K14" s="6">
        <f t="shared" si="3"/>
        <v>0.21244319669527539</v>
      </c>
    </row>
    <row r="15" spans="1:20" ht="15.75">
      <c r="A15" s="15">
        <v>132</v>
      </c>
      <c r="B15" s="10">
        <v>2.04</v>
      </c>
      <c r="C15" s="10">
        <v>0.14199999999999999</v>
      </c>
      <c r="D15" s="10" t="s">
        <v>31</v>
      </c>
      <c r="E15" s="10" t="s">
        <v>32</v>
      </c>
      <c r="F15" s="10">
        <v>30.31</v>
      </c>
      <c r="G15" s="10">
        <v>31.03</v>
      </c>
      <c r="H15" s="10">
        <v>30.54</v>
      </c>
      <c r="I15" s="13">
        <v>6.4</v>
      </c>
      <c r="J15" s="10">
        <f t="shared" si="2"/>
        <v>28.723459422000001</v>
      </c>
      <c r="K15" s="11">
        <f t="shared" si="3"/>
        <v>0.22281438687354224</v>
      </c>
    </row>
    <row r="17" spans="1:20" ht="18.75">
      <c r="A17" s="1" t="s">
        <v>40</v>
      </c>
      <c r="B17" s="2" t="s">
        <v>41</v>
      </c>
      <c r="C17" s="2" t="s">
        <v>2</v>
      </c>
      <c r="D17" s="2" t="s">
        <v>42</v>
      </c>
      <c r="E17" s="2" t="s">
        <v>43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3" t="s">
        <v>10</v>
      </c>
      <c r="M17" s="1" t="s">
        <v>11</v>
      </c>
      <c r="N17" s="2" t="s">
        <v>12</v>
      </c>
      <c r="O17" s="2" t="s">
        <v>13</v>
      </c>
      <c r="P17" s="2" t="s">
        <v>14</v>
      </c>
      <c r="Q17" s="2" t="s">
        <v>15</v>
      </c>
      <c r="R17" s="2" t="s">
        <v>16</v>
      </c>
      <c r="S17" s="2" t="s">
        <v>17</v>
      </c>
      <c r="T17" s="3" t="s">
        <v>7</v>
      </c>
    </row>
    <row r="18" spans="1:20">
      <c r="A18" s="4" t="s">
        <v>18</v>
      </c>
      <c r="B18" s="5" t="s">
        <v>19</v>
      </c>
      <c r="C18" s="5" t="s">
        <v>20</v>
      </c>
      <c r="D18" s="5" t="s">
        <v>21</v>
      </c>
      <c r="E18" s="5" t="s">
        <v>20</v>
      </c>
      <c r="F18" s="5" t="s">
        <v>22</v>
      </c>
      <c r="G18" s="5" t="s">
        <v>22</v>
      </c>
      <c r="H18" s="5" t="s">
        <v>23</v>
      </c>
      <c r="I18" s="5" t="s">
        <v>24</v>
      </c>
      <c r="J18" s="5" t="s">
        <v>25</v>
      </c>
      <c r="K18" s="6" t="s">
        <v>26</v>
      </c>
      <c r="M18" s="4" t="s">
        <v>27</v>
      </c>
      <c r="N18" s="5" t="s">
        <v>19</v>
      </c>
      <c r="O18" s="5" t="s">
        <v>20</v>
      </c>
      <c r="P18" s="5" t="s">
        <v>28</v>
      </c>
      <c r="Q18" s="5" t="s">
        <v>29</v>
      </c>
      <c r="R18" s="5" t="s">
        <v>30</v>
      </c>
      <c r="S18" s="5" t="s">
        <v>30</v>
      </c>
      <c r="T18" s="6" t="s">
        <v>30</v>
      </c>
    </row>
    <row r="19" spans="1:20" ht="15.75">
      <c r="A19" s="16">
        <v>65</v>
      </c>
      <c r="B19" s="5">
        <v>1.51</v>
      </c>
      <c r="C19" s="5">
        <v>9.98E-2</v>
      </c>
      <c r="D19" s="5" t="s">
        <v>31</v>
      </c>
      <c r="E19" s="5" t="s">
        <v>32</v>
      </c>
      <c r="F19" s="5">
        <v>31.2</v>
      </c>
      <c r="G19" s="5">
        <v>30.17</v>
      </c>
      <c r="H19" s="5">
        <v>30.69</v>
      </c>
      <c r="I19" s="8">
        <v>7.5</v>
      </c>
      <c r="J19" s="5">
        <f t="shared" ref="J19:J23" si="4">F19*G19*H19/1000</f>
        <v>28.888619760000005</v>
      </c>
      <c r="K19" s="6">
        <f t="shared" ref="K19:K23" si="5">I19/J19</f>
        <v>0.25961780321483935</v>
      </c>
      <c r="M19" s="4" t="s">
        <v>33</v>
      </c>
      <c r="N19" s="5">
        <v>1.22</v>
      </c>
      <c r="O19" s="5">
        <v>0.10199999999999999</v>
      </c>
      <c r="P19" s="5" t="s">
        <v>31</v>
      </c>
      <c r="Q19" s="5" t="s">
        <v>32</v>
      </c>
      <c r="R19" s="5">
        <v>31.48</v>
      </c>
      <c r="S19" s="5">
        <v>30.74</v>
      </c>
      <c r="T19" s="6">
        <v>30.69</v>
      </c>
    </row>
    <row r="20" spans="1:20" ht="15.75">
      <c r="A20" s="16">
        <v>70</v>
      </c>
      <c r="B20" s="5">
        <v>1.37</v>
      </c>
      <c r="C20" s="5">
        <v>0.111</v>
      </c>
      <c r="D20" s="5" t="s">
        <v>31</v>
      </c>
      <c r="E20" s="5" t="s">
        <v>32</v>
      </c>
      <c r="F20" s="5">
        <v>31.49</v>
      </c>
      <c r="G20" s="5">
        <v>30.78</v>
      </c>
      <c r="H20" s="5">
        <v>30.7</v>
      </c>
      <c r="I20" s="8">
        <v>7.4</v>
      </c>
      <c r="J20" s="5">
        <f t="shared" si="4"/>
        <v>29.756349539999999</v>
      </c>
      <c r="K20" s="6">
        <f t="shared" si="5"/>
        <v>0.24868641867687916</v>
      </c>
      <c r="M20" s="4" t="s">
        <v>34</v>
      </c>
      <c r="N20" s="5">
        <v>0.21199999999999999</v>
      </c>
      <c r="O20" s="5">
        <v>6.6600000000000001E-3</v>
      </c>
      <c r="P20" s="5" t="s">
        <v>31</v>
      </c>
      <c r="Q20" s="5" t="s">
        <v>32</v>
      </c>
      <c r="R20" s="5">
        <v>0.41909999999999997</v>
      </c>
      <c r="S20" s="5">
        <v>0.4093</v>
      </c>
      <c r="T20" s="6">
        <v>5.1189999999999999E-2</v>
      </c>
    </row>
    <row r="21" spans="1:20" ht="15.75" customHeight="1">
      <c r="A21" s="16">
        <v>140</v>
      </c>
      <c r="B21" s="5">
        <v>0.997</v>
      </c>
      <c r="C21" s="5">
        <v>9.4600000000000004E-2</v>
      </c>
      <c r="D21" s="5" t="s">
        <v>31</v>
      </c>
      <c r="E21" s="5" t="s">
        <v>32</v>
      </c>
      <c r="F21" s="5">
        <v>32</v>
      </c>
      <c r="G21" s="5">
        <v>31.15</v>
      </c>
      <c r="H21" s="5">
        <v>30.77</v>
      </c>
      <c r="I21" s="8">
        <v>7.8</v>
      </c>
      <c r="J21" s="5">
        <f t="shared" si="4"/>
        <v>30.671535999999996</v>
      </c>
      <c r="K21" s="6">
        <f t="shared" si="5"/>
        <v>0.25430744648719256</v>
      </c>
      <c r="M21" s="9" t="s">
        <v>35</v>
      </c>
      <c r="N21" s="10">
        <v>17.38</v>
      </c>
      <c r="O21" s="10">
        <v>6.56</v>
      </c>
      <c r="P21" s="10" t="s">
        <v>31</v>
      </c>
      <c r="Q21" s="10" t="s">
        <v>32</v>
      </c>
      <c r="R21" s="10">
        <v>1.33</v>
      </c>
      <c r="S21" s="10">
        <v>1.33</v>
      </c>
      <c r="T21" s="11">
        <v>0.17</v>
      </c>
    </row>
    <row r="22" spans="1:20" ht="15.75" customHeight="1">
      <c r="A22" s="16">
        <v>146</v>
      </c>
      <c r="B22" s="5">
        <v>1.1000000000000001</v>
      </c>
      <c r="C22" s="5">
        <v>9.74E-2</v>
      </c>
      <c r="D22" s="5" t="s">
        <v>31</v>
      </c>
      <c r="E22" s="5" t="s">
        <v>32</v>
      </c>
      <c r="F22" s="5">
        <v>30.95</v>
      </c>
      <c r="G22" s="5">
        <v>30.51</v>
      </c>
      <c r="H22" s="5">
        <v>30.63</v>
      </c>
      <c r="I22" s="8">
        <v>7.8</v>
      </c>
      <c r="J22" s="5">
        <f t="shared" si="4"/>
        <v>28.923434234999998</v>
      </c>
      <c r="K22" s="6">
        <f t="shared" si="5"/>
        <v>0.26967751950289798</v>
      </c>
    </row>
    <row r="23" spans="1:20" ht="15.75" customHeight="1">
      <c r="A23" s="17">
        <v>151</v>
      </c>
      <c r="B23" s="10">
        <v>1.1200000000000001</v>
      </c>
      <c r="C23" s="10">
        <v>0.105</v>
      </c>
      <c r="D23" s="10" t="s">
        <v>31</v>
      </c>
      <c r="E23" s="10" t="s">
        <v>32</v>
      </c>
      <c r="F23" s="10">
        <v>31.75</v>
      </c>
      <c r="G23" s="10">
        <v>31.09</v>
      </c>
      <c r="H23" s="10">
        <v>30.67</v>
      </c>
      <c r="I23" s="13">
        <v>7.9</v>
      </c>
      <c r="J23" s="10">
        <f t="shared" si="4"/>
        <v>30.274587025000002</v>
      </c>
      <c r="K23" s="11">
        <f t="shared" si="5"/>
        <v>0.26094493026366888</v>
      </c>
    </row>
    <row r="24" spans="1:20" ht="15.75" customHeight="1"/>
    <row r="25" spans="1:20" ht="15.75" customHeight="1">
      <c r="A25" s="1" t="s">
        <v>44</v>
      </c>
      <c r="B25" s="2" t="s">
        <v>45</v>
      </c>
      <c r="C25" s="2" t="s">
        <v>2</v>
      </c>
      <c r="D25" s="2" t="s">
        <v>46</v>
      </c>
      <c r="E25" s="2" t="s">
        <v>47</v>
      </c>
      <c r="F25" s="2" t="s">
        <v>5</v>
      </c>
      <c r="G25" s="2" t="s">
        <v>6</v>
      </c>
      <c r="H25" s="2" t="s">
        <v>7</v>
      </c>
      <c r="I25" s="2" t="s">
        <v>8</v>
      </c>
      <c r="J25" s="2" t="s">
        <v>9</v>
      </c>
      <c r="K25" s="3" t="s">
        <v>10</v>
      </c>
      <c r="M25" s="1" t="s">
        <v>11</v>
      </c>
      <c r="N25" s="2" t="s">
        <v>12</v>
      </c>
      <c r="O25" s="2" t="s">
        <v>13</v>
      </c>
      <c r="P25" s="2" t="s">
        <v>14</v>
      </c>
      <c r="Q25" s="2" t="s">
        <v>15</v>
      </c>
      <c r="R25" s="2" t="s">
        <v>16</v>
      </c>
      <c r="S25" s="2" t="s">
        <v>17</v>
      </c>
      <c r="T25" s="3" t="s">
        <v>7</v>
      </c>
    </row>
    <row r="26" spans="1:20" ht="15.75" customHeight="1">
      <c r="A26" s="4" t="s">
        <v>18</v>
      </c>
      <c r="B26" s="5" t="s">
        <v>19</v>
      </c>
      <c r="C26" s="5" t="s">
        <v>20</v>
      </c>
      <c r="D26" s="5" t="s">
        <v>21</v>
      </c>
      <c r="E26" s="5" t="s">
        <v>20</v>
      </c>
      <c r="F26" s="5" t="s">
        <v>22</v>
      </c>
      <c r="G26" s="5" t="s">
        <v>22</v>
      </c>
      <c r="H26" s="5" t="s">
        <v>23</v>
      </c>
      <c r="I26" s="5" t="s">
        <v>24</v>
      </c>
      <c r="J26" s="5" t="s">
        <v>25</v>
      </c>
      <c r="K26" s="6" t="s">
        <v>26</v>
      </c>
      <c r="M26" s="4" t="s">
        <v>27</v>
      </c>
      <c r="N26" s="5" t="s">
        <v>19</v>
      </c>
      <c r="O26" s="5" t="s">
        <v>20</v>
      </c>
      <c r="P26" s="5" t="s">
        <v>28</v>
      </c>
      <c r="Q26" s="5" t="s">
        <v>29</v>
      </c>
      <c r="R26" s="5" t="s">
        <v>30</v>
      </c>
      <c r="S26" s="5" t="s">
        <v>30</v>
      </c>
      <c r="T26" s="6" t="s">
        <v>30</v>
      </c>
    </row>
    <row r="27" spans="1:20" ht="15.75" customHeight="1">
      <c r="A27" s="18">
        <v>76</v>
      </c>
      <c r="B27" s="5">
        <v>2.02</v>
      </c>
      <c r="C27" s="5">
        <v>0.1</v>
      </c>
      <c r="D27" s="5" t="s">
        <v>31</v>
      </c>
      <c r="E27" s="5" t="s">
        <v>32</v>
      </c>
      <c r="F27" s="5">
        <v>30.76</v>
      </c>
      <c r="G27" s="5">
        <v>31.07</v>
      </c>
      <c r="H27" s="5">
        <v>30.63</v>
      </c>
      <c r="I27" s="8">
        <v>7.9</v>
      </c>
      <c r="J27" s="5">
        <f t="shared" ref="J27:J31" si="6">F27*G27*H27/1000</f>
        <v>29.273495316000002</v>
      </c>
      <c r="K27" s="6">
        <f t="shared" ref="K27:K31" si="7">I27/J27</f>
        <v>0.26986869571677358</v>
      </c>
      <c r="M27" s="4" t="s">
        <v>33</v>
      </c>
      <c r="N27" s="5">
        <v>1.71</v>
      </c>
      <c r="O27" s="5">
        <v>9.2899999999999996E-2</v>
      </c>
      <c r="P27" s="5" t="s">
        <v>31</v>
      </c>
      <c r="Q27" s="5" t="s">
        <v>32</v>
      </c>
      <c r="R27" s="5">
        <v>31.46</v>
      </c>
      <c r="S27" s="5">
        <v>30.98</v>
      </c>
      <c r="T27" s="6">
        <v>30.77</v>
      </c>
    </row>
    <row r="28" spans="1:20" ht="15.75" customHeight="1">
      <c r="A28" s="18">
        <v>86</v>
      </c>
      <c r="B28" s="5">
        <v>1.53</v>
      </c>
      <c r="C28" s="5">
        <v>0.11</v>
      </c>
      <c r="D28" s="5" t="s">
        <v>31</v>
      </c>
      <c r="E28" s="5" t="s">
        <v>32</v>
      </c>
      <c r="F28" s="5">
        <v>31.22</v>
      </c>
      <c r="G28" s="5">
        <v>30.79</v>
      </c>
      <c r="H28" s="5">
        <v>30.46</v>
      </c>
      <c r="I28" s="8">
        <v>8</v>
      </c>
      <c r="J28" s="5">
        <f t="shared" si="6"/>
        <v>29.280095348</v>
      </c>
      <c r="K28" s="6">
        <f t="shared" si="7"/>
        <v>0.27322315398629488</v>
      </c>
      <c r="M28" s="4" t="s">
        <v>34</v>
      </c>
      <c r="N28" s="5">
        <v>0.33300000000000002</v>
      </c>
      <c r="O28" s="5">
        <v>1.24E-2</v>
      </c>
      <c r="P28" s="5" t="s">
        <v>31</v>
      </c>
      <c r="Q28" s="5" t="s">
        <v>32</v>
      </c>
      <c r="R28" s="5">
        <v>0.66459999999999997</v>
      </c>
      <c r="S28" s="5">
        <v>0.1704</v>
      </c>
      <c r="T28" s="6">
        <v>0.31159999999999999</v>
      </c>
    </row>
    <row r="29" spans="1:20" ht="15.75" customHeight="1">
      <c r="A29" s="18">
        <v>92</v>
      </c>
      <c r="B29" s="5">
        <v>1.48</v>
      </c>
      <c r="C29" s="5">
        <v>8.7999999999999995E-2</v>
      </c>
      <c r="D29" s="5" t="s">
        <v>31</v>
      </c>
      <c r="E29" s="5" t="s">
        <v>32</v>
      </c>
      <c r="F29" s="5">
        <v>32.53</v>
      </c>
      <c r="G29" s="5">
        <v>30.98</v>
      </c>
      <c r="H29" s="5">
        <v>30.87</v>
      </c>
      <c r="I29" s="8">
        <v>8</v>
      </c>
      <c r="J29" s="5">
        <f t="shared" si="6"/>
        <v>31.110150078000004</v>
      </c>
      <c r="K29" s="6">
        <f t="shared" si="7"/>
        <v>0.25715080062109108</v>
      </c>
      <c r="M29" s="9" t="s">
        <v>35</v>
      </c>
      <c r="N29" s="10">
        <v>19.47</v>
      </c>
      <c r="O29" s="10">
        <v>13.38</v>
      </c>
      <c r="P29" s="10" t="s">
        <v>31</v>
      </c>
      <c r="Q29" s="10" t="s">
        <v>32</v>
      </c>
      <c r="R29" s="10">
        <v>2.11</v>
      </c>
      <c r="S29" s="10">
        <v>0.55000000000000004</v>
      </c>
      <c r="T29" s="11">
        <v>1.01</v>
      </c>
    </row>
    <row r="30" spans="1:20" ht="15.75" customHeight="1">
      <c r="A30" s="18">
        <v>156</v>
      </c>
      <c r="B30" s="5">
        <v>2.13</v>
      </c>
      <c r="C30" s="5">
        <v>7.8299999999999995E-2</v>
      </c>
      <c r="D30" s="5" t="s">
        <v>31</v>
      </c>
      <c r="E30" s="5" t="s">
        <v>32</v>
      </c>
      <c r="F30" s="5">
        <v>31.59</v>
      </c>
      <c r="G30" s="5">
        <v>31.22</v>
      </c>
      <c r="H30" s="5">
        <v>30.62</v>
      </c>
      <c r="I30" s="8">
        <v>7.7</v>
      </c>
      <c r="J30" s="5">
        <f t="shared" si="6"/>
        <v>30.198662676000001</v>
      </c>
      <c r="K30" s="6">
        <f t="shared" si="7"/>
        <v>0.25497817842508225</v>
      </c>
    </row>
    <row r="31" spans="1:20" ht="15.75" customHeight="1">
      <c r="A31" s="19">
        <v>172</v>
      </c>
      <c r="B31" s="10">
        <v>1.41</v>
      </c>
      <c r="C31" s="10">
        <v>8.7800000000000003E-2</v>
      </c>
      <c r="D31" s="10" t="s">
        <v>31</v>
      </c>
      <c r="E31" s="10" t="s">
        <v>32</v>
      </c>
      <c r="F31" s="10">
        <v>31.22</v>
      </c>
      <c r="G31" s="10">
        <v>30.86</v>
      </c>
      <c r="H31" s="10">
        <v>31.26</v>
      </c>
      <c r="I31" s="13">
        <v>7.9</v>
      </c>
      <c r="J31" s="10">
        <f t="shared" si="6"/>
        <v>30.117421992000001</v>
      </c>
      <c r="K31" s="11">
        <f t="shared" si="7"/>
        <v>0.26230664769708556</v>
      </c>
    </row>
    <row r="32" spans="1:20" ht="15.75" customHeight="1"/>
    <row r="33" spans="1:20" ht="15.75" customHeight="1">
      <c r="A33" s="1" t="s">
        <v>48</v>
      </c>
      <c r="B33" s="2" t="s">
        <v>49</v>
      </c>
      <c r="C33" s="2" t="s">
        <v>2</v>
      </c>
      <c r="D33" s="2" t="s">
        <v>50</v>
      </c>
      <c r="E33" s="2" t="s">
        <v>51</v>
      </c>
      <c r="F33" s="2" t="s">
        <v>5</v>
      </c>
      <c r="G33" s="2" t="s">
        <v>6</v>
      </c>
      <c r="H33" s="2" t="s">
        <v>7</v>
      </c>
      <c r="I33" s="2" t="s">
        <v>8</v>
      </c>
      <c r="J33" s="2" t="s">
        <v>9</v>
      </c>
      <c r="K33" s="3" t="s">
        <v>10</v>
      </c>
      <c r="M33" s="1" t="s">
        <v>11</v>
      </c>
      <c r="N33" s="2" t="s">
        <v>12</v>
      </c>
      <c r="O33" s="2" t="s">
        <v>13</v>
      </c>
      <c r="P33" s="2" t="s">
        <v>14</v>
      </c>
      <c r="Q33" s="2" t="s">
        <v>15</v>
      </c>
      <c r="R33" s="2" t="s">
        <v>16</v>
      </c>
      <c r="S33" s="2" t="s">
        <v>17</v>
      </c>
      <c r="T33" s="3" t="s">
        <v>7</v>
      </c>
    </row>
    <row r="34" spans="1:20" ht="15.75" customHeight="1">
      <c r="A34" s="4" t="s">
        <v>18</v>
      </c>
      <c r="B34" s="5" t="s">
        <v>19</v>
      </c>
      <c r="C34" s="5" t="s">
        <v>20</v>
      </c>
      <c r="D34" s="5" t="s">
        <v>21</v>
      </c>
      <c r="E34" s="5" t="s">
        <v>20</v>
      </c>
      <c r="F34" s="5" t="s">
        <v>22</v>
      </c>
      <c r="G34" s="5" t="s">
        <v>22</v>
      </c>
      <c r="H34" s="5" t="s">
        <v>23</v>
      </c>
      <c r="I34" s="5" t="s">
        <v>24</v>
      </c>
      <c r="J34" s="5" t="s">
        <v>25</v>
      </c>
      <c r="K34" s="6" t="s">
        <v>26</v>
      </c>
      <c r="M34" s="4" t="s">
        <v>27</v>
      </c>
      <c r="N34" s="5" t="s">
        <v>19</v>
      </c>
      <c r="O34" s="5" t="s">
        <v>20</v>
      </c>
      <c r="P34" s="5" t="s">
        <v>28</v>
      </c>
      <c r="Q34" s="5" t="s">
        <v>29</v>
      </c>
      <c r="R34" s="5" t="s">
        <v>30</v>
      </c>
      <c r="S34" s="5" t="s">
        <v>30</v>
      </c>
      <c r="T34" s="6" t="s">
        <v>30</v>
      </c>
    </row>
    <row r="35" spans="1:20" ht="15.75" customHeight="1">
      <c r="A35" s="7">
        <v>1</v>
      </c>
      <c r="B35" s="5">
        <v>2.38</v>
      </c>
      <c r="C35" s="5">
        <v>0.19900000000000001</v>
      </c>
      <c r="D35" s="5" t="s">
        <v>31</v>
      </c>
      <c r="E35" s="5" t="s">
        <v>32</v>
      </c>
      <c r="F35" s="5">
        <v>30.26</v>
      </c>
      <c r="G35" s="5">
        <v>30.15</v>
      </c>
      <c r="H35" s="5">
        <v>30.37</v>
      </c>
      <c r="I35" s="8">
        <v>7.3</v>
      </c>
      <c r="J35" s="5">
        <f t="shared" ref="J35:J39" si="8">F35*G35*H35/1000</f>
        <v>27.707735430000003</v>
      </c>
      <c r="K35" s="6">
        <f t="shared" ref="K35:K39" si="9">I35/J35</f>
        <v>0.26346433177271028</v>
      </c>
      <c r="M35" s="4" t="s">
        <v>33</v>
      </c>
      <c r="N35" s="5">
        <v>2.1800000000000002</v>
      </c>
      <c r="O35" s="5">
        <v>0.16800000000000001</v>
      </c>
      <c r="P35" s="5">
        <v>0.16600000000000001</v>
      </c>
      <c r="Q35" s="5">
        <v>8.8000000000000007</v>
      </c>
      <c r="R35" s="5">
        <v>30.56</v>
      </c>
      <c r="S35" s="5">
        <v>30.35</v>
      </c>
      <c r="T35" s="6">
        <v>30.26</v>
      </c>
    </row>
    <row r="36" spans="1:20" ht="15.75" customHeight="1">
      <c r="A36" s="7">
        <v>14</v>
      </c>
      <c r="B36" s="5">
        <v>2.2599999999999998</v>
      </c>
      <c r="C36" s="5" t="s">
        <v>52</v>
      </c>
      <c r="D36" s="5">
        <v>0.16600000000000001</v>
      </c>
      <c r="E36" s="5">
        <v>8.8000000000000007</v>
      </c>
      <c r="F36" s="5">
        <v>31.06</v>
      </c>
      <c r="G36" s="5">
        <v>30.66</v>
      </c>
      <c r="H36" s="5">
        <v>30.28</v>
      </c>
      <c r="I36" s="8">
        <v>7.6</v>
      </c>
      <c r="J36" s="5">
        <f t="shared" si="8"/>
        <v>28.835631887999998</v>
      </c>
      <c r="K36" s="6">
        <f t="shared" si="9"/>
        <v>0.26356280415560285</v>
      </c>
      <c r="M36" s="4" t="s">
        <v>34</v>
      </c>
      <c r="N36" s="5">
        <v>0.13900000000000001</v>
      </c>
      <c r="O36" s="5">
        <v>2.75E-2</v>
      </c>
      <c r="P36" s="5" t="s">
        <v>31</v>
      </c>
      <c r="Q36" s="5" t="s">
        <v>32</v>
      </c>
      <c r="R36" s="5">
        <v>0.94689999999999996</v>
      </c>
      <c r="S36" s="5">
        <v>0.2142</v>
      </c>
      <c r="T36" s="6">
        <v>0.24010000000000001</v>
      </c>
    </row>
    <row r="37" spans="1:20" ht="15.75" customHeight="1">
      <c r="A37" s="7">
        <v>19</v>
      </c>
      <c r="B37" s="5">
        <v>2.06</v>
      </c>
      <c r="C37" s="5">
        <v>0.182</v>
      </c>
      <c r="D37" s="5" t="s">
        <v>31</v>
      </c>
      <c r="E37" s="5" t="s">
        <v>32</v>
      </c>
      <c r="F37" s="5">
        <v>31.94</v>
      </c>
      <c r="G37" s="5">
        <v>30.38</v>
      </c>
      <c r="H37" s="5">
        <v>30.6</v>
      </c>
      <c r="I37" s="8">
        <v>7.7</v>
      </c>
      <c r="J37" s="5">
        <f t="shared" si="8"/>
        <v>29.692318320000002</v>
      </c>
      <c r="K37" s="6">
        <f t="shared" si="9"/>
        <v>0.25932633205045069</v>
      </c>
      <c r="M37" s="9" t="s">
        <v>35</v>
      </c>
      <c r="N37" s="10">
        <v>6.37</v>
      </c>
      <c r="O37" s="10">
        <v>16.399999999999999</v>
      </c>
      <c r="P37" s="10" t="s">
        <v>31</v>
      </c>
      <c r="Q37" s="10" t="s">
        <v>32</v>
      </c>
      <c r="R37" s="10">
        <v>3.1</v>
      </c>
      <c r="S37" s="10">
        <v>0.71</v>
      </c>
      <c r="T37" s="11">
        <v>0.79</v>
      </c>
    </row>
    <row r="38" spans="1:20" ht="15.75" customHeight="1">
      <c r="A38" s="7">
        <v>100</v>
      </c>
      <c r="B38" s="5">
        <v>2.14</v>
      </c>
      <c r="C38" s="5">
        <v>0.151</v>
      </c>
      <c r="D38" s="5" t="s">
        <v>31</v>
      </c>
      <c r="E38" s="5" t="s">
        <v>32</v>
      </c>
      <c r="F38" s="5">
        <v>29.53</v>
      </c>
      <c r="G38" s="5">
        <v>30.4</v>
      </c>
      <c r="H38" s="5">
        <v>30.06</v>
      </c>
      <c r="I38" s="8">
        <v>7.5</v>
      </c>
      <c r="J38" s="5">
        <f t="shared" si="8"/>
        <v>26.985222719999999</v>
      </c>
      <c r="K38" s="6">
        <f t="shared" si="9"/>
        <v>0.27792989065980184</v>
      </c>
    </row>
    <row r="39" spans="1:20" ht="15.75" customHeight="1">
      <c r="A39" s="12">
        <v>116</v>
      </c>
      <c r="B39" s="10">
        <v>2.06</v>
      </c>
      <c r="C39" s="10">
        <v>0.13900000000000001</v>
      </c>
      <c r="D39" s="10" t="s">
        <v>31</v>
      </c>
      <c r="E39" s="10" t="s">
        <v>32</v>
      </c>
      <c r="F39" s="10">
        <v>30.03</v>
      </c>
      <c r="G39" s="10">
        <v>30.14</v>
      </c>
      <c r="H39" s="10">
        <v>30.01</v>
      </c>
      <c r="I39" s="13">
        <v>6.8</v>
      </c>
      <c r="J39" s="10">
        <f t="shared" si="8"/>
        <v>27.162177042000003</v>
      </c>
      <c r="K39" s="11">
        <f t="shared" si="9"/>
        <v>0.25034812156203007</v>
      </c>
    </row>
    <row r="40" spans="1:20" ht="15.75" customHeight="1"/>
    <row r="41" spans="1:20" ht="15.75" customHeight="1">
      <c r="A41" s="1" t="s">
        <v>53</v>
      </c>
      <c r="B41" s="2" t="s">
        <v>54</v>
      </c>
      <c r="C41" s="2" t="s">
        <v>2</v>
      </c>
      <c r="D41" s="2" t="s">
        <v>55</v>
      </c>
      <c r="E41" s="2" t="s">
        <v>56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3" t="s">
        <v>10</v>
      </c>
      <c r="M41" s="1" t="s">
        <v>11</v>
      </c>
      <c r="N41" s="2" t="s">
        <v>12</v>
      </c>
      <c r="O41" s="2" t="s">
        <v>13</v>
      </c>
      <c r="P41" s="2" t="s">
        <v>14</v>
      </c>
      <c r="Q41" s="2" t="s">
        <v>15</v>
      </c>
      <c r="R41" s="2" t="s">
        <v>16</v>
      </c>
      <c r="S41" s="2" t="s">
        <v>17</v>
      </c>
      <c r="T41" s="3" t="s">
        <v>7</v>
      </c>
    </row>
    <row r="42" spans="1:20" ht="15.75" customHeight="1">
      <c r="A42" s="4" t="s">
        <v>18</v>
      </c>
      <c r="B42" s="5" t="s">
        <v>19</v>
      </c>
      <c r="C42" s="5" t="s">
        <v>20</v>
      </c>
      <c r="D42" s="5" t="s">
        <v>21</v>
      </c>
      <c r="E42" s="5" t="s">
        <v>20</v>
      </c>
      <c r="F42" s="5" t="s">
        <v>22</v>
      </c>
      <c r="G42" s="5" t="s">
        <v>22</v>
      </c>
      <c r="H42" s="5" t="s">
        <v>23</v>
      </c>
      <c r="I42" s="5" t="s">
        <v>24</v>
      </c>
      <c r="J42" s="5" t="s">
        <v>25</v>
      </c>
      <c r="K42" s="6" t="s">
        <v>26</v>
      </c>
      <c r="M42" s="4" t="s">
        <v>27</v>
      </c>
      <c r="N42" s="5" t="s">
        <v>19</v>
      </c>
      <c r="O42" s="5" t="s">
        <v>20</v>
      </c>
      <c r="P42" s="5" t="s">
        <v>28</v>
      </c>
      <c r="Q42" s="5" t="s">
        <v>29</v>
      </c>
      <c r="R42" s="5" t="s">
        <v>30</v>
      </c>
      <c r="S42" s="5" t="s">
        <v>30</v>
      </c>
      <c r="T42" s="6" t="s">
        <v>30</v>
      </c>
    </row>
    <row r="43" spans="1:20" ht="15.75" customHeight="1">
      <c r="A43" s="14">
        <v>32</v>
      </c>
      <c r="B43" s="5">
        <v>1.57</v>
      </c>
      <c r="C43" s="5" t="s">
        <v>52</v>
      </c>
      <c r="D43" s="5">
        <v>0.106</v>
      </c>
      <c r="E43" s="5">
        <v>8</v>
      </c>
      <c r="F43" s="5">
        <v>30.43</v>
      </c>
      <c r="G43" s="5">
        <v>30.92</v>
      </c>
      <c r="H43" s="5">
        <v>30.68</v>
      </c>
      <c r="I43" s="8">
        <v>6.4</v>
      </c>
      <c r="J43" s="5">
        <f t="shared" ref="J43:J47" si="10">F43*G43*H43/1000</f>
        <v>28.866677008000003</v>
      </c>
      <c r="K43" s="6">
        <f t="shared" ref="K43:K47" si="11">I43/J43</f>
        <v>0.22170892750233523</v>
      </c>
      <c r="M43" s="4" t="s">
        <v>33</v>
      </c>
      <c r="N43" s="5">
        <v>1.57</v>
      </c>
      <c r="O43" s="5">
        <v>0.11700000000000001</v>
      </c>
      <c r="P43" s="5">
        <v>0.106</v>
      </c>
      <c r="Q43" s="5">
        <v>8</v>
      </c>
      <c r="R43" s="5">
        <v>30.6</v>
      </c>
      <c r="S43" s="5">
        <v>30.62</v>
      </c>
      <c r="T43" s="6">
        <v>30.7</v>
      </c>
    </row>
    <row r="44" spans="1:20" ht="15.75" customHeight="1">
      <c r="A44" s="14">
        <v>44</v>
      </c>
      <c r="B44" s="5">
        <v>1.43</v>
      </c>
      <c r="C44" s="5">
        <v>0.107</v>
      </c>
      <c r="D44" s="5" t="s">
        <v>31</v>
      </c>
      <c r="E44" s="5" t="s">
        <v>32</v>
      </c>
      <c r="F44" s="5">
        <v>29.85</v>
      </c>
      <c r="G44" s="5">
        <v>30.34</v>
      </c>
      <c r="H44" s="5">
        <v>30.64</v>
      </c>
      <c r="I44" s="8">
        <v>6.2</v>
      </c>
      <c r="J44" s="5">
        <f t="shared" si="10"/>
        <v>27.749085360000002</v>
      </c>
      <c r="K44" s="6">
        <f t="shared" si="11"/>
        <v>0.22343078770218608</v>
      </c>
      <c r="M44" s="4" t="s">
        <v>34</v>
      </c>
      <c r="N44" s="5">
        <v>0.112</v>
      </c>
      <c r="O44" s="5">
        <v>8.5400000000000007E-3</v>
      </c>
      <c r="P44" s="5" t="s">
        <v>31</v>
      </c>
      <c r="Q44" s="5" t="s">
        <v>32</v>
      </c>
      <c r="R44" s="5">
        <v>0.4919</v>
      </c>
      <c r="S44" s="5">
        <v>0.27839999999999998</v>
      </c>
      <c r="T44" s="6">
        <v>0.16550000000000001</v>
      </c>
    </row>
    <row r="45" spans="1:20" ht="15.75" customHeight="1">
      <c r="A45" s="14">
        <v>120</v>
      </c>
      <c r="B45" s="5">
        <v>1.69</v>
      </c>
      <c r="C45" s="5">
        <v>0.127</v>
      </c>
      <c r="D45" s="5" t="s">
        <v>31</v>
      </c>
      <c r="E45" s="5" t="s">
        <v>32</v>
      </c>
      <c r="F45" s="5">
        <v>30.91</v>
      </c>
      <c r="G45" s="5">
        <v>30.86</v>
      </c>
      <c r="H45" s="5">
        <v>30.54</v>
      </c>
      <c r="I45" s="8">
        <v>6.3</v>
      </c>
      <c r="J45" s="5">
        <f t="shared" si="10"/>
        <v>29.131574604000001</v>
      </c>
      <c r="K45" s="6">
        <f t="shared" si="11"/>
        <v>0.21626019484490752</v>
      </c>
      <c r="M45" s="9" t="s">
        <v>35</v>
      </c>
      <c r="N45" s="10">
        <v>7.11</v>
      </c>
      <c r="O45" s="10">
        <v>7.3</v>
      </c>
      <c r="P45" s="10" t="s">
        <v>31</v>
      </c>
      <c r="Q45" s="10" t="s">
        <v>32</v>
      </c>
      <c r="R45" s="10">
        <v>1.61</v>
      </c>
      <c r="S45" s="10">
        <v>0.91</v>
      </c>
      <c r="T45" s="11">
        <v>0.54</v>
      </c>
    </row>
    <row r="46" spans="1:20" ht="15.75" customHeight="1">
      <c r="A46" s="14">
        <v>126</v>
      </c>
      <c r="B46" s="5">
        <v>1.67</v>
      </c>
      <c r="C46" s="5">
        <v>0.114</v>
      </c>
      <c r="D46" s="5" t="s">
        <v>31</v>
      </c>
      <c r="E46" s="5" t="s">
        <v>32</v>
      </c>
      <c r="F46" s="5">
        <v>30.7</v>
      </c>
      <c r="G46" s="5">
        <v>30.33</v>
      </c>
      <c r="H46" s="5">
        <v>30.98</v>
      </c>
      <c r="I46" s="8">
        <v>6.1</v>
      </c>
      <c r="J46" s="5">
        <f t="shared" si="10"/>
        <v>28.846438379999999</v>
      </c>
      <c r="K46" s="6">
        <f t="shared" si="11"/>
        <v>0.21146458081387584</v>
      </c>
    </row>
    <row r="47" spans="1:20" ht="15.75" customHeight="1">
      <c r="A47" s="15">
        <v>135</v>
      </c>
      <c r="B47" s="10">
        <v>1.49</v>
      </c>
      <c r="C47" s="10">
        <v>0.12</v>
      </c>
      <c r="D47" s="10" t="s">
        <v>31</v>
      </c>
      <c r="E47" s="10" t="s">
        <v>32</v>
      </c>
      <c r="F47" s="10">
        <v>31.12</v>
      </c>
      <c r="G47" s="10">
        <v>30.63</v>
      </c>
      <c r="H47" s="10">
        <v>30.66</v>
      </c>
      <c r="I47" s="13">
        <v>6.4</v>
      </c>
      <c r="J47" s="10">
        <f t="shared" si="10"/>
        <v>29.225283695999998</v>
      </c>
      <c r="K47" s="11">
        <f t="shared" si="11"/>
        <v>0.21898846446017406</v>
      </c>
    </row>
    <row r="48" spans="1:20" ht="15.75" customHeight="1"/>
    <row r="49" spans="1:20" ht="15.75" customHeight="1">
      <c r="A49" s="1" t="s">
        <v>57</v>
      </c>
      <c r="B49" s="2" t="s">
        <v>58</v>
      </c>
      <c r="C49" s="2" t="s">
        <v>2</v>
      </c>
      <c r="D49" s="2" t="s">
        <v>59</v>
      </c>
      <c r="E49" s="2" t="s">
        <v>60</v>
      </c>
      <c r="F49" s="2" t="s">
        <v>5</v>
      </c>
      <c r="G49" s="2" t="s">
        <v>6</v>
      </c>
      <c r="H49" s="2" t="s">
        <v>7</v>
      </c>
      <c r="I49" s="2" t="s">
        <v>8</v>
      </c>
      <c r="J49" s="2" t="s">
        <v>9</v>
      </c>
      <c r="K49" s="3" t="s">
        <v>10</v>
      </c>
      <c r="M49" s="1" t="s">
        <v>11</v>
      </c>
      <c r="N49" s="2" t="s">
        <v>12</v>
      </c>
      <c r="O49" s="2" t="s">
        <v>13</v>
      </c>
      <c r="P49" s="2" t="s">
        <v>14</v>
      </c>
      <c r="Q49" s="2" t="s">
        <v>15</v>
      </c>
      <c r="R49" s="2" t="s">
        <v>16</v>
      </c>
      <c r="S49" s="2" t="s">
        <v>17</v>
      </c>
      <c r="T49" s="3" t="s">
        <v>7</v>
      </c>
    </row>
    <row r="50" spans="1:20" ht="15.75" customHeight="1">
      <c r="A50" s="4" t="s">
        <v>18</v>
      </c>
      <c r="B50" s="5" t="s">
        <v>19</v>
      </c>
      <c r="C50" s="5" t="s">
        <v>20</v>
      </c>
      <c r="D50" s="5" t="s">
        <v>21</v>
      </c>
      <c r="E50" s="5" t="s">
        <v>20</v>
      </c>
      <c r="F50" s="5" t="s">
        <v>22</v>
      </c>
      <c r="G50" s="5" t="s">
        <v>22</v>
      </c>
      <c r="H50" s="5" t="s">
        <v>23</v>
      </c>
      <c r="I50" s="5" t="s">
        <v>24</v>
      </c>
      <c r="J50" s="5" t="s">
        <v>25</v>
      </c>
      <c r="K50" s="6" t="s">
        <v>26</v>
      </c>
      <c r="M50" s="4" t="s">
        <v>27</v>
      </c>
      <c r="N50" s="5" t="s">
        <v>19</v>
      </c>
      <c r="O50" s="5" t="s">
        <v>20</v>
      </c>
      <c r="P50" s="5" t="s">
        <v>28</v>
      </c>
      <c r="Q50" s="5" t="s">
        <v>29</v>
      </c>
      <c r="R50" s="5" t="s">
        <v>30</v>
      </c>
      <c r="S50" s="5" t="s">
        <v>30</v>
      </c>
      <c r="T50" s="6" t="s">
        <v>30</v>
      </c>
    </row>
    <row r="51" spans="1:20" ht="15.75" customHeight="1">
      <c r="A51" s="16">
        <v>64</v>
      </c>
      <c r="B51" s="5">
        <v>1.91</v>
      </c>
      <c r="C51" s="5" t="s">
        <v>52</v>
      </c>
      <c r="D51" s="5">
        <v>4.7699999999999999E-3</v>
      </c>
      <c r="E51" s="5">
        <v>-0.4</v>
      </c>
      <c r="F51" s="5">
        <v>30.76</v>
      </c>
      <c r="G51" s="5">
        <v>30.97</v>
      </c>
      <c r="H51" s="5">
        <v>30.82</v>
      </c>
      <c r="I51" s="8">
        <v>7.5</v>
      </c>
      <c r="J51" s="5">
        <f t="shared" ref="J51:J55" si="12">F51*G51*H51/1000</f>
        <v>29.360278504</v>
      </c>
      <c r="K51" s="6">
        <f t="shared" ref="K51:K55" si="13">I51/J51</f>
        <v>0.25544716815197144</v>
      </c>
      <c r="M51" s="4" t="s">
        <v>33</v>
      </c>
      <c r="N51" s="5">
        <v>1.73</v>
      </c>
      <c r="O51" s="5">
        <v>0.13700000000000001</v>
      </c>
      <c r="P51" s="5">
        <v>4.7699999999999999E-3</v>
      </c>
      <c r="Q51" s="5">
        <v>-0.4</v>
      </c>
      <c r="R51" s="5">
        <v>30.78</v>
      </c>
      <c r="S51" s="5">
        <v>30.75</v>
      </c>
      <c r="T51" s="6">
        <v>30.57</v>
      </c>
    </row>
    <row r="52" spans="1:20" ht="15.75" customHeight="1">
      <c r="A52" s="16">
        <v>73</v>
      </c>
      <c r="B52" s="5">
        <v>2.37</v>
      </c>
      <c r="C52" s="5">
        <v>0.17</v>
      </c>
      <c r="D52" s="5" t="s">
        <v>31</v>
      </c>
      <c r="E52" s="5" t="s">
        <v>32</v>
      </c>
      <c r="F52" s="5">
        <v>31.09</v>
      </c>
      <c r="G52" s="5">
        <v>30.84</v>
      </c>
      <c r="H52" s="5">
        <v>30.5</v>
      </c>
      <c r="I52" s="8">
        <v>7.8</v>
      </c>
      <c r="J52" s="5">
        <f t="shared" si="12"/>
        <v>29.243875800000001</v>
      </c>
      <c r="K52" s="6">
        <f t="shared" si="13"/>
        <v>0.26672251152154053</v>
      </c>
      <c r="M52" s="4" t="s">
        <v>34</v>
      </c>
      <c r="N52" s="5">
        <v>0.44700000000000001</v>
      </c>
      <c r="O52" s="5">
        <v>2.1999999999999999E-2</v>
      </c>
      <c r="P52" s="5" t="s">
        <v>31</v>
      </c>
      <c r="Q52" s="5" t="s">
        <v>32</v>
      </c>
      <c r="R52" s="5">
        <v>0.32840000000000003</v>
      </c>
      <c r="S52" s="5">
        <v>0.29389999999999999</v>
      </c>
      <c r="T52" s="6">
        <v>0.433</v>
      </c>
    </row>
    <row r="53" spans="1:20" ht="15.75" customHeight="1">
      <c r="A53" s="16">
        <v>139</v>
      </c>
      <c r="B53" s="5">
        <v>1.75</v>
      </c>
      <c r="C53" s="5">
        <v>0.122</v>
      </c>
      <c r="D53" s="5" t="s">
        <v>31</v>
      </c>
      <c r="E53" s="5" t="s">
        <v>32</v>
      </c>
      <c r="F53" s="5">
        <v>30.6</v>
      </c>
      <c r="G53" s="5">
        <v>30.6</v>
      </c>
      <c r="H53" s="5">
        <v>30.32</v>
      </c>
      <c r="I53" s="8">
        <v>7.6</v>
      </c>
      <c r="J53" s="5">
        <f t="shared" si="12"/>
        <v>28.390435200000002</v>
      </c>
      <c r="K53" s="6">
        <f t="shared" si="13"/>
        <v>0.26769579072884375</v>
      </c>
      <c r="M53" s="9" t="s">
        <v>35</v>
      </c>
      <c r="N53" s="10">
        <v>25.81</v>
      </c>
      <c r="O53" s="10">
        <v>16.010000000000002</v>
      </c>
      <c r="P53" s="10" t="s">
        <v>31</v>
      </c>
      <c r="Q53" s="10" t="s">
        <v>32</v>
      </c>
      <c r="R53" s="10">
        <v>1.07</v>
      </c>
      <c r="S53" s="10">
        <v>0.96</v>
      </c>
      <c r="T53" s="11">
        <v>1.42</v>
      </c>
    </row>
    <row r="54" spans="1:20" ht="15.75" customHeight="1">
      <c r="A54" s="20">
        <v>148</v>
      </c>
      <c r="B54" s="5">
        <v>1.34</v>
      </c>
      <c r="C54" s="5">
        <v>0.128</v>
      </c>
      <c r="D54" s="5" t="s">
        <v>31</v>
      </c>
      <c r="E54" s="5" t="s">
        <v>32</v>
      </c>
      <c r="F54" s="5">
        <v>30.34</v>
      </c>
      <c r="G54" s="5">
        <v>31.02</v>
      </c>
      <c r="H54" s="5">
        <v>30.06</v>
      </c>
      <c r="I54" s="8">
        <v>7.9</v>
      </c>
      <c r="J54" s="5">
        <f t="shared" si="12"/>
        <v>28.290872808</v>
      </c>
      <c r="K54" s="6">
        <f t="shared" si="13"/>
        <v>0.27924200337029065</v>
      </c>
    </row>
    <row r="55" spans="1:20" ht="15.75" customHeight="1">
      <c r="A55" s="17">
        <v>150</v>
      </c>
      <c r="B55" s="10">
        <v>1.28</v>
      </c>
      <c r="C55" s="10">
        <v>0.13</v>
      </c>
      <c r="D55" s="10" t="s">
        <v>31</v>
      </c>
      <c r="E55" s="10" t="s">
        <v>32</v>
      </c>
      <c r="F55" s="10">
        <v>31.11</v>
      </c>
      <c r="G55" s="10">
        <v>30.31</v>
      </c>
      <c r="H55" s="10">
        <v>31.17</v>
      </c>
      <c r="I55" s="13">
        <v>7.9</v>
      </c>
      <c r="J55" s="10">
        <f t="shared" si="12"/>
        <v>29.391567597000002</v>
      </c>
      <c r="K55" s="11">
        <f t="shared" si="13"/>
        <v>0.26878457482500367</v>
      </c>
    </row>
    <row r="56" spans="1:20" ht="15.75" customHeight="1"/>
    <row r="57" spans="1:20" ht="15.75" customHeight="1">
      <c r="A57" s="1" t="s">
        <v>61</v>
      </c>
      <c r="B57" s="2" t="s">
        <v>62</v>
      </c>
      <c r="C57" s="2" t="s">
        <v>2</v>
      </c>
      <c r="D57" s="2" t="s">
        <v>63</v>
      </c>
      <c r="E57" s="2" t="s">
        <v>64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3" t="s">
        <v>10</v>
      </c>
      <c r="M57" s="1" t="s">
        <v>11</v>
      </c>
      <c r="N57" s="2" t="s">
        <v>12</v>
      </c>
      <c r="O57" s="2" t="s">
        <v>13</v>
      </c>
      <c r="P57" s="2" t="s">
        <v>14</v>
      </c>
      <c r="Q57" s="2" t="s">
        <v>15</v>
      </c>
      <c r="R57" s="2" t="s">
        <v>16</v>
      </c>
      <c r="S57" s="2" t="s">
        <v>17</v>
      </c>
      <c r="T57" s="3" t="s">
        <v>7</v>
      </c>
    </row>
    <row r="58" spans="1:20" ht="15.75" customHeight="1">
      <c r="A58" s="4" t="s">
        <v>18</v>
      </c>
      <c r="B58" s="5" t="s">
        <v>19</v>
      </c>
      <c r="C58" s="5" t="s">
        <v>20</v>
      </c>
      <c r="D58" s="5" t="s">
        <v>21</v>
      </c>
      <c r="E58" s="5" t="s">
        <v>20</v>
      </c>
      <c r="F58" s="5" t="s">
        <v>22</v>
      </c>
      <c r="G58" s="5" t="s">
        <v>22</v>
      </c>
      <c r="H58" s="5" t="s">
        <v>23</v>
      </c>
      <c r="I58" s="5" t="s">
        <v>24</v>
      </c>
      <c r="J58" s="5" t="s">
        <v>25</v>
      </c>
      <c r="K58" s="6" t="s">
        <v>26</v>
      </c>
      <c r="M58" s="4" t="s">
        <v>27</v>
      </c>
      <c r="N58" s="5" t="s">
        <v>19</v>
      </c>
      <c r="O58" s="5" t="s">
        <v>20</v>
      </c>
      <c r="P58" s="5" t="s">
        <v>28</v>
      </c>
      <c r="Q58" s="5" t="s">
        <v>29</v>
      </c>
      <c r="R58" s="5" t="s">
        <v>30</v>
      </c>
      <c r="S58" s="5" t="s">
        <v>30</v>
      </c>
      <c r="T58" s="6" t="s">
        <v>30</v>
      </c>
    </row>
    <row r="59" spans="1:20" ht="15.75" customHeight="1">
      <c r="A59" s="18">
        <v>74</v>
      </c>
      <c r="B59" s="5">
        <v>1.56</v>
      </c>
      <c r="C59" s="5">
        <v>0.10100000000000001</v>
      </c>
      <c r="D59" s="5" t="s">
        <v>31</v>
      </c>
      <c r="E59" s="5" t="s">
        <v>32</v>
      </c>
      <c r="F59" s="5">
        <v>31.29</v>
      </c>
      <c r="G59" s="5">
        <v>30.05</v>
      </c>
      <c r="H59" s="5">
        <v>31.02</v>
      </c>
      <c r="I59" s="8">
        <v>8.1999999999999993</v>
      </c>
      <c r="J59" s="5">
        <f t="shared" ref="J59:J63" si="14">F59*G59*H59/1000</f>
        <v>29.16700479</v>
      </c>
      <c r="K59" s="6">
        <f t="shared" ref="K59:K63" si="15">I59/J59</f>
        <v>0.28113959794772603</v>
      </c>
      <c r="M59" s="4" t="s">
        <v>33</v>
      </c>
      <c r="N59" s="5">
        <v>1.34</v>
      </c>
      <c r="O59" s="5">
        <v>8.8499999999999995E-2</v>
      </c>
      <c r="P59" s="5" t="s">
        <v>31</v>
      </c>
      <c r="Q59" s="5" t="s">
        <v>32</v>
      </c>
      <c r="R59" s="5">
        <v>30.99</v>
      </c>
      <c r="S59" s="5">
        <v>30.87</v>
      </c>
      <c r="T59" s="6">
        <v>30.78</v>
      </c>
    </row>
    <row r="60" spans="1:20" ht="15.75" customHeight="1">
      <c r="A60" s="18">
        <v>87</v>
      </c>
      <c r="B60" s="5">
        <v>1.3</v>
      </c>
      <c r="C60" s="5">
        <v>0.113</v>
      </c>
      <c r="D60" s="5" t="s">
        <v>31</v>
      </c>
      <c r="E60" s="5" t="s">
        <v>32</v>
      </c>
      <c r="F60" s="5">
        <v>31.55</v>
      </c>
      <c r="G60" s="5">
        <v>30.66</v>
      </c>
      <c r="H60" s="5">
        <v>30.48</v>
      </c>
      <c r="I60" s="8">
        <v>8.1999999999999993</v>
      </c>
      <c r="J60" s="5">
        <f t="shared" si="14"/>
        <v>29.48400504</v>
      </c>
      <c r="K60" s="6">
        <f t="shared" si="15"/>
        <v>0.27811689724226146</v>
      </c>
      <c r="M60" s="4" t="s">
        <v>34</v>
      </c>
      <c r="N60" s="5">
        <v>0.17599999999999999</v>
      </c>
      <c r="O60" s="5">
        <v>1.7500000000000002E-2</v>
      </c>
      <c r="P60" s="5" t="s">
        <v>31</v>
      </c>
      <c r="Q60" s="5" t="s">
        <v>32</v>
      </c>
      <c r="R60" s="5">
        <v>0.57979999999999998</v>
      </c>
      <c r="S60" s="5">
        <v>0.70569999999999999</v>
      </c>
      <c r="T60" s="6">
        <v>0.40150000000000002</v>
      </c>
    </row>
    <row r="61" spans="1:20" ht="15.75" customHeight="1">
      <c r="A61" s="18">
        <v>93</v>
      </c>
      <c r="B61" s="5">
        <v>1.27</v>
      </c>
      <c r="C61" s="5">
        <v>7.8600000000000003E-2</v>
      </c>
      <c r="D61" s="5" t="s">
        <v>31</v>
      </c>
      <c r="E61" s="5" t="s">
        <v>32</v>
      </c>
      <c r="F61" s="5">
        <v>30.47</v>
      </c>
      <c r="G61" s="5">
        <v>31.99</v>
      </c>
      <c r="H61" s="5">
        <v>30.55</v>
      </c>
      <c r="I61" s="8">
        <v>8.1</v>
      </c>
      <c r="J61" s="5">
        <f t="shared" si="14"/>
        <v>29.778163414999998</v>
      </c>
      <c r="K61" s="6">
        <f t="shared" si="15"/>
        <v>0.27201140268844887</v>
      </c>
      <c r="M61" s="9" t="s">
        <v>35</v>
      </c>
      <c r="N61" s="10">
        <v>13.12</v>
      </c>
      <c r="O61" s="10">
        <v>19.78</v>
      </c>
      <c r="P61" s="10" t="s">
        <v>31</v>
      </c>
      <c r="Q61" s="10" t="s">
        <v>32</v>
      </c>
      <c r="R61" s="10">
        <v>1.87</v>
      </c>
      <c r="S61" s="10">
        <v>2.29</v>
      </c>
      <c r="T61" s="11">
        <v>1.3</v>
      </c>
    </row>
    <row r="62" spans="1:20" ht="15.75" customHeight="1">
      <c r="A62" s="18">
        <v>161</v>
      </c>
      <c r="B62" s="5">
        <v>1.1100000000000001</v>
      </c>
      <c r="C62" s="5">
        <v>7.5600000000000001E-2</v>
      </c>
      <c r="D62" s="5" t="s">
        <v>31</v>
      </c>
      <c r="E62" s="5" t="s">
        <v>32</v>
      </c>
      <c r="F62" s="5">
        <v>31.38</v>
      </c>
      <c r="G62" s="5">
        <v>30.91</v>
      </c>
      <c r="H62" s="5">
        <v>30.47</v>
      </c>
      <c r="I62" s="8">
        <v>7.7</v>
      </c>
      <c r="J62" s="5">
        <f t="shared" si="14"/>
        <v>29.554553225999996</v>
      </c>
      <c r="K62" s="6">
        <f t="shared" si="15"/>
        <v>0.26053515142384515</v>
      </c>
    </row>
    <row r="63" spans="1:20" ht="15.75" customHeight="1">
      <c r="A63" s="19">
        <v>167</v>
      </c>
      <c r="B63" s="10">
        <v>1.46</v>
      </c>
      <c r="C63" s="10">
        <v>7.4399999999999994E-2</v>
      </c>
      <c r="D63" s="10" t="s">
        <v>31</v>
      </c>
      <c r="E63" s="10" t="s">
        <v>32</v>
      </c>
      <c r="F63" s="10">
        <v>30.27</v>
      </c>
      <c r="G63" s="10">
        <v>30.73</v>
      </c>
      <c r="H63" s="10">
        <v>31.37</v>
      </c>
      <c r="I63" s="13">
        <v>8.1</v>
      </c>
      <c r="J63" s="10">
        <f t="shared" si="14"/>
        <v>29.180283027000002</v>
      </c>
      <c r="K63" s="11">
        <f t="shared" si="15"/>
        <v>0.27758469623153459</v>
      </c>
    </row>
    <row r="64" spans="1:20" ht="15.75" customHeight="1"/>
    <row r="65" spans="1:20" ht="15.75" customHeight="1">
      <c r="A65" s="21">
        <v>2.09</v>
      </c>
    </row>
    <row r="66" spans="1:20" ht="15.75" customHeight="1">
      <c r="A66" s="1" t="s">
        <v>65</v>
      </c>
      <c r="B66" s="2" t="s">
        <v>66</v>
      </c>
      <c r="C66" s="2" t="s">
        <v>2</v>
      </c>
      <c r="D66" s="2" t="s">
        <v>67</v>
      </c>
      <c r="E66" s="2" t="s">
        <v>68</v>
      </c>
      <c r="F66" s="2" t="s">
        <v>5</v>
      </c>
      <c r="G66" s="2" t="s">
        <v>6</v>
      </c>
      <c r="H66" s="2" t="s">
        <v>7</v>
      </c>
      <c r="I66" s="2" t="s">
        <v>8</v>
      </c>
      <c r="J66" s="2" t="s">
        <v>9</v>
      </c>
      <c r="K66" s="3" t="s">
        <v>10</v>
      </c>
      <c r="M66" s="1" t="s">
        <v>11</v>
      </c>
      <c r="N66" s="2" t="s">
        <v>12</v>
      </c>
      <c r="O66" s="2" t="s">
        <v>13</v>
      </c>
      <c r="P66" s="2" t="s">
        <v>14</v>
      </c>
      <c r="Q66" s="2" t="s">
        <v>15</v>
      </c>
      <c r="R66" s="2" t="s">
        <v>16</v>
      </c>
      <c r="S66" s="2" t="s">
        <v>17</v>
      </c>
      <c r="T66" s="3" t="s">
        <v>7</v>
      </c>
    </row>
    <row r="67" spans="1:20" ht="15.75" customHeight="1">
      <c r="A67" s="4" t="s">
        <v>18</v>
      </c>
      <c r="B67" s="5" t="s">
        <v>19</v>
      </c>
      <c r="C67" s="5" t="s">
        <v>20</v>
      </c>
      <c r="D67" s="5" t="s">
        <v>21</v>
      </c>
      <c r="E67" s="5" t="s">
        <v>20</v>
      </c>
      <c r="F67" s="5" t="s">
        <v>22</v>
      </c>
      <c r="G67" s="5" t="s">
        <v>22</v>
      </c>
      <c r="H67" s="5" t="s">
        <v>23</v>
      </c>
      <c r="I67" s="5" t="s">
        <v>24</v>
      </c>
      <c r="J67" s="5" t="s">
        <v>25</v>
      </c>
      <c r="K67" s="6" t="s">
        <v>26</v>
      </c>
      <c r="M67" s="4" t="s">
        <v>27</v>
      </c>
      <c r="N67" s="5" t="s">
        <v>19</v>
      </c>
      <c r="O67" s="5" t="s">
        <v>20</v>
      </c>
      <c r="P67" s="5" t="s">
        <v>28</v>
      </c>
      <c r="Q67" s="5" t="s">
        <v>29</v>
      </c>
      <c r="R67" s="5" t="s">
        <v>30</v>
      </c>
      <c r="S67" s="5" t="s">
        <v>30</v>
      </c>
      <c r="T67" s="6" t="s">
        <v>30</v>
      </c>
    </row>
    <row r="68" spans="1:20" ht="15.75" customHeight="1">
      <c r="A68" s="22">
        <v>101</v>
      </c>
      <c r="B68" s="5">
        <v>0.112</v>
      </c>
      <c r="C68" s="5">
        <v>1.0999999999999999E-2</v>
      </c>
      <c r="D68" s="5" t="s">
        <v>31</v>
      </c>
      <c r="E68" s="5" t="s">
        <v>32</v>
      </c>
      <c r="F68" s="5">
        <v>28.6</v>
      </c>
      <c r="G68" s="5">
        <v>30.46</v>
      </c>
      <c r="H68" s="5">
        <v>30.16</v>
      </c>
      <c r="I68" s="23">
        <v>3.8</v>
      </c>
      <c r="J68" s="5">
        <f t="shared" ref="J68:J72" si="16">F68*G68*H68/1000</f>
        <v>26.274064960000004</v>
      </c>
      <c r="K68" s="6">
        <f t="shared" ref="K68:K72" si="17">I68/J68</f>
        <v>0.14462931433659662</v>
      </c>
      <c r="M68" s="4" t="s">
        <v>33</v>
      </c>
      <c r="N68" s="5">
        <v>0.125</v>
      </c>
      <c r="O68" s="5">
        <v>1.2E-2</v>
      </c>
      <c r="P68" s="5" t="s">
        <v>31</v>
      </c>
      <c r="Q68" s="5" t="s">
        <v>32</v>
      </c>
      <c r="R68" s="5">
        <v>29.05</v>
      </c>
      <c r="S68" s="5">
        <v>30.58</v>
      </c>
      <c r="T68" s="6">
        <v>30.14</v>
      </c>
    </row>
    <row r="69" spans="1:20" ht="15.75" customHeight="1">
      <c r="A69" s="22">
        <v>102</v>
      </c>
      <c r="B69" s="5">
        <v>0.122</v>
      </c>
      <c r="C69" s="5">
        <v>1.18E-2</v>
      </c>
      <c r="D69" s="5" t="s">
        <v>31</v>
      </c>
      <c r="E69" s="5" t="s">
        <v>32</v>
      </c>
      <c r="F69" s="5">
        <v>28.8</v>
      </c>
      <c r="G69" s="5">
        <v>30.61</v>
      </c>
      <c r="H69" s="5">
        <v>30.42</v>
      </c>
      <c r="I69" s="23">
        <v>3.9</v>
      </c>
      <c r="J69" s="5">
        <f t="shared" si="16"/>
        <v>26.817298559999998</v>
      </c>
      <c r="K69" s="6">
        <f t="shared" si="17"/>
        <v>0.1454285185092111</v>
      </c>
      <c r="M69" s="4" t="s">
        <v>34</v>
      </c>
      <c r="N69" s="5">
        <v>1.0800000000000001E-2</v>
      </c>
      <c r="O69" s="5">
        <v>8.4999999999999995E-4</v>
      </c>
      <c r="P69" s="5" t="s">
        <v>31</v>
      </c>
      <c r="Q69" s="5" t="s">
        <v>32</v>
      </c>
      <c r="R69" s="5">
        <v>0.38690000000000002</v>
      </c>
      <c r="S69" s="5">
        <v>0.23419999999999999</v>
      </c>
      <c r="T69" s="6">
        <v>0.53820000000000001</v>
      </c>
    </row>
    <row r="70" spans="1:20" ht="15.75" customHeight="1">
      <c r="A70" s="22">
        <v>103</v>
      </c>
      <c r="B70" s="5">
        <v>0.13900000000000001</v>
      </c>
      <c r="C70" s="5">
        <v>1.32E-2</v>
      </c>
      <c r="D70" s="5" t="s">
        <v>31</v>
      </c>
      <c r="E70" s="5" t="s">
        <v>32</v>
      </c>
      <c r="F70" s="5">
        <v>29.42</v>
      </c>
      <c r="G70" s="5">
        <v>30.47</v>
      </c>
      <c r="H70" s="5">
        <v>29.31</v>
      </c>
      <c r="I70" s="23">
        <v>4.0999999999999996</v>
      </c>
      <c r="J70" s="5">
        <f t="shared" si="16"/>
        <v>26.274287093999998</v>
      </c>
      <c r="K70" s="6">
        <f t="shared" si="17"/>
        <v>0.15604609880875803</v>
      </c>
      <c r="M70" s="9" t="s">
        <v>35</v>
      </c>
      <c r="N70" s="10">
        <v>8.6300000000000008</v>
      </c>
      <c r="O70" s="10">
        <v>7.07</v>
      </c>
      <c r="P70" s="10" t="s">
        <v>31</v>
      </c>
      <c r="Q70" s="10" t="s">
        <v>32</v>
      </c>
      <c r="R70" s="10">
        <v>1.33</v>
      </c>
      <c r="S70" s="10">
        <v>0.77</v>
      </c>
      <c r="T70" s="11">
        <v>1.79</v>
      </c>
    </row>
    <row r="71" spans="1:20" ht="15.75" customHeight="1">
      <c r="A71" s="22">
        <v>104</v>
      </c>
      <c r="B71" s="5">
        <v>0.11799999999999999</v>
      </c>
      <c r="C71" s="5">
        <v>1.1599999999999999E-2</v>
      </c>
      <c r="D71" s="5" t="s">
        <v>31</v>
      </c>
      <c r="E71" s="5" t="s">
        <v>32</v>
      </c>
      <c r="F71" s="5">
        <v>28.94</v>
      </c>
      <c r="G71" s="5">
        <v>30.97</v>
      </c>
      <c r="H71" s="5">
        <v>30.06</v>
      </c>
      <c r="I71" s="23">
        <v>4</v>
      </c>
      <c r="J71" s="5">
        <f t="shared" si="16"/>
        <v>26.941930308</v>
      </c>
      <c r="K71" s="6">
        <f t="shared" si="17"/>
        <v>0.14846746147258277</v>
      </c>
    </row>
    <row r="72" spans="1:20" ht="15.75" customHeight="1">
      <c r="A72" s="24">
        <v>105</v>
      </c>
      <c r="B72" s="10">
        <v>0.13200000000000001</v>
      </c>
      <c r="C72" s="10">
        <v>1.26E-2</v>
      </c>
      <c r="D72" s="10" t="s">
        <v>31</v>
      </c>
      <c r="E72" s="10" t="s">
        <v>32</v>
      </c>
      <c r="F72" s="10">
        <v>29.48</v>
      </c>
      <c r="G72" s="10">
        <v>30.38</v>
      </c>
      <c r="H72" s="10">
        <v>30.76</v>
      </c>
      <c r="I72" s="25">
        <v>4.2</v>
      </c>
      <c r="J72" s="10">
        <f t="shared" si="16"/>
        <v>27.548729824000002</v>
      </c>
      <c r="K72" s="11">
        <f t="shared" si="17"/>
        <v>0.15245711968691308</v>
      </c>
    </row>
    <row r="73" spans="1:20" ht="15.75" customHeight="1"/>
    <row r="74" spans="1:20" ht="15.75" customHeight="1"/>
    <row r="75" spans="1:20" ht="15.75" customHeight="1">
      <c r="A75" s="1" t="s">
        <v>69</v>
      </c>
      <c r="B75" s="2" t="s">
        <v>70</v>
      </c>
      <c r="C75" s="2" t="s">
        <v>2</v>
      </c>
      <c r="D75" s="2" t="s">
        <v>71</v>
      </c>
      <c r="E75" s="2" t="s">
        <v>72</v>
      </c>
      <c r="F75" s="2" t="s">
        <v>5</v>
      </c>
      <c r="G75" s="2" t="s">
        <v>6</v>
      </c>
      <c r="H75" s="2" t="s">
        <v>7</v>
      </c>
      <c r="I75" s="2" t="s">
        <v>8</v>
      </c>
      <c r="J75" s="2" t="s">
        <v>9</v>
      </c>
      <c r="K75" s="3" t="s">
        <v>10</v>
      </c>
      <c r="M75" s="1" t="s">
        <v>11</v>
      </c>
      <c r="N75" s="2" t="s">
        <v>12</v>
      </c>
      <c r="O75" s="2" t="s">
        <v>13</v>
      </c>
      <c r="P75" s="2" t="s">
        <v>14</v>
      </c>
      <c r="Q75" s="2" t="s">
        <v>15</v>
      </c>
      <c r="R75" s="2" t="s">
        <v>16</v>
      </c>
      <c r="S75" s="2" t="s">
        <v>17</v>
      </c>
      <c r="T75" s="3" t="s">
        <v>7</v>
      </c>
    </row>
    <row r="76" spans="1:20" ht="15.75" customHeight="1">
      <c r="A76" s="4" t="s">
        <v>18</v>
      </c>
      <c r="B76" s="5" t="s">
        <v>19</v>
      </c>
      <c r="C76" s="5" t="s">
        <v>20</v>
      </c>
      <c r="D76" s="5" t="s">
        <v>21</v>
      </c>
      <c r="E76" s="5" t="s">
        <v>20</v>
      </c>
      <c r="F76" s="5" t="s">
        <v>22</v>
      </c>
      <c r="G76" s="5" t="s">
        <v>22</v>
      </c>
      <c r="H76" s="5" t="s">
        <v>23</v>
      </c>
      <c r="I76" s="5" t="s">
        <v>24</v>
      </c>
      <c r="J76" s="5" t="s">
        <v>25</v>
      </c>
      <c r="K76" s="6" t="s">
        <v>26</v>
      </c>
      <c r="M76" s="4" t="s">
        <v>27</v>
      </c>
      <c r="N76" s="5" t="s">
        <v>19</v>
      </c>
      <c r="O76" s="5" t="s">
        <v>20</v>
      </c>
      <c r="P76" s="5" t="s">
        <v>28</v>
      </c>
      <c r="Q76" s="5" t="s">
        <v>29</v>
      </c>
      <c r="R76" s="5" t="s">
        <v>30</v>
      </c>
      <c r="S76" s="5" t="s">
        <v>30</v>
      </c>
      <c r="T76" s="6" t="s">
        <v>30</v>
      </c>
    </row>
    <row r="77" spans="1:20" ht="15.75" customHeight="1">
      <c r="A77" s="22">
        <v>201</v>
      </c>
      <c r="B77" s="5">
        <v>0.53900000000000003</v>
      </c>
      <c r="C77" s="5">
        <v>4.4900000000000002E-2</v>
      </c>
      <c r="D77" s="5" t="s">
        <v>31</v>
      </c>
      <c r="E77" s="5" t="s">
        <v>32</v>
      </c>
      <c r="F77" s="5">
        <v>31.46</v>
      </c>
      <c r="G77" s="5">
        <v>30.48</v>
      </c>
      <c r="H77" s="5">
        <v>31.05</v>
      </c>
      <c r="I77" s="23">
        <v>5.2</v>
      </c>
      <c r="J77" s="5">
        <f t="shared" ref="J77:J81" si="18">F77*G77*H77/1000</f>
        <v>29.77386984</v>
      </c>
      <c r="K77" s="6">
        <f t="shared" ref="K77:K81" si="19">I77/J77</f>
        <v>0.17464978613609738</v>
      </c>
      <c r="M77" s="4" t="s">
        <v>33</v>
      </c>
      <c r="N77" s="5">
        <v>0.44600000000000001</v>
      </c>
      <c r="O77" s="5">
        <v>4.6800000000000001E-2</v>
      </c>
      <c r="P77" s="5" t="s">
        <v>31</v>
      </c>
      <c r="Q77" s="5" t="s">
        <v>32</v>
      </c>
      <c r="R77" s="5">
        <v>31.38</v>
      </c>
      <c r="S77" s="5">
        <v>31.11</v>
      </c>
      <c r="T77" s="6">
        <v>30.91</v>
      </c>
    </row>
    <row r="78" spans="1:20" ht="15.75" customHeight="1">
      <c r="A78" s="22">
        <v>202</v>
      </c>
      <c r="B78" s="5">
        <v>0.40899999999999997</v>
      </c>
      <c r="C78" s="5">
        <v>4.48E-2</v>
      </c>
      <c r="D78" s="5" t="s">
        <v>31</v>
      </c>
      <c r="E78" s="5" t="s">
        <v>32</v>
      </c>
      <c r="F78" s="5">
        <v>31.46</v>
      </c>
      <c r="G78" s="5">
        <v>30.86</v>
      </c>
      <c r="H78" s="5">
        <v>31.95</v>
      </c>
      <c r="I78" s="23">
        <v>5.0999999999999996</v>
      </c>
      <c r="J78" s="5">
        <f t="shared" si="18"/>
        <v>31.01883642</v>
      </c>
      <c r="K78" s="6">
        <f t="shared" si="19"/>
        <v>0.16441622538463999</v>
      </c>
      <c r="M78" s="4" t="s">
        <v>34</v>
      </c>
      <c r="N78" s="5">
        <v>9.7500000000000003E-2</v>
      </c>
      <c r="O78" s="5">
        <v>6.5599999999999999E-3</v>
      </c>
      <c r="P78" s="5" t="s">
        <v>31</v>
      </c>
      <c r="Q78" s="5" t="s">
        <v>32</v>
      </c>
      <c r="R78" s="5">
        <v>0.3251</v>
      </c>
      <c r="S78" s="5">
        <v>0.76119999999999999</v>
      </c>
      <c r="T78" s="6">
        <v>0.63780000000000003</v>
      </c>
    </row>
    <row r="79" spans="1:20" ht="15.75" customHeight="1">
      <c r="A79" s="22">
        <v>203</v>
      </c>
      <c r="B79" s="5">
        <v>0.39600000000000002</v>
      </c>
      <c r="C79" s="5">
        <v>4.4600000000000001E-2</v>
      </c>
      <c r="D79" s="5" t="s">
        <v>31</v>
      </c>
      <c r="E79" s="5" t="s">
        <v>32</v>
      </c>
      <c r="F79" s="5">
        <v>31.46</v>
      </c>
      <c r="G79" s="5">
        <v>30.97</v>
      </c>
      <c r="H79" s="5">
        <v>30.42</v>
      </c>
      <c r="I79" s="23">
        <v>5.2</v>
      </c>
      <c r="J79" s="5">
        <f t="shared" si="18"/>
        <v>29.638698804000001</v>
      </c>
      <c r="K79" s="6">
        <f t="shared" si="19"/>
        <v>0.17544629858373589</v>
      </c>
      <c r="M79" s="9" t="s">
        <v>35</v>
      </c>
      <c r="N79" s="10">
        <v>21.86</v>
      </c>
      <c r="O79" s="10">
        <v>14.01</v>
      </c>
      <c r="P79" s="10" t="s">
        <v>31</v>
      </c>
      <c r="Q79" s="10" t="s">
        <v>32</v>
      </c>
      <c r="R79" s="10">
        <v>1.04</v>
      </c>
      <c r="S79" s="10">
        <v>2.4500000000000002</v>
      </c>
      <c r="T79" s="11">
        <v>2.06</v>
      </c>
    </row>
    <row r="80" spans="1:20" ht="15.75" customHeight="1">
      <c r="A80" s="22">
        <v>204</v>
      </c>
      <c r="B80" s="5">
        <v>0.33100000000000002</v>
      </c>
      <c r="C80" s="5">
        <v>4.1500000000000002E-2</v>
      </c>
      <c r="D80" s="5" t="s">
        <v>31</v>
      </c>
      <c r="E80" s="5" t="s">
        <v>32</v>
      </c>
      <c r="F80" s="5">
        <v>30.82</v>
      </c>
      <c r="G80" s="5">
        <v>32.43</v>
      </c>
      <c r="H80" s="5">
        <v>30.72</v>
      </c>
      <c r="I80" s="23">
        <v>5.0999999999999996</v>
      </c>
      <c r="J80" s="5">
        <f t="shared" si="18"/>
        <v>30.704412672</v>
      </c>
      <c r="K80" s="6">
        <f t="shared" si="19"/>
        <v>0.16609990409133593</v>
      </c>
    </row>
    <row r="81" spans="1:20" ht="15.75" customHeight="1">
      <c r="A81" s="24">
        <v>205</v>
      </c>
      <c r="B81" s="10">
        <v>0.55600000000000005</v>
      </c>
      <c r="C81" s="10">
        <v>5.8299999999999998E-2</v>
      </c>
      <c r="D81" s="10" t="s">
        <v>31</v>
      </c>
      <c r="E81" s="10" t="s">
        <v>32</v>
      </c>
      <c r="F81" s="10">
        <v>31.68</v>
      </c>
      <c r="G81" s="10">
        <v>30.8</v>
      </c>
      <c r="H81" s="10">
        <v>30.41</v>
      </c>
      <c r="I81" s="25">
        <v>5</v>
      </c>
      <c r="J81" s="10">
        <f t="shared" si="18"/>
        <v>29.672375040000002</v>
      </c>
      <c r="K81" s="11">
        <f t="shared" si="19"/>
        <v>0.16850690223683557</v>
      </c>
    </row>
    <row r="82" spans="1:20" ht="15.75" customHeight="1"/>
    <row r="83" spans="1:20" ht="15.75" customHeight="1"/>
    <row r="84" spans="1:20" ht="15.75" customHeight="1">
      <c r="A84" s="1" t="s">
        <v>73</v>
      </c>
      <c r="B84" s="2" t="s">
        <v>74</v>
      </c>
      <c r="C84" s="2" t="s">
        <v>2</v>
      </c>
      <c r="D84" s="2" t="s">
        <v>75</v>
      </c>
      <c r="E84" s="2" t="s">
        <v>76</v>
      </c>
      <c r="F84" s="2" t="s">
        <v>5</v>
      </c>
      <c r="G84" s="2" t="s">
        <v>6</v>
      </c>
      <c r="H84" s="2" t="s">
        <v>7</v>
      </c>
      <c r="I84" s="2" t="s">
        <v>8</v>
      </c>
      <c r="J84" s="2" t="s">
        <v>9</v>
      </c>
      <c r="K84" s="3" t="s">
        <v>10</v>
      </c>
      <c r="M84" s="1" t="s">
        <v>11</v>
      </c>
      <c r="N84" s="2" t="s">
        <v>12</v>
      </c>
      <c r="O84" s="2" t="s">
        <v>13</v>
      </c>
      <c r="P84" s="2" t="s">
        <v>14</v>
      </c>
      <c r="Q84" s="2" t="s">
        <v>15</v>
      </c>
      <c r="R84" s="2" t="s">
        <v>16</v>
      </c>
      <c r="S84" s="2" t="s">
        <v>17</v>
      </c>
      <c r="T84" s="3" t="s">
        <v>7</v>
      </c>
    </row>
    <row r="85" spans="1:20" ht="15.75" customHeight="1">
      <c r="A85" s="4" t="s">
        <v>18</v>
      </c>
      <c r="B85" s="5" t="s">
        <v>19</v>
      </c>
      <c r="C85" s="5" t="s">
        <v>20</v>
      </c>
      <c r="D85" s="5" t="s">
        <v>21</v>
      </c>
      <c r="E85" s="5" t="s">
        <v>20</v>
      </c>
      <c r="F85" s="5" t="s">
        <v>22</v>
      </c>
      <c r="G85" s="5" t="s">
        <v>22</v>
      </c>
      <c r="H85" s="5" t="s">
        <v>23</v>
      </c>
      <c r="I85" s="5" t="s">
        <v>24</v>
      </c>
      <c r="J85" s="5" t="s">
        <v>25</v>
      </c>
      <c r="K85" s="6" t="s">
        <v>26</v>
      </c>
      <c r="M85" s="4" t="s">
        <v>27</v>
      </c>
      <c r="N85" s="5" t="s">
        <v>19</v>
      </c>
      <c r="O85" s="5" t="s">
        <v>20</v>
      </c>
      <c r="P85" s="5" t="s">
        <v>28</v>
      </c>
      <c r="Q85" s="5" t="s">
        <v>29</v>
      </c>
      <c r="R85" s="5" t="s">
        <v>30</v>
      </c>
      <c r="S85" s="5" t="s">
        <v>30</v>
      </c>
      <c r="T85" s="6" t="s">
        <v>30</v>
      </c>
    </row>
    <row r="86" spans="1:20" ht="15.75" customHeight="1">
      <c r="A86" s="22">
        <v>166</v>
      </c>
      <c r="B86" s="5">
        <v>0.52</v>
      </c>
      <c r="C86" s="5">
        <v>6.25E-2</v>
      </c>
      <c r="D86" s="5" t="s">
        <v>31</v>
      </c>
      <c r="E86" s="5" t="s">
        <v>32</v>
      </c>
      <c r="F86" s="5">
        <v>31.8</v>
      </c>
      <c r="G86" s="5">
        <v>30.92</v>
      </c>
      <c r="H86" s="5">
        <v>30.35</v>
      </c>
      <c r="I86" s="23">
        <v>5.6</v>
      </c>
      <c r="J86" s="5">
        <f t="shared" ref="J86:J90" si="20">F86*G86*H86/1000</f>
        <v>29.841819600000001</v>
      </c>
      <c r="K86" s="6">
        <f t="shared" ref="K86:K90" si="21">I86/J86</f>
        <v>0.18765611732335516</v>
      </c>
      <c r="M86" s="4" t="s">
        <v>33</v>
      </c>
      <c r="N86" s="5">
        <v>0.55300000000000005</v>
      </c>
      <c r="O86" s="5">
        <v>5.67E-2</v>
      </c>
      <c r="P86" s="5" t="s">
        <v>31</v>
      </c>
      <c r="Q86" s="5" t="s">
        <v>32</v>
      </c>
      <c r="R86" s="5">
        <v>31.4</v>
      </c>
      <c r="S86" s="5">
        <v>30.98</v>
      </c>
      <c r="T86" s="6">
        <v>30.54</v>
      </c>
    </row>
    <row r="87" spans="1:20" ht="15.75" customHeight="1">
      <c r="A87" s="22">
        <v>167</v>
      </c>
      <c r="B87" s="5">
        <v>0.39500000000000002</v>
      </c>
      <c r="C87" s="5">
        <v>5.6099999999999997E-2</v>
      </c>
      <c r="D87" s="5" t="s">
        <v>31</v>
      </c>
      <c r="E87" s="5" t="s">
        <v>32</v>
      </c>
      <c r="F87" s="5">
        <v>31.8</v>
      </c>
      <c r="G87" s="5">
        <v>31.36</v>
      </c>
      <c r="H87" s="5">
        <v>30.37</v>
      </c>
      <c r="I87" s="23">
        <v>5.8</v>
      </c>
      <c r="J87" s="5">
        <f t="shared" si="20"/>
        <v>30.28642176</v>
      </c>
      <c r="K87" s="6">
        <f t="shared" si="21"/>
        <v>0.19150496040638906</v>
      </c>
      <c r="M87" s="4" t="s">
        <v>34</v>
      </c>
      <c r="N87" s="5">
        <v>0.128</v>
      </c>
      <c r="O87" s="5">
        <v>3.64E-3</v>
      </c>
      <c r="P87" s="5" t="s">
        <v>31</v>
      </c>
      <c r="Q87" s="5" t="s">
        <v>32</v>
      </c>
      <c r="R87" s="5">
        <v>0.3891</v>
      </c>
      <c r="S87" s="5">
        <v>0.53549999999999998</v>
      </c>
      <c r="T87" s="6">
        <v>0.34949999999999998</v>
      </c>
    </row>
    <row r="88" spans="1:20" ht="15.75" customHeight="1">
      <c r="A88" s="22">
        <v>168</v>
      </c>
      <c r="B88" s="5">
        <v>0.54600000000000004</v>
      </c>
      <c r="C88" s="5">
        <v>5.3699999999999998E-2</v>
      </c>
      <c r="D88" s="5" t="s">
        <v>31</v>
      </c>
      <c r="E88" s="5" t="s">
        <v>32</v>
      </c>
      <c r="F88" s="5">
        <v>31.11</v>
      </c>
      <c r="G88" s="5">
        <v>30.07</v>
      </c>
      <c r="H88" s="5">
        <v>30.8</v>
      </c>
      <c r="I88" s="23">
        <v>5.7</v>
      </c>
      <c r="J88" s="5">
        <f t="shared" si="20"/>
        <v>28.812713160000001</v>
      </c>
      <c r="K88" s="6">
        <f t="shared" si="21"/>
        <v>0.19782933902639802</v>
      </c>
      <c r="M88" s="9" t="s">
        <v>35</v>
      </c>
      <c r="N88" s="10">
        <v>23.12</v>
      </c>
      <c r="O88" s="10">
        <v>6.42</v>
      </c>
      <c r="P88" s="10" t="s">
        <v>31</v>
      </c>
      <c r="Q88" s="10" t="s">
        <v>32</v>
      </c>
      <c r="R88" s="10">
        <v>1.24</v>
      </c>
      <c r="S88" s="10">
        <v>1.73</v>
      </c>
      <c r="T88" s="11">
        <v>1.1399999999999999</v>
      </c>
    </row>
    <row r="89" spans="1:20" ht="15.75" customHeight="1">
      <c r="A89" s="22">
        <v>169</v>
      </c>
      <c r="B89" s="5">
        <v>0.751</v>
      </c>
      <c r="C89" s="5">
        <v>5.7599999999999998E-2</v>
      </c>
      <c r="D89" s="5" t="s">
        <v>31</v>
      </c>
      <c r="E89" s="5" t="s">
        <v>32</v>
      </c>
      <c r="F89" s="5">
        <v>31.31</v>
      </c>
      <c r="G89" s="5">
        <v>31.33</v>
      </c>
      <c r="H89" s="5">
        <v>30.16</v>
      </c>
      <c r="I89" s="23">
        <v>5.8</v>
      </c>
      <c r="J89" s="5">
        <f t="shared" si="20"/>
        <v>29.585219767999998</v>
      </c>
      <c r="K89" s="6">
        <f t="shared" si="21"/>
        <v>0.19604383693892324</v>
      </c>
    </row>
    <row r="90" spans="1:20" ht="15.75" customHeight="1">
      <c r="A90" s="24">
        <v>170</v>
      </c>
      <c r="B90" s="10">
        <v>0.55200000000000005</v>
      </c>
      <c r="C90" s="10">
        <v>5.3600000000000002E-2</v>
      </c>
      <c r="D90" s="10" t="s">
        <v>31</v>
      </c>
      <c r="E90" s="10" t="s">
        <v>32</v>
      </c>
      <c r="F90" s="10">
        <v>30.96</v>
      </c>
      <c r="G90" s="10">
        <v>31.2</v>
      </c>
      <c r="H90" s="10">
        <v>31</v>
      </c>
      <c r="I90" s="25">
        <v>5.7</v>
      </c>
      <c r="J90" s="10">
        <f t="shared" si="20"/>
        <v>29.944512</v>
      </c>
      <c r="K90" s="11">
        <f t="shared" si="21"/>
        <v>0.19035207519828676</v>
      </c>
    </row>
    <row r="91" spans="1:20" ht="15.75" customHeight="1"/>
    <row r="92" spans="1:20" ht="15.75" customHeight="1">
      <c r="A92" s="1" t="s">
        <v>77</v>
      </c>
      <c r="B92" s="2" t="s">
        <v>78</v>
      </c>
      <c r="C92" s="2" t="s">
        <v>2</v>
      </c>
      <c r="D92" s="2" t="s">
        <v>79</v>
      </c>
      <c r="E92" s="2" t="s">
        <v>80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3" t="s">
        <v>10</v>
      </c>
      <c r="M92" s="1" t="s">
        <v>11</v>
      </c>
      <c r="N92" s="2" t="s">
        <v>12</v>
      </c>
      <c r="O92" s="2" t="s">
        <v>13</v>
      </c>
      <c r="P92" s="2" t="s">
        <v>14</v>
      </c>
      <c r="Q92" s="2" t="s">
        <v>15</v>
      </c>
      <c r="R92" s="2" t="s">
        <v>16</v>
      </c>
      <c r="S92" s="2" t="s">
        <v>17</v>
      </c>
      <c r="T92" s="3" t="s">
        <v>7</v>
      </c>
    </row>
    <row r="93" spans="1:20" ht="15.75" customHeight="1">
      <c r="A93" s="4" t="s">
        <v>18</v>
      </c>
      <c r="B93" s="5" t="s">
        <v>19</v>
      </c>
      <c r="C93" s="5" t="s">
        <v>20</v>
      </c>
      <c r="D93" s="5" t="s">
        <v>21</v>
      </c>
      <c r="E93" s="5" t="s">
        <v>20</v>
      </c>
      <c r="F93" s="5" t="s">
        <v>22</v>
      </c>
      <c r="G93" s="5" t="s">
        <v>22</v>
      </c>
      <c r="H93" s="5" t="s">
        <v>23</v>
      </c>
      <c r="I93" s="5" t="s">
        <v>24</v>
      </c>
      <c r="J93" s="5" t="s">
        <v>25</v>
      </c>
      <c r="K93" s="6" t="s">
        <v>26</v>
      </c>
      <c r="M93" s="4" t="s">
        <v>27</v>
      </c>
      <c r="N93" s="5" t="s">
        <v>19</v>
      </c>
      <c r="O93" s="5" t="s">
        <v>20</v>
      </c>
      <c r="P93" s="5" t="s">
        <v>28</v>
      </c>
      <c r="Q93" s="5" t="s">
        <v>29</v>
      </c>
      <c r="R93" s="5" t="s">
        <v>30</v>
      </c>
      <c r="S93" s="5" t="s">
        <v>30</v>
      </c>
      <c r="T93" s="6" t="s">
        <v>30</v>
      </c>
    </row>
    <row r="94" spans="1:20" ht="15.75" customHeight="1">
      <c r="A94" s="22">
        <v>186</v>
      </c>
      <c r="B94" s="5">
        <v>0.247</v>
      </c>
      <c r="C94" s="5">
        <v>2.1899999999999999E-2</v>
      </c>
      <c r="D94" s="5" t="s">
        <v>31</v>
      </c>
      <c r="E94" s="5" t="s">
        <v>32</v>
      </c>
      <c r="F94" s="5">
        <v>28.89</v>
      </c>
      <c r="G94" s="5">
        <v>30.6</v>
      </c>
      <c r="H94" s="5">
        <v>30.35</v>
      </c>
      <c r="I94" s="23">
        <v>4.3</v>
      </c>
      <c r="J94" s="5">
        <f t="shared" ref="J94:J98" si="22">F94*G94*H94/1000</f>
        <v>26.830431900000004</v>
      </c>
      <c r="K94" s="6">
        <f t="shared" ref="K94:K98" si="23">I94/J94</f>
        <v>0.16026577641487758</v>
      </c>
      <c r="M94" s="4" t="s">
        <v>33</v>
      </c>
      <c r="N94" s="5">
        <v>0.17299999999999999</v>
      </c>
      <c r="O94" s="5">
        <v>1.6500000000000001E-2</v>
      </c>
      <c r="P94" s="5" t="s">
        <v>31</v>
      </c>
      <c r="Q94" s="5" t="s">
        <v>32</v>
      </c>
      <c r="R94" s="5">
        <v>28.95</v>
      </c>
      <c r="S94" s="5">
        <v>30.59</v>
      </c>
      <c r="T94" s="6">
        <v>30.3</v>
      </c>
    </row>
    <row r="95" spans="1:20" ht="15.75" customHeight="1">
      <c r="A95" s="22">
        <v>187</v>
      </c>
      <c r="B95" s="5">
        <v>0.13300000000000001</v>
      </c>
      <c r="C95" s="5">
        <v>1.3599999999999999E-2</v>
      </c>
      <c r="D95" s="5" t="s">
        <v>31</v>
      </c>
      <c r="E95" s="5" t="s">
        <v>32</v>
      </c>
      <c r="F95" s="5">
        <v>29.04</v>
      </c>
      <c r="G95" s="5">
        <v>30.59</v>
      </c>
      <c r="H95" s="5">
        <v>30.1</v>
      </c>
      <c r="I95" s="23">
        <v>4.0999999999999996</v>
      </c>
      <c r="J95" s="5">
        <f t="shared" si="22"/>
        <v>26.738841359999999</v>
      </c>
      <c r="K95" s="6">
        <f t="shared" si="23"/>
        <v>0.15333499102670167</v>
      </c>
      <c r="M95" s="4" t="s">
        <v>34</v>
      </c>
      <c r="N95" s="5">
        <v>4.8300000000000003E-2</v>
      </c>
      <c r="O95" s="5">
        <v>3.5799999999999998E-3</v>
      </c>
      <c r="P95" s="5" t="s">
        <v>31</v>
      </c>
      <c r="Q95" s="5" t="s">
        <v>32</v>
      </c>
      <c r="R95" s="5">
        <v>0.71109999999999995</v>
      </c>
      <c r="S95" s="5">
        <v>0.4698</v>
      </c>
      <c r="T95" s="6">
        <v>0.39800000000000002</v>
      </c>
    </row>
    <row r="96" spans="1:20" ht="15.75" customHeight="1">
      <c r="A96" s="22">
        <v>188</v>
      </c>
      <c r="B96" s="5">
        <v>0.128</v>
      </c>
      <c r="C96" s="5">
        <v>1.29E-2</v>
      </c>
      <c r="D96" s="5" t="s">
        <v>31</v>
      </c>
      <c r="E96" s="5" t="s">
        <v>32</v>
      </c>
      <c r="F96" s="5">
        <v>27.85</v>
      </c>
      <c r="G96" s="5">
        <v>30.67</v>
      </c>
      <c r="H96" s="5">
        <v>30.59</v>
      </c>
      <c r="I96" s="23">
        <v>4</v>
      </c>
      <c r="J96" s="5">
        <f t="shared" si="22"/>
        <v>26.128739105000005</v>
      </c>
      <c r="K96" s="6">
        <f t="shared" si="23"/>
        <v>0.15308813731599313</v>
      </c>
      <c r="M96" s="9" t="s">
        <v>35</v>
      </c>
      <c r="N96" s="10">
        <v>27.89</v>
      </c>
      <c r="O96" s="10">
        <v>21.67</v>
      </c>
      <c r="P96" s="10" t="s">
        <v>31</v>
      </c>
      <c r="Q96" s="10" t="s">
        <v>32</v>
      </c>
      <c r="R96" s="10">
        <v>2.46</v>
      </c>
      <c r="S96" s="10">
        <v>1.54</v>
      </c>
      <c r="T96" s="11">
        <v>1.31</v>
      </c>
    </row>
    <row r="97" spans="1:20" ht="15.75" customHeight="1">
      <c r="A97" s="22">
        <v>189</v>
      </c>
      <c r="B97" s="5">
        <v>0.17100000000000001</v>
      </c>
      <c r="C97" s="5">
        <v>1.66E-2</v>
      </c>
      <c r="D97" s="5" t="s">
        <v>31</v>
      </c>
      <c r="E97" s="5" t="s">
        <v>32</v>
      </c>
      <c r="F97" s="5">
        <v>29.82</v>
      </c>
      <c r="G97" s="5">
        <v>31.2</v>
      </c>
      <c r="H97" s="5">
        <v>30.74</v>
      </c>
      <c r="I97" s="23">
        <v>4.2</v>
      </c>
      <c r="J97" s="5">
        <f t="shared" si="22"/>
        <v>28.600004160000001</v>
      </c>
      <c r="K97" s="6">
        <f t="shared" si="23"/>
        <v>0.14685312549269225</v>
      </c>
    </row>
    <row r="98" spans="1:20" ht="15.75" customHeight="1">
      <c r="A98" s="24">
        <v>190</v>
      </c>
      <c r="B98" s="10">
        <v>0.188</v>
      </c>
      <c r="C98" s="10">
        <v>1.7500000000000002E-2</v>
      </c>
      <c r="D98" s="10" t="s">
        <v>31</v>
      </c>
      <c r="E98" s="10" t="s">
        <v>32</v>
      </c>
      <c r="F98" s="10">
        <v>29.16</v>
      </c>
      <c r="G98" s="10">
        <v>29.88</v>
      </c>
      <c r="H98" s="10">
        <v>29.74</v>
      </c>
      <c r="I98" s="25">
        <v>4</v>
      </c>
      <c r="J98" s="10">
        <f t="shared" si="22"/>
        <v>25.912485791999998</v>
      </c>
      <c r="K98" s="11">
        <f t="shared" si="23"/>
        <v>0.15436573828184891</v>
      </c>
    </row>
    <row r="99" spans="1:20" ht="15.75" customHeight="1">
      <c r="A99" s="57"/>
      <c r="B99" s="58"/>
      <c r="C99" s="58"/>
      <c r="D99" s="58"/>
      <c r="E99" s="58"/>
      <c r="F99" s="58"/>
      <c r="G99" s="58"/>
      <c r="H99" s="58"/>
      <c r="I99" s="59"/>
      <c r="J99" s="58"/>
      <c r="K99" s="58"/>
    </row>
    <row r="100" spans="1:20" ht="15.75" customHeight="1" thickBot="1">
      <c r="A100" t="s">
        <v>256</v>
      </c>
    </row>
    <row r="101" spans="1:20" ht="15.75" customHeight="1">
      <c r="A101" s="60" t="s">
        <v>255</v>
      </c>
      <c r="B101" s="61" t="s">
        <v>1</v>
      </c>
      <c r="C101" s="61" t="s">
        <v>2</v>
      </c>
      <c r="D101" s="61" t="s">
        <v>3</v>
      </c>
      <c r="E101" s="61" t="s">
        <v>4</v>
      </c>
      <c r="F101" s="61" t="s">
        <v>5</v>
      </c>
      <c r="G101" s="61" t="s">
        <v>6</v>
      </c>
      <c r="H101" s="61" t="s">
        <v>7</v>
      </c>
      <c r="I101" s="61" t="s">
        <v>8</v>
      </c>
      <c r="J101" s="61" t="s">
        <v>9</v>
      </c>
      <c r="K101" s="62" t="s">
        <v>10</v>
      </c>
      <c r="M101" s="70" t="s">
        <v>11</v>
      </c>
      <c r="N101" s="61" t="s">
        <v>12</v>
      </c>
      <c r="O101" s="61" t="s">
        <v>13</v>
      </c>
      <c r="P101" s="61" t="s">
        <v>14</v>
      </c>
      <c r="Q101" s="61" t="s">
        <v>15</v>
      </c>
      <c r="R101" s="61" t="s">
        <v>16</v>
      </c>
      <c r="S101" s="61" t="s">
        <v>17</v>
      </c>
      <c r="T101" s="62" t="s">
        <v>7</v>
      </c>
    </row>
    <row r="102" spans="1:20" ht="15.75" customHeight="1">
      <c r="A102" s="63" t="s">
        <v>18</v>
      </c>
      <c r="B102" s="64" t="s">
        <v>19</v>
      </c>
      <c r="C102" s="64" t="s">
        <v>20</v>
      </c>
      <c r="D102" s="64" t="s">
        <v>28</v>
      </c>
      <c r="E102" s="64" t="s">
        <v>29</v>
      </c>
      <c r="F102" s="64" t="s">
        <v>30</v>
      </c>
      <c r="G102" s="64" t="s">
        <v>30</v>
      </c>
      <c r="H102" s="64" t="s">
        <v>30</v>
      </c>
      <c r="I102" s="58" t="s">
        <v>24</v>
      </c>
      <c r="J102" s="58" t="s">
        <v>25</v>
      </c>
      <c r="K102" s="65" t="s">
        <v>26</v>
      </c>
      <c r="M102" s="63" t="s">
        <v>27</v>
      </c>
      <c r="N102" s="64" t="s">
        <v>19</v>
      </c>
      <c r="O102" s="64" t="s">
        <v>20</v>
      </c>
      <c r="P102" s="64" t="s">
        <v>28</v>
      </c>
      <c r="Q102" s="64" t="s">
        <v>29</v>
      </c>
      <c r="R102" s="64" t="s">
        <v>30</v>
      </c>
      <c r="S102" s="64" t="s">
        <v>30</v>
      </c>
      <c r="T102" s="71" t="s">
        <v>30</v>
      </c>
    </row>
    <row r="103" spans="1:20" ht="15.75" customHeight="1">
      <c r="A103" s="63">
        <v>107</v>
      </c>
      <c r="B103" s="64">
        <v>8.0699999999999994E-2</v>
      </c>
      <c r="C103" s="64">
        <v>8.5800000000000008E-3</v>
      </c>
      <c r="D103" s="64" t="s">
        <v>31</v>
      </c>
      <c r="E103" s="64" t="s">
        <v>32</v>
      </c>
      <c r="F103" s="64">
        <v>25.13</v>
      </c>
      <c r="G103" s="64">
        <v>30.52</v>
      </c>
      <c r="H103" s="64">
        <v>30.24</v>
      </c>
      <c r="I103" s="64">
        <v>3.7</v>
      </c>
      <c r="J103" s="58">
        <f t="shared" ref="J103:J107" si="24">F103*G103*H103/1000</f>
        <v>23.193100223999998</v>
      </c>
      <c r="K103" s="65">
        <f t="shared" ref="K103:K107" si="25">I103/J103</f>
        <v>0.1595302035633544</v>
      </c>
      <c r="M103" s="63" t="s">
        <v>33</v>
      </c>
      <c r="N103" s="64">
        <v>0.152</v>
      </c>
      <c r="O103" s="64">
        <v>1.54E-2</v>
      </c>
      <c r="P103" s="64" t="s">
        <v>31</v>
      </c>
      <c r="Q103" s="64" t="s">
        <v>32</v>
      </c>
      <c r="R103" s="64">
        <v>29.13</v>
      </c>
      <c r="S103" s="64">
        <v>30.09</v>
      </c>
      <c r="T103" s="71">
        <v>30.23</v>
      </c>
    </row>
    <row r="104" spans="1:20" ht="15.75" customHeight="1">
      <c r="A104" s="63">
        <v>306</v>
      </c>
      <c r="B104" s="64">
        <v>0.19400000000000001</v>
      </c>
      <c r="C104" s="64">
        <v>1.9199999999999998E-2</v>
      </c>
      <c r="D104" s="64" t="s">
        <v>31</v>
      </c>
      <c r="E104" s="64" t="s">
        <v>32</v>
      </c>
      <c r="F104" s="64">
        <v>31.79</v>
      </c>
      <c r="G104" s="64">
        <v>30.31</v>
      </c>
      <c r="H104" s="64">
        <v>29.48</v>
      </c>
      <c r="I104" s="64">
        <v>5</v>
      </c>
      <c r="J104" s="58">
        <f t="shared" si="24"/>
        <v>28.405598452</v>
      </c>
      <c r="K104" s="65">
        <f t="shared" si="25"/>
        <v>0.17602163913036506</v>
      </c>
      <c r="M104" s="63" t="s">
        <v>34</v>
      </c>
      <c r="N104" s="64">
        <v>4.5199999999999997E-2</v>
      </c>
      <c r="O104" s="64">
        <v>4.2500000000000003E-3</v>
      </c>
      <c r="P104" s="64" t="s">
        <v>31</v>
      </c>
      <c r="Q104" s="64" t="s">
        <v>32</v>
      </c>
      <c r="R104" s="64">
        <v>2.7349999999999999</v>
      </c>
      <c r="S104" s="64">
        <v>0.34670000000000001</v>
      </c>
      <c r="T104" s="71">
        <v>0.56659999999999999</v>
      </c>
    </row>
    <row r="105" spans="1:20" ht="15.75" customHeight="1" thickBot="1">
      <c r="A105" s="63">
        <v>309</v>
      </c>
      <c r="B105" s="64">
        <v>0.14599999999999999</v>
      </c>
      <c r="C105" s="64">
        <v>1.49E-2</v>
      </c>
      <c r="D105" s="64" t="s">
        <v>31</v>
      </c>
      <c r="E105" s="64" t="s">
        <v>32</v>
      </c>
      <c r="F105" s="64">
        <v>29.33</v>
      </c>
      <c r="G105" s="64">
        <v>30.02</v>
      </c>
      <c r="H105" s="64">
        <v>30.88</v>
      </c>
      <c r="I105" s="64">
        <v>4.5999999999999996</v>
      </c>
      <c r="J105" s="58">
        <f t="shared" si="24"/>
        <v>27.189426207999997</v>
      </c>
      <c r="K105" s="65">
        <f t="shared" si="25"/>
        <v>0.16918341581796723</v>
      </c>
      <c r="M105" s="66" t="s">
        <v>35</v>
      </c>
      <c r="N105" s="67">
        <v>29.75</v>
      </c>
      <c r="O105" s="67">
        <v>27.67</v>
      </c>
      <c r="P105" s="67" t="s">
        <v>31</v>
      </c>
      <c r="Q105" s="67" t="s">
        <v>32</v>
      </c>
      <c r="R105" s="67">
        <v>9.39</v>
      </c>
      <c r="S105" s="67">
        <v>1.1499999999999999</v>
      </c>
      <c r="T105" s="72">
        <v>1.87</v>
      </c>
    </row>
    <row r="106" spans="1:20" ht="15.75" customHeight="1">
      <c r="A106" s="63">
        <v>290</v>
      </c>
      <c r="B106" s="64">
        <v>0.151</v>
      </c>
      <c r="C106" s="64">
        <v>1.5299999999999999E-2</v>
      </c>
      <c r="D106" s="64" t="s">
        <v>31</v>
      </c>
      <c r="E106" s="64" t="s">
        <v>32</v>
      </c>
      <c r="F106" s="64">
        <v>27.94</v>
      </c>
      <c r="G106" s="64">
        <v>29.98</v>
      </c>
      <c r="H106" s="64">
        <v>29.88</v>
      </c>
      <c r="I106" s="64">
        <v>4.0999999999999996</v>
      </c>
      <c r="J106" s="58">
        <f t="shared" si="24"/>
        <v>25.028719056000003</v>
      </c>
      <c r="K106" s="65">
        <f t="shared" si="25"/>
        <v>0.16381181916767443</v>
      </c>
    </row>
    <row r="107" spans="1:20" ht="15.75" customHeight="1" thickBot="1">
      <c r="A107" s="66">
        <v>327</v>
      </c>
      <c r="B107" s="67">
        <v>0.188</v>
      </c>
      <c r="C107" s="67">
        <v>1.8800000000000001E-2</v>
      </c>
      <c r="D107" s="67" t="s">
        <v>31</v>
      </c>
      <c r="E107" s="67" t="s">
        <v>32</v>
      </c>
      <c r="F107" s="67">
        <v>31.45</v>
      </c>
      <c r="G107" s="67">
        <v>29.61</v>
      </c>
      <c r="H107" s="67">
        <v>30.65</v>
      </c>
      <c r="I107" s="67">
        <v>4.8</v>
      </c>
      <c r="J107" s="68">
        <f t="shared" si="24"/>
        <v>28.542337424999996</v>
      </c>
      <c r="K107" s="69">
        <f t="shared" si="25"/>
        <v>0.16817123028598632</v>
      </c>
    </row>
    <row r="108" spans="1:20" ht="15.75" customHeight="1" thickBot="1"/>
    <row r="109" spans="1:20" ht="15.75" customHeight="1">
      <c r="A109" s="60" t="s">
        <v>254</v>
      </c>
      <c r="B109" s="61" t="s">
        <v>1</v>
      </c>
      <c r="C109" s="61" t="s">
        <v>2</v>
      </c>
      <c r="D109" s="61" t="s">
        <v>3</v>
      </c>
      <c r="E109" s="61" t="s">
        <v>4</v>
      </c>
      <c r="F109" s="61" t="s">
        <v>5</v>
      </c>
      <c r="G109" s="61" t="s">
        <v>6</v>
      </c>
      <c r="H109" s="61" t="s">
        <v>7</v>
      </c>
      <c r="I109" s="61" t="s">
        <v>8</v>
      </c>
      <c r="J109" s="61" t="s">
        <v>9</v>
      </c>
      <c r="K109" s="62" t="s">
        <v>10</v>
      </c>
      <c r="M109" s="70" t="s">
        <v>11</v>
      </c>
      <c r="N109" s="61" t="s">
        <v>12</v>
      </c>
      <c r="O109" s="61" t="s">
        <v>13</v>
      </c>
      <c r="P109" s="61" t="s">
        <v>14</v>
      </c>
      <c r="Q109" s="61" t="s">
        <v>15</v>
      </c>
      <c r="R109" s="61" t="s">
        <v>16</v>
      </c>
      <c r="S109" s="61" t="s">
        <v>17</v>
      </c>
      <c r="T109" s="62" t="s">
        <v>7</v>
      </c>
    </row>
    <row r="110" spans="1:20" ht="15.75" customHeight="1">
      <c r="A110" s="63" t="s">
        <v>18</v>
      </c>
      <c r="B110" s="64" t="s">
        <v>19</v>
      </c>
      <c r="C110" s="64" t="s">
        <v>20</v>
      </c>
      <c r="D110" s="64" t="s">
        <v>28</v>
      </c>
      <c r="E110" s="64" t="s">
        <v>29</v>
      </c>
      <c r="F110" s="64" t="s">
        <v>30</v>
      </c>
      <c r="G110" s="64" t="s">
        <v>30</v>
      </c>
      <c r="H110" s="64" t="s">
        <v>30</v>
      </c>
      <c r="I110" s="58" t="s">
        <v>24</v>
      </c>
      <c r="J110" s="58" t="s">
        <v>25</v>
      </c>
      <c r="K110" s="65" t="s">
        <v>26</v>
      </c>
      <c r="M110" s="63" t="s">
        <v>27</v>
      </c>
      <c r="N110" s="64" t="s">
        <v>19</v>
      </c>
      <c r="O110" s="64" t="s">
        <v>20</v>
      </c>
      <c r="P110" s="64" t="s">
        <v>28</v>
      </c>
      <c r="Q110" s="64" t="s">
        <v>29</v>
      </c>
      <c r="R110" s="64" t="s">
        <v>30</v>
      </c>
      <c r="S110" s="64" t="s">
        <v>30</v>
      </c>
      <c r="T110" s="71" t="s">
        <v>30</v>
      </c>
    </row>
    <row r="111" spans="1:20" ht="15.75" customHeight="1">
      <c r="A111" s="63">
        <v>208</v>
      </c>
      <c r="B111" s="64">
        <v>1.02</v>
      </c>
      <c r="C111" s="64">
        <v>8.1500000000000003E-2</v>
      </c>
      <c r="D111" s="64" t="s">
        <v>31</v>
      </c>
      <c r="E111" s="64" t="s">
        <v>32</v>
      </c>
      <c r="F111" s="64">
        <v>32.020000000000003</v>
      </c>
      <c r="G111" s="64">
        <v>30.25</v>
      </c>
      <c r="H111" s="64">
        <v>30.46</v>
      </c>
      <c r="I111" s="64">
        <v>5.4</v>
      </c>
      <c r="J111" s="58">
        <f t="shared" ref="J111:J115" si="26">F111*G111*H111/1000</f>
        <v>29.503708300000007</v>
      </c>
      <c r="K111" s="65">
        <f t="shared" ref="K111:K115" si="27">I111/J111</f>
        <v>0.18302783992749816</v>
      </c>
      <c r="M111" s="63" t="s">
        <v>33</v>
      </c>
      <c r="N111" s="64">
        <v>1.04</v>
      </c>
      <c r="O111" s="64">
        <v>8.1199999999999994E-2</v>
      </c>
      <c r="P111" s="64" t="s">
        <v>31</v>
      </c>
      <c r="Q111" s="64" t="s">
        <v>32</v>
      </c>
      <c r="R111" s="64">
        <v>31.72</v>
      </c>
      <c r="S111" s="64">
        <v>30.61</v>
      </c>
      <c r="T111" s="71">
        <v>30.59</v>
      </c>
    </row>
    <row r="112" spans="1:20" ht="15.75" customHeight="1">
      <c r="A112" s="63">
        <v>311</v>
      </c>
      <c r="B112" s="64">
        <v>0.85899999999999999</v>
      </c>
      <c r="C112" s="64">
        <v>7.7299999999999994E-2</v>
      </c>
      <c r="D112" s="64" t="s">
        <v>31</v>
      </c>
      <c r="E112" s="64" t="s">
        <v>32</v>
      </c>
      <c r="F112" s="64">
        <v>30.72</v>
      </c>
      <c r="G112" s="64">
        <v>30.52</v>
      </c>
      <c r="H112" s="64">
        <v>30.84</v>
      </c>
      <c r="I112" s="64">
        <v>5.4</v>
      </c>
      <c r="J112" s="58">
        <f t="shared" si="26"/>
        <v>28.914794495999999</v>
      </c>
      <c r="K112" s="65">
        <f t="shared" si="27"/>
        <v>0.1867556070905855</v>
      </c>
      <c r="M112" s="63" t="s">
        <v>34</v>
      </c>
      <c r="N112" s="64">
        <v>0.29499999999999998</v>
      </c>
      <c r="O112" s="64">
        <v>9.0500000000000008E-3</v>
      </c>
      <c r="P112" s="64" t="s">
        <v>31</v>
      </c>
      <c r="Q112" s="64" t="s">
        <v>32</v>
      </c>
      <c r="R112" s="64">
        <v>0.74570000000000003</v>
      </c>
      <c r="S112" s="64">
        <v>0.44030000000000002</v>
      </c>
      <c r="T112" s="71">
        <v>0.67059999999999997</v>
      </c>
    </row>
    <row r="113" spans="1:20" ht="15.75" customHeight="1" thickBot="1">
      <c r="A113" s="63">
        <v>277</v>
      </c>
      <c r="B113" s="64">
        <v>0.71</v>
      </c>
      <c r="C113" s="64">
        <v>7.22E-2</v>
      </c>
      <c r="D113" s="64" t="s">
        <v>31</v>
      </c>
      <c r="E113" s="64" t="s">
        <v>32</v>
      </c>
      <c r="F113" s="64">
        <v>31.36</v>
      </c>
      <c r="G113" s="64">
        <v>30.62</v>
      </c>
      <c r="H113" s="64">
        <v>31.14</v>
      </c>
      <c r="I113" s="64">
        <v>5.3</v>
      </c>
      <c r="J113" s="58">
        <f t="shared" si="26"/>
        <v>29.901973248000001</v>
      </c>
      <c r="K113" s="65">
        <f t="shared" si="27"/>
        <v>0.1772458277600289</v>
      </c>
      <c r="M113" s="66" t="s">
        <v>35</v>
      </c>
      <c r="N113" s="67">
        <v>28.49</v>
      </c>
      <c r="O113" s="67">
        <v>11.15</v>
      </c>
      <c r="P113" s="67" t="s">
        <v>31</v>
      </c>
      <c r="Q113" s="67" t="s">
        <v>32</v>
      </c>
      <c r="R113" s="67">
        <v>2.35</v>
      </c>
      <c r="S113" s="67">
        <v>1.44</v>
      </c>
      <c r="T113" s="72">
        <v>2.19</v>
      </c>
    </row>
    <row r="114" spans="1:20" ht="15.75" customHeight="1">
      <c r="A114" s="63">
        <v>279</v>
      </c>
      <c r="B114" s="64">
        <v>1.0900000000000001</v>
      </c>
      <c r="C114" s="64">
        <v>7.85E-2</v>
      </c>
      <c r="D114" s="64" t="s">
        <v>31</v>
      </c>
      <c r="E114" s="64" t="s">
        <v>32</v>
      </c>
      <c r="F114" s="64">
        <v>32.72</v>
      </c>
      <c r="G114" s="64">
        <v>31.35</v>
      </c>
      <c r="H114" s="64">
        <v>31.02</v>
      </c>
      <c r="I114" s="64">
        <v>5.6</v>
      </c>
      <c r="J114" s="58">
        <f t="shared" si="26"/>
        <v>31.819447439999998</v>
      </c>
      <c r="K114" s="65">
        <f t="shared" si="27"/>
        <v>0.17599299958176773</v>
      </c>
    </row>
    <row r="115" spans="1:20" ht="15.75" customHeight="1" thickBot="1">
      <c r="A115" s="66">
        <v>270</v>
      </c>
      <c r="B115" s="67">
        <v>1.49</v>
      </c>
      <c r="C115" s="67">
        <v>9.6199999999999994E-2</v>
      </c>
      <c r="D115" s="67" t="s">
        <v>31</v>
      </c>
      <c r="E115" s="67" t="s">
        <v>32</v>
      </c>
      <c r="F115" s="67">
        <v>31.79</v>
      </c>
      <c r="G115" s="67">
        <v>30.31</v>
      </c>
      <c r="H115" s="67">
        <v>29.48</v>
      </c>
      <c r="I115" s="67">
        <v>5.3</v>
      </c>
      <c r="J115" s="68">
        <f t="shared" si="26"/>
        <v>28.405598452</v>
      </c>
      <c r="K115" s="69">
        <f t="shared" si="27"/>
        <v>0.18658293747818694</v>
      </c>
    </row>
    <row r="116" spans="1:20" ht="15.75" customHeight="1" thickBot="1"/>
    <row r="117" spans="1:20" ht="15.75" customHeight="1">
      <c r="A117" s="60" t="s">
        <v>253</v>
      </c>
      <c r="B117" s="61" t="s">
        <v>1</v>
      </c>
      <c r="C117" s="61" t="s">
        <v>2</v>
      </c>
      <c r="D117" s="61" t="s">
        <v>3</v>
      </c>
      <c r="E117" s="61" t="s">
        <v>4</v>
      </c>
      <c r="F117" s="61" t="s">
        <v>5</v>
      </c>
      <c r="G117" s="61" t="s">
        <v>6</v>
      </c>
      <c r="H117" s="61" t="s">
        <v>7</v>
      </c>
      <c r="I117" s="61" t="s">
        <v>8</v>
      </c>
      <c r="J117" s="61" t="s">
        <v>9</v>
      </c>
      <c r="K117" s="62" t="s">
        <v>10</v>
      </c>
      <c r="M117" s="70" t="s">
        <v>11</v>
      </c>
      <c r="N117" s="61" t="s">
        <v>12</v>
      </c>
      <c r="O117" s="61" t="s">
        <v>13</v>
      </c>
      <c r="P117" s="61" t="s">
        <v>14</v>
      </c>
      <c r="Q117" s="61" t="s">
        <v>15</v>
      </c>
      <c r="R117" s="61" t="s">
        <v>16</v>
      </c>
      <c r="S117" s="61" t="s">
        <v>17</v>
      </c>
      <c r="T117" s="62" t="s">
        <v>7</v>
      </c>
    </row>
    <row r="118" spans="1:20" ht="15.75" customHeight="1">
      <c r="A118" s="63" t="s">
        <v>18</v>
      </c>
      <c r="B118" s="64" t="s">
        <v>19</v>
      </c>
      <c r="C118" s="64" t="s">
        <v>20</v>
      </c>
      <c r="D118" s="64" t="s">
        <v>28</v>
      </c>
      <c r="E118" s="64" t="s">
        <v>29</v>
      </c>
      <c r="F118" s="64" t="s">
        <v>30</v>
      </c>
      <c r="G118" s="64" t="s">
        <v>30</v>
      </c>
      <c r="H118" s="64" t="s">
        <v>30</v>
      </c>
      <c r="I118" s="58" t="s">
        <v>24</v>
      </c>
      <c r="J118" s="58" t="s">
        <v>25</v>
      </c>
      <c r="K118" s="65" t="s">
        <v>26</v>
      </c>
      <c r="M118" s="63" t="s">
        <v>27</v>
      </c>
      <c r="N118" s="64" t="s">
        <v>19</v>
      </c>
      <c r="O118" s="64" t="s">
        <v>20</v>
      </c>
      <c r="P118" s="64" t="s">
        <v>28</v>
      </c>
      <c r="Q118" s="64" t="s">
        <v>29</v>
      </c>
      <c r="R118" s="64" t="s">
        <v>30</v>
      </c>
      <c r="S118" s="64" t="s">
        <v>30</v>
      </c>
      <c r="T118" s="71" t="s">
        <v>30</v>
      </c>
    </row>
    <row r="119" spans="1:20" ht="15.75" customHeight="1">
      <c r="A119" s="63">
        <v>173</v>
      </c>
      <c r="B119" s="64">
        <v>1.04</v>
      </c>
      <c r="C119" s="64">
        <v>8.0500000000000002E-2</v>
      </c>
      <c r="D119" s="64" t="s">
        <v>31</v>
      </c>
      <c r="E119" s="64" t="s">
        <v>32</v>
      </c>
      <c r="F119" s="64">
        <v>30.44</v>
      </c>
      <c r="G119" s="64">
        <v>30.37</v>
      </c>
      <c r="H119" s="64">
        <v>30.87</v>
      </c>
      <c r="I119" s="64">
        <v>6</v>
      </c>
      <c r="J119" s="58">
        <f t="shared" ref="J119:J123" si="28">F119*G119*H119/1000</f>
        <v>28.538166636000003</v>
      </c>
      <c r="K119" s="65">
        <f t="shared" ref="K119:K123" si="29">I119/J119</f>
        <v>0.21024476016729077</v>
      </c>
      <c r="M119" s="63" t="s">
        <v>33</v>
      </c>
      <c r="N119" s="64">
        <v>0.94699999999999995</v>
      </c>
      <c r="O119" s="64">
        <v>8.6099999999999996E-2</v>
      </c>
      <c r="P119" s="64" t="s">
        <v>31</v>
      </c>
      <c r="Q119" s="64" t="s">
        <v>32</v>
      </c>
      <c r="R119" s="64">
        <v>30.78</v>
      </c>
      <c r="S119" s="64">
        <v>30.47</v>
      </c>
      <c r="T119" s="71">
        <v>30.65</v>
      </c>
    </row>
    <row r="120" spans="1:20" ht="15.75" customHeight="1">
      <c r="A120" s="63">
        <v>226</v>
      </c>
      <c r="B120" s="64">
        <v>1.0900000000000001</v>
      </c>
      <c r="C120" s="64">
        <v>9.5000000000000001E-2</v>
      </c>
      <c r="D120" s="64" t="s">
        <v>31</v>
      </c>
      <c r="E120" s="64" t="s">
        <v>32</v>
      </c>
      <c r="F120" s="64">
        <v>29.65</v>
      </c>
      <c r="G120" s="64">
        <v>30.45</v>
      </c>
      <c r="H120" s="64">
        <v>30.25</v>
      </c>
      <c r="I120" s="64">
        <v>5.9</v>
      </c>
      <c r="J120" s="58">
        <f t="shared" si="28"/>
        <v>27.310985624999997</v>
      </c>
      <c r="K120" s="65">
        <f t="shared" si="29"/>
        <v>0.21603028469976726</v>
      </c>
      <c r="M120" s="63" t="s">
        <v>34</v>
      </c>
      <c r="N120" s="64">
        <v>0.129</v>
      </c>
      <c r="O120" s="64">
        <v>1.6299999999999999E-2</v>
      </c>
      <c r="P120" s="64" t="s">
        <v>31</v>
      </c>
      <c r="Q120" s="64" t="s">
        <v>32</v>
      </c>
      <c r="R120" s="64">
        <v>1.304</v>
      </c>
      <c r="S120" s="64">
        <v>0.11409999999999999</v>
      </c>
      <c r="T120" s="71">
        <v>0.42099999999999999</v>
      </c>
    </row>
    <row r="121" spans="1:20" ht="15.75" customHeight="1" thickBot="1">
      <c r="A121" s="63">
        <v>230</v>
      </c>
      <c r="B121" s="64">
        <v>0.93799999999999994</v>
      </c>
      <c r="C121" s="64">
        <v>0.104</v>
      </c>
      <c r="D121" s="64" t="s">
        <v>31</v>
      </c>
      <c r="E121" s="64" t="s">
        <v>32</v>
      </c>
      <c r="F121" s="64">
        <v>30.18</v>
      </c>
      <c r="G121" s="64">
        <v>30.54</v>
      </c>
      <c r="H121" s="64">
        <v>30.59</v>
      </c>
      <c r="I121" s="64">
        <v>5.8</v>
      </c>
      <c r="J121" s="58">
        <f t="shared" si="28"/>
        <v>28.194717347999998</v>
      </c>
      <c r="K121" s="65">
        <f t="shared" si="29"/>
        <v>0.20571229455547016</v>
      </c>
      <c r="M121" s="66" t="s">
        <v>35</v>
      </c>
      <c r="N121" s="67">
        <v>13.62</v>
      </c>
      <c r="O121" s="67">
        <v>18.940000000000001</v>
      </c>
      <c r="P121" s="67" t="s">
        <v>31</v>
      </c>
      <c r="Q121" s="67" t="s">
        <v>32</v>
      </c>
      <c r="R121" s="67">
        <v>4.24</v>
      </c>
      <c r="S121" s="67">
        <v>0.37</v>
      </c>
      <c r="T121" s="72">
        <v>1.37</v>
      </c>
    </row>
    <row r="122" spans="1:20" ht="15.75" customHeight="1">
      <c r="A122" s="63">
        <v>347</v>
      </c>
      <c r="B122" s="64">
        <v>0.76100000000000001</v>
      </c>
      <c r="C122" s="64">
        <v>9.0499999999999997E-2</v>
      </c>
      <c r="D122" s="64" t="s">
        <v>31</v>
      </c>
      <c r="E122" s="64" t="s">
        <v>32</v>
      </c>
      <c r="F122" s="64">
        <v>30.59</v>
      </c>
      <c r="G122" s="64">
        <v>30.35</v>
      </c>
      <c r="H122" s="64">
        <v>31.25</v>
      </c>
      <c r="I122" s="64">
        <v>6.2</v>
      </c>
      <c r="J122" s="58">
        <f t="shared" si="28"/>
        <v>29.012703125000002</v>
      </c>
      <c r="K122" s="65">
        <f t="shared" si="29"/>
        <v>0.21369949477949582</v>
      </c>
    </row>
    <row r="123" spans="1:20" ht="15.75" customHeight="1" thickBot="1">
      <c r="A123" s="66">
        <v>52</v>
      </c>
      <c r="B123" s="67">
        <v>0.90300000000000002</v>
      </c>
      <c r="C123" s="67">
        <v>6.0999999999999999E-2</v>
      </c>
      <c r="D123" s="67" t="s">
        <v>31</v>
      </c>
      <c r="E123" s="67" t="s">
        <v>32</v>
      </c>
      <c r="F123" s="67">
        <v>33.020000000000003</v>
      </c>
      <c r="G123" s="67">
        <v>30.62</v>
      </c>
      <c r="H123" s="67">
        <v>30.28</v>
      </c>
      <c r="I123" s="67">
        <v>6.5</v>
      </c>
      <c r="J123" s="68">
        <f t="shared" si="28"/>
        <v>30.615272272000006</v>
      </c>
      <c r="K123" s="69">
        <f t="shared" si="29"/>
        <v>0.21231233687066517</v>
      </c>
    </row>
    <row r="124" spans="1:20" ht="15.75" customHeight="1" thickBot="1"/>
    <row r="125" spans="1:20" ht="15.75" customHeight="1">
      <c r="A125" s="60" t="s">
        <v>252</v>
      </c>
      <c r="B125" s="61" t="s">
        <v>1</v>
      </c>
      <c r="C125" s="61" t="s">
        <v>2</v>
      </c>
      <c r="D125" s="61" t="s">
        <v>3</v>
      </c>
      <c r="E125" s="61" t="s">
        <v>4</v>
      </c>
      <c r="F125" s="61" t="s">
        <v>5</v>
      </c>
      <c r="G125" s="61" t="s">
        <v>6</v>
      </c>
      <c r="H125" s="61" t="s">
        <v>7</v>
      </c>
      <c r="I125" s="61" t="s">
        <v>8</v>
      </c>
      <c r="J125" s="61" t="s">
        <v>9</v>
      </c>
      <c r="K125" s="62" t="s">
        <v>10</v>
      </c>
      <c r="M125" s="70" t="s">
        <v>11</v>
      </c>
      <c r="N125" s="61" t="s">
        <v>12</v>
      </c>
      <c r="O125" s="61" t="s">
        <v>13</v>
      </c>
      <c r="P125" s="61" t="s">
        <v>14</v>
      </c>
      <c r="Q125" s="61" t="s">
        <v>15</v>
      </c>
      <c r="R125" s="61" t="s">
        <v>16</v>
      </c>
      <c r="S125" s="61" t="s">
        <v>17</v>
      </c>
      <c r="T125" s="62" t="s">
        <v>7</v>
      </c>
    </row>
    <row r="126" spans="1:20" ht="15.75" customHeight="1">
      <c r="A126" s="63" t="s">
        <v>18</v>
      </c>
      <c r="B126" s="64" t="s">
        <v>19</v>
      </c>
      <c r="C126" s="64" t="s">
        <v>20</v>
      </c>
      <c r="D126" s="64" t="s">
        <v>28</v>
      </c>
      <c r="E126" s="64" t="s">
        <v>29</v>
      </c>
      <c r="F126" s="64" t="s">
        <v>30</v>
      </c>
      <c r="G126" s="64" t="s">
        <v>30</v>
      </c>
      <c r="H126" s="64" t="s">
        <v>30</v>
      </c>
      <c r="I126" s="58" t="s">
        <v>24</v>
      </c>
      <c r="J126" s="58" t="s">
        <v>25</v>
      </c>
      <c r="K126" s="65" t="s">
        <v>26</v>
      </c>
      <c r="M126" s="63" t="s">
        <v>27</v>
      </c>
      <c r="N126" s="64" t="s">
        <v>19</v>
      </c>
      <c r="O126" s="64" t="s">
        <v>20</v>
      </c>
      <c r="P126" s="64" t="s">
        <v>28</v>
      </c>
      <c r="Q126" s="64" t="s">
        <v>29</v>
      </c>
      <c r="R126" s="64" t="s">
        <v>30</v>
      </c>
      <c r="S126" s="64" t="s">
        <v>30</v>
      </c>
      <c r="T126" s="71" t="s">
        <v>30</v>
      </c>
    </row>
    <row r="127" spans="1:20" ht="15.75" customHeight="1">
      <c r="A127" s="63">
        <v>195</v>
      </c>
      <c r="B127" s="64">
        <v>0.27200000000000002</v>
      </c>
      <c r="C127" s="64" t="s">
        <v>52</v>
      </c>
      <c r="D127" s="64">
        <v>2.4500000000000001E-2</v>
      </c>
      <c r="E127" s="64">
        <v>9.6</v>
      </c>
      <c r="F127" s="64">
        <v>28.38</v>
      </c>
      <c r="G127" s="64">
        <v>28.46</v>
      </c>
      <c r="H127" s="64">
        <v>30.55</v>
      </c>
      <c r="I127" s="64">
        <v>4.5</v>
      </c>
      <c r="J127" s="58">
        <f t="shared" ref="J127:J131" si="30">F127*G127*H127/1000</f>
        <v>24.675076140000002</v>
      </c>
      <c r="K127" s="65">
        <f t="shared" ref="K127:K131" si="31">I127/J127</f>
        <v>0.18237025792618283</v>
      </c>
      <c r="M127" s="63" t="s">
        <v>33</v>
      </c>
      <c r="N127" s="64">
        <v>0.27900000000000003</v>
      </c>
      <c r="O127" s="64">
        <v>2.4299999999999999E-2</v>
      </c>
      <c r="P127" s="64">
        <v>2.4500000000000001E-2</v>
      </c>
      <c r="Q127" s="64">
        <v>9.6</v>
      </c>
      <c r="R127" s="64">
        <v>28.49</v>
      </c>
      <c r="S127" s="64">
        <v>29.74</v>
      </c>
      <c r="T127" s="71">
        <v>29.89</v>
      </c>
    </row>
    <row r="128" spans="1:20" ht="15.75" customHeight="1">
      <c r="A128" s="63">
        <v>156</v>
      </c>
      <c r="B128" s="64">
        <v>0.32800000000000001</v>
      </c>
      <c r="C128" s="64">
        <v>3.0300000000000001E-2</v>
      </c>
      <c r="D128" s="64" t="s">
        <v>31</v>
      </c>
      <c r="E128" s="64" t="s">
        <v>32</v>
      </c>
      <c r="F128" s="64">
        <v>30.3</v>
      </c>
      <c r="G128" s="64">
        <v>29.78</v>
      </c>
      <c r="H128" s="64">
        <v>30.69</v>
      </c>
      <c r="I128" s="64">
        <v>4.8</v>
      </c>
      <c r="J128" s="58">
        <f t="shared" si="30"/>
        <v>27.692630460000004</v>
      </c>
      <c r="K128" s="65">
        <f t="shared" si="31"/>
        <v>0.17333131307021382</v>
      </c>
      <c r="M128" s="63" t="s">
        <v>34</v>
      </c>
      <c r="N128" s="64">
        <v>8.1500000000000003E-2</v>
      </c>
      <c r="O128" s="64">
        <v>6.1900000000000002E-3</v>
      </c>
      <c r="P128" s="64" t="s">
        <v>31</v>
      </c>
      <c r="Q128" s="64" t="s">
        <v>32</v>
      </c>
      <c r="R128" s="64">
        <v>2.2189999999999999</v>
      </c>
      <c r="S128" s="64">
        <v>1.228</v>
      </c>
      <c r="T128" s="71">
        <v>0.93940000000000001</v>
      </c>
    </row>
    <row r="129" spans="1:20" ht="15.75" customHeight="1" thickBot="1">
      <c r="A129" s="63">
        <v>252</v>
      </c>
      <c r="B129" s="64">
        <v>0.376</v>
      </c>
      <c r="C129" s="64">
        <v>2.75E-2</v>
      </c>
      <c r="D129" s="64" t="s">
        <v>31</v>
      </c>
      <c r="E129" s="64" t="s">
        <v>32</v>
      </c>
      <c r="F129" s="64">
        <v>30.5</v>
      </c>
      <c r="G129" s="64">
        <v>29.82</v>
      </c>
      <c r="H129" s="64">
        <v>30.09</v>
      </c>
      <c r="I129" s="64">
        <v>4.8</v>
      </c>
      <c r="J129" s="58">
        <f t="shared" si="30"/>
        <v>27.367155899999997</v>
      </c>
      <c r="K129" s="65">
        <f t="shared" si="31"/>
        <v>0.17539272321681043</v>
      </c>
      <c r="M129" s="66" t="s">
        <v>35</v>
      </c>
      <c r="N129" s="67">
        <v>29.26</v>
      </c>
      <c r="O129" s="67">
        <v>25.45</v>
      </c>
      <c r="P129" s="67" t="s">
        <v>31</v>
      </c>
      <c r="Q129" s="67" t="s">
        <v>32</v>
      </c>
      <c r="R129" s="67">
        <v>7.79</v>
      </c>
      <c r="S129" s="67">
        <v>4.13</v>
      </c>
      <c r="T129" s="72">
        <v>3.14</v>
      </c>
    </row>
    <row r="130" spans="1:20" ht="15.75" customHeight="1">
      <c r="A130" s="63">
        <v>217</v>
      </c>
      <c r="B130" s="64">
        <v>0.25700000000000001</v>
      </c>
      <c r="C130" s="64">
        <v>2.35E-2</v>
      </c>
      <c r="D130" s="64" t="s">
        <v>31</v>
      </c>
      <c r="E130" s="64" t="s">
        <v>32</v>
      </c>
      <c r="F130" s="64">
        <v>28.27</v>
      </c>
      <c r="G130" s="64">
        <v>28.95</v>
      </c>
      <c r="H130" s="64">
        <v>29.78</v>
      </c>
      <c r="I130" s="64">
        <v>4.4000000000000004</v>
      </c>
      <c r="J130" s="58">
        <f t="shared" si="30"/>
        <v>24.372443369999996</v>
      </c>
      <c r="K130" s="65">
        <f t="shared" si="31"/>
        <v>0.18053175601654917</v>
      </c>
    </row>
    <row r="131" spans="1:20" ht="15.75" customHeight="1" thickBot="1">
      <c r="A131" s="66">
        <v>220</v>
      </c>
      <c r="B131" s="67">
        <v>0.16</v>
      </c>
      <c r="C131" s="67">
        <v>1.6E-2</v>
      </c>
      <c r="D131" s="67" t="s">
        <v>31</v>
      </c>
      <c r="E131" s="67" t="s">
        <v>32</v>
      </c>
      <c r="F131" s="67">
        <v>24.98</v>
      </c>
      <c r="G131" s="67">
        <v>31.68</v>
      </c>
      <c r="H131" s="67">
        <v>28.34</v>
      </c>
      <c r="I131" s="67">
        <v>4.0999999999999996</v>
      </c>
      <c r="J131" s="68">
        <f t="shared" si="30"/>
        <v>22.427323776000001</v>
      </c>
      <c r="K131" s="69">
        <f t="shared" si="31"/>
        <v>0.18281271724393192</v>
      </c>
    </row>
    <row r="132" spans="1:20" ht="15.75" customHeight="1"/>
    <row r="133" spans="1:20" ht="15.75" customHeight="1"/>
    <row r="134" spans="1:20" ht="15.75" customHeight="1"/>
    <row r="135" spans="1:20" ht="15.75" customHeight="1"/>
    <row r="136" spans="1:20" ht="15.75" customHeight="1"/>
    <row r="137" spans="1:20" ht="15.75" customHeight="1"/>
    <row r="138" spans="1:20" ht="15.75" customHeight="1"/>
    <row r="139" spans="1:20" ht="15.75" customHeight="1"/>
    <row r="140" spans="1:20" ht="15.75" customHeight="1"/>
    <row r="141" spans="1:20" ht="15.75" customHeight="1"/>
    <row r="142" spans="1:20" ht="15.75" customHeight="1"/>
    <row r="143" spans="1:20" ht="15.75" customHeight="1"/>
    <row r="144" spans="1:20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topLeftCell="F46" workbookViewId="0">
      <selection activeCell="P60" sqref="P60"/>
    </sheetView>
  </sheetViews>
  <sheetFormatPr defaultColWidth="14.42578125" defaultRowHeight="15" customHeight="1"/>
  <cols>
    <col min="1" max="1" width="13.7109375" customWidth="1"/>
    <col min="2" max="2" width="12.7109375" customWidth="1"/>
    <col min="3" max="3" width="14.5703125" customWidth="1"/>
    <col min="4" max="5" width="24.140625" customWidth="1"/>
    <col min="6" max="6" width="19.140625" customWidth="1"/>
    <col min="7" max="7" width="12.28515625" customWidth="1"/>
    <col min="8" max="9" width="8.7109375" customWidth="1"/>
    <col min="10" max="10" width="11.85546875" customWidth="1"/>
    <col min="11" max="11" width="8.7109375" customWidth="1"/>
    <col min="12" max="12" width="10.85546875" customWidth="1"/>
    <col min="13" max="23" width="8.7109375" customWidth="1"/>
    <col min="24" max="24" width="10" customWidth="1"/>
    <col min="25" max="26" width="8.7109375" customWidth="1"/>
  </cols>
  <sheetData>
    <row r="1" spans="1:24" ht="18.75">
      <c r="A1" s="1" t="s">
        <v>81</v>
      </c>
      <c r="B1" s="2" t="s">
        <v>82</v>
      </c>
      <c r="C1" s="2" t="s">
        <v>2</v>
      </c>
      <c r="D1" s="2" t="s">
        <v>83</v>
      </c>
      <c r="E1" s="2" t="s">
        <v>84</v>
      </c>
      <c r="F1" s="2" t="s">
        <v>85</v>
      </c>
      <c r="G1" s="2" t="s">
        <v>5</v>
      </c>
      <c r="H1" s="2" t="s">
        <v>6</v>
      </c>
      <c r="I1" s="2" t="s">
        <v>7</v>
      </c>
      <c r="J1" s="2" t="s">
        <v>86</v>
      </c>
      <c r="K1" s="26" t="s">
        <v>8</v>
      </c>
      <c r="L1" s="27" t="s">
        <v>9</v>
      </c>
      <c r="M1" s="28" t="s">
        <v>10</v>
      </c>
      <c r="O1" s="1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87</v>
      </c>
      <c r="U1" s="2" t="s">
        <v>16</v>
      </c>
      <c r="V1" s="3" t="s">
        <v>17</v>
      </c>
      <c r="X1" s="29"/>
    </row>
    <row r="2" spans="1:24">
      <c r="A2" s="9" t="s">
        <v>18</v>
      </c>
      <c r="B2" s="10" t="s">
        <v>19</v>
      </c>
      <c r="C2" s="10" t="s">
        <v>20</v>
      </c>
      <c r="D2" s="10" t="s">
        <v>21</v>
      </c>
      <c r="E2" s="10" t="s">
        <v>20</v>
      </c>
      <c r="F2" s="10" t="s">
        <v>21</v>
      </c>
      <c r="G2" s="10" t="s">
        <v>22</v>
      </c>
      <c r="H2" s="10" t="s">
        <v>22</v>
      </c>
      <c r="I2" s="10" t="s">
        <v>23</v>
      </c>
      <c r="J2" s="10" t="s">
        <v>88</v>
      </c>
      <c r="K2" s="10" t="s">
        <v>24</v>
      </c>
      <c r="L2" s="10" t="s">
        <v>25</v>
      </c>
      <c r="M2" s="11" t="s">
        <v>26</v>
      </c>
      <c r="O2" s="4" t="s">
        <v>89</v>
      </c>
      <c r="P2" s="5" t="s">
        <v>19</v>
      </c>
      <c r="Q2" s="5" t="s">
        <v>20</v>
      </c>
      <c r="R2" s="5" t="s">
        <v>21</v>
      </c>
      <c r="S2" s="5" t="s">
        <v>20</v>
      </c>
      <c r="T2" s="5" t="s">
        <v>21</v>
      </c>
      <c r="U2" s="5" t="s">
        <v>90</v>
      </c>
      <c r="V2" s="6" t="s">
        <v>90</v>
      </c>
      <c r="X2" s="30"/>
    </row>
    <row r="3" spans="1:24" ht="15.75">
      <c r="A3" s="31">
        <v>2</v>
      </c>
      <c r="B3" s="5">
        <v>7.92</v>
      </c>
      <c r="C3" s="5">
        <v>0.124</v>
      </c>
      <c r="D3" s="5">
        <v>3.4</v>
      </c>
      <c r="E3" s="5">
        <v>6.2E-2</v>
      </c>
      <c r="F3" s="5">
        <v>5.0999999999999996</v>
      </c>
      <c r="G3" s="5">
        <v>30.4</v>
      </c>
      <c r="H3" s="5">
        <v>30.29</v>
      </c>
      <c r="I3" s="32">
        <v>169</v>
      </c>
      <c r="J3" s="5">
        <v>150</v>
      </c>
      <c r="K3" s="32">
        <v>40</v>
      </c>
      <c r="L3" s="33">
        <f t="shared" ref="L3:L4" si="0">G3*H3*I3/1000</f>
        <v>155.61790399999998</v>
      </c>
      <c r="M3" s="34">
        <f t="shared" ref="M3:M4" si="1">K3/L3</f>
        <v>0.25703983264033686</v>
      </c>
      <c r="O3" s="4" t="s">
        <v>33</v>
      </c>
      <c r="P3" s="5">
        <v>10.6</v>
      </c>
      <c r="Q3" s="5">
        <v>0.13900000000000001</v>
      </c>
      <c r="R3" s="5">
        <v>3.6</v>
      </c>
      <c r="S3" s="5">
        <v>6.9199999999999998E-2</v>
      </c>
      <c r="T3" s="5">
        <v>6.1</v>
      </c>
      <c r="U3" s="5">
        <v>30.61</v>
      </c>
      <c r="V3" s="6">
        <v>30.51</v>
      </c>
      <c r="X3" s="30"/>
    </row>
    <row r="4" spans="1:24" ht="15.75">
      <c r="A4" s="35">
        <v>6</v>
      </c>
      <c r="B4" s="10">
        <v>13.4</v>
      </c>
      <c r="C4" s="10">
        <v>0.153</v>
      </c>
      <c r="D4" s="10">
        <v>3.8</v>
      </c>
      <c r="E4" s="10">
        <v>7.6499999999999999E-2</v>
      </c>
      <c r="F4" s="10">
        <v>7</v>
      </c>
      <c r="G4" s="10">
        <v>30.81</v>
      </c>
      <c r="H4" s="10">
        <v>30.72</v>
      </c>
      <c r="I4" s="8">
        <v>168</v>
      </c>
      <c r="J4" s="10">
        <v>150</v>
      </c>
      <c r="K4" s="8">
        <v>41.3</v>
      </c>
      <c r="L4" s="33">
        <f t="shared" si="0"/>
        <v>159.00917759999999</v>
      </c>
      <c r="M4" s="34">
        <f t="shared" si="1"/>
        <v>0.25973343566302426</v>
      </c>
      <c r="O4" s="4" t="s">
        <v>34</v>
      </c>
      <c r="P4" s="5">
        <v>3.86</v>
      </c>
      <c r="Q4" s="5">
        <v>2.06E-2</v>
      </c>
      <c r="R4" s="5">
        <v>0.3</v>
      </c>
      <c r="S4" s="5">
        <v>1.0200000000000001E-2</v>
      </c>
      <c r="T4" s="5">
        <v>1.3</v>
      </c>
      <c r="U4" s="5">
        <v>0.28989999999999999</v>
      </c>
      <c r="V4" s="6">
        <v>0.30409999999999998</v>
      </c>
      <c r="X4" s="30"/>
    </row>
    <row r="5" spans="1:24">
      <c r="O5" s="9" t="s">
        <v>35</v>
      </c>
      <c r="P5" s="10">
        <v>36.22</v>
      </c>
      <c r="Q5" s="10">
        <v>14.86</v>
      </c>
      <c r="R5" s="10">
        <v>7.66</v>
      </c>
      <c r="S5" s="10">
        <v>14.8</v>
      </c>
      <c r="T5" s="10">
        <v>21.91</v>
      </c>
      <c r="U5" s="10">
        <v>0.95</v>
      </c>
      <c r="V5" s="11">
        <v>1</v>
      </c>
      <c r="X5" s="30"/>
    </row>
    <row r="6" spans="1:24">
      <c r="X6" s="30"/>
    </row>
    <row r="7" spans="1:24" ht="18.75">
      <c r="A7" s="1" t="s">
        <v>91</v>
      </c>
      <c r="B7" s="2" t="s">
        <v>92</v>
      </c>
      <c r="C7" s="2" t="s">
        <v>2</v>
      </c>
      <c r="D7" s="2" t="s">
        <v>93</v>
      </c>
      <c r="E7" s="2" t="s">
        <v>94</v>
      </c>
      <c r="F7" s="2" t="s">
        <v>95</v>
      </c>
      <c r="G7" s="2" t="s">
        <v>5</v>
      </c>
      <c r="H7" s="2" t="s">
        <v>6</v>
      </c>
      <c r="I7" s="2" t="s">
        <v>7</v>
      </c>
      <c r="J7" s="2" t="s">
        <v>86</v>
      </c>
      <c r="K7" s="26" t="s">
        <v>8</v>
      </c>
      <c r="L7" s="27" t="s">
        <v>9</v>
      </c>
      <c r="M7" s="28" t="s">
        <v>10</v>
      </c>
      <c r="O7" s="1" t="s">
        <v>11</v>
      </c>
      <c r="P7" s="2" t="s">
        <v>12</v>
      </c>
      <c r="Q7" s="2" t="s">
        <v>13</v>
      </c>
      <c r="R7" s="2" t="s">
        <v>14</v>
      </c>
      <c r="S7" s="2" t="s">
        <v>15</v>
      </c>
      <c r="T7" s="2" t="s">
        <v>87</v>
      </c>
      <c r="U7" s="2" t="s">
        <v>16</v>
      </c>
      <c r="V7" s="3" t="s">
        <v>17</v>
      </c>
      <c r="X7" s="30"/>
    </row>
    <row r="8" spans="1:24">
      <c r="A8" s="4" t="s">
        <v>18</v>
      </c>
      <c r="B8" s="10" t="s">
        <v>19</v>
      </c>
      <c r="C8" s="10" t="s">
        <v>20</v>
      </c>
      <c r="D8" s="10" t="s">
        <v>21</v>
      </c>
      <c r="E8" s="10" t="s">
        <v>20</v>
      </c>
      <c r="F8" s="10" t="s">
        <v>21</v>
      </c>
      <c r="G8" s="10" t="s">
        <v>22</v>
      </c>
      <c r="H8" s="10" t="s">
        <v>22</v>
      </c>
      <c r="I8" s="10" t="s">
        <v>23</v>
      </c>
      <c r="J8" s="10" t="s">
        <v>88</v>
      </c>
      <c r="K8" s="10" t="s">
        <v>24</v>
      </c>
      <c r="L8" s="10" t="s">
        <v>25</v>
      </c>
      <c r="M8" s="11" t="s">
        <v>26</v>
      </c>
      <c r="O8" s="4" t="s">
        <v>89</v>
      </c>
      <c r="P8" s="5" t="s">
        <v>19</v>
      </c>
      <c r="Q8" s="5" t="s">
        <v>20</v>
      </c>
      <c r="R8" s="5" t="s">
        <v>21</v>
      </c>
      <c r="S8" s="5" t="s">
        <v>20</v>
      </c>
      <c r="T8" s="5" t="s">
        <v>21</v>
      </c>
      <c r="U8" s="5" t="s">
        <v>90</v>
      </c>
      <c r="V8" s="6" t="s">
        <v>90</v>
      </c>
      <c r="X8" s="30"/>
    </row>
    <row r="9" spans="1:24" ht="15.75">
      <c r="A9" s="36">
        <v>38</v>
      </c>
      <c r="B9" s="5">
        <v>9.91</v>
      </c>
      <c r="C9" s="5">
        <v>6.8099999999999994E-2</v>
      </c>
      <c r="D9" s="5">
        <v>1.6</v>
      </c>
      <c r="E9" s="5">
        <v>3.4000000000000002E-2</v>
      </c>
      <c r="F9" s="5">
        <v>2.2000000000000002</v>
      </c>
      <c r="G9" s="5">
        <v>30.75</v>
      </c>
      <c r="H9" s="5">
        <v>31.1</v>
      </c>
      <c r="I9" s="8">
        <v>168</v>
      </c>
      <c r="J9" s="5">
        <v>150</v>
      </c>
      <c r="K9" s="8">
        <v>46</v>
      </c>
      <c r="L9" s="33">
        <f t="shared" ref="L9:L10" si="2">G9*H9*I9/1000</f>
        <v>160.6626</v>
      </c>
      <c r="M9" s="34">
        <f t="shared" ref="M9:M10" si="3">K9/L9</f>
        <v>0.28631430090139209</v>
      </c>
      <c r="O9" s="4" t="s">
        <v>33</v>
      </c>
      <c r="P9" s="5">
        <v>6.97</v>
      </c>
      <c r="Q9" s="5">
        <v>5.2600000000000001E-2</v>
      </c>
      <c r="R9" s="5">
        <v>2</v>
      </c>
      <c r="S9" s="5">
        <v>2.63E-2</v>
      </c>
      <c r="T9" s="5">
        <v>2.8</v>
      </c>
      <c r="U9" s="5">
        <v>31.78</v>
      </c>
      <c r="V9" s="6">
        <v>30.83</v>
      </c>
      <c r="X9" s="30"/>
    </row>
    <row r="10" spans="1:24" ht="15.75">
      <c r="A10" s="36">
        <v>45</v>
      </c>
      <c r="B10" s="10">
        <v>4.0199999999999996</v>
      </c>
      <c r="C10" s="10">
        <v>3.7199999999999997E-2</v>
      </c>
      <c r="D10" s="10">
        <v>2.2999999999999998</v>
      </c>
      <c r="E10" s="10">
        <v>1.8599999999999998E-2</v>
      </c>
      <c r="F10" s="10">
        <v>3.4</v>
      </c>
      <c r="G10" s="10">
        <v>32.799999999999997</v>
      </c>
      <c r="H10" s="10">
        <v>30.55</v>
      </c>
      <c r="I10" s="8">
        <v>168</v>
      </c>
      <c r="J10" s="10">
        <v>150</v>
      </c>
      <c r="K10" s="8">
        <v>47.1</v>
      </c>
      <c r="L10" s="33">
        <f t="shared" si="2"/>
        <v>168.34272000000001</v>
      </c>
      <c r="M10" s="34">
        <f t="shared" si="3"/>
        <v>0.27978637864470762</v>
      </c>
      <c r="O10" s="4" t="s">
        <v>34</v>
      </c>
      <c r="P10" s="5">
        <v>4.17</v>
      </c>
      <c r="Q10" s="5">
        <v>2.18E-2</v>
      </c>
      <c r="R10" s="5">
        <v>0.5</v>
      </c>
      <c r="S10" s="5">
        <v>1.09E-2</v>
      </c>
      <c r="T10" s="5">
        <v>0.8</v>
      </c>
      <c r="U10" s="5">
        <v>1.45</v>
      </c>
      <c r="V10" s="6">
        <v>0.38890000000000002</v>
      </c>
      <c r="X10" s="30"/>
    </row>
    <row r="11" spans="1:24">
      <c r="O11" s="9" t="s">
        <v>35</v>
      </c>
      <c r="P11" s="10">
        <v>59.86</v>
      </c>
      <c r="Q11" s="10">
        <v>41.42</v>
      </c>
      <c r="R11" s="10">
        <v>24.9</v>
      </c>
      <c r="S11" s="10">
        <v>41.32</v>
      </c>
      <c r="T11" s="10">
        <v>29.99</v>
      </c>
      <c r="U11" s="10">
        <v>4.5599999999999996</v>
      </c>
      <c r="V11" s="11">
        <v>1.26</v>
      </c>
      <c r="X11" s="30"/>
    </row>
    <row r="12" spans="1:24">
      <c r="X12" s="30"/>
    </row>
    <row r="13" spans="1:24" ht="18.75">
      <c r="A13" s="1" t="s">
        <v>96</v>
      </c>
      <c r="B13" s="2" t="s">
        <v>97</v>
      </c>
      <c r="C13" s="2" t="s">
        <v>2</v>
      </c>
      <c r="D13" s="2" t="s">
        <v>98</v>
      </c>
      <c r="E13" s="2" t="s">
        <v>99</v>
      </c>
      <c r="F13" s="2" t="s">
        <v>100</v>
      </c>
      <c r="G13" s="2" t="s">
        <v>5</v>
      </c>
      <c r="H13" s="2" t="s">
        <v>6</v>
      </c>
      <c r="I13" s="2" t="s">
        <v>7</v>
      </c>
      <c r="J13" s="2" t="s">
        <v>86</v>
      </c>
      <c r="K13" s="26" t="s">
        <v>8</v>
      </c>
      <c r="L13" s="27" t="s">
        <v>9</v>
      </c>
      <c r="M13" s="28" t="s">
        <v>10</v>
      </c>
      <c r="O13" s="1" t="s">
        <v>11</v>
      </c>
      <c r="P13" s="2" t="s">
        <v>12</v>
      </c>
      <c r="Q13" s="2" t="s">
        <v>13</v>
      </c>
      <c r="R13" s="2" t="s">
        <v>14</v>
      </c>
      <c r="S13" s="2" t="s">
        <v>15</v>
      </c>
      <c r="T13" s="2" t="s">
        <v>87</v>
      </c>
      <c r="U13" s="2" t="s">
        <v>16</v>
      </c>
      <c r="V13" s="3" t="s">
        <v>17</v>
      </c>
      <c r="X13" s="30"/>
    </row>
    <row r="14" spans="1:24">
      <c r="A14" s="4" t="s">
        <v>18</v>
      </c>
      <c r="B14" s="10" t="s">
        <v>19</v>
      </c>
      <c r="C14" s="10" t="s">
        <v>20</v>
      </c>
      <c r="D14" s="10" t="s">
        <v>21</v>
      </c>
      <c r="E14" s="10" t="s">
        <v>20</v>
      </c>
      <c r="F14" s="10" t="s">
        <v>21</v>
      </c>
      <c r="G14" s="10" t="s">
        <v>22</v>
      </c>
      <c r="H14" s="10" t="s">
        <v>22</v>
      </c>
      <c r="I14" s="10" t="s">
        <v>23</v>
      </c>
      <c r="J14" s="10" t="s">
        <v>88</v>
      </c>
      <c r="K14" s="10" t="s">
        <v>24</v>
      </c>
      <c r="L14" s="10" t="s">
        <v>25</v>
      </c>
      <c r="M14" s="11" t="s">
        <v>26</v>
      </c>
      <c r="O14" s="4" t="s">
        <v>89</v>
      </c>
      <c r="P14" s="5" t="s">
        <v>19</v>
      </c>
      <c r="Q14" s="5" t="s">
        <v>20</v>
      </c>
      <c r="R14" s="5" t="s">
        <v>21</v>
      </c>
      <c r="S14" s="5" t="s">
        <v>20</v>
      </c>
      <c r="T14" s="5" t="s">
        <v>21</v>
      </c>
      <c r="U14" s="5" t="s">
        <v>90</v>
      </c>
      <c r="V14" s="6" t="s">
        <v>90</v>
      </c>
      <c r="X14" s="30"/>
    </row>
    <row r="15" spans="1:24" ht="15.75">
      <c r="A15" s="37">
        <v>68</v>
      </c>
      <c r="B15" s="5">
        <v>11</v>
      </c>
      <c r="C15" s="5">
        <v>0.21</v>
      </c>
      <c r="D15" s="5">
        <v>5.3</v>
      </c>
      <c r="E15" s="5">
        <v>0.105</v>
      </c>
      <c r="F15" s="5">
        <v>9.1999999999999993</v>
      </c>
      <c r="G15" s="5">
        <v>31.06</v>
      </c>
      <c r="H15" s="5">
        <v>30.74</v>
      </c>
      <c r="I15" s="8">
        <v>170</v>
      </c>
      <c r="J15" s="5">
        <v>150</v>
      </c>
      <c r="K15" s="8">
        <v>35.5</v>
      </c>
      <c r="L15" s="33">
        <f t="shared" ref="L15:L16" si="4">G15*H15*I15/1000</f>
        <v>162.31334799999996</v>
      </c>
      <c r="M15" s="34">
        <f t="shared" ref="M15:M16" si="5">K15/L15</f>
        <v>0.21871275799202916</v>
      </c>
      <c r="O15" s="4" t="s">
        <v>33</v>
      </c>
      <c r="P15" s="5">
        <v>9.0399999999999991</v>
      </c>
      <c r="Q15" s="5">
        <v>0.17799999999999999</v>
      </c>
      <c r="R15" s="5">
        <v>4.5999999999999996</v>
      </c>
      <c r="S15" s="5">
        <v>8.8900000000000007E-2</v>
      </c>
      <c r="T15" s="5">
        <v>7.8</v>
      </c>
      <c r="U15" s="5">
        <v>31.13</v>
      </c>
      <c r="V15" s="6">
        <v>30.82</v>
      </c>
      <c r="X15" s="30"/>
    </row>
    <row r="16" spans="1:24" ht="15.75">
      <c r="A16" s="37">
        <v>71</v>
      </c>
      <c r="B16" s="10">
        <v>7.14</v>
      </c>
      <c r="C16" s="10">
        <v>0.14499999999999999</v>
      </c>
      <c r="D16" s="10">
        <v>3.9</v>
      </c>
      <c r="E16" s="10">
        <v>7.2599999999999998E-2</v>
      </c>
      <c r="F16" s="10">
        <v>6.4</v>
      </c>
      <c r="G16" s="10">
        <v>31.19</v>
      </c>
      <c r="H16" s="10">
        <v>30.89</v>
      </c>
      <c r="I16" s="8">
        <v>169</v>
      </c>
      <c r="J16" s="10">
        <v>150</v>
      </c>
      <c r="K16" s="8">
        <v>36.1</v>
      </c>
      <c r="L16" s="33">
        <f t="shared" si="4"/>
        <v>162.82458790000001</v>
      </c>
      <c r="M16" s="34">
        <f t="shared" si="5"/>
        <v>0.22171098644002771</v>
      </c>
      <c r="O16" s="4" t="s">
        <v>34</v>
      </c>
      <c r="P16" s="5">
        <v>2.7</v>
      </c>
      <c r="Q16" s="5">
        <v>4.6100000000000002E-2</v>
      </c>
      <c r="R16" s="5">
        <v>1</v>
      </c>
      <c r="S16" s="5">
        <v>2.3E-2</v>
      </c>
      <c r="T16" s="5">
        <v>2</v>
      </c>
      <c r="U16" s="5">
        <v>9.1920000000000002E-2</v>
      </c>
      <c r="V16" s="6">
        <v>0.1061</v>
      </c>
      <c r="X16" s="30"/>
    </row>
    <row r="17" spans="1:24">
      <c r="O17" s="9" t="s">
        <v>35</v>
      </c>
      <c r="P17" s="10">
        <v>29.84</v>
      </c>
      <c r="Q17" s="10">
        <v>25.93</v>
      </c>
      <c r="R17" s="10">
        <v>21.66</v>
      </c>
      <c r="S17" s="10">
        <v>25.91</v>
      </c>
      <c r="T17" s="10">
        <v>25.6</v>
      </c>
      <c r="U17" s="10">
        <v>0.3</v>
      </c>
      <c r="V17" s="11">
        <v>0.34</v>
      </c>
      <c r="X17" s="30"/>
    </row>
    <row r="18" spans="1:24">
      <c r="X18" s="30"/>
    </row>
    <row r="19" spans="1:24" ht="18.75">
      <c r="A19" s="1" t="s">
        <v>101</v>
      </c>
      <c r="B19" s="2" t="s">
        <v>102</v>
      </c>
      <c r="C19" s="2" t="s">
        <v>2</v>
      </c>
      <c r="D19" s="2" t="s">
        <v>103</v>
      </c>
      <c r="E19" s="2" t="s">
        <v>104</v>
      </c>
      <c r="F19" s="2" t="s">
        <v>105</v>
      </c>
      <c r="G19" s="2" t="s">
        <v>5</v>
      </c>
      <c r="H19" s="2" t="s">
        <v>6</v>
      </c>
      <c r="I19" s="2" t="s">
        <v>7</v>
      </c>
      <c r="J19" s="2" t="s">
        <v>86</v>
      </c>
      <c r="K19" s="26" t="s">
        <v>8</v>
      </c>
      <c r="L19" s="27" t="s">
        <v>9</v>
      </c>
      <c r="M19" s="28" t="s">
        <v>10</v>
      </c>
      <c r="O19" s="1" t="s">
        <v>11</v>
      </c>
      <c r="P19" s="2" t="s">
        <v>12</v>
      </c>
      <c r="Q19" s="2" t="s">
        <v>13</v>
      </c>
      <c r="R19" s="2" t="s">
        <v>14</v>
      </c>
      <c r="S19" s="2" t="s">
        <v>15</v>
      </c>
      <c r="T19" s="2" t="s">
        <v>87</v>
      </c>
      <c r="U19" s="2" t="s">
        <v>16</v>
      </c>
      <c r="V19" s="3" t="s">
        <v>17</v>
      </c>
      <c r="X19" s="30"/>
    </row>
    <row r="20" spans="1:24">
      <c r="A20" s="4" t="s">
        <v>18</v>
      </c>
      <c r="B20" s="5" t="s">
        <v>19</v>
      </c>
      <c r="C20" s="5" t="s">
        <v>20</v>
      </c>
      <c r="D20" s="5" t="s">
        <v>21</v>
      </c>
      <c r="E20" s="5" t="s">
        <v>20</v>
      </c>
      <c r="F20" s="5" t="s">
        <v>21</v>
      </c>
      <c r="G20" s="5" t="s">
        <v>106</v>
      </c>
      <c r="H20" s="5" t="s">
        <v>22</v>
      </c>
      <c r="J20" s="5" t="s">
        <v>23</v>
      </c>
      <c r="M20" s="6"/>
      <c r="O20" s="4" t="s">
        <v>89</v>
      </c>
      <c r="P20" s="5" t="s">
        <v>19</v>
      </c>
      <c r="Q20" s="5" t="s">
        <v>20</v>
      </c>
      <c r="R20" s="5" t="s">
        <v>21</v>
      </c>
      <c r="S20" s="5" t="s">
        <v>20</v>
      </c>
      <c r="T20" s="5" t="s">
        <v>21</v>
      </c>
      <c r="U20" s="5" t="s">
        <v>22</v>
      </c>
      <c r="V20" s="6" t="s">
        <v>30</v>
      </c>
      <c r="X20" s="30"/>
    </row>
    <row r="21" spans="1:24" ht="15.75" customHeight="1">
      <c r="A21" s="38">
        <v>82</v>
      </c>
      <c r="B21" s="5">
        <v>3.23</v>
      </c>
      <c r="C21" s="5">
        <v>0.14899999999999999</v>
      </c>
      <c r="D21" s="5">
        <v>4.9000000000000004</v>
      </c>
      <c r="E21" s="5">
        <v>7.4499999999999997E-2</v>
      </c>
      <c r="F21" s="5">
        <v>7.2</v>
      </c>
      <c r="G21" s="5">
        <v>30.7</v>
      </c>
      <c r="H21" s="5">
        <v>30.75</v>
      </c>
      <c r="I21" s="8">
        <v>168</v>
      </c>
      <c r="J21" s="5">
        <v>150</v>
      </c>
      <c r="K21" s="8">
        <v>44.8</v>
      </c>
      <c r="L21" s="33">
        <f t="shared" ref="L21:L22" si="6">G21*H21*I21/1000</f>
        <v>158.59619999999998</v>
      </c>
      <c r="M21" s="34">
        <f t="shared" ref="M21:M22" si="7">K21/L21</f>
        <v>0.28247839481652148</v>
      </c>
      <c r="O21" s="4" t="s">
        <v>33</v>
      </c>
      <c r="P21" s="5">
        <v>3.5</v>
      </c>
      <c r="Q21" s="5">
        <v>0.129</v>
      </c>
      <c r="R21" s="5">
        <v>5.0999999999999996</v>
      </c>
      <c r="S21" s="5">
        <v>6.4699999999999994E-2</v>
      </c>
      <c r="T21" s="5">
        <v>7.3</v>
      </c>
      <c r="U21" s="5">
        <v>31.05</v>
      </c>
      <c r="V21" s="6">
        <v>30.8</v>
      </c>
      <c r="X21" s="30"/>
    </row>
    <row r="22" spans="1:24" ht="15.75" customHeight="1">
      <c r="A22" s="38">
        <v>85</v>
      </c>
      <c r="B22" s="10">
        <v>3.78</v>
      </c>
      <c r="C22" s="10">
        <v>0.11</v>
      </c>
      <c r="D22" s="10">
        <v>5.2</v>
      </c>
      <c r="E22" s="10">
        <v>5.4899999999999997E-2</v>
      </c>
      <c r="F22" s="10">
        <v>7.3</v>
      </c>
      <c r="G22" s="10">
        <v>31.4</v>
      </c>
      <c r="H22" s="10">
        <v>30.85</v>
      </c>
      <c r="I22" s="8">
        <v>169</v>
      </c>
      <c r="J22" s="10">
        <v>150</v>
      </c>
      <c r="K22" s="8">
        <v>45.6</v>
      </c>
      <c r="L22" s="33">
        <f t="shared" si="6"/>
        <v>163.70861000000002</v>
      </c>
      <c r="M22" s="34">
        <f t="shared" si="7"/>
        <v>0.27854368808091395</v>
      </c>
      <c r="O22" s="4" t="s">
        <v>34</v>
      </c>
      <c r="P22" s="5">
        <v>0.39200000000000002</v>
      </c>
      <c r="Q22" s="5">
        <v>2.76E-2</v>
      </c>
      <c r="R22" s="5">
        <v>0.2</v>
      </c>
      <c r="S22" s="5">
        <v>1.38E-2</v>
      </c>
      <c r="T22" s="5">
        <v>0.1</v>
      </c>
      <c r="U22" s="5">
        <v>0.495</v>
      </c>
      <c r="V22" s="6">
        <v>7.0709999999999995E-2</v>
      </c>
      <c r="X22" s="30"/>
    </row>
    <row r="23" spans="1:24" ht="15.75" customHeight="1">
      <c r="O23" s="9" t="s">
        <v>35</v>
      </c>
      <c r="P23" s="10">
        <v>11.18</v>
      </c>
      <c r="Q23" s="10">
        <v>21.35</v>
      </c>
      <c r="R23" s="10">
        <v>3.41</v>
      </c>
      <c r="S23" s="10">
        <v>21.41</v>
      </c>
      <c r="T23" s="10">
        <v>0.88</v>
      </c>
      <c r="U23" s="10">
        <v>1.59</v>
      </c>
      <c r="V23" s="11">
        <v>0.23</v>
      </c>
      <c r="X23" s="30"/>
    </row>
    <row r="24" spans="1:24" ht="15.75" customHeight="1">
      <c r="X24" s="30"/>
    </row>
    <row r="25" spans="1:24" ht="15.75" customHeight="1">
      <c r="A25" s="1" t="s">
        <v>107</v>
      </c>
      <c r="B25" s="2" t="s">
        <v>108</v>
      </c>
      <c r="C25" s="2" t="s">
        <v>2</v>
      </c>
      <c r="D25" s="2" t="s">
        <v>109</v>
      </c>
      <c r="E25" s="2" t="s">
        <v>110</v>
      </c>
      <c r="F25" s="2" t="s">
        <v>111</v>
      </c>
      <c r="G25" s="2" t="s">
        <v>5</v>
      </c>
      <c r="H25" s="2" t="s">
        <v>6</v>
      </c>
      <c r="I25" s="2" t="s">
        <v>7</v>
      </c>
      <c r="J25" s="2" t="s">
        <v>86</v>
      </c>
      <c r="K25" s="26" t="s">
        <v>8</v>
      </c>
      <c r="L25" s="27" t="s">
        <v>9</v>
      </c>
      <c r="M25" s="28" t="s">
        <v>10</v>
      </c>
      <c r="O25" s="1" t="s">
        <v>11</v>
      </c>
      <c r="P25" s="2" t="s">
        <v>12</v>
      </c>
      <c r="Q25" s="2" t="s">
        <v>13</v>
      </c>
      <c r="R25" s="2" t="s">
        <v>14</v>
      </c>
      <c r="S25" s="2" t="s">
        <v>15</v>
      </c>
      <c r="T25" s="2" t="s">
        <v>87</v>
      </c>
      <c r="U25" s="2" t="s">
        <v>16</v>
      </c>
      <c r="V25" s="3" t="s">
        <v>17</v>
      </c>
      <c r="X25" s="30"/>
    </row>
    <row r="26" spans="1:24" ht="15.75" customHeight="1">
      <c r="A26" s="4" t="s">
        <v>18</v>
      </c>
      <c r="B26" s="5" t="s">
        <v>19</v>
      </c>
      <c r="C26" s="5" t="s">
        <v>20</v>
      </c>
      <c r="D26" s="5" t="s">
        <v>21</v>
      </c>
      <c r="E26" s="5" t="s">
        <v>20</v>
      </c>
      <c r="F26" s="5" t="s">
        <v>21</v>
      </c>
      <c r="G26" s="5" t="s">
        <v>22</v>
      </c>
      <c r="H26" s="5" t="s">
        <v>22</v>
      </c>
      <c r="J26" s="5" t="s">
        <v>23</v>
      </c>
      <c r="M26" s="6"/>
      <c r="O26" s="4" t="s">
        <v>27</v>
      </c>
      <c r="P26" s="5" t="s">
        <v>19</v>
      </c>
      <c r="Q26" s="5" t="s">
        <v>20</v>
      </c>
      <c r="R26" s="5" t="s">
        <v>21</v>
      </c>
      <c r="S26" s="5" t="s">
        <v>20</v>
      </c>
      <c r="T26" s="5" t="s">
        <v>21</v>
      </c>
      <c r="U26" s="5" t="s">
        <v>90</v>
      </c>
      <c r="V26" s="6" t="s">
        <v>90</v>
      </c>
      <c r="X26" s="30"/>
    </row>
    <row r="27" spans="1:24" ht="15.75" customHeight="1">
      <c r="A27" s="39">
        <v>1</v>
      </c>
      <c r="B27" s="5">
        <v>5.0999999999999996</v>
      </c>
      <c r="C27" s="5">
        <v>0.13500000000000001</v>
      </c>
      <c r="D27" s="5">
        <v>5.0999999999999996</v>
      </c>
      <c r="E27" s="5">
        <v>6.7599999999999993E-2</v>
      </c>
      <c r="F27" s="5">
        <v>6.8</v>
      </c>
      <c r="G27" s="5">
        <v>30.71</v>
      </c>
      <c r="H27" s="5">
        <v>30.45</v>
      </c>
      <c r="I27" s="8">
        <v>169</v>
      </c>
      <c r="J27" s="5">
        <v>150</v>
      </c>
      <c r="K27" s="8">
        <v>41.1</v>
      </c>
      <c r="L27" s="33">
        <f t="shared" ref="L27:L31" si="8">G27*H27*I27/1000</f>
        <v>158.03519550000001</v>
      </c>
      <c r="M27" s="34">
        <f t="shared" ref="M27:M31" si="9">K27/L27</f>
        <v>0.26006865034061349</v>
      </c>
      <c r="O27" s="4" t="s">
        <v>33</v>
      </c>
      <c r="P27" s="5">
        <v>7.76</v>
      </c>
      <c r="Q27" s="5">
        <v>0.129</v>
      </c>
      <c r="R27" s="5">
        <v>5.4</v>
      </c>
      <c r="S27" s="5">
        <v>6.4600000000000005E-2</v>
      </c>
      <c r="T27" s="5">
        <v>7.5</v>
      </c>
      <c r="U27" s="5">
        <v>30.84</v>
      </c>
      <c r="V27" s="6">
        <v>30.58</v>
      </c>
      <c r="X27" s="30"/>
    </row>
    <row r="28" spans="1:24" ht="15.75" customHeight="1">
      <c r="A28" s="39">
        <v>8</v>
      </c>
      <c r="B28" s="5">
        <v>6.94</v>
      </c>
      <c r="C28" s="5">
        <v>0.13700000000000001</v>
      </c>
      <c r="D28" s="5">
        <v>5</v>
      </c>
      <c r="E28" s="5">
        <v>6.8599999999999994E-2</v>
      </c>
      <c r="F28" s="5">
        <v>6.9</v>
      </c>
      <c r="G28" s="5">
        <v>31.27</v>
      </c>
      <c r="H28" s="5">
        <v>30.71</v>
      </c>
      <c r="I28" s="8">
        <v>170</v>
      </c>
      <c r="J28" s="5">
        <v>150</v>
      </c>
      <c r="K28" s="8">
        <v>41.3</v>
      </c>
      <c r="L28" s="33">
        <f t="shared" si="8"/>
        <v>163.25128899999999</v>
      </c>
      <c r="M28" s="34">
        <f t="shared" si="9"/>
        <v>0.25298421992857895</v>
      </c>
      <c r="O28" s="4" t="s">
        <v>34</v>
      </c>
      <c r="P28" s="5">
        <v>1.75</v>
      </c>
      <c r="Q28" s="5">
        <v>1.1599999999999999E-2</v>
      </c>
      <c r="R28" s="5">
        <v>0.8</v>
      </c>
      <c r="S28" s="5">
        <v>5.7999999999999996E-3</v>
      </c>
      <c r="T28" s="5">
        <v>1.2</v>
      </c>
      <c r="U28" s="5">
        <v>0.37430000000000002</v>
      </c>
      <c r="V28" s="6">
        <v>0.37559999999999999</v>
      </c>
      <c r="X28" s="30"/>
    </row>
    <row r="29" spans="1:24" ht="15.75" customHeight="1">
      <c r="A29" s="39">
        <v>58</v>
      </c>
      <c r="B29" s="5">
        <v>9.16</v>
      </c>
      <c r="C29" s="5">
        <v>0.13700000000000001</v>
      </c>
      <c r="D29" s="5">
        <v>6.8</v>
      </c>
      <c r="E29" s="5">
        <v>6.8599999999999994E-2</v>
      </c>
      <c r="F29" s="5">
        <v>9.5</v>
      </c>
      <c r="G29" s="5">
        <v>30.93</v>
      </c>
      <c r="H29" s="5">
        <v>30.07</v>
      </c>
      <c r="I29" s="8">
        <v>170</v>
      </c>
      <c r="J29" s="5">
        <v>150</v>
      </c>
      <c r="K29" s="8">
        <v>39</v>
      </c>
      <c r="L29" s="33">
        <f t="shared" si="8"/>
        <v>158.11106700000002</v>
      </c>
      <c r="M29" s="34">
        <f t="shared" si="9"/>
        <v>0.24666205054450741</v>
      </c>
      <c r="O29" s="9" t="s">
        <v>35</v>
      </c>
      <c r="P29" s="10">
        <v>22.59</v>
      </c>
      <c r="Q29" s="10">
        <v>8.98</v>
      </c>
      <c r="R29" s="10">
        <v>15.1</v>
      </c>
      <c r="S29" s="10">
        <v>8.9700000000000006</v>
      </c>
      <c r="T29" s="10">
        <v>16.05</v>
      </c>
      <c r="U29" s="10">
        <v>1.21</v>
      </c>
      <c r="V29" s="11">
        <v>1.23</v>
      </c>
      <c r="X29" s="30"/>
    </row>
    <row r="30" spans="1:24" ht="15.75" customHeight="1">
      <c r="A30" s="39">
        <v>63</v>
      </c>
      <c r="B30" s="5">
        <v>8.3699999999999992</v>
      </c>
      <c r="C30" s="5">
        <v>0.127</v>
      </c>
      <c r="D30" s="5">
        <v>5.3</v>
      </c>
      <c r="E30" s="5">
        <v>6.3500000000000001E-2</v>
      </c>
      <c r="F30" s="5">
        <v>8</v>
      </c>
      <c r="G30" s="5">
        <v>31</v>
      </c>
      <c r="H30" s="5">
        <v>31.1</v>
      </c>
      <c r="I30" s="8">
        <v>170</v>
      </c>
      <c r="J30" s="5">
        <v>150</v>
      </c>
      <c r="K30" s="8">
        <v>39.9</v>
      </c>
      <c r="L30" s="33">
        <f t="shared" si="8"/>
        <v>163.89699999999999</v>
      </c>
      <c r="M30" s="34">
        <f t="shared" si="9"/>
        <v>0.24344557862560023</v>
      </c>
      <c r="X30" s="30"/>
    </row>
    <row r="31" spans="1:24" ht="15.75" customHeight="1">
      <c r="A31" s="39">
        <v>65</v>
      </c>
      <c r="B31" s="10">
        <v>9.25</v>
      </c>
      <c r="C31" s="10">
        <v>0.11</v>
      </c>
      <c r="D31" s="10">
        <v>4.7</v>
      </c>
      <c r="E31" s="10">
        <v>5.5E-2</v>
      </c>
      <c r="F31" s="10">
        <v>6.6</v>
      </c>
      <c r="G31" s="10">
        <v>30.27</v>
      </c>
      <c r="H31" s="10">
        <v>30.58</v>
      </c>
      <c r="I31" s="8">
        <v>170</v>
      </c>
      <c r="J31" s="10">
        <v>150</v>
      </c>
      <c r="K31" s="8">
        <v>40.5</v>
      </c>
      <c r="L31" s="33">
        <f t="shared" si="8"/>
        <v>157.36162199999998</v>
      </c>
      <c r="M31" s="34">
        <f t="shared" si="9"/>
        <v>0.25736897907674089</v>
      </c>
      <c r="X31" s="30"/>
    </row>
    <row r="32" spans="1:24" ht="15.75" customHeight="1">
      <c r="X32" s="30"/>
    </row>
    <row r="33" spans="1:24" ht="15.75" customHeight="1">
      <c r="A33" s="1" t="s">
        <v>112</v>
      </c>
      <c r="B33" s="2" t="s">
        <v>113</v>
      </c>
      <c r="C33" s="2" t="s">
        <v>2</v>
      </c>
      <c r="D33" s="2" t="s">
        <v>114</v>
      </c>
      <c r="E33" s="2" t="s">
        <v>115</v>
      </c>
      <c r="F33" s="2" t="s">
        <v>116</v>
      </c>
      <c r="G33" s="2" t="s">
        <v>5</v>
      </c>
      <c r="H33" s="2" t="s">
        <v>6</v>
      </c>
      <c r="I33" s="2" t="s">
        <v>7</v>
      </c>
      <c r="J33" s="2" t="s">
        <v>86</v>
      </c>
      <c r="K33" s="26" t="s">
        <v>8</v>
      </c>
      <c r="L33" s="27" t="s">
        <v>9</v>
      </c>
      <c r="M33" s="28" t="s">
        <v>10</v>
      </c>
      <c r="O33" s="1" t="s">
        <v>11</v>
      </c>
      <c r="P33" s="2" t="s">
        <v>12</v>
      </c>
      <c r="Q33" s="2" t="s">
        <v>13</v>
      </c>
      <c r="R33" s="2" t="s">
        <v>14</v>
      </c>
      <c r="S33" s="2" t="s">
        <v>15</v>
      </c>
      <c r="T33" s="2" t="s">
        <v>87</v>
      </c>
      <c r="U33" s="2" t="s">
        <v>16</v>
      </c>
      <c r="V33" s="3" t="s">
        <v>17</v>
      </c>
      <c r="X33" s="30"/>
    </row>
    <row r="34" spans="1:24" ht="15.75" customHeight="1">
      <c r="A34" s="4" t="s">
        <v>18</v>
      </c>
      <c r="B34" s="5" t="s">
        <v>19</v>
      </c>
      <c r="C34" s="5" t="s">
        <v>20</v>
      </c>
      <c r="D34" s="5" t="s">
        <v>21</v>
      </c>
      <c r="E34" s="5" t="s">
        <v>20</v>
      </c>
      <c r="F34" s="5" t="s">
        <v>21</v>
      </c>
      <c r="G34" s="5" t="s">
        <v>22</v>
      </c>
      <c r="H34" s="5" t="s">
        <v>22</v>
      </c>
      <c r="J34" s="5" t="s">
        <v>23</v>
      </c>
      <c r="M34" s="6"/>
      <c r="O34" s="4" t="s">
        <v>27</v>
      </c>
      <c r="P34" s="5" t="s">
        <v>19</v>
      </c>
      <c r="Q34" s="5" t="s">
        <v>20</v>
      </c>
      <c r="R34" s="5" t="s">
        <v>21</v>
      </c>
      <c r="S34" s="5" t="s">
        <v>20</v>
      </c>
      <c r="T34" s="5" t="s">
        <v>21</v>
      </c>
      <c r="U34" s="5" t="s">
        <v>90</v>
      </c>
      <c r="V34" s="6" t="s">
        <v>90</v>
      </c>
      <c r="X34" s="30"/>
    </row>
    <row r="35" spans="1:24" ht="15.75" customHeight="1">
      <c r="A35" s="40">
        <v>11</v>
      </c>
      <c r="B35" s="5">
        <v>6.72</v>
      </c>
      <c r="C35" s="5">
        <v>0.2</v>
      </c>
      <c r="D35" s="5">
        <v>7.4</v>
      </c>
      <c r="E35" s="5">
        <v>0.1</v>
      </c>
      <c r="F35" s="5">
        <v>9.3000000000000007</v>
      </c>
      <c r="G35" s="5">
        <v>30.11</v>
      </c>
      <c r="H35" s="5">
        <v>30.66</v>
      </c>
      <c r="I35" s="8">
        <v>170</v>
      </c>
      <c r="J35" s="5">
        <v>150</v>
      </c>
      <c r="K35" s="8">
        <v>33.4</v>
      </c>
      <c r="L35" s="33">
        <f t="shared" ref="L35:L39" si="10">G35*H35*I35/1000</f>
        <v>156.93934200000001</v>
      </c>
      <c r="M35" s="34">
        <f t="shared" ref="M35:M39" si="11">K35/L35</f>
        <v>0.21282107835013095</v>
      </c>
      <c r="O35" s="4" t="s">
        <v>33</v>
      </c>
      <c r="P35" s="5">
        <v>8.31</v>
      </c>
      <c r="Q35" s="5">
        <v>0.17100000000000001</v>
      </c>
      <c r="R35" s="5">
        <v>5.6</v>
      </c>
      <c r="S35" s="5">
        <v>8.5599999999999996E-2</v>
      </c>
      <c r="T35" s="5">
        <v>8.5</v>
      </c>
      <c r="U35" s="5">
        <v>31.25</v>
      </c>
      <c r="V35" s="6">
        <v>30.94</v>
      </c>
      <c r="X35" s="30"/>
    </row>
    <row r="36" spans="1:24" ht="15.75" customHeight="1">
      <c r="A36" s="40">
        <v>19</v>
      </c>
      <c r="B36" s="5">
        <v>10.6</v>
      </c>
      <c r="C36" s="5">
        <v>0.16400000000000001</v>
      </c>
      <c r="D36" s="5">
        <v>4.9000000000000004</v>
      </c>
      <c r="E36" s="5">
        <v>8.1799999999999998E-2</v>
      </c>
      <c r="F36" s="5">
        <v>8.4</v>
      </c>
      <c r="G36" s="5">
        <v>31.7</v>
      </c>
      <c r="H36" s="5">
        <v>30.61</v>
      </c>
      <c r="I36" s="8">
        <v>169</v>
      </c>
      <c r="J36" s="5">
        <v>150</v>
      </c>
      <c r="K36" s="8">
        <v>34.6</v>
      </c>
      <c r="L36" s="33">
        <f t="shared" si="10"/>
        <v>163.986953</v>
      </c>
      <c r="M36" s="34">
        <f t="shared" si="11"/>
        <v>0.21099239523036933</v>
      </c>
      <c r="O36" s="4" t="s">
        <v>34</v>
      </c>
      <c r="P36" s="5">
        <v>2.23</v>
      </c>
      <c r="Q36" s="5">
        <v>2.5600000000000001E-2</v>
      </c>
      <c r="R36" s="5">
        <v>1.4</v>
      </c>
      <c r="S36" s="5">
        <v>1.2800000000000001E-2</v>
      </c>
      <c r="T36" s="5">
        <v>1.1000000000000001</v>
      </c>
      <c r="U36" s="5">
        <v>0.66290000000000004</v>
      </c>
      <c r="V36" s="6">
        <v>0.27689999999999998</v>
      </c>
      <c r="X36" s="30"/>
    </row>
    <row r="37" spans="1:24" ht="15.75" customHeight="1">
      <c r="A37" s="40">
        <v>69</v>
      </c>
      <c r="B37" s="5">
        <v>10.9</v>
      </c>
      <c r="C37" s="5">
        <v>0.192</v>
      </c>
      <c r="D37" s="5">
        <v>5.4</v>
      </c>
      <c r="E37" s="5">
        <v>9.5799999999999996E-2</v>
      </c>
      <c r="F37" s="5">
        <v>7.6</v>
      </c>
      <c r="G37" s="5">
        <v>31.22</v>
      </c>
      <c r="H37" s="5">
        <v>31.09</v>
      </c>
      <c r="I37" s="8">
        <v>169</v>
      </c>
      <c r="J37" s="5">
        <v>150</v>
      </c>
      <c r="K37" s="41">
        <v>35</v>
      </c>
      <c r="L37" s="33">
        <f t="shared" si="10"/>
        <v>164.0364362</v>
      </c>
      <c r="M37" s="34">
        <f t="shared" si="11"/>
        <v>0.21336722993254106</v>
      </c>
      <c r="O37" s="9" t="s">
        <v>35</v>
      </c>
      <c r="P37" s="10">
        <v>26.79</v>
      </c>
      <c r="Q37" s="10">
        <v>14.95</v>
      </c>
      <c r="R37" s="10">
        <v>25.09</v>
      </c>
      <c r="S37" s="10">
        <v>14.93</v>
      </c>
      <c r="T37" s="10">
        <v>13.33</v>
      </c>
      <c r="U37" s="10">
        <v>2.12</v>
      </c>
      <c r="V37" s="11">
        <v>0.9</v>
      </c>
      <c r="X37" s="30"/>
    </row>
    <row r="38" spans="1:24" ht="15.75" customHeight="1">
      <c r="A38" s="40">
        <v>73</v>
      </c>
      <c r="B38" s="5">
        <v>6.6</v>
      </c>
      <c r="C38" s="5">
        <v>0.16500000000000001</v>
      </c>
      <c r="D38" s="5">
        <v>6.3</v>
      </c>
      <c r="E38" s="5">
        <v>8.2699999999999996E-2</v>
      </c>
      <c r="F38" s="5">
        <v>10</v>
      </c>
      <c r="G38" s="5">
        <v>31.53</v>
      </c>
      <c r="H38" s="5">
        <v>31.15</v>
      </c>
      <c r="I38" s="8">
        <v>169</v>
      </c>
      <c r="J38" s="5">
        <v>150</v>
      </c>
      <c r="K38" s="41">
        <v>36</v>
      </c>
      <c r="L38" s="33">
        <f t="shared" si="10"/>
        <v>165.98495550000001</v>
      </c>
      <c r="M38" s="34">
        <f t="shared" si="11"/>
        <v>0.21688712625524664</v>
      </c>
      <c r="X38" s="30"/>
    </row>
    <row r="39" spans="1:24" ht="15.75" customHeight="1">
      <c r="A39" s="40">
        <v>75</v>
      </c>
      <c r="B39" s="10">
        <v>6.73</v>
      </c>
      <c r="C39" s="10">
        <v>0.13600000000000001</v>
      </c>
      <c r="D39" s="10">
        <v>3.7</v>
      </c>
      <c r="E39" s="10">
        <v>6.7799999999999999E-2</v>
      </c>
      <c r="F39" s="10">
        <v>7.3</v>
      </c>
      <c r="G39" s="10">
        <v>31.67</v>
      </c>
      <c r="H39" s="10">
        <v>31.17</v>
      </c>
      <c r="I39" s="8">
        <v>170</v>
      </c>
      <c r="J39" s="10">
        <v>150</v>
      </c>
      <c r="K39" s="8">
        <v>36.1</v>
      </c>
      <c r="L39" s="33">
        <f t="shared" si="10"/>
        <v>167.81616300000002</v>
      </c>
      <c r="M39" s="34">
        <f t="shared" si="11"/>
        <v>0.21511634728533269</v>
      </c>
      <c r="X39" s="30"/>
    </row>
    <row r="40" spans="1:24" ht="15.75" customHeight="1">
      <c r="X40" s="30"/>
    </row>
    <row r="41" spans="1:24" ht="15.75" customHeight="1">
      <c r="A41" s="1" t="s">
        <v>117</v>
      </c>
      <c r="B41" s="2" t="s">
        <v>118</v>
      </c>
      <c r="C41" s="2" t="s">
        <v>2</v>
      </c>
      <c r="D41" s="2" t="s">
        <v>119</v>
      </c>
      <c r="E41" s="2" t="s">
        <v>120</v>
      </c>
      <c r="F41" s="2" t="s">
        <v>121</v>
      </c>
      <c r="G41" s="2" t="s">
        <v>5</v>
      </c>
      <c r="H41" s="2" t="s">
        <v>6</v>
      </c>
      <c r="I41" s="2" t="s">
        <v>7</v>
      </c>
      <c r="J41" s="2" t="s">
        <v>86</v>
      </c>
      <c r="K41" s="26" t="s">
        <v>8</v>
      </c>
      <c r="L41" s="27" t="s">
        <v>9</v>
      </c>
      <c r="M41" s="28" t="s">
        <v>10</v>
      </c>
      <c r="O41" s="1" t="s">
        <v>11</v>
      </c>
      <c r="P41" s="2" t="s">
        <v>12</v>
      </c>
      <c r="Q41" s="2" t="s">
        <v>13</v>
      </c>
      <c r="R41" s="2" t="s">
        <v>14</v>
      </c>
      <c r="S41" s="2" t="s">
        <v>15</v>
      </c>
      <c r="T41" s="2" t="s">
        <v>87</v>
      </c>
      <c r="U41" s="2" t="s">
        <v>16</v>
      </c>
      <c r="V41" s="3" t="s">
        <v>17</v>
      </c>
      <c r="X41" s="30"/>
    </row>
    <row r="42" spans="1:24" ht="15.75" customHeight="1">
      <c r="A42" s="4" t="s">
        <v>18</v>
      </c>
      <c r="B42" s="5" t="s">
        <v>19</v>
      </c>
      <c r="C42" s="5" t="s">
        <v>20</v>
      </c>
      <c r="D42" s="5" t="s">
        <v>21</v>
      </c>
      <c r="E42" s="5" t="s">
        <v>20</v>
      </c>
      <c r="F42" s="5" t="s">
        <v>21</v>
      </c>
      <c r="G42" s="5" t="s">
        <v>22</v>
      </c>
      <c r="H42" s="5" t="s">
        <v>22</v>
      </c>
      <c r="J42" s="5" t="s">
        <v>23</v>
      </c>
      <c r="M42" s="6"/>
      <c r="O42" s="4" t="s">
        <v>27</v>
      </c>
      <c r="P42" s="5" t="s">
        <v>19</v>
      </c>
      <c r="Q42" s="5" t="s">
        <v>20</v>
      </c>
      <c r="R42" s="5" t="s">
        <v>21</v>
      </c>
      <c r="S42" s="5" t="s">
        <v>20</v>
      </c>
      <c r="T42" s="5" t="s">
        <v>21</v>
      </c>
      <c r="U42" s="5" t="s">
        <v>22</v>
      </c>
      <c r="V42" s="6" t="s">
        <v>90</v>
      </c>
      <c r="X42" s="30"/>
    </row>
    <row r="43" spans="1:24" ht="15.75" customHeight="1">
      <c r="A43" s="42">
        <v>32</v>
      </c>
      <c r="B43" s="5">
        <v>7</v>
      </c>
      <c r="C43" s="5">
        <v>0.189</v>
      </c>
      <c r="D43" s="5">
        <v>9.5</v>
      </c>
      <c r="E43" s="5">
        <v>9.4299999999999995E-2</v>
      </c>
      <c r="F43" s="5">
        <v>13.3</v>
      </c>
      <c r="G43" s="5">
        <v>31.64</v>
      </c>
      <c r="H43" s="5">
        <v>30.09</v>
      </c>
      <c r="I43" s="8">
        <v>169</v>
      </c>
      <c r="J43" s="5">
        <v>150</v>
      </c>
      <c r="K43" s="8">
        <v>42.3</v>
      </c>
      <c r="L43" s="33">
        <f t="shared" ref="L43:L47" si="12">G43*H43*I43/1000</f>
        <v>160.89604439999999</v>
      </c>
      <c r="M43" s="34">
        <f t="shared" ref="M43:M47" si="13">K43/L43</f>
        <v>0.26290267208085571</v>
      </c>
      <c r="O43" s="4" t="s">
        <v>33</v>
      </c>
      <c r="P43" s="5">
        <v>6.68</v>
      </c>
      <c r="Q43" s="5">
        <v>0.16600000000000001</v>
      </c>
      <c r="R43" s="5">
        <v>7.4</v>
      </c>
      <c r="S43" s="5">
        <v>8.3199999999999996E-2</v>
      </c>
      <c r="T43" s="5">
        <v>10.9</v>
      </c>
      <c r="U43" s="5">
        <v>31.73</v>
      </c>
      <c r="V43" s="6">
        <v>30.73</v>
      </c>
      <c r="X43" s="30"/>
    </row>
    <row r="44" spans="1:24" ht="15.75" customHeight="1">
      <c r="A44" s="42">
        <v>34</v>
      </c>
      <c r="B44" s="5">
        <v>7.47</v>
      </c>
      <c r="C44" s="5">
        <v>0.17799999999999999</v>
      </c>
      <c r="D44" s="5">
        <v>7.8</v>
      </c>
      <c r="E44" s="5">
        <v>8.9099999999999999E-2</v>
      </c>
      <c r="F44" s="5">
        <v>11.9</v>
      </c>
      <c r="G44" s="5">
        <v>31.98</v>
      </c>
      <c r="H44" s="5">
        <v>31.11</v>
      </c>
      <c r="I44" s="8">
        <v>170</v>
      </c>
      <c r="J44" s="5">
        <v>150</v>
      </c>
      <c r="K44" s="8">
        <v>42.5</v>
      </c>
      <c r="L44" s="33">
        <f t="shared" si="12"/>
        <v>169.13262599999999</v>
      </c>
      <c r="M44" s="34">
        <f t="shared" si="13"/>
        <v>0.25128209148718594</v>
      </c>
      <c r="O44" s="4" t="s">
        <v>34</v>
      </c>
      <c r="P44" s="5">
        <v>1</v>
      </c>
      <c r="Q44" s="5">
        <v>4.7100000000000003E-2</v>
      </c>
      <c r="R44" s="5">
        <v>2.7</v>
      </c>
      <c r="S44" s="5">
        <v>2.35E-2</v>
      </c>
      <c r="T44" s="5">
        <v>2.8</v>
      </c>
      <c r="U44" s="5">
        <v>0.219</v>
      </c>
      <c r="V44" s="6">
        <v>0.38969999999999999</v>
      </c>
      <c r="X44" s="30"/>
    </row>
    <row r="45" spans="1:24" ht="15.75" customHeight="1">
      <c r="A45" s="42">
        <v>78</v>
      </c>
      <c r="B45" s="5">
        <v>6.82</v>
      </c>
      <c r="C45" s="5">
        <v>0.22600000000000001</v>
      </c>
      <c r="D45" s="5">
        <v>10.6</v>
      </c>
      <c r="E45" s="5">
        <v>0.113</v>
      </c>
      <c r="F45" s="5">
        <v>13.5</v>
      </c>
      <c r="G45" s="5">
        <v>31.68</v>
      </c>
      <c r="H45" s="5">
        <v>30.95</v>
      </c>
      <c r="I45" s="8">
        <v>169</v>
      </c>
      <c r="J45" s="5">
        <v>150</v>
      </c>
      <c r="K45" s="8">
        <v>44.5</v>
      </c>
      <c r="L45" s="33">
        <f t="shared" si="12"/>
        <v>165.703824</v>
      </c>
      <c r="M45" s="34">
        <f t="shared" si="13"/>
        <v>0.26855143668863068</v>
      </c>
      <c r="O45" s="9" t="s">
        <v>35</v>
      </c>
      <c r="P45" s="10">
        <v>15.01</v>
      </c>
      <c r="Q45" s="10">
        <v>28.28</v>
      </c>
      <c r="R45" s="10">
        <v>36.659999999999997</v>
      </c>
      <c r="S45" s="10">
        <v>28.27</v>
      </c>
      <c r="T45" s="10">
        <v>25.82</v>
      </c>
      <c r="U45" s="10">
        <v>0.69</v>
      </c>
      <c r="V45" s="11">
        <v>1.27</v>
      </c>
      <c r="X45" s="30"/>
    </row>
    <row r="46" spans="1:24" ht="15.75" customHeight="1">
      <c r="A46" s="42">
        <v>84</v>
      </c>
      <c r="B46" s="5">
        <v>7.19</v>
      </c>
      <c r="C46" s="5">
        <v>0.13</v>
      </c>
      <c r="D46" s="5">
        <v>5.0999999999999996</v>
      </c>
      <c r="E46" s="5">
        <v>6.5000000000000002E-2</v>
      </c>
      <c r="F46" s="5">
        <v>8.1999999999999993</v>
      </c>
      <c r="G46" s="5">
        <v>31.43</v>
      </c>
      <c r="H46" s="5">
        <v>30.79</v>
      </c>
      <c r="I46" s="8">
        <v>169</v>
      </c>
      <c r="J46" s="5">
        <v>150</v>
      </c>
      <c r="K46" s="8">
        <v>45</v>
      </c>
      <c r="L46" s="33">
        <f t="shared" si="12"/>
        <v>163.54631929999999</v>
      </c>
      <c r="M46" s="34">
        <f t="shared" si="13"/>
        <v>0.2751514078250491</v>
      </c>
      <c r="X46" s="30"/>
    </row>
    <row r="47" spans="1:24" ht="15.75" customHeight="1">
      <c r="A47" s="42">
        <v>86</v>
      </c>
      <c r="B47" s="10">
        <v>4.9400000000000004</v>
      </c>
      <c r="C47" s="10">
        <v>0.109</v>
      </c>
      <c r="D47" s="10">
        <v>4.2</v>
      </c>
      <c r="E47" s="10">
        <v>5.4399999999999997E-2</v>
      </c>
      <c r="F47" s="10">
        <v>7.6</v>
      </c>
      <c r="G47" s="10">
        <v>31.9</v>
      </c>
      <c r="H47" s="10">
        <v>30.69</v>
      </c>
      <c r="I47" s="8">
        <v>169</v>
      </c>
      <c r="J47" s="10">
        <v>150</v>
      </c>
      <c r="K47" s="8">
        <v>45.7</v>
      </c>
      <c r="L47" s="33">
        <f t="shared" si="12"/>
        <v>165.45285899999999</v>
      </c>
      <c r="M47" s="34">
        <f t="shared" si="13"/>
        <v>0.27621160659423843</v>
      </c>
      <c r="X47" s="30"/>
    </row>
    <row r="48" spans="1:24" ht="15.75" customHeight="1">
      <c r="X48" s="30"/>
    </row>
    <row r="49" spans="1:24" ht="15.75" customHeight="1">
      <c r="A49" s="1" t="s">
        <v>122</v>
      </c>
      <c r="B49" s="2" t="s">
        <v>123</v>
      </c>
      <c r="C49" s="2" t="s">
        <v>2</v>
      </c>
      <c r="D49" s="2" t="s">
        <v>124</v>
      </c>
      <c r="E49" s="2" t="s">
        <v>125</v>
      </c>
      <c r="F49" s="2" t="s">
        <v>126</v>
      </c>
      <c r="G49" s="2" t="s">
        <v>5</v>
      </c>
      <c r="H49" s="2" t="s">
        <v>6</v>
      </c>
      <c r="I49" s="2" t="s">
        <v>7</v>
      </c>
      <c r="J49" s="2" t="s">
        <v>86</v>
      </c>
      <c r="K49" s="26" t="s">
        <v>8</v>
      </c>
      <c r="L49" s="27" t="s">
        <v>9</v>
      </c>
      <c r="M49" s="28" t="s">
        <v>10</v>
      </c>
      <c r="O49" s="1" t="s">
        <v>11</v>
      </c>
      <c r="P49" s="2" t="s">
        <v>12</v>
      </c>
      <c r="Q49" s="2" t="s">
        <v>13</v>
      </c>
      <c r="R49" s="2" t="s">
        <v>14</v>
      </c>
      <c r="S49" s="2" t="s">
        <v>15</v>
      </c>
      <c r="T49" s="2" t="s">
        <v>87</v>
      </c>
      <c r="U49" s="2" t="s">
        <v>16</v>
      </c>
      <c r="V49" s="3" t="s">
        <v>17</v>
      </c>
      <c r="X49" s="30"/>
    </row>
    <row r="50" spans="1:24" ht="15.75" customHeight="1">
      <c r="A50" s="4" t="s">
        <v>18</v>
      </c>
      <c r="B50" s="5" t="s">
        <v>19</v>
      </c>
      <c r="C50" s="5" t="s">
        <v>20</v>
      </c>
      <c r="D50" s="5" t="s">
        <v>21</v>
      </c>
      <c r="E50" s="5" t="s">
        <v>20</v>
      </c>
      <c r="F50" s="5" t="s">
        <v>21</v>
      </c>
      <c r="G50" s="5" t="s">
        <v>22</v>
      </c>
      <c r="H50" s="5" t="s">
        <v>22</v>
      </c>
      <c r="J50" s="5" t="s">
        <v>23</v>
      </c>
      <c r="M50" s="6"/>
      <c r="O50" s="4" t="s">
        <v>127</v>
      </c>
      <c r="P50" s="5" t="s">
        <v>19</v>
      </c>
      <c r="Q50" s="5" t="s">
        <v>20</v>
      </c>
      <c r="R50" s="5" t="s">
        <v>21</v>
      </c>
      <c r="S50" s="5" t="s">
        <v>20</v>
      </c>
      <c r="T50" s="5" t="s">
        <v>21</v>
      </c>
      <c r="U50" s="5" t="s">
        <v>90</v>
      </c>
      <c r="V50" s="6" t="s">
        <v>30</v>
      </c>
      <c r="X50" s="30"/>
    </row>
    <row r="51" spans="1:24" ht="15.75" customHeight="1">
      <c r="A51" s="43">
        <v>37</v>
      </c>
      <c r="B51" s="5">
        <v>6.09</v>
      </c>
      <c r="C51" s="5">
        <v>6.3600000000000004E-2</v>
      </c>
      <c r="D51" s="5">
        <v>1.8</v>
      </c>
      <c r="E51" s="5">
        <v>3.1800000000000002E-2</v>
      </c>
      <c r="F51" s="5">
        <v>2.6</v>
      </c>
      <c r="G51" s="5">
        <v>31.29</v>
      </c>
      <c r="H51" s="5">
        <v>30.97</v>
      </c>
      <c r="I51" s="8">
        <v>170</v>
      </c>
      <c r="J51" s="5">
        <v>150</v>
      </c>
      <c r="K51" s="8">
        <v>44.5</v>
      </c>
      <c r="L51" s="33">
        <f t="shared" ref="L51:L54" si="14">G51*H51*I51/1000</f>
        <v>164.738721</v>
      </c>
      <c r="M51" s="34">
        <f t="shared" ref="M51:M54" si="15">K51/L51</f>
        <v>0.27012471463827864</v>
      </c>
      <c r="O51" s="4" t="s">
        <v>33</v>
      </c>
      <c r="P51" s="5">
        <v>5.47</v>
      </c>
      <c r="Q51" s="5">
        <v>6.9099999999999995E-2</v>
      </c>
      <c r="R51" s="5">
        <v>2.2000000000000002</v>
      </c>
      <c r="S51" s="5">
        <v>3.4500000000000003E-2</v>
      </c>
      <c r="T51" s="5">
        <v>3.4</v>
      </c>
      <c r="U51" s="5">
        <v>31.38</v>
      </c>
      <c r="V51" s="6">
        <v>31.08</v>
      </c>
      <c r="X51" s="30"/>
    </row>
    <row r="52" spans="1:24" ht="15.75" customHeight="1">
      <c r="A52" s="43">
        <v>88</v>
      </c>
      <c r="B52" s="5">
        <v>5.73</v>
      </c>
      <c r="C52" s="5">
        <v>7.3099999999999998E-2</v>
      </c>
      <c r="D52" s="5">
        <v>1.8</v>
      </c>
      <c r="E52" s="5">
        <v>3.6600000000000001E-2</v>
      </c>
      <c r="F52" s="5">
        <v>2.7</v>
      </c>
      <c r="G52" s="5">
        <v>31.69</v>
      </c>
      <c r="H52" s="5">
        <v>31.12</v>
      </c>
      <c r="I52" s="8">
        <v>171</v>
      </c>
      <c r="J52" s="5">
        <v>150</v>
      </c>
      <c r="K52" s="8">
        <v>46.2</v>
      </c>
      <c r="L52" s="33">
        <f t="shared" si="14"/>
        <v>168.63896880000001</v>
      </c>
      <c r="M52" s="34">
        <f t="shared" si="15"/>
        <v>0.27395803193502449</v>
      </c>
      <c r="O52" s="4" t="s">
        <v>34</v>
      </c>
      <c r="P52" s="5">
        <v>1.08</v>
      </c>
      <c r="Q52" s="5">
        <v>4.0400000000000002E-3</v>
      </c>
      <c r="R52" s="5">
        <v>0.8</v>
      </c>
      <c r="S52" s="5">
        <v>2.0300000000000001E-3</v>
      </c>
      <c r="T52" s="5">
        <v>0.9</v>
      </c>
      <c r="U52" s="5">
        <v>0.3866</v>
      </c>
      <c r="V52" s="6">
        <v>7.1410000000000001E-2</v>
      </c>
      <c r="X52" s="30"/>
    </row>
    <row r="53" spans="1:24" ht="15.75" customHeight="1">
      <c r="A53" s="43">
        <v>90</v>
      </c>
      <c r="B53" s="5">
        <v>3.88</v>
      </c>
      <c r="C53" s="5">
        <v>7.0800000000000002E-2</v>
      </c>
      <c r="D53" s="5">
        <v>3.4</v>
      </c>
      <c r="E53" s="5">
        <v>3.5400000000000001E-2</v>
      </c>
      <c r="F53" s="5">
        <v>4.5</v>
      </c>
      <c r="G53" s="5">
        <v>31.67</v>
      </c>
      <c r="H53" s="5">
        <v>31.09</v>
      </c>
      <c r="I53" s="8">
        <v>170</v>
      </c>
      <c r="J53" s="5">
        <v>150</v>
      </c>
      <c r="K53" s="8">
        <v>44.7</v>
      </c>
      <c r="L53" s="33">
        <f t="shared" si="14"/>
        <v>167.38545099999999</v>
      </c>
      <c r="M53" s="34">
        <f t="shared" si="15"/>
        <v>0.26704829919776008</v>
      </c>
      <c r="O53" s="9" t="s">
        <v>35</v>
      </c>
      <c r="P53" s="10">
        <v>19.7</v>
      </c>
      <c r="Q53" s="10">
        <v>5.84</v>
      </c>
      <c r="R53" s="10">
        <v>34.61</v>
      </c>
      <c r="S53" s="10">
        <v>5.87</v>
      </c>
      <c r="T53" s="10">
        <v>27.08</v>
      </c>
      <c r="U53" s="10">
        <v>1.23</v>
      </c>
      <c r="V53" s="11">
        <v>0.23</v>
      </c>
      <c r="X53" s="30"/>
    </row>
    <row r="54" spans="1:24" ht="15.75" customHeight="1">
      <c r="A54" s="43">
        <v>94</v>
      </c>
      <c r="B54" s="10">
        <v>6.19</v>
      </c>
      <c r="C54" s="10">
        <v>6.8900000000000003E-2</v>
      </c>
      <c r="D54" s="10">
        <v>1.9</v>
      </c>
      <c r="E54" s="10">
        <v>3.44E-2</v>
      </c>
      <c r="F54" s="10">
        <v>3.9</v>
      </c>
      <c r="G54" s="10">
        <v>30.87</v>
      </c>
      <c r="H54" s="10">
        <v>31.12</v>
      </c>
      <c r="I54" s="8">
        <v>169</v>
      </c>
      <c r="J54" s="10">
        <v>150</v>
      </c>
      <c r="K54" s="8">
        <v>44.6</v>
      </c>
      <c r="L54" s="33">
        <f t="shared" si="14"/>
        <v>162.35397360000002</v>
      </c>
      <c r="M54" s="34">
        <f t="shared" si="15"/>
        <v>0.27470839802100167</v>
      </c>
      <c r="X54" s="30"/>
    </row>
    <row r="55" spans="1:24" ht="15.75" customHeight="1">
      <c r="X55" s="30"/>
    </row>
    <row r="56" spans="1:24" ht="15.75" customHeight="1">
      <c r="A56" s="1" t="s">
        <v>128</v>
      </c>
      <c r="B56" s="2" t="s">
        <v>129</v>
      </c>
      <c r="C56" s="2" t="s">
        <v>2</v>
      </c>
      <c r="D56" s="2" t="s">
        <v>130</v>
      </c>
      <c r="E56" s="2" t="s">
        <v>131</v>
      </c>
      <c r="F56" s="2" t="s">
        <v>132</v>
      </c>
      <c r="G56" s="2" t="s">
        <v>5</v>
      </c>
      <c r="H56" s="2" t="s">
        <v>6</v>
      </c>
      <c r="I56" s="2" t="s">
        <v>7</v>
      </c>
      <c r="J56" s="2" t="s">
        <v>86</v>
      </c>
      <c r="K56" s="26" t="s">
        <v>8</v>
      </c>
      <c r="L56" s="27" t="s">
        <v>9</v>
      </c>
      <c r="M56" s="28" t="s">
        <v>10</v>
      </c>
      <c r="O56" s="1" t="s">
        <v>11</v>
      </c>
      <c r="P56" s="2" t="s">
        <v>12</v>
      </c>
      <c r="Q56" s="2" t="s">
        <v>13</v>
      </c>
      <c r="R56" s="2" t="s">
        <v>14</v>
      </c>
      <c r="S56" s="2" t="s">
        <v>15</v>
      </c>
      <c r="T56" s="2" t="s">
        <v>87</v>
      </c>
      <c r="U56" s="2" t="s">
        <v>16</v>
      </c>
      <c r="V56" s="3" t="s">
        <v>17</v>
      </c>
      <c r="X56" s="30"/>
    </row>
    <row r="57" spans="1:24" ht="15.75" customHeight="1">
      <c r="A57" s="4" t="s">
        <v>18</v>
      </c>
      <c r="B57" s="5" t="s">
        <v>19</v>
      </c>
      <c r="C57" s="5" t="s">
        <v>20</v>
      </c>
      <c r="D57" s="5" t="s">
        <v>21</v>
      </c>
      <c r="E57" s="5" t="s">
        <v>20</v>
      </c>
      <c r="F57" s="5" t="s">
        <v>21</v>
      </c>
      <c r="G57" s="5" t="s">
        <v>22</v>
      </c>
      <c r="H57" s="5" t="s">
        <v>22</v>
      </c>
      <c r="J57" s="5" t="s">
        <v>23</v>
      </c>
      <c r="M57" s="6"/>
      <c r="O57" s="4" t="s">
        <v>133</v>
      </c>
      <c r="P57" s="5" t="s">
        <v>19</v>
      </c>
      <c r="Q57" s="5" t="s">
        <v>20</v>
      </c>
      <c r="R57" s="5" t="s">
        <v>21</v>
      </c>
      <c r="S57" s="5" t="s">
        <v>20</v>
      </c>
      <c r="T57" s="5" t="s">
        <v>21</v>
      </c>
      <c r="U57" s="5" t="s">
        <v>90</v>
      </c>
      <c r="V57" s="6" t="s">
        <v>90</v>
      </c>
      <c r="X57" s="30"/>
    </row>
    <row r="58" spans="1:24" ht="15.75" customHeight="1">
      <c r="A58" s="44">
        <v>13</v>
      </c>
      <c r="B58" s="5">
        <v>3.48</v>
      </c>
      <c r="C58" s="5">
        <v>7.6999999999999999E-2</v>
      </c>
      <c r="D58" s="5">
        <v>3.9</v>
      </c>
      <c r="E58" s="5">
        <v>3.85E-2</v>
      </c>
      <c r="F58" s="5">
        <v>7.8</v>
      </c>
      <c r="G58" s="5">
        <v>30.4</v>
      </c>
      <c r="H58" s="5">
        <v>30.3</v>
      </c>
      <c r="I58" s="8">
        <v>169</v>
      </c>
      <c r="J58" s="5">
        <v>150</v>
      </c>
      <c r="K58" s="8">
        <v>21.3</v>
      </c>
      <c r="L58" s="33">
        <f t="shared" ref="L58:L60" si="16">G58*H58*I58/1000</f>
        <v>155.66927999999999</v>
      </c>
      <c r="M58" s="34">
        <f t="shared" ref="M58:M60" si="17">K58/L58</f>
        <v>0.13682853803910447</v>
      </c>
      <c r="O58" s="4" t="s">
        <v>33</v>
      </c>
      <c r="P58" s="5">
        <v>4.28</v>
      </c>
      <c r="Q58" s="5">
        <v>0.112</v>
      </c>
      <c r="R58" s="5">
        <v>4.8</v>
      </c>
      <c r="S58" s="5">
        <v>5.5899999999999998E-2</v>
      </c>
      <c r="T58" s="5">
        <v>8.5</v>
      </c>
      <c r="U58" s="5">
        <v>30.92</v>
      </c>
      <c r="V58" s="6">
        <v>30.69</v>
      </c>
      <c r="X58" s="30"/>
    </row>
    <row r="59" spans="1:24" ht="15.75" customHeight="1">
      <c r="A59" s="44">
        <v>17</v>
      </c>
      <c r="B59" s="5">
        <v>4.3600000000000003</v>
      </c>
      <c r="C59" s="5">
        <v>0.13800000000000001</v>
      </c>
      <c r="D59" s="5">
        <v>4.9000000000000004</v>
      </c>
      <c r="E59" s="5">
        <v>6.9000000000000006E-2</v>
      </c>
      <c r="F59" s="5">
        <v>8.6</v>
      </c>
      <c r="G59" s="5">
        <v>31.76</v>
      </c>
      <c r="H59" s="5">
        <v>30.94</v>
      </c>
      <c r="I59" s="8">
        <v>168</v>
      </c>
      <c r="J59" s="5">
        <v>150</v>
      </c>
      <c r="K59" s="8">
        <v>21.9</v>
      </c>
      <c r="L59" s="33">
        <f t="shared" si="16"/>
        <v>165.08593920000001</v>
      </c>
      <c r="M59" s="34">
        <f t="shared" si="17"/>
        <v>0.13265817855915857</v>
      </c>
      <c r="O59" s="4" t="s">
        <v>34</v>
      </c>
      <c r="P59" s="5">
        <v>0.76200000000000001</v>
      </c>
      <c r="Q59" s="5">
        <v>3.1399999999999997E-2</v>
      </c>
      <c r="R59" s="5">
        <v>1</v>
      </c>
      <c r="S59" s="5">
        <v>1.5699999999999999E-2</v>
      </c>
      <c r="T59" s="5">
        <v>0.6</v>
      </c>
      <c r="U59" s="5">
        <v>0.73429999999999995</v>
      </c>
      <c r="V59" s="6">
        <v>0.34429999999999999</v>
      </c>
      <c r="X59" s="30"/>
    </row>
    <row r="60" spans="1:24" ht="15.75" customHeight="1">
      <c r="A60" s="44">
        <v>74</v>
      </c>
      <c r="B60" s="10">
        <v>5</v>
      </c>
      <c r="C60" s="10">
        <v>0.12</v>
      </c>
      <c r="D60" s="10">
        <v>5.8</v>
      </c>
      <c r="E60" s="10">
        <v>6.0199999999999997E-2</v>
      </c>
      <c r="F60" s="10">
        <v>8.9</v>
      </c>
      <c r="G60" s="10">
        <v>30.6</v>
      </c>
      <c r="H60" s="10">
        <v>30.84</v>
      </c>
      <c r="I60" s="8">
        <v>169</v>
      </c>
      <c r="J60" s="10">
        <v>150</v>
      </c>
      <c r="K60" s="8">
        <v>21.7</v>
      </c>
      <c r="L60" s="33">
        <f t="shared" si="16"/>
        <v>159.48597600000002</v>
      </c>
      <c r="M60" s="34">
        <f t="shared" si="17"/>
        <v>0.1360621199697207</v>
      </c>
      <c r="O60" s="9" t="s">
        <v>35</v>
      </c>
      <c r="P60" s="10">
        <v>17.809999999999999</v>
      </c>
      <c r="Q60" s="10">
        <v>28.09</v>
      </c>
      <c r="R60" s="10">
        <v>20.079999999999998</v>
      </c>
      <c r="S60" s="10">
        <v>28.11</v>
      </c>
      <c r="T60" s="10">
        <v>7</v>
      </c>
      <c r="U60" s="10">
        <v>2.37</v>
      </c>
      <c r="V60" s="11">
        <v>1.1200000000000001</v>
      </c>
      <c r="X60" s="30"/>
    </row>
    <row r="61" spans="1:24" ht="15.75" customHeight="1">
      <c r="X61" s="30"/>
    </row>
    <row r="62" spans="1:24" ht="15.75" customHeight="1">
      <c r="A62" s="1" t="s">
        <v>134</v>
      </c>
      <c r="B62" s="2" t="s">
        <v>135</v>
      </c>
      <c r="C62" s="2" t="s">
        <v>2</v>
      </c>
      <c r="D62" s="2" t="s">
        <v>136</v>
      </c>
      <c r="E62" s="2" t="s">
        <v>137</v>
      </c>
      <c r="F62" s="2" t="s">
        <v>138</v>
      </c>
      <c r="G62" s="2" t="s">
        <v>5</v>
      </c>
      <c r="H62" s="2" t="s">
        <v>6</v>
      </c>
      <c r="I62" s="2" t="s">
        <v>7</v>
      </c>
      <c r="J62" s="2" t="s">
        <v>86</v>
      </c>
      <c r="K62" s="26" t="s">
        <v>8</v>
      </c>
      <c r="L62" s="27" t="s">
        <v>9</v>
      </c>
      <c r="M62" s="28" t="s">
        <v>10</v>
      </c>
      <c r="O62" s="1" t="s">
        <v>11</v>
      </c>
      <c r="P62" s="2" t="s">
        <v>12</v>
      </c>
      <c r="Q62" s="2" t="s">
        <v>13</v>
      </c>
      <c r="R62" s="2" t="s">
        <v>14</v>
      </c>
      <c r="S62" s="2" t="s">
        <v>15</v>
      </c>
      <c r="T62" s="2" t="s">
        <v>87</v>
      </c>
      <c r="U62" s="2" t="s">
        <v>16</v>
      </c>
      <c r="V62" s="3" t="s">
        <v>17</v>
      </c>
      <c r="X62" s="30"/>
    </row>
    <row r="63" spans="1:24" ht="15.75" customHeight="1">
      <c r="A63" s="4" t="s">
        <v>18</v>
      </c>
      <c r="B63" s="5" t="s">
        <v>19</v>
      </c>
      <c r="C63" s="5" t="s">
        <v>20</v>
      </c>
      <c r="D63" s="5" t="s">
        <v>21</v>
      </c>
      <c r="E63" s="5" t="s">
        <v>20</v>
      </c>
      <c r="F63" s="5" t="s">
        <v>21</v>
      </c>
      <c r="G63" s="5" t="s">
        <v>22</v>
      </c>
      <c r="H63" s="5" t="s">
        <v>22</v>
      </c>
      <c r="J63" s="5" t="s">
        <v>23</v>
      </c>
      <c r="M63" s="6"/>
      <c r="O63" s="4" t="s">
        <v>133</v>
      </c>
      <c r="P63" s="5" t="s">
        <v>19</v>
      </c>
      <c r="Q63" s="5" t="s">
        <v>20</v>
      </c>
      <c r="R63" s="5" t="s">
        <v>21</v>
      </c>
      <c r="S63" s="5" t="s">
        <v>20</v>
      </c>
      <c r="T63" s="5" t="s">
        <v>21</v>
      </c>
      <c r="U63" s="5" t="s">
        <v>90</v>
      </c>
      <c r="V63" s="6" t="s">
        <v>90</v>
      </c>
      <c r="X63" s="30"/>
    </row>
    <row r="64" spans="1:24" ht="15.75" customHeight="1">
      <c r="A64" s="44">
        <v>59</v>
      </c>
      <c r="B64" s="5">
        <v>6.13</v>
      </c>
      <c r="C64" s="5">
        <v>8.5300000000000001E-2</v>
      </c>
      <c r="D64" s="5">
        <v>3.7</v>
      </c>
      <c r="E64" s="5">
        <v>4.2700000000000002E-2</v>
      </c>
      <c r="F64" s="5">
        <v>7.1</v>
      </c>
      <c r="G64" s="5">
        <v>29.6</v>
      </c>
      <c r="H64" s="5">
        <v>30.52</v>
      </c>
      <c r="I64" s="8">
        <v>170</v>
      </c>
      <c r="J64" s="5">
        <v>150</v>
      </c>
      <c r="K64" s="8">
        <v>29.1</v>
      </c>
      <c r="L64" s="33">
        <f t="shared" ref="L64:L66" si="18">G64*H64*I64/1000</f>
        <v>153.57664000000003</v>
      </c>
      <c r="M64" s="34">
        <f t="shared" ref="M64:M66" si="19">K64/L64</f>
        <v>0.18948194204535271</v>
      </c>
      <c r="O64" s="4" t="s">
        <v>33</v>
      </c>
      <c r="P64" s="5">
        <v>5.74</v>
      </c>
      <c r="Q64" s="5">
        <v>7.3700000000000002E-2</v>
      </c>
      <c r="R64" s="5">
        <v>3.4</v>
      </c>
      <c r="S64" s="5">
        <v>3.6799999999999999E-2</v>
      </c>
      <c r="T64" s="5">
        <v>8</v>
      </c>
      <c r="U64" s="5">
        <v>29.54</v>
      </c>
      <c r="V64" s="6">
        <v>30.61</v>
      </c>
      <c r="X64" s="30"/>
    </row>
    <row r="65" spans="1:24" ht="15.75" customHeight="1">
      <c r="A65" s="44">
        <v>61</v>
      </c>
      <c r="B65" s="5">
        <v>6.1</v>
      </c>
      <c r="C65" s="5">
        <v>6.59E-2</v>
      </c>
      <c r="D65" s="5">
        <v>2.4</v>
      </c>
      <c r="E65" s="5">
        <v>3.2899999999999999E-2</v>
      </c>
      <c r="F65" s="5">
        <v>9.3000000000000007</v>
      </c>
      <c r="G65" s="5">
        <v>29.3</v>
      </c>
      <c r="H65" s="5">
        <v>30.52</v>
      </c>
      <c r="I65" s="8">
        <v>169</v>
      </c>
      <c r="J65" s="5">
        <v>150</v>
      </c>
      <c r="K65" s="8">
        <v>28.5</v>
      </c>
      <c r="L65" s="33">
        <f t="shared" si="18"/>
        <v>151.12588399999999</v>
      </c>
      <c r="M65" s="34">
        <f t="shared" si="19"/>
        <v>0.18858450482248298</v>
      </c>
      <c r="O65" s="4" t="s">
        <v>34</v>
      </c>
      <c r="P65" s="5">
        <v>0.64400000000000002</v>
      </c>
      <c r="Q65" s="5">
        <v>1.03E-2</v>
      </c>
      <c r="R65" s="5">
        <v>0.8</v>
      </c>
      <c r="S65" s="5">
        <v>5.1399999999999996E-3</v>
      </c>
      <c r="T65" s="5">
        <v>1.1000000000000001</v>
      </c>
      <c r="U65" s="5">
        <v>0.2122</v>
      </c>
      <c r="V65" s="6">
        <v>0.15590000000000001</v>
      </c>
      <c r="X65" s="30"/>
    </row>
    <row r="66" spans="1:24" ht="15.75" customHeight="1">
      <c r="A66" s="44">
        <v>67</v>
      </c>
      <c r="B66" s="10">
        <v>5</v>
      </c>
      <c r="C66" s="10">
        <v>6.9800000000000001E-2</v>
      </c>
      <c r="D66" s="10">
        <v>4</v>
      </c>
      <c r="E66" s="10">
        <v>3.49E-2</v>
      </c>
      <c r="F66" s="10">
        <v>7.7</v>
      </c>
      <c r="G66" s="10">
        <v>29.71</v>
      </c>
      <c r="H66" s="10">
        <v>30.79</v>
      </c>
      <c r="I66" s="8">
        <v>171</v>
      </c>
      <c r="J66" s="10">
        <v>150</v>
      </c>
      <c r="K66" s="8">
        <v>27.3</v>
      </c>
      <c r="L66" s="33">
        <f t="shared" si="18"/>
        <v>156.42582389999998</v>
      </c>
      <c r="M66" s="34">
        <f t="shared" si="19"/>
        <v>0.17452361329707533</v>
      </c>
      <c r="O66" s="9" t="s">
        <v>35</v>
      </c>
      <c r="P66" s="10">
        <v>11.21</v>
      </c>
      <c r="Q66" s="10">
        <v>13.97</v>
      </c>
      <c r="R66" s="10">
        <v>24.69</v>
      </c>
      <c r="S66" s="10">
        <v>13.96</v>
      </c>
      <c r="T66" s="10">
        <v>13.69</v>
      </c>
      <c r="U66" s="10">
        <v>0.72</v>
      </c>
      <c r="V66" s="11">
        <v>0.51</v>
      </c>
      <c r="X66" s="30"/>
    </row>
    <row r="67" spans="1:24" ht="15.75" customHeight="1">
      <c r="X67" s="30"/>
    </row>
    <row r="68" spans="1:24" ht="15.75" customHeight="1">
      <c r="A68" s="1" t="s">
        <v>139</v>
      </c>
      <c r="B68" s="2" t="s">
        <v>140</v>
      </c>
      <c r="C68" s="2" t="s">
        <v>2</v>
      </c>
      <c r="D68" s="2" t="s">
        <v>141</v>
      </c>
      <c r="E68" s="2" t="s">
        <v>142</v>
      </c>
      <c r="F68" s="2" t="s">
        <v>143</v>
      </c>
      <c r="G68" s="2" t="s">
        <v>5</v>
      </c>
      <c r="H68" s="2" t="s">
        <v>6</v>
      </c>
      <c r="I68" s="2" t="s">
        <v>7</v>
      </c>
      <c r="J68" s="2" t="s">
        <v>86</v>
      </c>
      <c r="K68" s="26" t="s">
        <v>8</v>
      </c>
      <c r="L68" s="27" t="s">
        <v>9</v>
      </c>
      <c r="M68" s="28" t="s">
        <v>10</v>
      </c>
      <c r="O68" s="1" t="s">
        <v>11</v>
      </c>
      <c r="P68" s="2" t="s">
        <v>12</v>
      </c>
      <c r="Q68" s="2" t="s">
        <v>13</v>
      </c>
      <c r="R68" s="2" t="s">
        <v>14</v>
      </c>
      <c r="S68" s="2" t="s">
        <v>15</v>
      </c>
      <c r="T68" s="2" t="s">
        <v>87</v>
      </c>
      <c r="U68" s="2" t="s">
        <v>16</v>
      </c>
      <c r="V68" s="3" t="s">
        <v>17</v>
      </c>
      <c r="X68" s="30"/>
    </row>
    <row r="69" spans="1:24" ht="15.75" customHeight="1">
      <c r="A69" s="4" t="s">
        <v>18</v>
      </c>
      <c r="B69" s="5" t="s">
        <v>19</v>
      </c>
      <c r="C69" s="5" t="s">
        <v>20</v>
      </c>
      <c r="D69" s="5" t="s">
        <v>21</v>
      </c>
      <c r="E69" s="5" t="s">
        <v>20</v>
      </c>
      <c r="F69" s="5" t="s">
        <v>21</v>
      </c>
      <c r="G69" s="5" t="s">
        <v>22</v>
      </c>
      <c r="H69" s="5" t="s">
        <v>22</v>
      </c>
      <c r="J69" s="5" t="s">
        <v>23</v>
      </c>
      <c r="M69" s="6"/>
      <c r="O69" s="4" t="s">
        <v>133</v>
      </c>
      <c r="P69" s="5" t="s">
        <v>19</v>
      </c>
      <c r="Q69" s="5" t="s">
        <v>20</v>
      </c>
      <c r="R69" s="5" t="s">
        <v>21</v>
      </c>
      <c r="S69" s="5" t="s">
        <v>20</v>
      </c>
      <c r="T69" s="5" t="s">
        <v>21</v>
      </c>
      <c r="U69" s="5" t="s">
        <v>90</v>
      </c>
      <c r="V69" s="6" t="s">
        <v>90</v>
      </c>
      <c r="X69" s="30"/>
    </row>
    <row r="70" spans="1:24" ht="15.75" customHeight="1">
      <c r="A70" s="44">
        <v>33</v>
      </c>
      <c r="B70" s="5">
        <v>2.98</v>
      </c>
      <c r="C70" s="5">
        <v>0.10100000000000001</v>
      </c>
      <c r="D70" s="5">
        <v>7.4</v>
      </c>
      <c r="E70" s="5">
        <v>5.04E-2</v>
      </c>
      <c r="F70" s="5">
        <v>11.6</v>
      </c>
      <c r="G70" s="5">
        <v>30.84</v>
      </c>
      <c r="H70" s="5">
        <v>30.51</v>
      </c>
      <c r="I70" s="8">
        <v>169</v>
      </c>
      <c r="J70" s="5">
        <v>150</v>
      </c>
      <c r="K70" s="8">
        <v>28.6</v>
      </c>
      <c r="L70" s="33">
        <f t="shared" ref="L70:L72" si="20">G70*H70*I70/1000</f>
        <v>159.01689960000002</v>
      </c>
      <c r="M70" s="34">
        <f t="shared" ref="M70:M72" si="21">K70/L70</f>
        <v>0.17985509761504617</v>
      </c>
      <c r="O70" s="4" t="s">
        <v>33</v>
      </c>
      <c r="P70" s="5">
        <v>3.6</v>
      </c>
      <c r="Q70" s="5">
        <v>0.13</v>
      </c>
      <c r="R70" s="5">
        <v>7.2</v>
      </c>
      <c r="S70" s="5">
        <v>6.5100000000000005E-2</v>
      </c>
      <c r="T70" s="5">
        <v>9.5</v>
      </c>
      <c r="U70" s="5">
        <v>30.82</v>
      </c>
      <c r="V70" s="6">
        <v>30.72</v>
      </c>
      <c r="X70" s="30"/>
    </row>
    <row r="71" spans="1:24" ht="15.75" customHeight="1">
      <c r="A71" s="44">
        <v>79</v>
      </c>
      <c r="B71" s="5">
        <v>4.0599999999999996</v>
      </c>
      <c r="C71" s="5">
        <v>0.14099999999999999</v>
      </c>
      <c r="D71" s="5">
        <v>7</v>
      </c>
      <c r="E71" s="5">
        <v>7.0400000000000004E-2</v>
      </c>
      <c r="F71" s="5">
        <v>8.6</v>
      </c>
      <c r="G71" s="5">
        <v>31.08</v>
      </c>
      <c r="H71" s="5">
        <v>30.68</v>
      </c>
      <c r="I71" s="8">
        <v>169</v>
      </c>
      <c r="J71" s="5">
        <v>150</v>
      </c>
      <c r="K71" s="8">
        <v>30.4</v>
      </c>
      <c r="L71" s="33">
        <f t="shared" si="20"/>
        <v>161.14731359999999</v>
      </c>
      <c r="M71" s="34">
        <f t="shared" si="21"/>
        <v>0.18864726516917874</v>
      </c>
      <c r="O71" s="4" t="s">
        <v>34</v>
      </c>
      <c r="P71" s="5">
        <v>0.56100000000000005</v>
      </c>
      <c r="Q71" s="5">
        <v>2.5899999999999999E-2</v>
      </c>
      <c r="R71" s="5">
        <v>0.2</v>
      </c>
      <c r="S71" s="5">
        <v>1.29E-2</v>
      </c>
      <c r="T71" s="5">
        <v>1.9</v>
      </c>
      <c r="U71" s="5">
        <v>0.27060000000000001</v>
      </c>
      <c r="V71" s="6">
        <v>0.2326</v>
      </c>
      <c r="X71" s="30"/>
    </row>
    <row r="72" spans="1:24" ht="15.75" customHeight="1">
      <c r="A72" s="44">
        <v>87</v>
      </c>
      <c r="B72" s="10">
        <v>3.77</v>
      </c>
      <c r="C72" s="10">
        <v>0.14899999999999999</v>
      </c>
      <c r="D72" s="10">
        <v>7.2</v>
      </c>
      <c r="E72" s="10">
        <v>7.4499999999999997E-2</v>
      </c>
      <c r="F72" s="10">
        <v>8.1999999999999993</v>
      </c>
      <c r="G72" s="10">
        <v>30.54</v>
      </c>
      <c r="H72" s="10">
        <v>30.97</v>
      </c>
      <c r="I72" s="8">
        <v>168</v>
      </c>
      <c r="J72" s="10">
        <v>150</v>
      </c>
      <c r="K72" s="8">
        <v>30.8</v>
      </c>
      <c r="L72" s="33">
        <f t="shared" si="20"/>
        <v>158.89839839999996</v>
      </c>
      <c r="M72" s="34">
        <f t="shared" si="21"/>
        <v>0.19383455283461187</v>
      </c>
      <c r="O72" s="9" t="s">
        <v>35</v>
      </c>
      <c r="P72" s="10">
        <v>15.56</v>
      </c>
      <c r="Q72" s="10">
        <v>19.850000000000001</v>
      </c>
      <c r="R72" s="10">
        <v>3</v>
      </c>
      <c r="S72" s="10">
        <v>19.77</v>
      </c>
      <c r="T72" s="10">
        <v>19.55</v>
      </c>
      <c r="U72" s="10">
        <v>0.88</v>
      </c>
      <c r="V72" s="11">
        <v>0.76</v>
      </c>
      <c r="X72" s="30"/>
    </row>
    <row r="73" spans="1:24" ht="15.75" customHeight="1">
      <c r="X73" s="30"/>
    </row>
    <row r="74" spans="1:24" ht="15.75" customHeight="1">
      <c r="A74" s="1" t="s">
        <v>144</v>
      </c>
      <c r="B74" s="2" t="s">
        <v>145</v>
      </c>
      <c r="C74" s="2" t="s">
        <v>2</v>
      </c>
      <c r="D74" s="2" t="s">
        <v>146</v>
      </c>
      <c r="E74" s="2" t="s">
        <v>147</v>
      </c>
      <c r="F74" s="2" t="s">
        <v>148</v>
      </c>
      <c r="G74" s="2" t="s">
        <v>5</v>
      </c>
      <c r="H74" s="2" t="s">
        <v>6</v>
      </c>
      <c r="I74" s="2" t="s">
        <v>7</v>
      </c>
      <c r="J74" s="2" t="s">
        <v>86</v>
      </c>
      <c r="K74" s="26" t="s">
        <v>8</v>
      </c>
      <c r="L74" s="27" t="s">
        <v>9</v>
      </c>
      <c r="M74" s="28" t="s">
        <v>10</v>
      </c>
      <c r="O74" s="1" t="s">
        <v>11</v>
      </c>
      <c r="P74" s="2" t="s">
        <v>12</v>
      </c>
      <c r="Q74" s="2" t="s">
        <v>13</v>
      </c>
      <c r="R74" s="2" t="s">
        <v>14</v>
      </c>
      <c r="S74" s="2" t="s">
        <v>15</v>
      </c>
      <c r="T74" s="2" t="s">
        <v>87</v>
      </c>
      <c r="U74" s="2" t="s">
        <v>16</v>
      </c>
      <c r="V74" s="3" t="s">
        <v>17</v>
      </c>
      <c r="X74" s="30"/>
    </row>
    <row r="75" spans="1:24" ht="15.75" customHeight="1">
      <c r="A75" s="4" t="s">
        <v>18</v>
      </c>
      <c r="B75" s="5" t="s">
        <v>19</v>
      </c>
      <c r="C75" s="5" t="s">
        <v>20</v>
      </c>
      <c r="D75" s="5" t="s">
        <v>21</v>
      </c>
      <c r="E75" s="5" t="s">
        <v>20</v>
      </c>
      <c r="F75" s="5" t="s">
        <v>21</v>
      </c>
      <c r="G75" s="5" t="s">
        <v>22</v>
      </c>
      <c r="H75" s="5" t="s">
        <v>22</v>
      </c>
      <c r="J75" s="5" t="s">
        <v>23</v>
      </c>
      <c r="M75" s="6"/>
      <c r="O75" s="4" t="s">
        <v>89</v>
      </c>
      <c r="P75" s="5" t="s">
        <v>19</v>
      </c>
      <c r="Q75" s="5" t="s">
        <v>20</v>
      </c>
      <c r="R75" s="5" t="s">
        <v>21</v>
      </c>
      <c r="S75" s="5" t="s">
        <v>20</v>
      </c>
      <c r="T75" s="5" t="s">
        <v>21</v>
      </c>
      <c r="U75" s="5" t="s">
        <v>22</v>
      </c>
      <c r="V75" s="6" t="s">
        <v>30</v>
      </c>
      <c r="X75" s="30"/>
    </row>
    <row r="76" spans="1:24" ht="15.75" customHeight="1">
      <c r="A76" s="44">
        <v>89</v>
      </c>
      <c r="B76" s="5">
        <v>1.24</v>
      </c>
      <c r="C76" s="5">
        <v>3.4700000000000002E-2</v>
      </c>
      <c r="D76" s="5">
        <v>2.9</v>
      </c>
      <c r="E76" s="5">
        <v>1.7299999999999999E-2</v>
      </c>
      <c r="F76" s="5">
        <v>4.0999999999999996</v>
      </c>
      <c r="G76" s="5">
        <v>29.12</v>
      </c>
      <c r="H76" s="5">
        <v>30.63</v>
      </c>
      <c r="I76" s="8">
        <v>168</v>
      </c>
      <c r="J76" s="5">
        <v>150</v>
      </c>
      <c r="K76" s="8">
        <v>27.6</v>
      </c>
      <c r="L76" s="33">
        <f t="shared" ref="L76:L77" si="22">G76*H76*I76/1000</f>
        <v>149.8468608</v>
      </c>
      <c r="M76" s="34">
        <f t="shared" ref="M76:M77" si="23">K76/L76</f>
        <v>0.18418804273008835</v>
      </c>
      <c r="O76" s="4" t="s">
        <v>33</v>
      </c>
      <c r="P76" s="5">
        <v>1.74</v>
      </c>
      <c r="Q76" s="5">
        <v>4.1500000000000002E-2</v>
      </c>
      <c r="R76" s="5">
        <v>3.4</v>
      </c>
      <c r="S76" s="5">
        <v>2.0400000000000001E-2</v>
      </c>
      <c r="T76" s="5">
        <v>4.5</v>
      </c>
      <c r="U76" s="5">
        <v>29.75</v>
      </c>
      <c r="V76" s="6">
        <v>30.58</v>
      </c>
      <c r="X76" s="30"/>
    </row>
    <row r="77" spans="1:24" ht="15.75" customHeight="1">
      <c r="A77" s="44">
        <v>93</v>
      </c>
      <c r="B77" s="10">
        <v>2.25</v>
      </c>
      <c r="C77" s="10">
        <v>4.8399999999999999E-2</v>
      </c>
      <c r="D77" s="10">
        <v>3.9</v>
      </c>
      <c r="E77" s="10">
        <v>2.3599999999999999E-2</v>
      </c>
      <c r="F77" s="10">
        <v>4.9000000000000004</v>
      </c>
      <c r="G77" s="10">
        <v>30.38</v>
      </c>
      <c r="H77" s="10">
        <v>30.53</v>
      </c>
      <c r="I77" s="8">
        <v>169</v>
      </c>
      <c r="J77" s="10">
        <v>150</v>
      </c>
      <c r="K77" s="8">
        <v>28.6</v>
      </c>
      <c r="L77" s="33">
        <f t="shared" si="22"/>
        <v>156.7477366</v>
      </c>
      <c r="M77" s="34">
        <f t="shared" si="23"/>
        <v>0.18245877497410704</v>
      </c>
      <c r="O77" s="4" t="s">
        <v>34</v>
      </c>
      <c r="P77" s="5">
        <v>0.70899999999999996</v>
      </c>
      <c r="Q77" s="5">
        <v>9.7199999999999995E-3</v>
      </c>
      <c r="R77" s="5">
        <v>0.7</v>
      </c>
      <c r="S77" s="5">
        <v>4.4400000000000004E-3</v>
      </c>
      <c r="T77" s="5">
        <v>0.5</v>
      </c>
      <c r="U77" s="5">
        <v>0.89100000000000001</v>
      </c>
      <c r="V77" s="6">
        <v>7.0709999999999995E-2</v>
      </c>
      <c r="X77" s="30"/>
    </row>
    <row r="78" spans="1:24" ht="15.75" customHeight="1">
      <c r="O78" s="9" t="s">
        <v>35</v>
      </c>
      <c r="P78" s="10">
        <v>40.659999999999997</v>
      </c>
      <c r="Q78" s="10">
        <v>23.4</v>
      </c>
      <c r="R78" s="10">
        <v>21.27</v>
      </c>
      <c r="S78" s="10">
        <v>21.72</v>
      </c>
      <c r="T78" s="10">
        <v>11.53</v>
      </c>
      <c r="U78" s="10">
        <v>2.99</v>
      </c>
      <c r="V78" s="11">
        <v>0.23</v>
      </c>
      <c r="X78" s="30"/>
    </row>
    <row r="79" spans="1:24" ht="15.75" customHeight="1">
      <c r="X79" s="30"/>
    </row>
    <row r="80" spans="1:24" ht="15.75" customHeight="1">
      <c r="A80" s="1" t="s">
        <v>149</v>
      </c>
      <c r="B80" s="2" t="s">
        <v>150</v>
      </c>
      <c r="C80" s="2" t="s">
        <v>2</v>
      </c>
      <c r="D80" s="2" t="s">
        <v>151</v>
      </c>
      <c r="E80" s="2" t="s">
        <v>152</v>
      </c>
      <c r="F80" s="2" t="s">
        <v>153</v>
      </c>
      <c r="G80" s="2" t="s">
        <v>5</v>
      </c>
      <c r="H80" s="2" t="s">
        <v>6</v>
      </c>
      <c r="I80" s="2" t="s">
        <v>7</v>
      </c>
      <c r="J80" s="2" t="s">
        <v>86</v>
      </c>
      <c r="K80" s="26" t="s">
        <v>8</v>
      </c>
      <c r="L80" s="27" t="s">
        <v>9</v>
      </c>
      <c r="M80" s="28" t="s">
        <v>10</v>
      </c>
      <c r="O80" s="1" t="s">
        <v>11</v>
      </c>
      <c r="P80" s="2" t="s">
        <v>12</v>
      </c>
      <c r="Q80" s="2" t="s">
        <v>13</v>
      </c>
      <c r="R80" s="2" t="s">
        <v>14</v>
      </c>
      <c r="S80" s="2" t="s">
        <v>15</v>
      </c>
      <c r="T80" s="2" t="s">
        <v>87</v>
      </c>
      <c r="U80" s="2" t="s">
        <v>16</v>
      </c>
      <c r="V80" s="3" t="s">
        <v>17</v>
      </c>
      <c r="X80" s="30"/>
    </row>
    <row r="81" spans="1:24" ht="15.75" customHeight="1">
      <c r="A81" s="4" t="s">
        <v>18</v>
      </c>
      <c r="B81" s="5" t="s">
        <v>19</v>
      </c>
      <c r="C81" s="5" t="s">
        <v>20</v>
      </c>
      <c r="D81" s="5" t="s">
        <v>21</v>
      </c>
      <c r="E81" s="5" t="s">
        <v>20</v>
      </c>
      <c r="F81" s="5" t="s">
        <v>21</v>
      </c>
      <c r="G81" s="5" t="s">
        <v>22</v>
      </c>
      <c r="H81" s="5" t="s">
        <v>22</v>
      </c>
      <c r="J81" s="5" t="s">
        <v>23</v>
      </c>
      <c r="M81" s="6"/>
      <c r="O81" s="4" t="s">
        <v>133</v>
      </c>
      <c r="P81" s="5" t="s">
        <v>19</v>
      </c>
      <c r="Q81" s="5" t="s">
        <v>20</v>
      </c>
      <c r="R81" s="5" t="s">
        <v>21</v>
      </c>
      <c r="S81" s="5" t="s">
        <v>20</v>
      </c>
      <c r="T81" s="5" t="s">
        <v>21</v>
      </c>
      <c r="U81" s="5" t="s">
        <v>90</v>
      </c>
      <c r="V81" s="6" t="s">
        <v>30</v>
      </c>
      <c r="X81" s="30"/>
    </row>
    <row r="82" spans="1:24" ht="15.75" customHeight="1">
      <c r="A82" s="45">
        <v>48</v>
      </c>
      <c r="B82" s="5">
        <v>2.15</v>
      </c>
      <c r="C82" s="5">
        <v>9.4700000000000006E-2</v>
      </c>
      <c r="D82" s="5">
        <v>7.3</v>
      </c>
      <c r="E82" s="5">
        <v>4.65E-2</v>
      </c>
      <c r="F82" s="5">
        <v>8</v>
      </c>
      <c r="G82" s="5">
        <v>30.84</v>
      </c>
      <c r="H82" s="5">
        <v>30.33</v>
      </c>
      <c r="I82" s="8">
        <v>170</v>
      </c>
      <c r="J82" s="5">
        <v>150</v>
      </c>
      <c r="K82" s="8">
        <v>30.1</v>
      </c>
      <c r="L82" s="33">
        <f t="shared" ref="L82:L84" si="24">G82*H82*I82/1000</f>
        <v>159.01412399999998</v>
      </c>
      <c r="M82" s="34">
        <f t="shared" ref="M82:M84" si="25">K82/L82</f>
        <v>0.18929136131328816</v>
      </c>
      <c r="O82" s="4" t="s">
        <v>33</v>
      </c>
      <c r="P82" s="5">
        <v>1.9</v>
      </c>
      <c r="Q82" s="5">
        <v>8.8200000000000001E-2</v>
      </c>
      <c r="R82" s="5">
        <v>7.1</v>
      </c>
      <c r="S82" s="5">
        <v>4.7500000000000001E-2</v>
      </c>
      <c r="T82" s="5">
        <v>8</v>
      </c>
      <c r="U82" s="5">
        <v>30.88</v>
      </c>
      <c r="V82" s="6">
        <v>30.35</v>
      </c>
      <c r="X82" s="30"/>
    </row>
    <row r="83" spans="1:24" ht="15.75" customHeight="1">
      <c r="A83" s="45">
        <v>49</v>
      </c>
      <c r="B83" s="5">
        <v>2.14</v>
      </c>
      <c r="C83" s="5">
        <v>9.4700000000000006E-2</v>
      </c>
      <c r="D83" s="5">
        <v>7.6</v>
      </c>
      <c r="E83" s="5">
        <v>4.7300000000000002E-2</v>
      </c>
      <c r="F83" s="5">
        <v>8.6999999999999993</v>
      </c>
      <c r="G83" s="5">
        <v>30.81</v>
      </c>
      <c r="H83" s="5">
        <v>30.4</v>
      </c>
      <c r="I83" s="8">
        <v>171</v>
      </c>
      <c r="J83" s="5">
        <v>150</v>
      </c>
      <c r="K83" s="8">
        <v>28.8</v>
      </c>
      <c r="L83" s="33">
        <f t="shared" si="24"/>
        <v>160.16270399999999</v>
      </c>
      <c r="M83" s="34">
        <f t="shared" si="25"/>
        <v>0.17981714394632101</v>
      </c>
      <c r="O83" s="4" t="s">
        <v>34</v>
      </c>
      <c r="P83" s="5">
        <v>0.42899999999999999</v>
      </c>
      <c r="Q83" s="5">
        <v>1.1299999999999999E-2</v>
      </c>
      <c r="R83" s="5">
        <v>0.6</v>
      </c>
      <c r="S83" s="5">
        <v>1.1299999999999999E-3</v>
      </c>
      <c r="T83" s="5">
        <v>0.7</v>
      </c>
      <c r="U83" s="5">
        <v>0.1021</v>
      </c>
      <c r="V83" s="6">
        <v>4.3589999999999997E-2</v>
      </c>
      <c r="X83" s="30"/>
    </row>
    <row r="84" spans="1:24" ht="15.75" customHeight="1">
      <c r="A84" s="46">
        <v>52</v>
      </c>
      <c r="B84" s="10">
        <v>1.4</v>
      </c>
      <c r="C84" s="10">
        <v>7.5200000000000003E-2</v>
      </c>
      <c r="D84" s="10">
        <v>6.4</v>
      </c>
      <c r="E84" s="10">
        <v>4.87E-2</v>
      </c>
      <c r="F84" s="10">
        <v>7.4</v>
      </c>
      <c r="G84" s="10">
        <v>31</v>
      </c>
      <c r="H84" s="10">
        <v>30.32</v>
      </c>
      <c r="I84" s="8">
        <v>171</v>
      </c>
      <c r="J84" s="10">
        <v>150</v>
      </c>
      <c r="K84" s="8">
        <v>29.1</v>
      </c>
      <c r="L84" s="33">
        <f t="shared" si="24"/>
        <v>160.72632000000002</v>
      </c>
      <c r="M84" s="34">
        <f t="shared" si="25"/>
        <v>0.18105310940983405</v>
      </c>
      <c r="O84" s="9" t="s">
        <v>35</v>
      </c>
      <c r="P84" s="10">
        <v>22.62</v>
      </c>
      <c r="Q84" s="10">
        <v>12.75</v>
      </c>
      <c r="R84" s="10">
        <v>8.2799999999999994</v>
      </c>
      <c r="S84" s="10">
        <v>2.37</v>
      </c>
      <c r="T84" s="10">
        <v>8.57</v>
      </c>
      <c r="U84" s="10">
        <v>0.33</v>
      </c>
      <c r="V84" s="11">
        <v>0.14000000000000001</v>
      </c>
      <c r="X84" s="30"/>
    </row>
    <row r="85" spans="1:24" ht="15.75" customHeight="1">
      <c r="X85" s="30"/>
    </row>
    <row r="86" spans="1:24" ht="15.75" customHeight="1">
      <c r="A86" s="1" t="s">
        <v>154</v>
      </c>
      <c r="B86" s="2" t="s">
        <v>155</v>
      </c>
      <c r="C86" s="2" t="s">
        <v>2</v>
      </c>
      <c r="D86" s="2" t="s">
        <v>156</v>
      </c>
      <c r="E86" s="2" t="s">
        <v>157</v>
      </c>
      <c r="F86" s="2" t="s">
        <v>158</v>
      </c>
      <c r="G86" s="2" t="s">
        <v>5</v>
      </c>
      <c r="H86" s="2" t="s">
        <v>6</v>
      </c>
      <c r="I86" s="2" t="s">
        <v>7</v>
      </c>
      <c r="J86" s="2" t="s">
        <v>86</v>
      </c>
      <c r="K86" s="26" t="s">
        <v>8</v>
      </c>
      <c r="L86" s="27" t="s">
        <v>9</v>
      </c>
      <c r="M86" s="28" t="s">
        <v>10</v>
      </c>
      <c r="O86" s="1" t="s">
        <v>11</v>
      </c>
      <c r="P86" s="2" t="s">
        <v>12</v>
      </c>
      <c r="Q86" s="2" t="s">
        <v>13</v>
      </c>
      <c r="R86" s="2" t="s">
        <v>14</v>
      </c>
      <c r="S86" s="2" t="s">
        <v>15</v>
      </c>
      <c r="T86" s="2" t="s">
        <v>87</v>
      </c>
      <c r="U86" s="2" t="s">
        <v>16</v>
      </c>
      <c r="V86" s="3" t="s">
        <v>17</v>
      </c>
      <c r="X86" s="30"/>
    </row>
    <row r="87" spans="1:24" ht="15.75" customHeight="1">
      <c r="A87" s="4" t="s">
        <v>18</v>
      </c>
      <c r="B87" s="5" t="s">
        <v>19</v>
      </c>
      <c r="C87" s="5" t="s">
        <v>20</v>
      </c>
      <c r="D87" s="5" t="s">
        <v>21</v>
      </c>
      <c r="E87" s="5" t="s">
        <v>20</v>
      </c>
      <c r="F87" s="5" t="s">
        <v>21</v>
      </c>
      <c r="G87" s="5" t="s">
        <v>22</v>
      </c>
      <c r="H87" s="5" t="s">
        <v>22</v>
      </c>
      <c r="J87" s="5" t="s">
        <v>23</v>
      </c>
      <c r="M87" s="6"/>
      <c r="O87" s="4" t="s">
        <v>159</v>
      </c>
      <c r="P87" s="5" t="s">
        <v>19</v>
      </c>
      <c r="Q87" s="5" t="s">
        <v>20</v>
      </c>
      <c r="R87" s="5" t="s">
        <v>21</v>
      </c>
      <c r="S87" s="5" t="s">
        <v>20</v>
      </c>
      <c r="T87" s="5" t="s">
        <v>21</v>
      </c>
      <c r="U87" s="5" t="s">
        <v>90</v>
      </c>
      <c r="V87" s="6" t="s">
        <v>90</v>
      </c>
      <c r="X87" s="30"/>
    </row>
    <row r="88" spans="1:24" ht="15.75" customHeight="1">
      <c r="A88" s="45">
        <v>58</v>
      </c>
      <c r="B88" s="5">
        <v>2.5</v>
      </c>
      <c r="C88" s="5">
        <v>0.14099999999999999</v>
      </c>
      <c r="D88" s="5">
        <v>7.3</v>
      </c>
      <c r="E88" s="5">
        <v>7.0400000000000004E-2</v>
      </c>
      <c r="F88" s="5">
        <v>7.9</v>
      </c>
      <c r="G88" s="5">
        <v>30.73</v>
      </c>
      <c r="H88" s="5">
        <v>30.43</v>
      </c>
      <c r="I88" s="8">
        <v>169</v>
      </c>
      <c r="J88" s="5">
        <v>150</v>
      </c>
      <c r="K88" s="30">
        <v>22.1</v>
      </c>
      <c r="L88" s="33">
        <f t="shared" ref="L88:L93" si="26">G88*H88*I88/1000</f>
        <v>158.03424910000001</v>
      </c>
      <c r="M88" s="34">
        <f t="shared" ref="M88:M93" si="27">K88/L88</f>
        <v>0.13984310442741871</v>
      </c>
      <c r="O88" s="4" t="s">
        <v>33</v>
      </c>
      <c r="P88" s="5">
        <v>1.92</v>
      </c>
      <c r="Q88" s="5">
        <v>9.7900000000000001E-2</v>
      </c>
      <c r="R88" s="5">
        <v>6.2</v>
      </c>
      <c r="S88" s="5">
        <v>4.8899999999999999E-2</v>
      </c>
      <c r="T88" s="5">
        <v>7.8</v>
      </c>
      <c r="U88" s="5">
        <v>30.33</v>
      </c>
      <c r="V88" s="6">
        <v>30.07</v>
      </c>
      <c r="X88" s="30"/>
    </row>
    <row r="89" spans="1:24" ht="15.75" customHeight="1">
      <c r="A89" s="45">
        <v>59</v>
      </c>
      <c r="B89" s="5">
        <v>2.1</v>
      </c>
      <c r="C89" s="5">
        <v>8.3900000000000002E-2</v>
      </c>
      <c r="D89" s="5">
        <v>6.8</v>
      </c>
      <c r="E89" s="5">
        <v>4.19E-2</v>
      </c>
      <c r="F89" s="5">
        <v>8.1999999999999993</v>
      </c>
      <c r="G89" s="5">
        <v>30.2</v>
      </c>
      <c r="H89" s="5">
        <v>30.15</v>
      </c>
      <c r="I89" s="8">
        <v>170</v>
      </c>
      <c r="J89" s="5">
        <v>150</v>
      </c>
      <c r="K89" s="8">
        <v>21.6</v>
      </c>
      <c r="L89" s="33">
        <f t="shared" si="26"/>
        <v>154.7901</v>
      </c>
      <c r="M89" s="34">
        <f t="shared" si="27"/>
        <v>0.13954380803423477</v>
      </c>
      <c r="O89" s="4" t="s">
        <v>34</v>
      </c>
      <c r="P89" s="5">
        <v>0.38200000000000001</v>
      </c>
      <c r="Q89" s="5">
        <v>4.0899999999999999E-2</v>
      </c>
      <c r="R89" s="5">
        <v>1.1000000000000001</v>
      </c>
      <c r="S89" s="5">
        <v>2.0400000000000001E-2</v>
      </c>
      <c r="T89" s="5">
        <v>0.9</v>
      </c>
      <c r="U89" s="5">
        <v>0.38829999999999998</v>
      </c>
      <c r="V89" s="6">
        <v>0.63249999999999995</v>
      </c>
      <c r="X89" s="30"/>
    </row>
    <row r="90" spans="1:24" ht="15.75" customHeight="1">
      <c r="A90" s="45">
        <v>60</v>
      </c>
      <c r="B90" s="5">
        <v>1.57</v>
      </c>
      <c r="C90" s="5">
        <v>5.9700000000000003E-2</v>
      </c>
      <c r="D90" s="5">
        <v>4.9000000000000004</v>
      </c>
      <c r="E90" s="5">
        <v>2.98E-2</v>
      </c>
      <c r="F90" s="5">
        <v>7</v>
      </c>
      <c r="G90" s="5">
        <v>30.42</v>
      </c>
      <c r="H90" s="5">
        <v>30.2</v>
      </c>
      <c r="I90" s="8">
        <v>170</v>
      </c>
      <c r="J90" s="5">
        <v>150</v>
      </c>
      <c r="K90" s="8">
        <v>21.1</v>
      </c>
      <c r="L90" s="33">
        <f t="shared" si="26"/>
        <v>156.17628000000002</v>
      </c>
      <c r="M90" s="34">
        <f t="shared" si="27"/>
        <v>0.13510374302678999</v>
      </c>
      <c r="O90" s="9" t="s">
        <v>35</v>
      </c>
      <c r="P90" s="10">
        <v>19.87</v>
      </c>
      <c r="Q90" s="10">
        <v>41.78</v>
      </c>
      <c r="R90" s="10">
        <v>17.02</v>
      </c>
      <c r="S90" s="10">
        <v>41.67</v>
      </c>
      <c r="T90" s="10">
        <v>11.64</v>
      </c>
      <c r="U90" s="10">
        <v>1.28</v>
      </c>
      <c r="V90" s="11">
        <v>2.1</v>
      </c>
      <c r="X90" s="30"/>
    </row>
    <row r="91" spans="1:24" ht="15.75" customHeight="1">
      <c r="A91" s="45">
        <v>61</v>
      </c>
      <c r="B91" s="5">
        <v>1.48</v>
      </c>
      <c r="C91" s="5">
        <v>5.1700000000000003E-2</v>
      </c>
      <c r="D91" s="5">
        <v>4.9000000000000004</v>
      </c>
      <c r="E91" s="5">
        <v>2.58E-2</v>
      </c>
      <c r="F91" s="5">
        <v>7.4</v>
      </c>
      <c r="G91" s="5">
        <v>30.15</v>
      </c>
      <c r="H91" s="5">
        <v>30.45</v>
      </c>
      <c r="I91" s="8">
        <v>170</v>
      </c>
      <c r="J91" s="5">
        <v>150</v>
      </c>
      <c r="K91" s="8">
        <v>20.5</v>
      </c>
      <c r="L91" s="33">
        <f t="shared" si="26"/>
        <v>156.07147499999996</v>
      </c>
      <c r="M91" s="34">
        <f t="shared" si="27"/>
        <v>0.13135007534208287</v>
      </c>
      <c r="X91" s="30"/>
    </row>
    <row r="92" spans="1:24" ht="15.75" customHeight="1">
      <c r="A92" s="45">
        <v>62</v>
      </c>
      <c r="B92" s="5">
        <v>2.1</v>
      </c>
      <c r="C92" s="5">
        <v>0.10100000000000001</v>
      </c>
      <c r="D92" s="5">
        <v>6.9</v>
      </c>
      <c r="E92" s="5">
        <v>5.0700000000000002E-2</v>
      </c>
      <c r="F92" s="5">
        <v>9.4</v>
      </c>
      <c r="G92" s="5">
        <v>29.73</v>
      </c>
      <c r="H92" s="5">
        <v>30.37</v>
      </c>
      <c r="I92" s="8">
        <v>170</v>
      </c>
      <c r="J92" s="5">
        <v>150</v>
      </c>
      <c r="K92" s="8">
        <v>21.2</v>
      </c>
      <c r="L92" s="33">
        <f t="shared" si="26"/>
        <v>153.49301700000001</v>
      </c>
      <c r="M92" s="34">
        <f t="shared" si="27"/>
        <v>0.13811703238590978</v>
      </c>
      <c r="X92" s="30"/>
    </row>
    <row r="93" spans="1:24" ht="15.75" customHeight="1">
      <c r="A93" s="45">
        <v>63</v>
      </c>
      <c r="B93" s="10">
        <v>1.79</v>
      </c>
      <c r="C93" s="10">
        <v>0.15</v>
      </c>
      <c r="D93" s="10">
        <v>6.6</v>
      </c>
      <c r="E93" s="10">
        <v>7.4800000000000005E-2</v>
      </c>
      <c r="F93" s="10">
        <v>7</v>
      </c>
      <c r="G93" s="10">
        <v>30.75</v>
      </c>
      <c r="H93" s="10">
        <v>28.8</v>
      </c>
      <c r="I93" s="8">
        <v>169</v>
      </c>
      <c r="J93" s="10">
        <v>150</v>
      </c>
      <c r="K93" s="8">
        <v>21.4</v>
      </c>
      <c r="L93" s="33">
        <f t="shared" si="26"/>
        <v>149.66639999999998</v>
      </c>
      <c r="M93" s="34">
        <f t="shared" si="27"/>
        <v>0.14298466456064957</v>
      </c>
      <c r="X93" s="30"/>
    </row>
    <row r="94" spans="1:24" ht="15.75" customHeight="1">
      <c r="X94" s="30"/>
    </row>
    <row r="95" spans="1:24" ht="15.75" customHeight="1">
      <c r="A95" s="1" t="s">
        <v>160</v>
      </c>
      <c r="B95" s="1" t="s">
        <v>161</v>
      </c>
      <c r="C95" s="2" t="s">
        <v>2</v>
      </c>
      <c r="D95" s="2" t="s">
        <v>162</v>
      </c>
      <c r="E95" s="2" t="s">
        <v>163</v>
      </c>
      <c r="F95" s="2" t="s">
        <v>164</v>
      </c>
      <c r="G95" s="2" t="s">
        <v>5</v>
      </c>
      <c r="H95" s="2" t="s">
        <v>6</v>
      </c>
      <c r="I95" s="2" t="s">
        <v>7</v>
      </c>
      <c r="J95" s="2" t="s">
        <v>86</v>
      </c>
      <c r="K95" s="26" t="s">
        <v>8</v>
      </c>
      <c r="L95" s="27" t="s">
        <v>9</v>
      </c>
      <c r="M95" s="28" t="s">
        <v>10</v>
      </c>
      <c r="O95" s="1" t="s">
        <v>11</v>
      </c>
      <c r="P95" s="2" t="s">
        <v>12</v>
      </c>
      <c r="Q95" s="2" t="s">
        <v>13</v>
      </c>
      <c r="R95" s="2" t="s">
        <v>14</v>
      </c>
      <c r="S95" s="2" t="s">
        <v>15</v>
      </c>
      <c r="T95" s="2" t="s">
        <v>87</v>
      </c>
      <c r="U95" s="2" t="s">
        <v>16</v>
      </c>
      <c r="V95" s="3" t="s">
        <v>17</v>
      </c>
      <c r="X95" s="30"/>
    </row>
    <row r="96" spans="1:24" ht="15.75" customHeight="1">
      <c r="A96" s="4" t="s">
        <v>18</v>
      </c>
      <c r="B96" s="4" t="s">
        <v>19</v>
      </c>
      <c r="C96" s="5" t="s">
        <v>20</v>
      </c>
      <c r="D96" s="5" t="s">
        <v>21</v>
      </c>
      <c r="E96" s="5" t="s">
        <v>20</v>
      </c>
      <c r="F96" s="5" t="s">
        <v>21</v>
      </c>
      <c r="G96" s="5" t="s">
        <v>22</v>
      </c>
      <c r="H96" s="5" t="s">
        <v>22</v>
      </c>
      <c r="I96" s="5" t="s">
        <v>88</v>
      </c>
      <c r="J96" s="5" t="s">
        <v>23</v>
      </c>
      <c r="K96" s="5" t="s">
        <v>24</v>
      </c>
      <c r="L96" s="5"/>
      <c r="M96" s="6"/>
      <c r="O96" s="4" t="s">
        <v>89</v>
      </c>
      <c r="P96" s="5" t="s">
        <v>19</v>
      </c>
      <c r="Q96" s="5" t="s">
        <v>20</v>
      </c>
      <c r="R96" s="5" t="s">
        <v>21</v>
      </c>
      <c r="S96" s="5" t="s">
        <v>20</v>
      </c>
      <c r="T96" s="5" t="s">
        <v>21</v>
      </c>
      <c r="U96" s="5" t="s">
        <v>30</v>
      </c>
      <c r="V96" s="6" t="s">
        <v>90</v>
      </c>
      <c r="X96" s="30"/>
    </row>
    <row r="97" spans="1:24" ht="15.75" customHeight="1">
      <c r="A97" s="45">
        <v>56</v>
      </c>
      <c r="B97" s="4">
        <v>0.96799999999999997</v>
      </c>
      <c r="C97" s="5">
        <v>2.1499999999999998E-2</v>
      </c>
      <c r="D97" s="5">
        <v>1.6</v>
      </c>
      <c r="E97" s="5">
        <v>1.0800000000000001E-2</v>
      </c>
      <c r="F97" s="5">
        <v>3.4</v>
      </c>
      <c r="G97" s="5">
        <v>31.45</v>
      </c>
      <c r="H97" s="5">
        <v>29.36</v>
      </c>
      <c r="I97" s="8">
        <v>171</v>
      </c>
      <c r="J97" s="5">
        <v>150</v>
      </c>
      <c r="K97" s="8">
        <v>29.3</v>
      </c>
      <c r="L97" s="33">
        <f t="shared" ref="L97:L98" si="28">G97*H97*I97/1000</f>
        <v>157.896612</v>
      </c>
      <c r="M97" s="34">
        <f t="shared" ref="M97:M98" si="29">K97/L97</f>
        <v>0.18556446290310522</v>
      </c>
      <c r="O97" s="4" t="s">
        <v>33</v>
      </c>
      <c r="P97" s="5">
        <v>1.33</v>
      </c>
      <c r="Q97" s="5">
        <v>2.53E-2</v>
      </c>
      <c r="R97" s="5">
        <v>1.5</v>
      </c>
      <c r="S97" s="5">
        <v>1.26E-2</v>
      </c>
      <c r="T97" s="5">
        <v>2.9</v>
      </c>
      <c r="U97" s="5">
        <v>31.47</v>
      </c>
      <c r="V97" s="6">
        <v>29.03</v>
      </c>
      <c r="X97" s="30"/>
    </row>
    <row r="98" spans="1:24" ht="15.75" customHeight="1">
      <c r="A98" s="45">
        <v>57</v>
      </c>
      <c r="B98" s="9">
        <v>1.7</v>
      </c>
      <c r="C98" s="10">
        <v>2.9100000000000001E-2</v>
      </c>
      <c r="D98" s="10">
        <v>1.5</v>
      </c>
      <c r="E98" s="10">
        <v>1.4500000000000001E-2</v>
      </c>
      <c r="F98" s="10">
        <v>2.4</v>
      </c>
      <c r="G98" s="10">
        <v>31.48</v>
      </c>
      <c r="H98" s="10">
        <v>28.7</v>
      </c>
      <c r="I98" s="47">
        <v>170</v>
      </c>
      <c r="J98" s="10">
        <v>150</v>
      </c>
      <c r="K98" s="13">
        <v>29.7</v>
      </c>
      <c r="L98" s="48">
        <f t="shared" si="28"/>
        <v>153.59092000000001</v>
      </c>
      <c r="M98" s="49">
        <f t="shared" si="29"/>
        <v>0.19337080603462756</v>
      </c>
      <c r="O98" s="4" t="s">
        <v>34</v>
      </c>
      <c r="P98" s="5">
        <v>0.51500000000000001</v>
      </c>
      <c r="Q98" s="5">
        <v>5.3200000000000001E-3</v>
      </c>
      <c r="R98" s="5">
        <v>0.1</v>
      </c>
      <c r="S98" s="5">
        <v>2.66E-3</v>
      </c>
      <c r="T98" s="5">
        <v>0.7</v>
      </c>
      <c r="U98" s="5">
        <v>2.121E-2</v>
      </c>
      <c r="V98" s="6">
        <v>0.4667</v>
      </c>
      <c r="X98" s="30"/>
    </row>
    <row r="99" spans="1:24" ht="15.75" customHeight="1">
      <c r="L99" s="33"/>
      <c r="M99" s="34"/>
      <c r="O99" s="9" t="s">
        <v>35</v>
      </c>
      <c r="P99" s="10">
        <v>38.67</v>
      </c>
      <c r="Q99" s="10">
        <v>21.02</v>
      </c>
      <c r="R99" s="10">
        <v>5.44</v>
      </c>
      <c r="S99" s="10">
        <v>21.07</v>
      </c>
      <c r="T99" s="10">
        <v>25.14</v>
      </c>
      <c r="U99" s="10">
        <v>7.0000000000000007E-2</v>
      </c>
      <c r="V99" s="11">
        <v>1.61</v>
      </c>
      <c r="X99" s="30"/>
    </row>
    <row r="100" spans="1:24" ht="15.75" customHeight="1">
      <c r="X100" s="30"/>
    </row>
    <row r="101" spans="1:24" ht="15.75" customHeight="1">
      <c r="A101" s="5" t="s">
        <v>165</v>
      </c>
      <c r="X101" s="30"/>
    </row>
    <row r="102" spans="1:24" ht="15.75" customHeight="1">
      <c r="A102" s="5" t="s">
        <v>166</v>
      </c>
      <c r="B102" s="1" t="s">
        <v>167</v>
      </c>
      <c r="C102" s="2" t="s">
        <v>2</v>
      </c>
      <c r="D102" s="2" t="s">
        <v>168</v>
      </c>
      <c r="E102" s="2" t="s">
        <v>169</v>
      </c>
      <c r="F102" s="2" t="s">
        <v>170</v>
      </c>
      <c r="G102" s="2" t="s">
        <v>5</v>
      </c>
      <c r="H102" s="2" t="s">
        <v>6</v>
      </c>
      <c r="I102" s="2" t="s">
        <v>7</v>
      </c>
      <c r="J102" s="2" t="s">
        <v>86</v>
      </c>
      <c r="K102" s="26" t="s">
        <v>8</v>
      </c>
      <c r="L102" s="27" t="s">
        <v>9</v>
      </c>
      <c r="M102" s="28" t="s">
        <v>10</v>
      </c>
      <c r="O102" s="1" t="s">
        <v>11</v>
      </c>
      <c r="P102" s="2" t="s">
        <v>12</v>
      </c>
      <c r="Q102" s="2" t="s">
        <v>13</v>
      </c>
      <c r="R102" s="2" t="s">
        <v>14</v>
      </c>
      <c r="S102" s="2" t="s">
        <v>15</v>
      </c>
      <c r="T102" s="2" t="s">
        <v>87</v>
      </c>
      <c r="U102" s="2" t="s">
        <v>16</v>
      </c>
      <c r="V102" s="3" t="s">
        <v>17</v>
      </c>
    </row>
    <row r="103" spans="1:24" ht="15.75" customHeight="1">
      <c r="A103" s="5" t="s">
        <v>18</v>
      </c>
      <c r="B103" s="4" t="s">
        <v>19</v>
      </c>
      <c r="C103" s="5" t="s">
        <v>20</v>
      </c>
      <c r="D103" s="5" t="s">
        <v>21</v>
      </c>
      <c r="E103" s="5" t="s">
        <v>20</v>
      </c>
      <c r="F103" s="5" t="s">
        <v>21</v>
      </c>
      <c r="G103" s="5" t="s">
        <v>22</v>
      </c>
      <c r="H103" s="5" t="s">
        <v>22</v>
      </c>
      <c r="I103" s="5"/>
      <c r="J103" s="5"/>
      <c r="K103" s="5"/>
      <c r="L103" s="5"/>
      <c r="M103" s="6"/>
      <c r="O103" s="4" t="s">
        <v>89</v>
      </c>
      <c r="P103" s="5" t="s">
        <v>19</v>
      </c>
      <c r="Q103" s="5" t="s">
        <v>20</v>
      </c>
      <c r="R103" s="5" t="s">
        <v>21</v>
      </c>
      <c r="S103" s="5" t="s">
        <v>20</v>
      </c>
      <c r="T103" s="5" t="s">
        <v>21</v>
      </c>
      <c r="U103" s="5" t="s">
        <v>90</v>
      </c>
      <c r="V103" s="6" t="s">
        <v>171</v>
      </c>
    </row>
    <row r="104" spans="1:24" ht="15.75" customHeight="1">
      <c r="A104" s="5">
        <v>69</v>
      </c>
      <c r="B104" s="4">
        <v>3.29</v>
      </c>
      <c r="C104" s="5">
        <v>4.1200000000000001E-2</v>
      </c>
      <c r="D104" s="5">
        <v>1.8</v>
      </c>
      <c r="E104" s="5">
        <v>2.06E-2</v>
      </c>
      <c r="F104" s="5">
        <v>3.2</v>
      </c>
      <c r="G104" s="5">
        <v>29.95</v>
      </c>
      <c r="H104" s="5">
        <v>30.15</v>
      </c>
      <c r="I104" s="5">
        <v>169</v>
      </c>
      <c r="J104" s="5">
        <v>150</v>
      </c>
      <c r="K104" s="5">
        <v>27.7</v>
      </c>
      <c r="L104" s="33">
        <f t="shared" ref="L104:L105" si="30">G104*H104*I104/1000</f>
        <v>152.60573249999999</v>
      </c>
      <c r="M104" s="34">
        <f t="shared" ref="M104:M105" si="31">K104/L104</f>
        <v>0.18151349589701685</v>
      </c>
      <c r="O104" s="4" t="s">
        <v>33</v>
      </c>
      <c r="P104" s="5">
        <v>2.64</v>
      </c>
      <c r="Q104" s="5">
        <v>3.49E-2</v>
      </c>
      <c r="R104" s="5">
        <v>1.6</v>
      </c>
      <c r="S104" s="5">
        <v>1.7399999999999999E-2</v>
      </c>
      <c r="T104" s="5">
        <v>3.3</v>
      </c>
      <c r="U104" s="5">
        <v>30.47</v>
      </c>
      <c r="V104" s="6">
        <v>30.16</v>
      </c>
    </row>
    <row r="105" spans="1:24" ht="15.75" customHeight="1">
      <c r="A105" s="5">
        <v>59</v>
      </c>
      <c r="B105" s="9">
        <v>2</v>
      </c>
      <c r="C105" s="10">
        <v>2.8500000000000001E-2</v>
      </c>
      <c r="D105" s="10">
        <v>1.5</v>
      </c>
      <c r="E105" s="10">
        <v>1.4200000000000001E-2</v>
      </c>
      <c r="F105" s="10">
        <v>3.5</v>
      </c>
      <c r="G105" s="10">
        <v>30.98</v>
      </c>
      <c r="H105" s="10">
        <v>30.16</v>
      </c>
      <c r="I105" s="10">
        <v>168</v>
      </c>
      <c r="J105" s="10">
        <v>150</v>
      </c>
      <c r="K105" s="10">
        <v>28.2</v>
      </c>
      <c r="L105" s="48">
        <f t="shared" si="30"/>
        <v>156.97194239999999</v>
      </c>
      <c r="M105" s="49">
        <f t="shared" si="31"/>
        <v>0.17964993978439805</v>
      </c>
      <c r="O105" s="4" t="s">
        <v>34</v>
      </c>
      <c r="P105" s="5">
        <v>0.91</v>
      </c>
      <c r="Q105" s="5">
        <v>9.0200000000000002E-3</v>
      </c>
      <c r="R105" s="5">
        <v>0.3</v>
      </c>
      <c r="S105" s="5">
        <v>4.5100000000000001E-3</v>
      </c>
      <c r="T105" s="5">
        <v>0.2</v>
      </c>
      <c r="U105" s="5">
        <v>0.72829999999999995</v>
      </c>
      <c r="V105" s="6">
        <v>7.071E-3</v>
      </c>
    </row>
    <row r="106" spans="1:24" ht="15.75" customHeight="1">
      <c r="O106" s="9" t="s">
        <v>35</v>
      </c>
      <c r="P106" s="10">
        <v>34.43</v>
      </c>
      <c r="Q106" s="10">
        <v>25.87</v>
      </c>
      <c r="R106" s="10">
        <v>16.59</v>
      </c>
      <c r="S106" s="10">
        <v>25.87</v>
      </c>
      <c r="T106" s="10">
        <v>5.36</v>
      </c>
      <c r="U106" s="10">
        <v>2.39</v>
      </c>
      <c r="V106" s="11">
        <v>0.02</v>
      </c>
    </row>
    <row r="107" spans="1:24" ht="15.75" customHeight="1"/>
    <row r="108" spans="1:24" ht="15.75" customHeight="1">
      <c r="A108" s="5" t="s">
        <v>172</v>
      </c>
      <c r="B108" s="1" t="s">
        <v>173</v>
      </c>
      <c r="C108" s="2" t="s">
        <v>2</v>
      </c>
      <c r="D108" s="2" t="s">
        <v>174</v>
      </c>
      <c r="E108" s="2" t="s">
        <v>175</v>
      </c>
      <c r="F108" s="2" t="s">
        <v>176</v>
      </c>
      <c r="G108" s="2" t="s">
        <v>5</v>
      </c>
      <c r="H108" s="2" t="s">
        <v>6</v>
      </c>
      <c r="I108" s="2" t="s">
        <v>7</v>
      </c>
      <c r="J108" s="2" t="s">
        <v>86</v>
      </c>
      <c r="K108" s="26" t="s">
        <v>8</v>
      </c>
      <c r="L108" s="27" t="s">
        <v>9</v>
      </c>
      <c r="M108" s="28" t="s">
        <v>10</v>
      </c>
      <c r="O108" s="1" t="s">
        <v>11</v>
      </c>
      <c r="P108" s="2" t="s">
        <v>12</v>
      </c>
      <c r="Q108" s="2" t="s">
        <v>13</v>
      </c>
      <c r="R108" s="2" t="s">
        <v>14</v>
      </c>
      <c r="S108" s="2" t="s">
        <v>15</v>
      </c>
      <c r="T108" s="2" t="s">
        <v>87</v>
      </c>
      <c r="U108" s="2" t="s">
        <v>16</v>
      </c>
      <c r="V108" s="3" t="s">
        <v>17</v>
      </c>
      <c r="X108" s="30"/>
    </row>
    <row r="109" spans="1:24" ht="15.75" customHeight="1">
      <c r="A109" s="5" t="s">
        <v>18</v>
      </c>
      <c r="B109" s="4" t="s">
        <v>19</v>
      </c>
      <c r="C109" s="5" t="s">
        <v>20</v>
      </c>
      <c r="D109" s="5" t="s">
        <v>21</v>
      </c>
      <c r="E109" s="5" t="s">
        <v>20</v>
      </c>
      <c r="F109" s="5" t="s">
        <v>21</v>
      </c>
      <c r="G109" s="5" t="s">
        <v>22</v>
      </c>
      <c r="H109" s="5" t="s">
        <v>22</v>
      </c>
      <c r="I109" s="5"/>
      <c r="J109" s="5"/>
      <c r="K109" s="5"/>
      <c r="L109" s="5"/>
      <c r="M109" s="6"/>
      <c r="O109" s="4" t="s">
        <v>27</v>
      </c>
      <c r="P109" s="5" t="s">
        <v>19</v>
      </c>
      <c r="Q109" s="5" t="s">
        <v>20</v>
      </c>
      <c r="R109" s="5" t="s">
        <v>21</v>
      </c>
      <c r="S109" s="5" t="s">
        <v>20</v>
      </c>
      <c r="T109" s="5" t="s">
        <v>21</v>
      </c>
      <c r="U109" s="5" t="s">
        <v>90</v>
      </c>
      <c r="V109" s="6" t="s">
        <v>90</v>
      </c>
      <c r="X109" s="30"/>
    </row>
    <row r="110" spans="1:24" ht="15.75" customHeight="1">
      <c r="A110" s="5">
        <v>63</v>
      </c>
      <c r="B110" s="4">
        <v>4.24</v>
      </c>
      <c r="C110" s="5">
        <v>0.11600000000000001</v>
      </c>
      <c r="D110" s="5">
        <v>4</v>
      </c>
      <c r="E110" s="5">
        <v>5.79E-2</v>
      </c>
      <c r="F110" s="5">
        <v>5.4</v>
      </c>
      <c r="G110" s="5">
        <v>30.64</v>
      </c>
      <c r="H110" s="5">
        <v>30.5</v>
      </c>
      <c r="I110" s="5">
        <v>167</v>
      </c>
      <c r="J110" s="5">
        <v>150</v>
      </c>
      <c r="K110" s="5">
        <v>30.1</v>
      </c>
      <c r="L110" s="33">
        <f t="shared" ref="L110:L114" si="32">G110*H110*I110/1000</f>
        <v>156.06484</v>
      </c>
      <c r="M110" s="34">
        <f t="shared" ref="M110:M114" si="33">K110/L110</f>
        <v>0.19286855386517554</v>
      </c>
      <c r="O110" s="4" t="s">
        <v>33</v>
      </c>
      <c r="P110" s="5">
        <v>5.61</v>
      </c>
      <c r="Q110" s="5">
        <v>0.123</v>
      </c>
      <c r="R110" s="5">
        <v>3.6</v>
      </c>
      <c r="S110" s="5">
        <v>6.1499999999999999E-2</v>
      </c>
      <c r="T110" s="5">
        <v>6</v>
      </c>
      <c r="U110" s="5">
        <v>31.22</v>
      </c>
      <c r="V110" s="6">
        <v>30.66</v>
      </c>
    </row>
    <row r="111" spans="1:24" ht="15.75" customHeight="1">
      <c r="A111" s="5">
        <v>49</v>
      </c>
      <c r="B111" s="4">
        <v>6.12</v>
      </c>
      <c r="C111" s="5">
        <v>0.13500000000000001</v>
      </c>
      <c r="D111" s="5">
        <v>2.7</v>
      </c>
      <c r="E111" s="5">
        <v>6.7299999999999999E-2</v>
      </c>
      <c r="F111" s="5">
        <v>4.5999999999999996</v>
      </c>
      <c r="G111" s="5">
        <v>31.14</v>
      </c>
      <c r="H111" s="5">
        <v>30.9</v>
      </c>
      <c r="I111" s="5">
        <v>169</v>
      </c>
      <c r="J111" s="5">
        <v>150</v>
      </c>
      <c r="K111" s="5">
        <v>30</v>
      </c>
      <c r="L111" s="33">
        <f t="shared" si="32"/>
        <v>162.61619399999998</v>
      </c>
      <c r="M111" s="34">
        <f t="shared" si="33"/>
        <v>0.18448347155388475</v>
      </c>
      <c r="O111" s="4" t="s">
        <v>34</v>
      </c>
      <c r="P111" s="5">
        <v>0.86599999999999999</v>
      </c>
      <c r="Q111" s="5">
        <v>9.9000000000000008E-3</v>
      </c>
      <c r="R111" s="5">
        <v>0.6</v>
      </c>
      <c r="S111" s="5">
        <v>4.9399999999999999E-3</v>
      </c>
      <c r="T111" s="5">
        <v>1.6</v>
      </c>
      <c r="U111" s="5">
        <v>0.56469999999999998</v>
      </c>
      <c r="V111" s="6">
        <v>0.17330000000000001</v>
      </c>
    </row>
    <row r="112" spans="1:24" ht="15.75" customHeight="1">
      <c r="A112" s="5">
        <v>46</v>
      </c>
      <c r="B112" s="4">
        <v>6.39</v>
      </c>
      <c r="C112" s="5">
        <v>0.126</v>
      </c>
      <c r="D112" s="5">
        <v>3.9</v>
      </c>
      <c r="E112" s="5">
        <v>6.2799999999999995E-2</v>
      </c>
      <c r="F112" s="5">
        <v>5.6</v>
      </c>
      <c r="G112" s="5">
        <v>31.9</v>
      </c>
      <c r="H112" s="5">
        <v>30.66</v>
      </c>
      <c r="I112" s="5">
        <v>167</v>
      </c>
      <c r="J112" s="5">
        <v>150</v>
      </c>
      <c r="K112" s="5">
        <v>31</v>
      </c>
      <c r="L112" s="33">
        <f t="shared" si="32"/>
        <v>163.33501799999999</v>
      </c>
      <c r="M112" s="34">
        <f t="shared" si="33"/>
        <v>0.18979396077820865</v>
      </c>
      <c r="O112" s="9" t="s">
        <v>35</v>
      </c>
      <c r="P112" s="10">
        <v>15.43</v>
      </c>
      <c r="Q112" s="10">
        <v>8.0399999999999991</v>
      </c>
      <c r="R112" s="10">
        <v>17.7</v>
      </c>
      <c r="S112" s="10">
        <v>8.0399999999999991</v>
      </c>
      <c r="T112" s="10">
        <v>26</v>
      </c>
      <c r="U112" s="10">
        <v>1.81</v>
      </c>
      <c r="V112" s="11">
        <v>0.56999999999999995</v>
      </c>
    </row>
    <row r="113" spans="1:24" ht="15.75" customHeight="1">
      <c r="A113" s="5">
        <v>40</v>
      </c>
      <c r="B113" s="4">
        <v>5.29</v>
      </c>
      <c r="C113" s="5">
        <v>0.129</v>
      </c>
      <c r="D113" s="5">
        <v>4.0999999999999996</v>
      </c>
      <c r="E113" s="5">
        <v>6.4399999999999999E-2</v>
      </c>
      <c r="F113" s="5">
        <v>8.6999999999999993</v>
      </c>
      <c r="G113" s="5">
        <v>31.7</v>
      </c>
      <c r="H113" s="5">
        <v>30.49</v>
      </c>
      <c r="I113" s="5">
        <v>168</v>
      </c>
      <c r="J113" s="5">
        <v>150</v>
      </c>
      <c r="K113" s="5">
        <v>30.7</v>
      </c>
      <c r="L113" s="33">
        <f t="shared" si="32"/>
        <v>162.377544</v>
      </c>
      <c r="M113" s="34">
        <f t="shared" si="33"/>
        <v>0.18906555206919498</v>
      </c>
    </row>
    <row r="114" spans="1:24" ht="15.75" customHeight="1">
      <c r="A114" s="5">
        <v>7</v>
      </c>
      <c r="B114" s="9">
        <v>6</v>
      </c>
      <c r="C114" s="10">
        <v>0.11</v>
      </c>
      <c r="D114" s="10">
        <v>3.1</v>
      </c>
      <c r="E114" s="10">
        <v>5.5100000000000003E-2</v>
      </c>
      <c r="F114" s="10">
        <v>5.6</v>
      </c>
      <c r="G114" s="10">
        <v>30.73</v>
      </c>
      <c r="H114" s="10">
        <v>30.75</v>
      </c>
      <c r="I114" s="10">
        <v>168</v>
      </c>
      <c r="J114" s="10">
        <v>150</v>
      </c>
      <c r="K114" s="10">
        <v>30.3</v>
      </c>
      <c r="L114" s="48">
        <f t="shared" si="32"/>
        <v>158.75118000000001</v>
      </c>
      <c r="M114" s="49">
        <f t="shared" si="33"/>
        <v>0.19086472302127139</v>
      </c>
    </row>
    <row r="115" spans="1:24" ht="15.75" customHeight="1"/>
    <row r="116" spans="1:24" ht="15.75" customHeight="1">
      <c r="A116" s="5" t="s">
        <v>177</v>
      </c>
      <c r="B116" s="1" t="s">
        <v>178</v>
      </c>
      <c r="C116" s="2" t="s">
        <v>2</v>
      </c>
      <c r="D116" s="2" t="s">
        <v>179</v>
      </c>
      <c r="E116" s="2" t="s">
        <v>180</v>
      </c>
      <c r="F116" s="2" t="s">
        <v>181</v>
      </c>
      <c r="G116" s="2" t="s">
        <v>5</v>
      </c>
      <c r="H116" s="2" t="s">
        <v>6</v>
      </c>
      <c r="I116" s="2" t="s">
        <v>7</v>
      </c>
      <c r="J116" s="2" t="s">
        <v>86</v>
      </c>
      <c r="K116" s="26" t="s">
        <v>8</v>
      </c>
      <c r="L116" s="27" t="s">
        <v>9</v>
      </c>
      <c r="M116" s="28" t="s">
        <v>10</v>
      </c>
      <c r="O116" s="1" t="s">
        <v>11</v>
      </c>
      <c r="P116" s="2" t="s">
        <v>12</v>
      </c>
      <c r="Q116" s="2" t="s">
        <v>13</v>
      </c>
      <c r="R116" s="2" t="s">
        <v>14</v>
      </c>
      <c r="S116" s="2" t="s">
        <v>15</v>
      </c>
      <c r="T116" s="2" t="s">
        <v>87</v>
      </c>
      <c r="U116" s="2" t="s">
        <v>16</v>
      </c>
      <c r="V116" s="3" t="s">
        <v>17</v>
      </c>
    </row>
    <row r="117" spans="1:24" ht="15.75" customHeight="1">
      <c r="A117" s="5" t="s">
        <v>18</v>
      </c>
      <c r="B117" s="4" t="s">
        <v>19</v>
      </c>
      <c r="C117" s="5" t="s">
        <v>20</v>
      </c>
      <c r="D117" s="5" t="s">
        <v>21</v>
      </c>
      <c r="E117" s="5" t="s">
        <v>20</v>
      </c>
      <c r="F117" s="5" t="s">
        <v>21</v>
      </c>
      <c r="G117" s="5" t="s">
        <v>22</v>
      </c>
      <c r="H117" s="5" t="s">
        <v>22</v>
      </c>
      <c r="I117" s="5"/>
      <c r="J117" s="5"/>
      <c r="K117" s="5"/>
      <c r="L117" s="5"/>
      <c r="M117" s="6"/>
      <c r="O117" s="4" t="s">
        <v>27</v>
      </c>
      <c r="P117" s="5" t="s">
        <v>19</v>
      </c>
      <c r="Q117" s="5" t="s">
        <v>20</v>
      </c>
      <c r="R117" s="5" t="s">
        <v>21</v>
      </c>
      <c r="S117" s="5" t="s">
        <v>20</v>
      </c>
      <c r="T117" s="5" t="s">
        <v>21</v>
      </c>
      <c r="U117" s="5" t="s">
        <v>22</v>
      </c>
      <c r="V117" s="6" t="s">
        <v>90</v>
      </c>
      <c r="X117" s="30"/>
    </row>
    <row r="118" spans="1:24" ht="15.75" customHeight="1">
      <c r="A118" s="5">
        <v>124</v>
      </c>
      <c r="B118" s="4">
        <v>5.69</v>
      </c>
      <c r="C118" s="5">
        <v>0.13</v>
      </c>
      <c r="D118" s="5">
        <v>5.3</v>
      </c>
      <c r="E118" s="5">
        <v>6.4799999999999996E-2</v>
      </c>
      <c r="F118" s="5">
        <v>6.7</v>
      </c>
      <c r="G118" s="5">
        <v>32.39</v>
      </c>
      <c r="H118" s="5">
        <v>30.12</v>
      </c>
      <c r="I118" s="5">
        <v>168</v>
      </c>
      <c r="J118" s="5">
        <v>150</v>
      </c>
      <c r="K118" s="5">
        <v>35.799999999999997</v>
      </c>
      <c r="L118" s="33">
        <f t="shared" ref="L118:L122" si="34">G118*H118*I118/1000</f>
        <v>163.89858240000001</v>
      </c>
      <c r="M118" s="34">
        <f t="shared" ref="M118:M122" si="35">K118/L118</f>
        <v>0.21842775865278011</v>
      </c>
      <c r="O118" s="4" t="s">
        <v>33</v>
      </c>
      <c r="P118" s="5">
        <v>5.24</v>
      </c>
      <c r="Q118" s="5">
        <v>0.14399999999999999</v>
      </c>
      <c r="R118" s="5">
        <v>4.9000000000000004</v>
      </c>
      <c r="S118" s="5">
        <v>7.2099999999999997E-2</v>
      </c>
      <c r="T118" s="5">
        <v>6.3</v>
      </c>
      <c r="U118" s="5">
        <v>32.03</v>
      </c>
      <c r="V118" s="6">
        <v>30.33</v>
      </c>
      <c r="X118" s="30"/>
    </row>
    <row r="119" spans="1:24" ht="15.75" customHeight="1">
      <c r="A119" s="5">
        <v>123</v>
      </c>
      <c r="B119" s="4">
        <v>4.3499999999999996</v>
      </c>
      <c r="C119" s="5">
        <v>0.14199999999999999</v>
      </c>
      <c r="D119" s="5">
        <v>5.3</v>
      </c>
      <c r="E119" s="5">
        <v>7.0999999999999994E-2</v>
      </c>
      <c r="F119" s="5">
        <v>6.5</v>
      </c>
      <c r="G119" s="5">
        <v>33.549999999999997</v>
      </c>
      <c r="H119" s="5">
        <v>30.11</v>
      </c>
      <c r="I119" s="5">
        <v>169</v>
      </c>
      <c r="J119" s="5">
        <v>150</v>
      </c>
      <c r="K119" s="5">
        <v>37.700000000000003</v>
      </c>
      <c r="L119" s="33">
        <f t="shared" si="34"/>
        <v>170.72219449999997</v>
      </c>
      <c r="M119" s="34">
        <f t="shared" si="35"/>
        <v>0.22082658971443814</v>
      </c>
      <c r="O119" s="4" t="s">
        <v>34</v>
      </c>
      <c r="P119" s="5">
        <v>1.9</v>
      </c>
      <c r="Q119" s="5">
        <v>1.46E-2</v>
      </c>
      <c r="R119" s="5">
        <v>0.8</v>
      </c>
      <c r="S119" s="5">
        <v>7.2500000000000004E-3</v>
      </c>
      <c r="T119" s="5">
        <v>0.7</v>
      </c>
      <c r="U119" s="5">
        <v>1.018</v>
      </c>
      <c r="V119" s="6">
        <v>0.34260000000000002</v>
      </c>
      <c r="X119" s="30"/>
    </row>
    <row r="120" spans="1:24" ht="15.75" customHeight="1">
      <c r="A120" s="5">
        <v>36</v>
      </c>
      <c r="B120" s="4">
        <v>6.38</v>
      </c>
      <c r="C120" s="5">
        <v>0.14000000000000001</v>
      </c>
      <c r="D120" s="5">
        <v>4</v>
      </c>
      <c r="E120" s="5">
        <v>6.9800000000000001E-2</v>
      </c>
      <c r="F120" s="5">
        <v>5.5</v>
      </c>
      <c r="G120" s="5">
        <v>30.91</v>
      </c>
      <c r="H120" s="5">
        <v>30.93</v>
      </c>
      <c r="I120" s="5">
        <v>168</v>
      </c>
      <c r="J120" s="5">
        <v>150</v>
      </c>
      <c r="K120" s="5">
        <v>33.9</v>
      </c>
      <c r="L120" s="33">
        <f t="shared" si="34"/>
        <v>160.61577840000001</v>
      </c>
      <c r="M120" s="34">
        <f t="shared" si="35"/>
        <v>0.21106270092328611</v>
      </c>
      <c r="O120" s="9" t="s">
        <v>35</v>
      </c>
      <c r="P120" s="10">
        <v>36.22</v>
      </c>
      <c r="Q120" s="10">
        <v>10.08</v>
      </c>
      <c r="R120" s="10">
        <v>15.79</v>
      </c>
      <c r="S120" s="10">
        <v>10.039999999999999</v>
      </c>
      <c r="T120" s="10">
        <v>10.67</v>
      </c>
      <c r="U120" s="10">
        <v>3.18</v>
      </c>
      <c r="V120" s="11">
        <v>1.1299999999999999</v>
      </c>
      <c r="X120" s="30"/>
    </row>
    <row r="121" spans="1:24" ht="15.75" customHeight="1">
      <c r="A121" s="5">
        <v>72</v>
      </c>
      <c r="B121" s="4">
        <v>2.4500000000000002</v>
      </c>
      <c r="C121" s="5">
        <v>0.16900000000000001</v>
      </c>
      <c r="D121" s="5">
        <v>5.7</v>
      </c>
      <c r="E121" s="5">
        <v>8.43E-2</v>
      </c>
      <c r="F121" s="5">
        <v>7.1</v>
      </c>
      <c r="G121" s="5">
        <v>31.92</v>
      </c>
      <c r="H121" s="5">
        <v>30.21</v>
      </c>
      <c r="I121" s="5">
        <v>168</v>
      </c>
      <c r="J121" s="5">
        <v>150</v>
      </c>
      <c r="K121" s="5">
        <v>34.6</v>
      </c>
      <c r="L121" s="33">
        <f t="shared" si="34"/>
        <v>162.0029376</v>
      </c>
      <c r="M121" s="34">
        <f t="shared" si="35"/>
        <v>0.21357637406199728</v>
      </c>
      <c r="X121" s="30"/>
    </row>
    <row r="122" spans="1:24" ht="15.75" customHeight="1">
      <c r="A122" s="5">
        <v>18</v>
      </c>
      <c r="B122" s="9">
        <v>7.32</v>
      </c>
      <c r="C122" s="10">
        <v>0.14199999999999999</v>
      </c>
      <c r="D122" s="10">
        <v>4.0999999999999996</v>
      </c>
      <c r="E122" s="10">
        <v>7.0800000000000002E-2</v>
      </c>
      <c r="F122" s="10">
        <v>5.7</v>
      </c>
      <c r="G122" s="10">
        <v>31.37</v>
      </c>
      <c r="H122" s="10">
        <v>30.28</v>
      </c>
      <c r="I122" s="10">
        <v>168</v>
      </c>
      <c r="J122" s="10">
        <v>150</v>
      </c>
      <c r="K122" s="10">
        <v>33.299999999999997</v>
      </c>
      <c r="L122" s="48">
        <f t="shared" si="34"/>
        <v>159.58044480000004</v>
      </c>
      <c r="M122" s="49">
        <f t="shared" si="35"/>
        <v>0.20867218437531257</v>
      </c>
      <c r="X122" s="30"/>
    </row>
    <row r="123" spans="1:24" ht="15.75" customHeight="1">
      <c r="X123" s="30"/>
    </row>
    <row r="124" spans="1:24" ht="15.75" customHeight="1">
      <c r="A124" s="5" t="s">
        <v>182</v>
      </c>
      <c r="B124" s="1" t="s">
        <v>183</v>
      </c>
      <c r="C124" s="2" t="s">
        <v>2</v>
      </c>
      <c r="D124" s="2" t="s">
        <v>184</v>
      </c>
      <c r="E124" s="2" t="s">
        <v>185</v>
      </c>
      <c r="F124" s="2" t="s">
        <v>186</v>
      </c>
      <c r="G124" s="2" t="s">
        <v>5</v>
      </c>
      <c r="H124" s="2" t="s">
        <v>6</v>
      </c>
      <c r="I124" s="2" t="s">
        <v>7</v>
      </c>
      <c r="J124" s="2" t="s">
        <v>86</v>
      </c>
      <c r="K124" s="26" t="s">
        <v>8</v>
      </c>
      <c r="L124" s="27" t="s">
        <v>9</v>
      </c>
      <c r="M124" s="28" t="s">
        <v>10</v>
      </c>
      <c r="O124" s="1" t="s">
        <v>11</v>
      </c>
      <c r="P124" s="2" t="s">
        <v>12</v>
      </c>
      <c r="Q124" s="2" t="s">
        <v>13</v>
      </c>
      <c r="R124" s="2" t="s">
        <v>14</v>
      </c>
      <c r="S124" s="2" t="s">
        <v>15</v>
      </c>
      <c r="T124" s="2" t="s">
        <v>87</v>
      </c>
      <c r="U124" s="2" t="s">
        <v>16</v>
      </c>
      <c r="V124" s="3" t="s">
        <v>17</v>
      </c>
      <c r="X124" s="30"/>
    </row>
    <row r="125" spans="1:24" ht="15.75" customHeight="1">
      <c r="A125" s="5" t="s">
        <v>18</v>
      </c>
      <c r="B125" s="4" t="s">
        <v>19</v>
      </c>
      <c r="C125" s="5" t="s">
        <v>20</v>
      </c>
      <c r="D125" s="5" t="s">
        <v>21</v>
      </c>
      <c r="E125" s="5" t="s">
        <v>20</v>
      </c>
      <c r="F125" s="5" t="s">
        <v>21</v>
      </c>
      <c r="G125" s="5" t="s">
        <v>22</v>
      </c>
      <c r="H125" s="5" t="s">
        <v>22</v>
      </c>
      <c r="I125" s="5"/>
      <c r="J125" s="5"/>
      <c r="K125" s="5"/>
      <c r="L125" s="5"/>
      <c r="M125" s="6"/>
      <c r="O125" s="4" t="s">
        <v>127</v>
      </c>
      <c r="P125" s="5" t="s">
        <v>19</v>
      </c>
      <c r="Q125" s="5" t="s">
        <v>20</v>
      </c>
      <c r="R125" s="5" t="s">
        <v>21</v>
      </c>
      <c r="S125" s="5" t="s">
        <v>20</v>
      </c>
      <c r="T125" s="5" t="s">
        <v>21</v>
      </c>
      <c r="U125" s="5" t="s">
        <v>90</v>
      </c>
      <c r="V125" s="6" t="s">
        <v>90</v>
      </c>
      <c r="X125" s="30"/>
    </row>
    <row r="126" spans="1:24" ht="15.75" customHeight="1">
      <c r="A126" s="5">
        <v>98</v>
      </c>
      <c r="B126" s="4">
        <v>2.82</v>
      </c>
      <c r="C126" s="5">
        <v>3.5499999999999997E-2</v>
      </c>
      <c r="D126" s="5">
        <v>1.7</v>
      </c>
      <c r="E126" s="5">
        <v>1.78E-2</v>
      </c>
      <c r="F126" s="5">
        <v>5.8</v>
      </c>
      <c r="G126" s="5">
        <v>31.39</v>
      </c>
      <c r="H126" s="5">
        <v>29.83</v>
      </c>
      <c r="I126" s="5">
        <v>168</v>
      </c>
      <c r="J126" s="5">
        <v>150</v>
      </c>
      <c r="K126" s="5">
        <v>28.3</v>
      </c>
      <c r="L126" s="33">
        <f t="shared" ref="L126:L129" si="36">G126*H126*I126/1000</f>
        <v>157.30910159999999</v>
      </c>
      <c r="M126" s="34">
        <f t="shared" ref="M126:M129" si="37">K126/L126</f>
        <v>0.17990058879085227</v>
      </c>
      <c r="O126" s="4" t="s">
        <v>33</v>
      </c>
      <c r="P126" s="5">
        <v>2.39</v>
      </c>
      <c r="Q126" s="5">
        <v>3.95E-2</v>
      </c>
      <c r="R126" s="5">
        <v>2.4</v>
      </c>
      <c r="S126" s="5">
        <v>1.9699999999999999E-2</v>
      </c>
      <c r="T126" s="5">
        <v>5.6</v>
      </c>
      <c r="U126" s="5">
        <v>30.31</v>
      </c>
      <c r="V126" s="6">
        <v>30.63</v>
      </c>
      <c r="X126" s="30"/>
    </row>
    <row r="127" spans="1:24" ht="15.75" customHeight="1">
      <c r="A127" s="5">
        <v>38</v>
      </c>
      <c r="B127" s="4">
        <v>1.81</v>
      </c>
      <c r="C127" s="5">
        <v>2.81E-2</v>
      </c>
      <c r="D127" s="5">
        <v>1.9</v>
      </c>
      <c r="E127" s="5">
        <v>1.4E-2</v>
      </c>
      <c r="F127" s="5">
        <v>5.7</v>
      </c>
      <c r="G127" s="5">
        <v>29.19</v>
      </c>
      <c r="H127" s="5">
        <v>30.86</v>
      </c>
      <c r="I127" s="5">
        <v>168</v>
      </c>
      <c r="J127" s="5">
        <v>150</v>
      </c>
      <c r="K127" s="5">
        <v>25.2</v>
      </c>
      <c r="L127" s="33">
        <f t="shared" si="36"/>
        <v>151.33497120000001</v>
      </c>
      <c r="M127" s="34">
        <f t="shared" si="37"/>
        <v>0.16651802157940343</v>
      </c>
      <c r="O127" s="4" t="s">
        <v>34</v>
      </c>
      <c r="P127" s="5">
        <v>0.45900000000000002</v>
      </c>
      <c r="Q127" s="5">
        <v>9.4000000000000004E-3</v>
      </c>
      <c r="R127" s="5">
        <v>0.8</v>
      </c>
      <c r="S127" s="5">
        <v>4.7000000000000002E-3</v>
      </c>
      <c r="T127" s="5">
        <v>0.6</v>
      </c>
      <c r="U127" s="5">
        <v>0.98509999999999998</v>
      </c>
      <c r="V127" s="6">
        <v>0.7056</v>
      </c>
      <c r="X127" s="30"/>
    </row>
    <row r="128" spans="1:24" ht="15.75" customHeight="1">
      <c r="A128" s="5">
        <v>42</v>
      </c>
      <c r="B128" s="4">
        <v>2.2200000000000002</v>
      </c>
      <c r="C128" s="5">
        <v>4.6100000000000002E-2</v>
      </c>
      <c r="D128" s="5">
        <v>2.5</v>
      </c>
      <c r="E128" s="5">
        <v>2.3099999999999999E-2</v>
      </c>
      <c r="F128" s="5">
        <v>6.1</v>
      </c>
      <c r="G128" s="5">
        <v>29.83</v>
      </c>
      <c r="H128" s="5">
        <v>31.48</v>
      </c>
      <c r="I128" s="5">
        <v>168</v>
      </c>
      <c r="J128" s="5">
        <v>150</v>
      </c>
      <c r="K128" s="5">
        <v>26.1</v>
      </c>
      <c r="L128" s="33">
        <f t="shared" si="36"/>
        <v>157.76013119999999</v>
      </c>
      <c r="M128" s="34">
        <f t="shared" si="37"/>
        <v>0.16544103888270603</v>
      </c>
      <c r="O128" s="9" t="s">
        <v>35</v>
      </c>
      <c r="P128" s="10">
        <v>19.239999999999998</v>
      </c>
      <c r="Q128" s="10">
        <v>23.82</v>
      </c>
      <c r="R128" s="10">
        <v>31.78</v>
      </c>
      <c r="S128" s="10">
        <v>23.83</v>
      </c>
      <c r="T128" s="10">
        <v>10.039999999999999</v>
      </c>
      <c r="U128" s="10">
        <v>3.25</v>
      </c>
      <c r="V128" s="11">
        <v>2.2999999999999998</v>
      </c>
      <c r="X128" s="30"/>
    </row>
    <row r="129" spans="1:24" ht="15.75" customHeight="1">
      <c r="A129" s="5">
        <v>24</v>
      </c>
      <c r="B129" s="9">
        <v>2.69</v>
      </c>
      <c r="C129" s="10">
        <v>4.8099999999999997E-2</v>
      </c>
      <c r="D129" s="10">
        <v>3.4</v>
      </c>
      <c r="E129" s="10">
        <v>2.41E-2</v>
      </c>
      <c r="F129" s="10">
        <v>4.8</v>
      </c>
      <c r="G129" s="10">
        <v>30.82</v>
      </c>
      <c r="H129" s="10">
        <v>30.35</v>
      </c>
      <c r="I129" s="10">
        <v>168</v>
      </c>
      <c r="J129" s="10">
        <v>150</v>
      </c>
      <c r="K129" s="10">
        <v>28.7</v>
      </c>
      <c r="L129" s="48">
        <f t="shared" si="36"/>
        <v>157.145016</v>
      </c>
      <c r="M129" s="49">
        <f t="shared" si="37"/>
        <v>0.18263385457926326</v>
      </c>
      <c r="X129" s="30"/>
    </row>
    <row r="130" spans="1:24" ht="15.75" customHeight="1">
      <c r="X130" s="30"/>
    </row>
    <row r="131" spans="1:24" ht="15.75" customHeight="1">
      <c r="A131" s="5" t="s">
        <v>187</v>
      </c>
      <c r="B131" s="1" t="s">
        <v>188</v>
      </c>
      <c r="C131" s="2" t="s">
        <v>2</v>
      </c>
      <c r="D131" s="2" t="s">
        <v>189</v>
      </c>
      <c r="E131" s="2" t="s">
        <v>190</v>
      </c>
      <c r="F131" s="2" t="s">
        <v>191</v>
      </c>
      <c r="G131" s="2" t="s">
        <v>5</v>
      </c>
      <c r="H131" s="2" t="s">
        <v>6</v>
      </c>
      <c r="I131" s="2" t="s">
        <v>7</v>
      </c>
      <c r="J131" s="2" t="s">
        <v>86</v>
      </c>
      <c r="K131" s="26" t="s">
        <v>8</v>
      </c>
      <c r="L131" s="27" t="s">
        <v>9</v>
      </c>
      <c r="M131" s="28" t="s">
        <v>10</v>
      </c>
      <c r="O131" s="1" t="s">
        <v>11</v>
      </c>
      <c r="P131" s="2" t="s">
        <v>12</v>
      </c>
      <c r="Q131" s="2" t="s">
        <v>13</v>
      </c>
      <c r="R131" s="2" t="s">
        <v>14</v>
      </c>
      <c r="S131" s="2" t="s">
        <v>15</v>
      </c>
      <c r="T131" s="2" t="s">
        <v>87</v>
      </c>
      <c r="U131" s="2" t="s">
        <v>16</v>
      </c>
      <c r="V131" s="3" t="s">
        <v>17</v>
      </c>
    </row>
    <row r="132" spans="1:24" ht="15.75" customHeight="1">
      <c r="A132" s="5" t="s">
        <v>18</v>
      </c>
      <c r="B132" s="4" t="s">
        <v>19</v>
      </c>
      <c r="C132" s="5" t="s">
        <v>20</v>
      </c>
      <c r="D132" s="5" t="s">
        <v>21</v>
      </c>
      <c r="E132" s="5" t="s">
        <v>20</v>
      </c>
      <c r="F132" s="5" t="s">
        <v>21</v>
      </c>
      <c r="G132" s="5" t="s">
        <v>22</v>
      </c>
      <c r="H132" s="5" t="s">
        <v>22</v>
      </c>
      <c r="I132" s="5"/>
      <c r="J132" s="5"/>
      <c r="K132" s="5"/>
      <c r="L132" s="5"/>
      <c r="M132" s="6"/>
      <c r="O132" s="4" t="s">
        <v>89</v>
      </c>
      <c r="P132" s="5" t="s">
        <v>19</v>
      </c>
      <c r="Q132" s="5" t="s">
        <v>20</v>
      </c>
      <c r="R132" s="5" t="s">
        <v>21</v>
      </c>
      <c r="S132" s="5" t="s">
        <v>20</v>
      </c>
      <c r="T132" s="5" t="s">
        <v>21</v>
      </c>
      <c r="U132" s="5" t="s">
        <v>90</v>
      </c>
      <c r="V132" s="6" t="s">
        <v>90</v>
      </c>
    </row>
    <row r="133" spans="1:24" ht="15.75" customHeight="1">
      <c r="A133" s="5">
        <v>57</v>
      </c>
      <c r="B133" s="4">
        <v>0.72799999999999998</v>
      </c>
      <c r="C133" s="5">
        <v>1.46E-2</v>
      </c>
      <c r="D133" s="5">
        <v>0.8</v>
      </c>
      <c r="E133" s="5">
        <v>4.1099999999999999E-3</v>
      </c>
      <c r="F133" s="5">
        <v>5.0999999999999996</v>
      </c>
      <c r="G133" s="5">
        <v>30.3</v>
      </c>
      <c r="H133" s="5">
        <v>29.79</v>
      </c>
      <c r="I133" s="5">
        <v>172</v>
      </c>
      <c r="J133" s="5">
        <v>150</v>
      </c>
      <c r="K133" s="5">
        <v>25.7</v>
      </c>
      <c r="L133" s="33">
        <f t="shared" ref="L133:L134" si="38">G133*H133*I133/1000</f>
        <v>155.25356399999998</v>
      </c>
      <c r="M133" s="34">
        <f t="shared" ref="M133:M134" si="39">K133/L133</f>
        <v>0.16553565237317194</v>
      </c>
      <c r="O133" s="4" t="s">
        <v>33</v>
      </c>
      <c r="P133" s="5">
        <v>2.21</v>
      </c>
      <c r="Q133" s="5">
        <v>2.2100000000000002E-2</v>
      </c>
      <c r="R133" s="5">
        <v>1</v>
      </c>
      <c r="S133" s="5">
        <v>9.4500000000000001E-3</v>
      </c>
      <c r="T133" s="5">
        <v>4.3</v>
      </c>
      <c r="U133" s="5">
        <v>29.86</v>
      </c>
      <c r="V133" s="6">
        <v>30.12</v>
      </c>
    </row>
    <row r="134" spans="1:24" ht="15.75" customHeight="1">
      <c r="A134" s="5">
        <v>1</v>
      </c>
      <c r="B134" s="9">
        <v>3.69</v>
      </c>
      <c r="C134" s="10">
        <v>2.9600000000000001E-2</v>
      </c>
      <c r="D134" s="10">
        <v>1.2</v>
      </c>
      <c r="E134" s="10">
        <v>1.4800000000000001E-2</v>
      </c>
      <c r="F134" s="10">
        <v>3.4</v>
      </c>
      <c r="G134" s="10">
        <v>29.42</v>
      </c>
      <c r="H134" s="10">
        <v>30.44</v>
      </c>
      <c r="I134" s="10">
        <v>168</v>
      </c>
      <c r="J134" s="10">
        <v>150</v>
      </c>
      <c r="K134" s="10">
        <v>25</v>
      </c>
      <c r="L134" s="48">
        <f t="shared" si="38"/>
        <v>150.45152640000003</v>
      </c>
      <c r="M134" s="49">
        <f t="shared" si="39"/>
        <v>0.16616647632762066</v>
      </c>
      <c r="O134" s="4" t="s">
        <v>34</v>
      </c>
      <c r="P134" s="5">
        <v>2.1</v>
      </c>
      <c r="Q134" s="5">
        <v>1.06E-2</v>
      </c>
      <c r="R134" s="5">
        <v>0.2</v>
      </c>
      <c r="S134" s="5">
        <v>7.5500000000000003E-3</v>
      </c>
      <c r="T134" s="5">
        <v>1.2</v>
      </c>
      <c r="U134" s="5">
        <v>0.62229999999999996</v>
      </c>
      <c r="V134" s="6">
        <v>0.45960000000000001</v>
      </c>
    </row>
    <row r="135" spans="1:24" ht="15.75" customHeight="1">
      <c r="O135" s="9" t="s">
        <v>35</v>
      </c>
      <c r="P135" s="10">
        <v>94.83</v>
      </c>
      <c r="Q135" s="10">
        <v>47.85</v>
      </c>
      <c r="R135" s="10">
        <v>24.21</v>
      </c>
      <c r="S135" s="10">
        <v>79.86</v>
      </c>
      <c r="T135" s="10">
        <v>27.36</v>
      </c>
      <c r="U135" s="10">
        <v>2.08</v>
      </c>
      <c r="V135" s="11">
        <v>1.53</v>
      </c>
    </row>
    <row r="136" spans="1:24" ht="15.75" customHeight="1"/>
    <row r="137" spans="1:24" ht="15.75" customHeight="1">
      <c r="A137" s="5" t="s">
        <v>192</v>
      </c>
      <c r="B137" s="1" t="s">
        <v>193</v>
      </c>
      <c r="C137" s="2" t="s">
        <v>2</v>
      </c>
      <c r="D137" s="2" t="s">
        <v>194</v>
      </c>
      <c r="E137" s="2" t="s">
        <v>195</v>
      </c>
      <c r="F137" s="2" t="s">
        <v>196</v>
      </c>
      <c r="G137" s="2" t="s">
        <v>5</v>
      </c>
      <c r="H137" s="2" t="s">
        <v>6</v>
      </c>
      <c r="I137" s="2" t="s">
        <v>7</v>
      </c>
      <c r="J137" s="2" t="s">
        <v>86</v>
      </c>
      <c r="K137" s="26" t="s">
        <v>8</v>
      </c>
      <c r="L137" s="27" t="s">
        <v>9</v>
      </c>
      <c r="M137" s="28" t="s">
        <v>10</v>
      </c>
      <c r="O137" s="1" t="s">
        <v>11</v>
      </c>
      <c r="P137" s="2" t="s">
        <v>12</v>
      </c>
      <c r="Q137" s="2" t="s">
        <v>13</v>
      </c>
      <c r="R137" s="2" t="s">
        <v>14</v>
      </c>
      <c r="S137" s="2" t="s">
        <v>15</v>
      </c>
      <c r="T137" s="2" t="s">
        <v>87</v>
      </c>
      <c r="U137" s="2" t="s">
        <v>16</v>
      </c>
      <c r="V137" s="3" t="s">
        <v>17</v>
      </c>
    </row>
    <row r="138" spans="1:24" ht="15.75" customHeight="1">
      <c r="A138" s="5" t="s">
        <v>18</v>
      </c>
      <c r="B138" s="4" t="s">
        <v>19</v>
      </c>
      <c r="C138" s="5" t="s">
        <v>20</v>
      </c>
      <c r="D138" s="5" t="s">
        <v>21</v>
      </c>
      <c r="E138" s="5" t="s">
        <v>20</v>
      </c>
      <c r="F138" s="5" t="s">
        <v>21</v>
      </c>
      <c r="G138" s="5" t="s">
        <v>22</v>
      </c>
      <c r="H138" s="5" t="s">
        <v>22</v>
      </c>
      <c r="I138" s="5"/>
      <c r="J138" s="5"/>
      <c r="K138" s="5"/>
      <c r="L138" s="5"/>
      <c r="M138" s="6"/>
      <c r="O138" s="4" t="s">
        <v>27</v>
      </c>
      <c r="P138" s="5" t="s">
        <v>19</v>
      </c>
      <c r="Q138" s="5" t="s">
        <v>20</v>
      </c>
      <c r="R138" s="5" t="s">
        <v>21</v>
      </c>
      <c r="S138" s="5" t="s">
        <v>20</v>
      </c>
      <c r="T138" s="5" t="s">
        <v>21</v>
      </c>
      <c r="U138" s="5" t="s">
        <v>90</v>
      </c>
      <c r="V138" s="6" t="s">
        <v>90</v>
      </c>
      <c r="X138" s="30"/>
    </row>
    <row r="139" spans="1:24" ht="15.75" customHeight="1">
      <c r="A139" s="5">
        <v>62</v>
      </c>
      <c r="B139" s="4">
        <v>7.74</v>
      </c>
      <c r="C139" s="5">
        <v>0.127</v>
      </c>
      <c r="D139" s="5">
        <v>3.1</v>
      </c>
      <c r="E139" s="5">
        <v>6.3500000000000001E-2</v>
      </c>
      <c r="F139" s="5">
        <v>5.7</v>
      </c>
      <c r="G139" s="5">
        <v>31.22</v>
      </c>
      <c r="H139" s="5">
        <v>30.51</v>
      </c>
      <c r="I139" s="5">
        <v>168</v>
      </c>
      <c r="J139" s="5">
        <v>150</v>
      </c>
      <c r="K139" s="5">
        <v>29.2</v>
      </c>
      <c r="L139" s="33">
        <f t="shared" ref="L139:L143" si="40">G139*H139*I139/1000</f>
        <v>160.0237296</v>
      </c>
      <c r="M139" s="34">
        <f t="shared" ref="M139:M143" si="41">K139/L139</f>
        <v>0.18247293743864848</v>
      </c>
      <c r="O139" s="4" t="s">
        <v>33</v>
      </c>
      <c r="P139" s="5">
        <v>5.83</v>
      </c>
      <c r="Q139" s="5">
        <v>0.114</v>
      </c>
      <c r="R139" s="5">
        <v>3.7</v>
      </c>
      <c r="S139" s="5">
        <v>5.6899999999999999E-2</v>
      </c>
      <c r="T139" s="5">
        <v>6</v>
      </c>
      <c r="U139" s="5">
        <v>31.64</v>
      </c>
      <c r="V139" s="6">
        <v>30.55</v>
      </c>
      <c r="X139" s="30"/>
    </row>
    <row r="140" spans="1:24" ht="15.75" customHeight="1">
      <c r="A140" s="5">
        <v>48</v>
      </c>
      <c r="B140" s="4">
        <v>6.23</v>
      </c>
      <c r="C140" s="5">
        <v>0.128</v>
      </c>
      <c r="D140" s="5">
        <v>4.8</v>
      </c>
      <c r="E140" s="5">
        <v>6.3899999999999998E-2</v>
      </c>
      <c r="F140" s="5">
        <v>6.5</v>
      </c>
      <c r="G140" s="5">
        <v>31.95</v>
      </c>
      <c r="H140" s="5">
        <v>30.22</v>
      </c>
      <c r="I140" s="5">
        <v>168</v>
      </c>
      <c r="J140" s="5">
        <v>150</v>
      </c>
      <c r="K140" s="5">
        <v>30.1</v>
      </c>
      <c r="L140" s="33">
        <f t="shared" si="40"/>
        <v>162.20887200000001</v>
      </c>
      <c r="M140" s="34">
        <f t="shared" si="41"/>
        <v>0.185563216295592</v>
      </c>
      <c r="O140" s="4" t="s">
        <v>34</v>
      </c>
      <c r="P140" s="5">
        <v>1.28</v>
      </c>
      <c r="Q140" s="5">
        <v>1.3899999999999999E-2</v>
      </c>
      <c r="R140" s="5">
        <v>0.6</v>
      </c>
      <c r="S140" s="5">
        <v>6.96E-3</v>
      </c>
      <c r="T140" s="5">
        <v>0.4</v>
      </c>
      <c r="U140" s="5">
        <v>0.5847</v>
      </c>
      <c r="V140" s="6">
        <v>0.20730000000000001</v>
      </c>
      <c r="X140" s="30"/>
    </row>
    <row r="141" spans="1:24" ht="15.75" customHeight="1">
      <c r="A141" s="5">
        <v>45</v>
      </c>
      <c r="B141" s="4">
        <v>5.35</v>
      </c>
      <c r="C141" s="5">
        <v>0.115</v>
      </c>
      <c r="D141" s="5">
        <v>3.7</v>
      </c>
      <c r="E141" s="5">
        <v>5.7500000000000002E-2</v>
      </c>
      <c r="F141" s="5">
        <v>5.8</v>
      </c>
      <c r="G141" s="5">
        <v>32.03</v>
      </c>
      <c r="H141" s="5">
        <v>30.57</v>
      </c>
      <c r="I141" s="5">
        <v>169</v>
      </c>
      <c r="J141" s="5">
        <v>150</v>
      </c>
      <c r="K141" s="5">
        <v>30.6</v>
      </c>
      <c r="L141" s="33">
        <f t="shared" si="40"/>
        <v>165.47754990000001</v>
      </c>
      <c r="M141" s="34">
        <f t="shared" si="41"/>
        <v>0.18491934415569927</v>
      </c>
      <c r="O141" s="9" t="s">
        <v>35</v>
      </c>
      <c r="P141" s="10">
        <v>22</v>
      </c>
      <c r="Q141" s="10">
        <v>12.22</v>
      </c>
      <c r="R141" s="10">
        <v>16.78</v>
      </c>
      <c r="S141" s="10">
        <v>12.22</v>
      </c>
      <c r="T141" s="10">
        <v>7.07</v>
      </c>
      <c r="U141" s="10">
        <v>1.85</v>
      </c>
      <c r="V141" s="11">
        <v>0.68</v>
      </c>
    </row>
    <row r="142" spans="1:24" ht="15.75" customHeight="1">
      <c r="A142" s="5">
        <v>9</v>
      </c>
      <c r="B142" s="4">
        <v>5.6</v>
      </c>
      <c r="C142" s="5">
        <v>9.9099999999999994E-2</v>
      </c>
      <c r="D142" s="5">
        <v>3.7</v>
      </c>
      <c r="E142" s="5">
        <v>4.9500000000000002E-2</v>
      </c>
      <c r="F142" s="5">
        <v>5.6</v>
      </c>
      <c r="G142" s="5">
        <v>32.159999999999997</v>
      </c>
      <c r="H142" s="5">
        <v>30.68</v>
      </c>
      <c r="I142" s="5">
        <v>168</v>
      </c>
      <c r="J142" s="5">
        <v>150</v>
      </c>
      <c r="K142" s="5">
        <v>29.9</v>
      </c>
      <c r="L142" s="33">
        <f t="shared" si="40"/>
        <v>165.7603584</v>
      </c>
      <c r="M142" s="34">
        <f t="shared" si="41"/>
        <v>0.18038088411855172</v>
      </c>
    </row>
    <row r="143" spans="1:24" ht="15.75" customHeight="1">
      <c r="A143" s="5">
        <v>6</v>
      </c>
      <c r="B143" s="9">
        <v>4.25</v>
      </c>
      <c r="C143" s="10">
        <v>0.1</v>
      </c>
      <c r="D143" s="10">
        <v>3.4</v>
      </c>
      <c r="E143" s="10">
        <v>5.0200000000000002E-2</v>
      </c>
      <c r="F143" s="10">
        <v>6.4</v>
      </c>
      <c r="G143" s="10">
        <v>30.82</v>
      </c>
      <c r="H143" s="10">
        <v>30.76</v>
      </c>
      <c r="I143" s="10">
        <v>169</v>
      </c>
      <c r="J143" s="10">
        <v>150</v>
      </c>
      <c r="K143" s="10">
        <v>28.8</v>
      </c>
      <c r="L143" s="48">
        <f t="shared" si="40"/>
        <v>160.21592080000002</v>
      </c>
      <c r="M143" s="49">
        <f t="shared" si="41"/>
        <v>0.17975741646768975</v>
      </c>
    </row>
    <row r="144" spans="1:24" ht="15.75" customHeight="1"/>
    <row r="145" spans="1:24" ht="15.75" customHeight="1">
      <c r="A145" s="5" t="s">
        <v>197</v>
      </c>
      <c r="B145" s="1" t="s">
        <v>198</v>
      </c>
      <c r="C145" s="2" t="s">
        <v>2</v>
      </c>
      <c r="D145" s="2" t="s">
        <v>199</v>
      </c>
      <c r="E145" s="2" t="s">
        <v>200</v>
      </c>
      <c r="F145" s="2" t="s">
        <v>201</v>
      </c>
      <c r="G145" s="2" t="s">
        <v>5</v>
      </c>
      <c r="H145" s="2" t="s">
        <v>6</v>
      </c>
      <c r="I145" s="2" t="s">
        <v>7</v>
      </c>
      <c r="J145" s="2" t="s">
        <v>86</v>
      </c>
      <c r="K145" s="26" t="s">
        <v>8</v>
      </c>
      <c r="L145" s="27" t="s">
        <v>9</v>
      </c>
      <c r="M145" s="28" t="s">
        <v>10</v>
      </c>
      <c r="O145" s="1" t="s">
        <v>11</v>
      </c>
      <c r="P145" s="2" t="s">
        <v>12</v>
      </c>
      <c r="Q145" s="2" t="s">
        <v>13</v>
      </c>
      <c r="R145" s="2" t="s">
        <v>14</v>
      </c>
      <c r="S145" s="2" t="s">
        <v>15</v>
      </c>
      <c r="T145" s="2" t="s">
        <v>87</v>
      </c>
      <c r="U145" s="2" t="s">
        <v>16</v>
      </c>
      <c r="V145" s="3" t="s">
        <v>17</v>
      </c>
    </row>
    <row r="146" spans="1:24" ht="15.75" customHeight="1">
      <c r="A146" s="5" t="s">
        <v>18</v>
      </c>
      <c r="B146" s="4" t="s">
        <v>19</v>
      </c>
      <c r="C146" s="5" t="s">
        <v>20</v>
      </c>
      <c r="D146" s="5" t="s">
        <v>21</v>
      </c>
      <c r="E146" s="5" t="s">
        <v>20</v>
      </c>
      <c r="F146" s="5" t="s">
        <v>21</v>
      </c>
      <c r="G146" s="5" t="s">
        <v>22</v>
      </c>
      <c r="H146" s="5" t="s">
        <v>22</v>
      </c>
      <c r="I146" s="5"/>
      <c r="J146" s="5"/>
      <c r="K146" s="5"/>
      <c r="L146" s="5"/>
      <c r="M146" s="6"/>
      <c r="O146" s="4" t="s">
        <v>27</v>
      </c>
      <c r="P146" s="5" t="s">
        <v>19</v>
      </c>
      <c r="Q146" s="5" t="s">
        <v>20</v>
      </c>
      <c r="R146" s="5" t="s">
        <v>21</v>
      </c>
      <c r="S146" s="5" t="s">
        <v>20</v>
      </c>
      <c r="T146" s="5" t="s">
        <v>21</v>
      </c>
      <c r="U146" s="5" t="s">
        <v>90</v>
      </c>
      <c r="V146" s="6" t="s">
        <v>30</v>
      </c>
    </row>
    <row r="147" spans="1:24" ht="15.75" customHeight="1">
      <c r="A147" s="5">
        <v>128</v>
      </c>
      <c r="B147" s="4">
        <v>5.44</v>
      </c>
      <c r="C147" s="5">
        <v>0.13800000000000001</v>
      </c>
      <c r="D147" s="5">
        <v>4.7</v>
      </c>
      <c r="E147" s="5">
        <v>6.9000000000000006E-2</v>
      </c>
      <c r="F147" s="5">
        <v>6.8</v>
      </c>
      <c r="G147" s="5">
        <v>32.26</v>
      </c>
      <c r="H147" s="5">
        <v>30.52</v>
      </c>
      <c r="I147" s="5">
        <v>168</v>
      </c>
      <c r="J147" s="5">
        <v>150</v>
      </c>
      <c r="K147" s="5">
        <v>35.799999999999997</v>
      </c>
      <c r="L147" s="33">
        <f t="shared" ref="L147:L151" si="42">G147*H147*I147/1000</f>
        <v>165.40863359999997</v>
      </c>
      <c r="M147" s="34">
        <f t="shared" ref="M147:M151" si="43">K147/L147</f>
        <v>0.21643368439022037</v>
      </c>
      <c r="O147" s="4" t="s">
        <v>33</v>
      </c>
      <c r="P147" s="5">
        <v>7.64</v>
      </c>
      <c r="Q147" s="5">
        <v>0.157</v>
      </c>
      <c r="R147" s="5">
        <v>4.5</v>
      </c>
      <c r="S147" s="5">
        <v>7.8299999999999995E-2</v>
      </c>
      <c r="T147" s="5">
        <v>6.8</v>
      </c>
      <c r="U147" s="5">
        <v>31.53</v>
      </c>
      <c r="V147" s="6">
        <v>30.43</v>
      </c>
    </row>
    <row r="148" spans="1:24" ht="15.75" customHeight="1">
      <c r="A148" s="5">
        <v>121</v>
      </c>
      <c r="B148" s="4">
        <v>8.51</v>
      </c>
      <c r="C148" s="5">
        <v>0.128</v>
      </c>
      <c r="D148" s="5">
        <v>2.6</v>
      </c>
      <c r="E148" s="5">
        <v>6.3899999999999998E-2</v>
      </c>
      <c r="F148" s="5">
        <v>5.6</v>
      </c>
      <c r="G148" s="5">
        <v>31.84</v>
      </c>
      <c r="H148" s="5">
        <v>30.31</v>
      </c>
      <c r="I148" s="5">
        <v>169</v>
      </c>
      <c r="J148" s="5">
        <v>150</v>
      </c>
      <c r="K148" s="5">
        <v>34.4</v>
      </c>
      <c r="L148" s="33">
        <f t="shared" si="42"/>
        <v>163.09689760000001</v>
      </c>
      <c r="M148" s="34">
        <f t="shared" si="43"/>
        <v>0.21091756192914854</v>
      </c>
      <c r="O148" s="4" t="s">
        <v>34</v>
      </c>
      <c r="P148" s="5">
        <v>1.37</v>
      </c>
      <c r="Q148" s="5">
        <v>2.2200000000000001E-2</v>
      </c>
      <c r="R148" s="5">
        <v>1.1000000000000001</v>
      </c>
      <c r="S148" s="5">
        <v>1.11E-2</v>
      </c>
      <c r="T148" s="5">
        <v>0.7</v>
      </c>
      <c r="U148" s="5">
        <v>0.95069999999999999</v>
      </c>
      <c r="V148" s="6">
        <v>8.9609999999999995E-2</v>
      </c>
      <c r="X148" s="30"/>
    </row>
    <row r="149" spans="1:24" ht="15.75" customHeight="1">
      <c r="A149" s="5">
        <v>35</v>
      </c>
      <c r="B149" s="4">
        <v>7.54</v>
      </c>
      <c r="C149" s="5">
        <v>0.16800000000000001</v>
      </c>
      <c r="D149" s="5">
        <v>5.7</v>
      </c>
      <c r="E149" s="5">
        <v>8.4199999999999997E-2</v>
      </c>
      <c r="F149" s="5">
        <v>7.5</v>
      </c>
      <c r="G149" s="5">
        <v>30.24</v>
      </c>
      <c r="H149" s="5">
        <v>30.39</v>
      </c>
      <c r="I149" s="5">
        <v>169</v>
      </c>
      <c r="J149" s="5">
        <v>150</v>
      </c>
      <c r="K149" s="5">
        <v>32.6</v>
      </c>
      <c r="L149" s="33">
        <f t="shared" si="42"/>
        <v>155.30991839999999</v>
      </c>
      <c r="M149" s="34">
        <f t="shared" si="43"/>
        <v>0.20990288537811763</v>
      </c>
      <c r="O149" s="9" t="s">
        <v>35</v>
      </c>
      <c r="P149" s="10">
        <v>17.95</v>
      </c>
      <c r="Q149" s="10">
        <v>14.19</v>
      </c>
      <c r="R149" s="10">
        <v>25.16</v>
      </c>
      <c r="S149" s="10">
        <v>14.17</v>
      </c>
      <c r="T149" s="10">
        <v>10.78</v>
      </c>
      <c r="U149" s="10">
        <v>3.02</v>
      </c>
      <c r="V149" s="11">
        <v>0.28999999999999998</v>
      </c>
      <c r="X149" s="30"/>
    </row>
    <row r="150" spans="1:24" ht="15.75" customHeight="1">
      <c r="A150" s="5">
        <v>71</v>
      </c>
      <c r="B150" s="4">
        <v>9.01</v>
      </c>
      <c r="C150" s="5">
        <v>0.17299999999999999</v>
      </c>
      <c r="D150" s="5">
        <v>4.9000000000000004</v>
      </c>
      <c r="E150" s="5">
        <v>8.6599999999999996E-2</v>
      </c>
      <c r="F150" s="5">
        <v>7</v>
      </c>
      <c r="G150" s="5">
        <v>32.450000000000003</v>
      </c>
      <c r="H150" s="5">
        <v>30.43</v>
      </c>
      <c r="I150" s="5">
        <v>168</v>
      </c>
      <c r="J150" s="5">
        <v>150</v>
      </c>
      <c r="K150" s="5">
        <v>35.799999999999997</v>
      </c>
      <c r="L150" s="33">
        <f t="shared" si="42"/>
        <v>165.89218800000003</v>
      </c>
      <c r="M150" s="34">
        <f t="shared" si="43"/>
        <v>0.21580280802613797</v>
      </c>
      <c r="X150" s="30"/>
    </row>
    <row r="151" spans="1:24" ht="15.75" customHeight="1">
      <c r="A151" s="5">
        <v>17</v>
      </c>
      <c r="B151" s="9">
        <v>7.69</v>
      </c>
      <c r="C151" s="10">
        <v>0.17599999999999999</v>
      </c>
      <c r="D151" s="10">
        <v>4.4000000000000004</v>
      </c>
      <c r="E151" s="10">
        <v>8.7999999999999995E-2</v>
      </c>
      <c r="F151" s="10">
        <v>7.1</v>
      </c>
      <c r="G151" s="10">
        <v>30.84</v>
      </c>
      <c r="H151" s="10">
        <v>30.52</v>
      </c>
      <c r="I151" s="10">
        <v>168</v>
      </c>
      <c r="J151" s="10">
        <v>150</v>
      </c>
      <c r="K151" s="10">
        <v>32.5</v>
      </c>
      <c r="L151" s="48">
        <f t="shared" si="42"/>
        <v>158.1277824</v>
      </c>
      <c r="M151" s="49">
        <f t="shared" si="43"/>
        <v>0.20552998029016817</v>
      </c>
      <c r="X151" s="30"/>
    </row>
    <row r="152" spans="1:24" ht="15.75" customHeight="1">
      <c r="X152" s="30"/>
    </row>
    <row r="153" spans="1:24" ht="15.75" customHeight="1">
      <c r="A153" s="5" t="s">
        <v>202</v>
      </c>
      <c r="B153" s="1" t="s">
        <v>203</v>
      </c>
      <c r="C153" s="2" t="s">
        <v>2</v>
      </c>
      <c r="D153" s="2" t="s">
        <v>204</v>
      </c>
      <c r="E153" s="2" t="s">
        <v>205</v>
      </c>
      <c r="F153" s="2" t="s">
        <v>206</v>
      </c>
      <c r="G153" s="2" t="s">
        <v>5</v>
      </c>
      <c r="H153" s="2" t="s">
        <v>6</v>
      </c>
      <c r="I153" s="2" t="s">
        <v>7</v>
      </c>
      <c r="J153" s="2" t="s">
        <v>86</v>
      </c>
      <c r="K153" s="26" t="s">
        <v>8</v>
      </c>
      <c r="L153" s="27" t="s">
        <v>9</v>
      </c>
      <c r="M153" s="28" t="s">
        <v>10</v>
      </c>
      <c r="O153" s="1" t="s">
        <v>11</v>
      </c>
      <c r="P153" s="2" t="s">
        <v>12</v>
      </c>
      <c r="Q153" s="2" t="s">
        <v>13</v>
      </c>
      <c r="R153" s="2" t="s">
        <v>14</v>
      </c>
      <c r="S153" s="2" t="s">
        <v>15</v>
      </c>
      <c r="T153" s="2" t="s">
        <v>87</v>
      </c>
      <c r="U153" s="2" t="s">
        <v>16</v>
      </c>
      <c r="V153" s="3" t="s">
        <v>17</v>
      </c>
      <c r="X153" s="30"/>
    </row>
    <row r="154" spans="1:24" ht="15.75" customHeight="1">
      <c r="A154" s="5" t="s">
        <v>18</v>
      </c>
      <c r="B154" s="4" t="s">
        <v>19</v>
      </c>
      <c r="C154" s="5" t="s">
        <v>20</v>
      </c>
      <c r="D154" s="5" t="s">
        <v>21</v>
      </c>
      <c r="E154" s="5" t="s">
        <v>20</v>
      </c>
      <c r="F154" s="5" t="s">
        <v>21</v>
      </c>
      <c r="G154" s="5" t="s">
        <v>22</v>
      </c>
      <c r="H154" s="5" t="s">
        <v>22</v>
      </c>
      <c r="I154" s="5"/>
      <c r="J154" s="5"/>
      <c r="K154" s="5"/>
      <c r="L154" s="5"/>
      <c r="M154" s="6"/>
      <c r="O154" s="4" t="s">
        <v>27</v>
      </c>
      <c r="P154" s="5" t="s">
        <v>19</v>
      </c>
      <c r="Q154" s="5" t="s">
        <v>20</v>
      </c>
      <c r="R154" s="5" t="s">
        <v>21</v>
      </c>
      <c r="S154" s="5" t="s">
        <v>20</v>
      </c>
      <c r="T154" s="5" t="s">
        <v>21</v>
      </c>
      <c r="U154" s="5" t="s">
        <v>22</v>
      </c>
      <c r="V154" s="6" t="s">
        <v>90</v>
      </c>
      <c r="X154" s="30"/>
    </row>
    <row r="155" spans="1:24" ht="15.75" customHeight="1">
      <c r="A155" s="5">
        <v>23</v>
      </c>
      <c r="B155" s="4">
        <v>2.56</v>
      </c>
      <c r="C155" s="5">
        <v>4.6199999999999998E-2</v>
      </c>
      <c r="D155" s="5">
        <v>2.7</v>
      </c>
      <c r="E155" s="5">
        <v>2.3099999999999999E-2</v>
      </c>
      <c r="F155" s="5">
        <v>5.0999999999999996</v>
      </c>
      <c r="G155" s="5">
        <v>30.47</v>
      </c>
      <c r="H155" s="5">
        <v>30.21</v>
      </c>
      <c r="I155" s="5">
        <v>167</v>
      </c>
      <c r="J155" s="5">
        <v>150</v>
      </c>
      <c r="K155" s="5">
        <v>28.8</v>
      </c>
      <c r="L155" s="33">
        <f t="shared" ref="L155:L159" si="44">G155*H155*I155/1000</f>
        <v>153.72328289999999</v>
      </c>
      <c r="M155" s="34">
        <f t="shared" ref="M155:M159" si="45">K155/L155</f>
        <v>0.18734962887004544</v>
      </c>
      <c r="O155" s="4" t="s">
        <v>33</v>
      </c>
      <c r="P155" s="5">
        <v>2.7</v>
      </c>
      <c r="Q155" s="5">
        <v>3.7199999999999997E-2</v>
      </c>
      <c r="R155" s="5">
        <v>2.2000000000000002</v>
      </c>
      <c r="S155" s="5">
        <v>1.8599999999999998E-2</v>
      </c>
      <c r="T155" s="5">
        <v>4.9000000000000004</v>
      </c>
      <c r="U155" s="5">
        <v>29.33</v>
      </c>
      <c r="V155" s="6">
        <v>29.27</v>
      </c>
      <c r="X155" s="30"/>
    </row>
    <row r="156" spans="1:24" ht="15.75" customHeight="1">
      <c r="A156" s="5">
        <v>15</v>
      </c>
      <c r="B156" s="4">
        <v>1.81</v>
      </c>
      <c r="C156" s="5">
        <v>2.6599999999999999E-2</v>
      </c>
      <c r="D156" s="5">
        <v>1.8</v>
      </c>
      <c r="E156" s="5">
        <v>1.3299999999999999E-2</v>
      </c>
      <c r="F156" s="5">
        <v>4.9000000000000004</v>
      </c>
      <c r="G156" s="5">
        <v>28.98</v>
      </c>
      <c r="H156" s="5">
        <v>28.84</v>
      </c>
      <c r="I156" s="5">
        <v>167</v>
      </c>
      <c r="J156" s="5">
        <v>150</v>
      </c>
      <c r="K156" s="5">
        <v>26.4</v>
      </c>
      <c r="L156" s="33">
        <f t="shared" si="44"/>
        <v>139.57579439999998</v>
      </c>
      <c r="M156" s="34">
        <f t="shared" si="45"/>
        <v>0.18914454410585108</v>
      </c>
      <c r="O156" s="4" t="s">
        <v>34</v>
      </c>
      <c r="P156" s="5">
        <v>0.73899999999999999</v>
      </c>
      <c r="Q156" s="5">
        <v>8.4399999999999996E-3</v>
      </c>
      <c r="R156" s="5">
        <v>1.1000000000000001</v>
      </c>
      <c r="S156" s="5">
        <v>4.2100000000000002E-3</v>
      </c>
      <c r="T156" s="5">
        <v>1.2</v>
      </c>
      <c r="U156" s="5">
        <v>1.1140000000000001</v>
      </c>
      <c r="V156" s="6">
        <v>0.5806</v>
      </c>
      <c r="X156" s="30"/>
    </row>
    <row r="157" spans="1:24" ht="15.75" customHeight="1">
      <c r="A157" s="5">
        <v>41</v>
      </c>
      <c r="B157" s="4">
        <v>2.2200000000000002</v>
      </c>
      <c r="C157" s="5">
        <v>4.4999999999999998E-2</v>
      </c>
      <c r="D157" s="5">
        <v>3.9</v>
      </c>
      <c r="E157" s="5">
        <v>2.2499999999999999E-2</v>
      </c>
      <c r="F157" s="5">
        <v>6.9</v>
      </c>
      <c r="G157" s="5">
        <v>29.17</v>
      </c>
      <c r="H157" s="5">
        <v>29.03</v>
      </c>
      <c r="I157" s="5">
        <v>170</v>
      </c>
      <c r="J157" s="5">
        <v>150</v>
      </c>
      <c r="K157" s="5">
        <v>26.6</v>
      </c>
      <c r="L157" s="33">
        <f t="shared" si="44"/>
        <v>143.95686699999999</v>
      </c>
      <c r="M157" s="34">
        <f t="shared" si="45"/>
        <v>0.18477756952018137</v>
      </c>
      <c r="O157" s="9" t="s">
        <v>35</v>
      </c>
      <c r="P157" s="10">
        <v>27.34</v>
      </c>
      <c r="Q157" s="10">
        <v>22.71</v>
      </c>
      <c r="R157" s="10">
        <v>49.51</v>
      </c>
      <c r="S157" s="10">
        <v>22.67</v>
      </c>
      <c r="T157" s="10">
        <v>24.64</v>
      </c>
      <c r="U157" s="10">
        <v>3.8</v>
      </c>
      <c r="V157" s="11">
        <v>1.98</v>
      </c>
      <c r="X157" s="30"/>
    </row>
    <row r="158" spans="1:24" ht="15.75" customHeight="1">
      <c r="A158" s="5">
        <v>112</v>
      </c>
      <c r="B158" s="4">
        <v>3.47</v>
      </c>
      <c r="C158" s="5">
        <v>3.1600000000000003E-2</v>
      </c>
      <c r="D158" s="5">
        <v>1.1000000000000001</v>
      </c>
      <c r="E158" s="5">
        <v>1.5800000000000002E-2</v>
      </c>
      <c r="F158" s="5">
        <v>4</v>
      </c>
      <c r="G158" s="5">
        <v>30.29</v>
      </c>
      <c r="H158" s="5">
        <v>28.83</v>
      </c>
      <c r="I158" s="5">
        <v>169</v>
      </c>
      <c r="J158" s="5">
        <v>150</v>
      </c>
      <c r="K158" s="5">
        <v>24.8</v>
      </c>
      <c r="L158" s="33">
        <f t="shared" si="44"/>
        <v>147.58105829999997</v>
      </c>
      <c r="M158" s="34">
        <f t="shared" si="45"/>
        <v>0.16804324542508045</v>
      </c>
      <c r="X158" s="30"/>
    </row>
    <row r="159" spans="1:24" ht="15.75" customHeight="1">
      <c r="A159" s="5">
        <v>29</v>
      </c>
      <c r="B159" s="9">
        <v>3.45</v>
      </c>
      <c r="C159" s="10">
        <v>3.6400000000000002E-2</v>
      </c>
      <c r="D159" s="10">
        <v>1.6</v>
      </c>
      <c r="E159" s="10">
        <v>1.8200000000000001E-2</v>
      </c>
      <c r="F159" s="10">
        <v>3.8</v>
      </c>
      <c r="G159" s="10">
        <v>27.72</v>
      </c>
      <c r="H159" s="10">
        <v>29.44</v>
      </c>
      <c r="I159" s="10">
        <v>167</v>
      </c>
      <c r="J159" s="10">
        <v>150</v>
      </c>
      <c r="K159" s="10">
        <v>26.8</v>
      </c>
      <c r="L159" s="48">
        <f t="shared" si="44"/>
        <v>136.2848256</v>
      </c>
      <c r="M159" s="49">
        <f t="shared" si="45"/>
        <v>0.19664698459283203</v>
      </c>
      <c r="X159" s="30"/>
    </row>
    <row r="160" spans="1:24" ht="15.75" customHeight="1">
      <c r="X160" s="30"/>
    </row>
    <row r="161" spans="24:24" ht="15.75" customHeight="1">
      <c r="X161" s="30"/>
    </row>
    <row r="162" spans="24:24" ht="15.75" customHeight="1">
      <c r="X162" s="30"/>
    </row>
    <row r="163" spans="24:24" ht="15.75" customHeight="1">
      <c r="X163" s="30"/>
    </row>
    <row r="164" spans="24:24" ht="15.75" customHeight="1">
      <c r="X164" s="30"/>
    </row>
    <row r="165" spans="24:24" ht="15.75" customHeight="1">
      <c r="X165" s="30"/>
    </row>
    <row r="166" spans="24:24" ht="15.75" customHeight="1">
      <c r="X166" s="30"/>
    </row>
    <row r="167" spans="24:24" ht="15.75" customHeight="1">
      <c r="X167" s="30"/>
    </row>
    <row r="168" spans="24:24" ht="15.75" customHeight="1">
      <c r="X168" s="30"/>
    </row>
    <row r="169" spans="24:24" ht="15.75" customHeight="1">
      <c r="X169" s="30"/>
    </row>
    <row r="170" spans="24:24" ht="15.75" customHeight="1">
      <c r="X170" s="30"/>
    </row>
    <row r="171" spans="24:24" ht="15.75" customHeight="1">
      <c r="X171" s="30"/>
    </row>
    <row r="172" spans="24:24" ht="15.75" customHeight="1">
      <c r="X172" s="30"/>
    </row>
    <row r="173" spans="24:24" ht="15.75" customHeight="1">
      <c r="X173" s="30"/>
    </row>
    <row r="174" spans="24:24" ht="15.75" customHeight="1">
      <c r="X174" s="30"/>
    </row>
    <row r="175" spans="24:24" ht="15.75" customHeight="1">
      <c r="X175" s="30"/>
    </row>
    <row r="176" spans="24:24" ht="15.75" customHeight="1">
      <c r="X176" s="30"/>
    </row>
    <row r="177" spans="24:24" ht="15.75" customHeight="1">
      <c r="X177" s="30"/>
    </row>
    <row r="178" spans="24:24" ht="15.75" customHeight="1">
      <c r="X178" s="30"/>
    </row>
    <row r="179" spans="24:24" ht="15.75" customHeight="1">
      <c r="X179" s="30"/>
    </row>
    <row r="180" spans="24:24" ht="15.75" customHeight="1">
      <c r="X180" s="30"/>
    </row>
    <row r="181" spans="24:24" ht="15.75" customHeight="1">
      <c r="X181" s="30"/>
    </row>
    <row r="182" spans="24:24" ht="15.75" customHeight="1">
      <c r="X182" s="30"/>
    </row>
    <row r="183" spans="24:24" ht="15.75" customHeight="1">
      <c r="X183" s="30"/>
    </row>
    <row r="184" spans="24:24" ht="15.75" customHeight="1">
      <c r="X184" s="30"/>
    </row>
    <row r="185" spans="24:24" ht="15.75" customHeight="1">
      <c r="X185" s="30"/>
    </row>
    <row r="186" spans="24:24" ht="15.75" customHeight="1">
      <c r="X186" s="30"/>
    </row>
    <row r="187" spans="24:24" ht="15.75" customHeight="1">
      <c r="X187" s="30"/>
    </row>
    <row r="188" spans="24:24" ht="15.75" customHeight="1">
      <c r="X188" s="30"/>
    </row>
    <row r="189" spans="24:24" ht="15.75" customHeight="1">
      <c r="X189" s="30"/>
    </row>
    <row r="190" spans="24:24" ht="15.75" customHeight="1">
      <c r="X190" s="30"/>
    </row>
    <row r="191" spans="24:24" ht="15.75" customHeight="1">
      <c r="X191" s="30"/>
    </row>
    <row r="192" spans="24:24" ht="15.75" customHeight="1">
      <c r="X192" s="30"/>
    </row>
    <row r="193" spans="24:24" ht="15.75" customHeight="1">
      <c r="X193" s="30"/>
    </row>
    <row r="194" spans="24:24" ht="15.75" customHeight="1">
      <c r="X194" s="30"/>
    </row>
    <row r="195" spans="24:24" ht="15.75" customHeight="1">
      <c r="X195" s="30"/>
    </row>
    <row r="196" spans="24:24" ht="15.75" customHeight="1">
      <c r="X196" s="30"/>
    </row>
    <row r="197" spans="24:24" ht="15.75" customHeight="1">
      <c r="X197" s="30"/>
    </row>
    <row r="198" spans="24:24" ht="15.75" customHeight="1">
      <c r="X198" s="30"/>
    </row>
    <row r="199" spans="24:24" ht="15.75" customHeight="1">
      <c r="X199" s="30"/>
    </row>
    <row r="200" spans="24:24" ht="15.75" customHeight="1">
      <c r="X200" s="30"/>
    </row>
    <row r="201" spans="24:24" ht="15.75" customHeight="1">
      <c r="X201" s="30"/>
    </row>
    <row r="202" spans="24:24" ht="15.75" customHeight="1">
      <c r="X202" s="30"/>
    </row>
    <row r="203" spans="24:24" ht="15.75" customHeight="1">
      <c r="X203" s="30"/>
    </row>
    <row r="204" spans="24:24" ht="15.75" customHeight="1">
      <c r="X204" s="30"/>
    </row>
    <row r="205" spans="24:24" ht="15.75" customHeight="1">
      <c r="X205" s="30"/>
    </row>
    <row r="206" spans="24:24" ht="15.75" customHeight="1">
      <c r="X206" s="30"/>
    </row>
    <row r="207" spans="24:24" ht="15.75" customHeight="1">
      <c r="X207" s="30"/>
    </row>
    <row r="208" spans="24:24" ht="15.75" customHeight="1">
      <c r="X208" s="30"/>
    </row>
    <row r="209" spans="24:24" ht="15.75" customHeight="1">
      <c r="X209" s="30"/>
    </row>
    <row r="210" spans="24:24" ht="15.75" customHeight="1">
      <c r="X210" s="30"/>
    </row>
    <row r="211" spans="24:24" ht="15.75" customHeight="1">
      <c r="X211" s="30"/>
    </row>
    <row r="212" spans="24:24" ht="15.75" customHeight="1">
      <c r="X212" s="30"/>
    </row>
    <row r="213" spans="24:24" ht="15.75" customHeight="1">
      <c r="X213" s="30"/>
    </row>
    <row r="214" spans="24:24" ht="15.75" customHeight="1">
      <c r="X214" s="30"/>
    </row>
    <row r="215" spans="24:24" ht="15.75" customHeight="1">
      <c r="X215" s="30"/>
    </row>
    <row r="216" spans="24:24" ht="15.75" customHeight="1">
      <c r="X216" s="30"/>
    </row>
    <row r="217" spans="24:24" ht="15.75" customHeight="1">
      <c r="X217" s="30"/>
    </row>
    <row r="218" spans="24:24" ht="15.75" customHeight="1">
      <c r="X218" s="30"/>
    </row>
    <row r="219" spans="24:24" ht="15.75" customHeight="1">
      <c r="X219" s="30"/>
    </row>
    <row r="220" spans="24:24" ht="15.75" customHeight="1">
      <c r="X220" s="30"/>
    </row>
    <row r="221" spans="24:24" ht="15.75" customHeight="1">
      <c r="X221" s="30"/>
    </row>
    <row r="222" spans="24:24" ht="15.75" customHeight="1">
      <c r="X222" s="30"/>
    </row>
    <row r="223" spans="24:24" ht="15.75" customHeight="1">
      <c r="X223" s="30"/>
    </row>
    <row r="224" spans="24:24" ht="15.75" customHeight="1">
      <c r="X224" s="30"/>
    </row>
    <row r="225" spans="24:24" ht="15.75" customHeight="1">
      <c r="X225" s="30"/>
    </row>
    <row r="226" spans="24:24" ht="15.75" customHeight="1">
      <c r="X226" s="30"/>
    </row>
    <row r="227" spans="24:24" ht="15.75" customHeight="1">
      <c r="X227" s="30"/>
    </row>
    <row r="228" spans="24:24" ht="15.75" customHeight="1">
      <c r="X228" s="30"/>
    </row>
    <row r="229" spans="24:24" ht="15.75" customHeight="1">
      <c r="X229" s="30"/>
    </row>
    <row r="230" spans="24:24" ht="15.75" customHeight="1">
      <c r="X230" s="30"/>
    </row>
    <row r="231" spans="24:24" ht="15.75" customHeight="1">
      <c r="X231" s="30"/>
    </row>
    <row r="232" spans="24:24" ht="15.75" customHeight="1">
      <c r="X232" s="30"/>
    </row>
    <row r="233" spans="24:24" ht="15.75" customHeight="1">
      <c r="X233" s="30"/>
    </row>
    <row r="234" spans="24:24" ht="15.75" customHeight="1">
      <c r="X234" s="30"/>
    </row>
    <row r="235" spans="24:24" ht="15.75" customHeight="1">
      <c r="X235" s="30"/>
    </row>
    <row r="236" spans="24:24" ht="15.75" customHeight="1">
      <c r="X236" s="30"/>
    </row>
    <row r="237" spans="24:24" ht="15.75" customHeight="1">
      <c r="X237" s="30"/>
    </row>
    <row r="238" spans="24:24" ht="15.75" customHeight="1">
      <c r="X238" s="30"/>
    </row>
    <row r="239" spans="24:24" ht="15.75" customHeight="1">
      <c r="X239" s="30"/>
    </row>
    <row r="240" spans="24:24" ht="15.75" customHeight="1">
      <c r="X240" s="30"/>
    </row>
    <row r="241" spans="24:24" ht="15.75" customHeight="1">
      <c r="X241" s="30"/>
    </row>
    <row r="242" spans="24:24" ht="15.75" customHeight="1">
      <c r="X242" s="30"/>
    </row>
    <row r="243" spans="24:24" ht="15.75" customHeight="1">
      <c r="X243" s="30"/>
    </row>
    <row r="244" spans="24:24" ht="15.75" customHeight="1">
      <c r="X244" s="30"/>
    </row>
    <row r="245" spans="24:24" ht="15.75" customHeight="1">
      <c r="X245" s="30"/>
    </row>
    <row r="246" spans="24:24" ht="15.75" customHeight="1">
      <c r="X246" s="30"/>
    </row>
    <row r="247" spans="24:24" ht="15.75" customHeight="1">
      <c r="X247" s="30"/>
    </row>
    <row r="248" spans="24:24" ht="15.75" customHeight="1">
      <c r="X248" s="30"/>
    </row>
    <row r="249" spans="24:24" ht="15.75" customHeight="1">
      <c r="X249" s="30"/>
    </row>
    <row r="250" spans="24:24" ht="15.75" customHeight="1">
      <c r="X250" s="30"/>
    </row>
    <row r="251" spans="24:24" ht="15.75" customHeight="1">
      <c r="X251" s="30"/>
    </row>
    <row r="252" spans="24:24" ht="15.75" customHeight="1">
      <c r="X252" s="30"/>
    </row>
    <row r="253" spans="24:24" ht="15.75" customHeight="1">
      <c r="X253" s="30"/>
    </row>
    <row r="254" spans="24:24" ht="15.75" customHeight="1">
      <c r="X254" s="30"/>
    </row>
    <row r="255" spans="24:24" ht="15.75" customHeight="1">
      <c r="X255" s="30"/>
    </row>
    <row r="256" spans="24:24" ht="15.75" customHeight="1">
      <c r="X256" s="30"/>
    </row>
    <row r="257" spans="24:24" ht="15.75" customHeight="1">
      <c r="X257" s="30"/>
    </row>
    <row r="258" spans="24:24" ht="15.75" customHeight="1">
      <c r="X258" s="30"/>
    </row>
    <row r="259" spans="24:24" ht="15.75" customHeight="1">
      <c r="X259" s="30"/>
    </row>
    <row r="260" spans="24:24" ht="15.75" customHeight="1">
      <c r="X260" s="30"/>
    </row>
    <row r="261" spans="24:24" ht="15.75" customHeight="1">
      <c r="X261" s="30"/>
    </row>
    <row r="262" spans="24:24" ht="15.75" customHeight="1">
      <c r="X262" s="30"/>
    </row>
    <row r="263" spans="24:24" ht="15.75" customHeight="1">
      <c r="X263" s="30"/>
    </row>
    <row r="264" spans="24:24" ht="15.75" customHeight="1">
      <c r="X264" s="30"/>
    </row>
    <row r="265" spans="24:24" ht="15.75" customHeight="1">
      <c r="X265" s="30"/>
    </row>
    <row r="266" spans="24:24" ht="15.75" customHeight="1">
      <c r="X266" s="30"/>
    </row>
    <row r="267" spans="24:24" ht="15.75" customHeight="1">
      <c r="X267" s="30"/>
    </row>
    <row r="268" spans="24:24" ht="15.75" customHeight="1">
      <c r="X268" s="30"/>
    </row>
    <row r="269" spans="24:24" ht="15.75" customHeight="1">
      <c r="X269" s="30"/>
    </row>
    <row r="270" spans="24:24" ht="15.75" customHeight="1">
      <c r="X270" s="30"/>
    </row>
    <row r="271" spans="24:24" ht="15.75" customHeight="1">
      <c r="X271" s="30"/>
    </row>
    <row r="272" spans="24:24" ht="15.75" customHeight="1">
      <c r="X272" s="30"/>
    </row>
    <row r="273" spans="24:24" ht="15.75" customHeight="1">
      <c r="X273" s="30"/>
    </row>
    <row r="274" spans="24:24" ht="15.75" customHeight="1">
      <c r="X274" s="30"/>
    </row>
    <row r="275" spans="24:24" ht="15.75" customHeight="1">
      <c r="X275" s="30"/>
    </row>
    <row r="276" spans="24:24" ht="15.75" customHeight="1">
      <c r="X276" s="30"/>
    </row>
    <row r="277" spans="24:24" ht="15.75" customHeight="1">
      <c r="X277" s="30"/>
    </row>
    <row r="278" spans="24:24" ht="15.75" customHeight="1">
      <c r="X278" s="30"/>
    </row>
    <row r="279" spans="24:24" ht="15.75" customHeight="1">
      <c r="X279" s="30"/>
    </row>
    <row r="280" spans="24:24" ht="15.75" customHeight="1">
      <c r="X280" s="30"/>
    </row>
    <row r="281" spans="24:24" ht="15.75" customHeight="1">
      <c r="X281" s="30"/>
    </row>
    <row r="282" spans="24:24" ht="15.75" customHeight="1">
      <c r="X282" s="30"/>
    </row>
    <row r="283" spans="24:24" ht="15.75" customHeight="1">
      <c r="X283" s="30"/>
    </row>
    <row r="284" spans="24:24" ht="15.75" customHeight="1">
      <c r="X284" s="30"/>
    </row>
    <row r="285" spans="24:24" ht="15.75" customHeight="1">
      <c r="X285" s="30"/>
    </row>
    <row r="286" spans="24:24" ht="15.75" customHeight="1">
      <c r="X286" s="30"/>
    </row>
    <row r="287" spans="24:24" ht="15.75" customHeight="1">
      <c r="X287" s="30"/>
    </row>
    <row r="288" spans="24:24" ht="15.75" customHeight="1">
      <c r="X288" s="30"/>
    </row>
    <row r="289" spans="24:24" ht="15.75" customHeight="1">
      <c r="X289" s="30"/>
    </row>
    <row r="290" spans="24:24" ht="15.75" customHeight="1">
      <c r="X290" s="30"/>
    </row>
    <row r="291" spans="24:24" ht="15.75" customHeight="1">
      <c r="X291" s="30"/>
    </row>
    <row r="292" spans="24:24" ht="15.75" customHeight="1">
      <c r="X292" s="30"/>
    </row>
    <row r="293" spans="24:24" ht="15.75" customHeight="1">
      <c r="X293" s="30"/>
    </row>
    <row r="294" spans="24:24" ht="15.75" customHeight="1">
      <c r="X294" s="30"/>
    </row>
    <row r="295" spans="24:24" ht="15.75" customHeight="1">
      <c r="X295" s="30"/>
    </row>
    <row r="296" spans="24:24" ht="15.75" customHeight="1">
      <c r="X296" s="30"/>
    </row>
    <row r="297" spans="24:24" ht="15.75" customHeight="1">
      <c r="X297" s="30"/>
    </row>
    <row r="298" spans="24:24" ht="15.75" customHeight="1">
      <c r="X298" s="30"/>
    </row>
    <row r="299" spans="24:24" ht="15.75" customHeight="1">
      <c r="X299" s="30"/>
    </row>
    <row r="300" spans="24:24" ht="15.75" customHeight="1">
      <c r="X300" s="30"/>
    </row>
    <row r="301" spans="24:24" ht="15.75" customHeight="1">
      <c r="X301" s="30"/>
    </row>
    <row r="302" spans="24:24" ht="15.75" customHeight="1">
      <c r="X302" s="30"/>
    </row>
    <row r="303" spans="24:24" ht="15.75" customHeight="1">
      <c r="X303" s="30"/>
    </row>
    <row r="304" spans="24:24" ht="15.75" customHeight="1">
      <c r="X304" s="30"/>
    </row>
    <row r="305" spans="24:24" ht="15.75" customHeight="1">
      <c r="X305" s="30"/>
    </row>
    <row r="306" spans="24:24" ht="15.75" customHeight="1">
      <c r="X306" s="30"/>
    </row>
    <row r="307" spans="24:24" ht="15.75" customHeight="1">
      <c r="X307" s="30"/>
    </row>
    <row r="308" spans="24:24" ht="15.75" customHeight="1">
      <c r="X308" s="30"/>
    </row>
    <row r="309" spans="24:24" ht="15.75" customHeight="1">
      <c r="X309" s="30"/>
    </row>
    <row r="310" spans="24:24" ht="15.75" customHeight="1">
      <c r="X310" s="30"/>
    </row>
    <row r="311" spans="24:24" ht="15.75" customHeight="1">
      <c r="X311" s="30"/>
    </row>
    <row r="312" spans="24:24" ht="15.75" customHeight="1">
      <c r="X312" s="30"/>
    </row>
    <row r="313" spans="24:24" ht="15.75" customHeight="1">
      <c r="X313" s="30"/>
    </row>
    <row r="314" spans="24:24" ht="15.75" customHeight="1">
      <c r="X314" s="30"/>
    </row>
    <row r="315" spans="24:24" ht="15.75" customHeight="1">
      <c r="X315" s="30"/>
    </row>
    <row r="316" spans="24:24" ht="15.75" customHeight="1">
      <c r="X316" s="30"/>
    </row>
    <row r="317" spans="24:24" ht="15.75" customHeight="1">
      <c r="X317" s="30"/>
    </row>
    <row r="318" spans="24:24" ht="15.75" customHeight="1">
      <c r="X318" s="30"/>
    </row>
    <row r="319" spans="24:24" ht="15.75" customHeight="1">
      <c r="X319" s="30"/>
    </row>
    <row r="320" spans="24:24" ht="15.75" customHeight="1">
      <c r="X320" s="30"/>
    </row>
    <row r="321" spans="24:24" ht="15.75" customHeight="1">
      <c r="X321" s="30"/>
    </row>
    <row r="322" spans="24:24" ht="15.75" customHeight="1">
      <c r="X322" s="30"/>
    </row>
    <row r="323" spans="24:24" ht="15.75" customHeight="1">
      <c r="X323" s="30"/>
    </row>
    <row r="324" spans="24:24" ht="15.75" customHeight="1">
      <c r="X324" s="30"/>
    </row>
    <row r="325" spans="24:24" ht="15.75" customHeight="1">
      <c r="X325" s="30"/>
    </row>
    <row r="326" spans="24:24" ht="15.75" customHeight="1">
      <c r="X326" s="30"/>
    </row>
    <row r="327" spans="24:24" ht="15.75" customHeight="1">
      <c r="X327" s="30"/>
    </row>
    <row r="328" spans="24:24" ht="15.75" customHeight="1">
      <c r="X328" s="30"/>
    </row>
    <row r="329" spans="24:24" ht="15.75" customHeight="1">
      <c r="X329" s="30"/>
    </row>
    <row r="330" spans="24:24" ht="15.75" customHeight="1">
      <c r="X330" s="30"/>
    </row>
    <row r="331" spans="24:24" ht="15.75" customHeight="1">
      <c r="X331" s="30"/>
    </row>
    <row r="332" spans="24:24" ht="15.75" customHeight="1">
      <c r="X332" s="30"/>
    </row>
    <row r="333" spans="24:24" ht="15.75" customHeight="1">
      <c r="X333" s="30"/>
    </row>
    <row r="334" spans="24:24" ht="15.75" customHeight="1">
      <c r="X334" s="30"/>
    </row>
    <row r="335" spans="24:24" ht="15.75" customHeight="1">
      <c r="X335" s="30"/>
    </row>
    <row r="336" spans="24:24" ht="15.75" customHeight="1">
      <c r="X336" s="30"/>
    </row>
    <row r="337" spans="24:24" ht="15.75" customHeight="1">
      <c r="X337" s="30"/>
    </row>
    <row r="338" spans="24:24" ht="15.75" customHeight="1">
      <c r="X338" s="30"/>
    </row>
    <row r="339" spans="24:24" ht="15.75" customHeight="1">
      <c r="X339" s="30"/>
    </row>
    <row r="340" spans="24:24" ht="15.75" customHeight="1">
      <c r="X340" s="30"/>
    </row>
    <row r="341" spans="24:24" ht="15.75" customHeight="1">
      <c r="X341" s="30"/>
    </row>
    <row r="342" spans="24:24" ht="15.75" customHeight="1">
      <c r="X342" s="30"/>
    </row>
    <row r="343" spans="24:24" ht="15.75" customHeight="1">
      <c r="X343" s="30"/>
    </row>
    <row r="344" spans="24:24" ht="15.75" customHeight="1">
      <c r="X344" s="30"/>
    </row>
    <row r="345" spans="24:24" ht="15.75" customHeight="1">
      <c r="X345" s="30"/>
    </row>
    <row r="346" spans="24:24" ht="15.75" customHeight="1">
      <c r="X346" s="30"/>
    </row>
    <row r="347" spans="24:24" ht="15.75" customHeight="1">
      <c r="X347" s="30"/>
    </row>
    <row r="348" spans="24:24" ht="15.75" customHeight="1">
      <c r="X348" s="30"/>
    </row>
    <row r="349" spans="24:24" ht="15.75" customHeight="1">
      <c r="X349" s="30"/>
    </row>
    <row r="350" spans="24:24" ht="15.75" customHeight="1">
      <c r="X350" s="30"/>
    </row>
    <row r="351" spans="24:24" ht="15.75" customHeight="1">
      <c r="X351" s="30"/>
    </row>
    <row r="352" spans="24:24" ht="15.75" customHeight="1">
      <c r="X352" s="30"/>
    </row>
    <row r="353" spans="24:24" ht="15.75" customHeight="1">
      <c r="X353" s="30"/>
    </row>
    <row r="354" spans="24:24" ht="15.75" customHeight="1">
      <c r="X354" s="30"/>
    </row>
    <row r="355" spans="24:24" ht="15.75" customHeight="1">
      <c r="X355" s="30"/>
    </row>
    <row r="356" spans="24:24" ht="15.75" customHeight="1">
      <c r="X356" s="30"/>
    </row>
    <row r="357" spans="24:24" ht="15.75" customHeight="1">
      <c r="X357" s="30"/>
    </row>
    <row r="358" spans="24:24" ht="15.75" customHeight="1">
      <c r="X358" s="30"/>
    </row>
    <row r="359" spans="24:24" ht="15.75" customHeight="1">
      <c r="X359" s="30"/>
    </row>
    <row r="360" spans="24:24" ht="15.75" customHeight="1">
      <c r="X360" s="30"/>
    </row>
    <row r="361" spans="24:24" ht="15.75" customHeight="1">
      <c r="X361" s="30"/>
    </row>
    <row r="362" spans="24:24" ht="15.75" customHeight="1">
      <c r="X362" s="30"/>
    </row>
    <row r="363" spans="24:24" ht="15.75" customHeight="1">
      <c r="X363" s="30"/>
    </row>
    <row r="364" spans="24:24" ht="15.75" customHeight="1">
      <c r="X364" s="30"/>
    </row>
    <row r="365" spans="24:24" ht="15.75" customHeight="1">
      <c r="X365" s="30"/>
    </row>
    <row r="366" spans="24:24" ht="15.75" customHeight="1">
      <c r="X366" s="30"/>
    </row>
    <row r="367" spans="24:24" ht="15.75" customHeight="1">
      <c r="X367" s="30"/>
    </row>
    <row r="368" spans="24:24" ht="15.75" customHeight="1">
      <c r="X368" s="30"/>
    </row>
    <row r="369" spans="24:24" ht="15.75" customHeight="1">
      <c r="X369" s="30"/>
    </row>
    <row r="370" spans="24:24" ht="15.75" customHeight="1">
      <c r="X370" s="30"/>
    </row>
    <row r="371" spans="24:24" ht="15.75" customHeight="1">
      <c r="X371" s="30"/>
    </row>
    <row r="372" spans="24:24" ht="15.75" customHeight="1">
      <c r="X372" s="30"/>
    </row>
    <row r="373" spans="24:24" ht="15.75" customHeight="1">
      <c r="X373" s="30"/>
    </row>
    <row r="374" spans="24:24" ht="15.75" customHeight="1">
      <c r="X374" s="30"/>
    </row>
    <row r="375" spans="24:24" ht="15.75" customHeight="1">
      <c r="X375" s="30"/>
    </row>
    <row r="376" spans="24:24" ht="15.75" customHeight="1">
      <c r="X376" s="30"/>
    </row>
    <row r="377" spans="24:24" ht="15.75" customHeight="1">
      <c r="X377" s="30"/>
    </row>
    <row r="378" spans="24:24" ht="15.75" customHeight="1">
      <c r="X378" s="30"/>
    </row>
    <row r="379" spans="24:24" ht="15.75" customHeight="1">
      <c r="X379" s="30"/>
    </row>
    <row r="380" spans="24:24" ht="15.75" customHeight="1">
      <c r="X380" s="30"/>
    </row>
    <row r="381" spans="24:24" ht="15.75" customHeight="1">
      <c r="X381" s="30"/>
    </row>
    <row r="382" spans="24:24" ht="15.75" customHeight="1">
      <c r="X382" s="30"/>
    </row>
    <row r="383" spans="24:24" ht="15.75" customHeight="1">
      <c r="X383" s="30"/>
    </row>
    <row r="384" spans="24:24" ht="15.75" customHeight="1">
      <c r="X384" s="30"/>
    </row>
    <row r="385" spans="24:24" ht="15.75" customHeight="1">
      <c r="X385" s="30"/>
    </row>
    <row r="386" spans="24:24" ht="15.75" customHeight="1">
      <c r="X386" s="30"/>
    </row>
    <row r="387" spans="24:24" ht="15.75" customHeight="1">
      <c r="X387" s="30"/>
    </row>
    <row r="388" spans="24:24" ht="15.75" customHeight="1">
      <c r="X388" s="30"/>
    </row>
    <row r="389" spans="24:24" ht="15.75" customHeight="1">
      <c r="X389" s="30"/>
    </row>
    <row r="390" spans="24:24" ht="15.75" customHeight="1">
      <c r="X390" s="30"/>
    </row>
    <row r="391" spans="24:24" ht="15.75" customHeight="1">
      <c r="X391" s="30"/>
    </row>
    <row r="392" spans="24:24" ht="15.75" customHeight="1">
      <c r="X392" s="30"/>
    </row>
    <row r="393" spans="24:24" ht="15.75" customHeight="1">
      <c r="X393" s="30"/>
    </row>
    <row r="394" spans="24:24" ht="15.75" customHeight="1">
      <c r="X394" s="30"/>
    </row>
    <row r="395" spans="24:24" ht="15.75" customHeight="1">
      <c r="X395" s="30"/>
    </row>
    <row r="396" spans="24:24" ht="15.75" customHeight="1">
      <c r="X396" s="30"/>
    </row>
    <row r="397" spans="24:24" ht="15.75" customHeight="1">
      <c r="X397" s="30"/>
    </row>
    <row r="398" spans="24:24" ht="15.75" customHeight="1">
      <c r="X398" s="30"/>
    </row>
    <row r="399" spans="24:24" ht="15.75" customHeight="1">
      <c r="X399" s="30"/>
    </row>
    <row r="400" spans="24:24" ht="15.75" customHeight="1">
      <c r="X400" s="30"/>
    </row>
    <row r="401" spans="24:24" ht="15.75" customHeight="1">
      <c r="X401" s="30"/>
    </row>
    <row r="402" spans="24:24" ht="15.75" customHeight="1">
      <c r="X402" s="30"/>
    </row>
    <row r="403" spans="24:24" ht="15.75" customHeight="1">
      <c r="X403" s="30"/>
    </row>
    <row r="404" spans="24:24" ht="15.75" customHeight="1">
      <c r="X404" s="30"/>
    </row>
    <row r="405" spans="24:24" ht="15.75" customHeight="1">
      <c r="X405" s="30"/>
    </row>
    <row r="406" spans="24:24" ht="15.75" customHeight="1">
      <c r="X406" s="30"/>
    </row>
    <row r="407" spans="24:24" ht="15.75" customHeight="1">
      <c r="X407" s="30"/>
    </row>
    <row r="408" spans="24:24" ht="15.75" customHeight="1">
      <c r="X408" s="30"/>
    </row>
    <row r="409" spans="24:24" ht="15.75" customHeight="1">
      <c r="X409" s="30"/>
    </row>
    <row r="410" spans="24:24" ht="15.75" customHeight="1">
      <c r="X410" s="30"/>
    </row>
    <row r="411" spans="24:24" ht="15.75" customHeight="1">
      <c r="X411" s="30"/>
    </row>
    <row r="412" spans="24:24" ht="15.75" customHeight="1">
      <c r="X412" s="30"/>
    </row>
    <row r="413" spans="24:24" ht="15.75" customHeight="1">
      <c r="X413" s="30"/>
    </row>
    <row r="414" spans="24:24" ht="15.75" customHeight="1">
      <c r="X414" s="30"/>
    </row>
    <row r="415" spans="24:24" ht="15.75" customHeight="1">
      <c r="X415" s="30"/>
    </row>
    <row r="416" spans="24:24" ht="15.75" customHeight="1">
      <c r="X416" s="30"/>
    </row>
    <row r="417" spans="24:24" ht="15.75" customHeight="1">
      <c r="X417" s="30"/>
    </row>
    <row r="418" spans="24:24" ht="15.75" customHeight="1">
      <c r="X418" s="30"/>
    </row>
    <row r="419" spans="24:24" ht="15.75" customHeight="1">
      <c r="X419" s="30"/>
    </row>
    <row r="420" spans="24:24" ht="15.75" customHeight="1">
      <c r="X420" s="30"/>
    </row>
    <row r="421" spans="24:24" ht="15.75" customHeight="1">
      <c r="X421" s="30"/>
    </row>
    <row r="422" spans="24:24" ht="15.75" customHeight="1">
      <c r="X422" s="30"/>
    </row>
    <row r="423" spans="24:24" ht="15.75" customHeight="1">
      <c r="X423" s="30"/>
    </row>
    <row r="424" spans="24:24" ht="15.75" customHeight="1">
      <c r="X424" s="30"/>
    </row>
    <row r="425" spans="24:24" ht="15.75" customHeight="1">
      <c r="X425" s="30"/>
    </row>
    <row r="426" spans="24:24" ht="15.75" customHeight="1">
      <c r="X426" s="30"/>
    </row>
    <row r="427" spans="24:24" ht="15.75" customHeight="1">
      <c r="X427" s="30"/>
    </row>
    <row r="428" spans="24:24" ht="15.75" customHeight="1">
      <c r="X428" s="30"/>
    </row>
    <row r="429" spans="24:24" ht="15.75" customHeight="1">
      <c r="X429" s="30"/>
    </row>
    <row r="430" spans="24:24" ht="15.75" customHeight="1">
      <c r="X430" s="30"/>
    </row>
    <row r="431" spans="24:24" ht="15.75" customHeight="1">
      <c r="X431" s="30"/>
    </row>
    <row r="432" spans="24:24" ht="15.75" customHeight="1">
      <c r="X432" s="30"/>
    </row>
    <row r="433" spans="24:24" ht="15.75" customHeight="1">
      <c r="X433" s="30"/>
    </row>
    <row r="434" spans="24:24" ht="15.75" customHeight="1">
      <c r="X434" s="30"/>
    </row>
    <row r="435" spans="24:24" ht="15.75" customHeight="1">
      <c r="X435" s="30"/>
    </row>
    <row r="436" spans="24:24" ht="15.75" customHeight="1">
      <c r="X436" s="30"/>
    </row>
    <row r="437" spans="24:24" ht="15.75" customHeight="1">
      <c r="X437" s="30"/>
    </row>
    <row r="438" spans="24:24" ht="15.75" customHeight="1">
      <c r="X438" s="30"/>
    </row>
    <row r="439" spans="24:24" ht="15.75" customHeight="1">
      <c r="X439" s="30"/>
    </row>
    <row r="440" spans="24:24" ht="15.75" customHeight="1">
      <c r="X440" s="30"/>
    </row>
    <row r="441" spans="24:24" ht="15.75" customHeight="1">
      <c r="X441" s="30"/>
    </row>
    <row r="442" spans="24:24" ht="15.75" customHeight="1">
      <c r="X442" s="30"/>
    </row>
    <row r="443" spans="24:24" ht="15.75" customHeight="1">
      <c r="X443" s="30"/>
    </row>
    <row r="444" spans="24:24" ht="15.75" customHeight="1">
      <c r="X444" s="30"/>
    </row>
    <row r="445" spans="24:24" ht="15.75" customHeight="1">
      <c r="X445" s="30"/>
    </row>
    <row r="446" spans="24:24" ht="15.75" customHeight="1">
      <c r="X446" s="30"/>
    </row>
    <row r="447" spans="24:24" ht="15.75" customHeight="1">
      <c r="X447" s="30"/>
    </row>
    <row r="448" spans="24:24" ht="15.75" customHeight="1">
      <c r="X448" s="30"/>
    </row>
    <row r="449" spans="24:24" ht="15.75" customHeight="1">
      <c r="X449" s="30"/>
    </row>
    <row r="450" spans="24:24" ht="15.75" customHeight="1">
      <c r="X450" s="30"/>
    </row>
    <row r="451" spans="24:24" ht="15.75" customHeight="1">
      <c r="X451" s="30"/>
    </row>
    <row r="452" spans="24:24" ht="15.75" customHeight="1">
      <c r="X452" s="30"/>
    </row>
    <row r="453" spans="24:24" ht="15.75" customHeight="1">
      <c r="X453" s="30"/>
    </row>
    <row r="454" spans="24:24" ht="15.75" customHeight="1">
      <c r="X454" s="30"/>
    </row>
    <row r="455" spans="24:24" ht="15.75" customHeight="1">
      <c r="X455" s="30"/>
    </row>
    <row r="456" spans="24:24" ht="15.75" customHeight="1">
      <c r="X456" s="30"/>
    </row>
    <row r="457" spans="24:24" ht="15.75" customHeight="1">
      <c r="X457" s="30"/>
    </row>
    <row r="458" spans="24:24" ht="15.75" customHeight="1">
      <c r="X458" s="30"/>
    </row>
    <row r="459" spans="24:24" ht="15.75" customHeight="1">
      <c r="X459" s="30"/>
    </row>
    <row r="460" spans="24:24" ht="15.75" customHeight="1">
      <c r="X460" s="30"/>
    </row>
    <row r="461" spans="24:24" ht="15.75" customHeight="1">
      <c r="X461" s="30"/>
    </row>
    <row r="462" spans="24:24" ht="15.75" customHeight="1">
      <c r="X462" s="30"/>
    </row>
    <row r="463" spans="24:24" ht="15.75" customHeight="1">
      <c r="X463" s="30"/>
    </row>
    <row r="464" spans="24:24" ht="15.75" customHeight="1">
      <c r="X464" s="30"/>
    </row>
    <row r="465" spans="24:24" ht="15.75" customHeight="1">
      <c r="X465" s="30"/>
    </row>
    <row r="466" spans="24:24" ht="15.75" customHeight="1">
      <c r="X466" s="30"/>
    </row>
    <row r="467" spans="24:24" ht="15.75" customHeight="1">
      <c r="X467" s="30"/>
    </row>
    <row r="468" spans="24:24" ht="15.75" customHeight="1">
      <c r="X468" s="30"/>
    </row>
    <row r="469" spans="24:24" ht="15.75" customHeight="1">
      <c r="X469" s="30"/>
    </row>
    <row r="470" spans="24:24" ht="15.75" customHeight="1">
      <c r="X470" s="30"/>
    </row>
    <row r="471" spans="24:24" ht="15.75" customHeight="1">
      <c r="X471" s="30"/>
    </row>
    <row r="472" spans="24:24" ht="15.75" customHeight="1">
      <c r="X472" s="30"/>
    </row>
    <row r="473" spans="24:24" ht="15.75" customHeight="1">
      <c r="X473" s="30"/>
    </row>
    <row r="474" spans="24:24" ht="15.75" customHeight="1">
      <c r="X474" s="30"/>
    </row>
    <row r="475" spans="24:24" ht="15.75" customHeight="1">
      <c r="X475" s="30"/>
    </row>
    <row r="476" spans="24:24" ht="15.75" customHeight="1">
      <c r="X476" s="30"/>
    </row>
    <row r="477" spans="24:24" ht="15.75" customHeight="1">
      <c r="X477" s="30"/>
    </row>
    <row r="478" spans="24:24" ht="15.75" customHeight="1">
      <c r="X478" s="30"/>
    </row>
    <row r="479" spans="24:24" ht="15.75" customHeight="1">
      <c r="X479" s="30"/>
    </row>
    <row r="480" spans="24:24" ht="15.75" customHeight="1">
      <c r="X480" s="30"/>
    </row>
    <row r="481" spans="24:24" ht="15.75" customHeight="1">
      <c r="X481" s="30"/>
    </row>
    <row r="482" spans="24:24" ht="15.75" customHeight="1">
      <c r="X482" s="30"/>
    </row>
    <row r="483" spans="24:24" ht="15.75" customHeight="1">
      <c r="X483" s="30"/>
    </row>
    <row r="484" spans="24:24" ht="15.75" customHeight="1">
      <c r="X484" s="30"/>
    </row>
    <row r="485" spans="24:24" ht="15.75" customHeight="1">
      <c r="X485" s="30"/>
    </row>
    <row r="486" spans="24:24" ht="15.75" customHeight="1">
      <c r="X486" s="30"/>
    </row>
    <row r="487" spans="24:24" ht="15.75" customHeight="1">
      <c r="X487" s="30"/>
    </row>
    <row r="488" spans="24:24" ht="15.75" customHeight="1">
      <c r="X488" s="30"/>
    </row>
    <row r="489" spans="24:24" ht="15.75" customHeight="1">
      <c r="X489" s="30"/>
    </row>
    <row r="490" spans="24:24" ht="15.75" customHeight="1">
      <c r="X490" s="30"/>
    </row>
    <row r="491" spans="24:24" ht="15.75" customHeight="1">
      <c r="X491" s="30"/>
    </row>
    <row r="492" spans="24:24" ht="15.75" customHeight="1">
      <c r="X492" s="30"/>
    </row>
    <row r="493" spans="24:24" ht="15.75" customHeight="1">
      <c r="X493" s="30"/>
    </row>
    <row r="494" spans="24:24" ht="15.75" customHeight="1">
      <c r="X494" s="30"/>
    </row>
    <row r="495" spans="24:24" ht="15.75" customHeight="1">
      <c r="X495" s="30"/>
    </row>
    <row r="496" spans="24:24" ht="15.75" customHeight="1">
      <c r="X496" s="30"/>
    </row>
    <row r="497" spans="24:24" ht="15.75" customHeight="1">
      <c r="X497" s="30"/>
    </row>
    <row r="498" spans="24:24" ht="15.75" customHeight="1">
      <c r="X498" s="30"/>
    </row>
    <row r="499" spans="24:24" ht="15.75" customHeight="1">
      <c r="X499" s="30"/>
    </row>
    <row r="500" spans="24:24" ht="15.75" customHeight="1">
      <c r="X500" s="30"/>
    </row>
    <row r="501" spans="24:24" ht="15.75" customHeight="1">
      <c r="X501" s="30"/>
    </row>
    <row r="502" spans="24:24" ht="15.75" customHeight="1">
      <c r="X502" s="30"/>
    </row>
    <row r="503" spans="24:24" ht="15.75" customHeight="1">
      <c r="X503" s="30"/>
    </row>
    <row r="504" spans="24:24" ht="15.75" customHeight="1">
      <c r="X504" s="30"/>
    </row>
    <row r="505" spans="24:24" ht="15.75" customHeight="1">
      <c r="X505" s="30"/>
    </row>
    <row r="506" spans="24:24" ht="15.75" customHeight="1">
      <c r="X506" s="30"/>
    </row>
    <row r="507" spans="24:24" ht="15.75" customHeight="1">
      <c r="X507" s="30"/>
    </row>
    <row r="508" spans="24:24" ht="15.75" customHeight="1">
      <c r="X508" s="30"/>
    </row>
    <row r="509" spans="24:24" ht="15.75" customHeight="1">
      <c r="X509" s="30"/>
    </row>
    <row r="510" spans="24:24" ht="15.75" customHeight="1">
      <c r="X510" s="30"/>
    </row>
    <row r="511" spans="24:24" ht="15.75" customHeight="1">
      <c r="X511" s="30"/>
    </row>
    <row r="512" spans="24:24" ht="15.75" customHeight="1">
      <c r="X512" s="30"/>
    </row>
    <row r="513" spans="24:24" ht="15.75" customHeight="1">
      <c r="X513" s="30"/>
    </row>
    <row r="514" spans="24:24" ht="15.75" customHeight="1">
      <c r="X514" s="30"/>
    </row>
    <row r="515" spans="24:24" ht="15.75" customHeight="1">
      <c r="X515" s="30"/>
    </row>
    <row r="516" spans="24:24" ht="15.75" customHeight="1">
      <c r="X516" s="30"/>
    </row>
    <row r="517" spans="24:24" ht="15.75" customHeight="1">
      <c r="X517" s="30"/>
    </row>
    <row r="518" spans="24:24" ht="15.75" customHeight="1">
      <c r="X518" s="30"/>
    </row>
    <row r="519" spans="24:24" ht="15.75" customHeight="1">
      <c r="X519" s="30"/>
    </row>
    <row r="520" spans="24:24" ht="15.75" customHeight="1">
      <c r="X520" s="30"/>
    </row>
    <row r="521" spans="24:24" ht="15.75" customHeight="1">
      <c r="X521" s="30"/>
    </row>
    <row r="522" spans="24:24" ht="15.75" customHeight="1">
      <c r="X522" s="30"/>
    </row>
    <row r="523" spans="24:24" ht="15.75" customHeight="1">
      <c r="X523" s="30"/>
    </row>
    <row r="524" spans="24:24" ht="15.75" customHeight="1">
      <c r="X524" s="30"/>
    </row>
    <row r="525" spans="24:24" ht="15.75" customHeight="1">
      <c r="X525" s="30"/>
    </row>
    <row r="526" spans="24:24" ht="15.75" customHeight="1">
      <c r="X526" s="30"/>
    </row>
    <row r="527" spans="24:24" ht="15.75" customHeight="1">
      <c r="X527" s="30"/>
    </row>
    <row r="528" spans="24:24" ht="15.75" customHeight="1">
      <c r="X528" s="30"/>
    </row>
    <row r="529" spans="24:24" ht="15.75" customHeight="1">
      <c r="X529" s="30"/>
    </row>
    <row r="530" spans="24:24" ht="15.75" customHeight="1">
      <c r="X530" s="30"/>
    </row>
    <row r="531" spans="24:24" ht="15.75" customHeight="1">
      <c r="X531" s="30"/>
    </row>
    <row r="532" spans="24:24" ht="15.75" customHeight="1">
      <c r="X532" s="30"/>
    </row>
    <row r="533" spans="24:24" ht="15.75" customHeight="1">
      <c r="X533" s="30"/>
    </row>
    <row r="534" spans="24:24" ht="15.75" customHeight="1">
      <c r="X534" s="30"/>
    </row>
    <row r="535" spans="24:24" ht="15.75" customHeight="1">
      <c r="X535" s="30"/>
    </row>
    <row r="536" spans="24:24" ht="15.75" customHeight="1">
      <c r="X536" s="30"/>
    </row>
    <row r="537" spans="24:24" ht="15.75" customHeight="1">
      <c r="X537" s="30"/>
    </row>
    <row r="538" spans="24:24" ht="15.75" customHeight="1">
      <c r="X538" s="30"/>
    </row>
    <row r="539" spans="24:24" ht="15.75" customHeight="1">
      <c r="X539" s="30"/>
    </row>
    <row r="540" spans="24:24" ht="15.75" customHeight="1">
      <c r="X540" s="30"/>
    </row>
    <row r="541" spans="24:24" ht="15.75" customHeight="1">
      <c r="X541" s="30"/>
    </row>
    <row r="542" spans="24:24" ht="15.75" customHeight="1">
      <c r="X542" s="30"/>
    </row>
    <row r="543" spans="24:24" ht="15.75" customHeight="1">
      <c r="X543" s="30"/>
    </row>
    <row r="544" spans="24:24" ht="15.75" customHeight="1">
      <c r="X544" s="30"/>
    </row>
    <row r="545" spans="24:24" ht="15.75" customHeight="1">
      <c r="X545" s="30"/>
    </row>
    <row r="546" spans="24:24" ht="15.75" customHeight="1">
      <c r="X546" s="30"/>
    </row>
    <row r="547" spans="24:24" ht="15.75" customHeight="1">
      <c r="X547" s="30"/>
    </row>
    <row r="548" spans="24:24" ht="15.75" customHeight="1">
      <c r="X548" s="30"/>
    </row>
    <row r="549" spans="24:24" ht="15.75" customHeight="1">
      <c r="X549" s="30"/>
    </row>
    <row r="550" spans="24:24" ht="15.75" customHeight="1">
      <c r="X550" s="30"/>
    </row>
    <row r="551" spans="24:24" ht="15.75" customHeight="1">
      <c r="X551" s="30"/>
    </row>
    <row r="552" spans="24:24" ht="15.75" customHeight="1">
      <c r="X552" s="30"/>
    </row>
    <row r="553" spans="24:24" ht="15.75" customHeight="1">
      <c r="X553" s="30"/>
    </row>
    <row r="554" spans="24:24" ht="15.75" customHeight="1">
      <c r="X554" s="30"/>
    </row>
    <row r="555" spans="24:24" ht="15.75" customHeight="1">
      <c r="X555" s="30"/>
    </row>
    <row r="556" spans="24:24" ht="15.75" customHeight="1">
      <c r="X556" s="30"/>
    </row>
    <row r="557" spans="24:24" ht="15.75" customHeight="1">
      <c r="X557" s="30"/>
    </row>
    <row r="558" spans="24:24" ht="15.75" customHeight="1">
      <c r="X558" s="30"/>
    </row>
    <row r="559" spans="24:24" ht="15.75" customHeight="1">
      <c r="X559" s="30"/>
    </row>
    <row r="560" spans="24:24" ht="15.75" customHeight="1">
      <c r="X560" s="30"/>
    </row>
    <row r="561" spans="24:24" ht="15.75" customHeight="1">
      <c r="X561" s="30"/>
    </row>
    <row r="562" spans="24:24" ht="15.75" customHeight="1">
      <c r="X562" s="30"/>
    </row>
    <row r="563" spans="24:24" ht="15.75" customHeight="1">
      <c r="X563" s="30"/>
    </row>
    <row r="564" spans="24:24" ht="15.75" customHeight="1">
      <c r="X564" s="30"/>
    </row>
    <row r="565" spans="24:24" ht="15.75" customHeight="1">
      <c r="X565" s="30"/>
    </row>
    <row r="566" spans="24:24" ht="15.75" customHeight="1">
      <c r="X566" s="30"/>
    </row>
    <row r="567" spans="24:24" ht="15.75" customHeight="1">
      <c r="X567" s="30"/>
    </row>
    <row r="568" spans="24:24" ht="15.75" customHeight="1">
      <c r="X568" s="30"/>
    </row>
    <row r="569" spans="24:24" ht="15.75" customHeight="1">
      <c r="X569" s="30"/>
    </row>
    <row r="570" spans="24:24" ht="15.75" customHeight="1">
      <c r="X570" s="30"/>
    </row>
    <row r="571" spans="24:24" ht="15.75" customHeight="1">
      <c r="X571" s="30"/>
    </row>
    <row r="572" spans="24:24" ht="15.75" customHeight="1">
      <c r="X572" s="30"/>
    </row>
    <row r="573" spans="24:24" ht="15.75" customHeight="1">
      <c r="X573" s="30"/>
    </row>
    <row r="574" spans="24:24" ht="15.75" customHeight="1">
      <c r="X574" s="30"/>
    </row>
    <row r="575" spans="24:24" ht="15.75" customHeight="1">
      <c r="X575" s="30"/>
    </row>
    <row r="576" spans="24:24" ht="15.75" customHeight="1">
      <c r="X576" s="30"/>
    </row>
    <row r="577" spans="24:24" ht="15.75" customHeight="1">
      <c r="X577" s="30"/>
    </row>
    <row r="578" spans="24:24" ht="15.75" customHeight="1">
      <c r="X578" s="30"/>
    </row>
    <row r="579" spans="24:24" ht="15.75" customHeight="1">
      <c r="X579" s="30"/>
    </row>
    <row r="580" spans="24:24" ht="15.75" customHeight="1">
      <c r="X580" s="30"/>
    </row>
    <row r="581" spans="24:24" ht="15.75" customHeight="1">
      <c r="X581" s="30"/>
    </row>
    <row r="582" spans="24:24" ht="15.75" customHeight="1">
      <c r="X582" s="30"/>
    </row>
    <row r="583" spans="24:24" ht="15.75" customHeight="1">
      <c r="X583" s="30"/>
    </row>
    <row r="584" spans="24:24" ht="15.75" customHeight="1">
      <c r="X584" s="30"/>
    </row>
    <row r="585" spans="24:24" ht="15.75" customHeight="1">
      <c r="X585" s="30"/>
    </row>
    <row r="586" spans="24:24" ht="15.75" customHeight="1">
      <c r="X586" s="30"/>
    </row>
    <row r="587" spans="24:24" ht="15.75" customHeight="1">
      <c r="X587" s="30"/>
    </row>
    <row r="588" spans="24:24" ht="15.75" customHeight="1">
      <c r="X588" s="30"/>
    </row>
    <row r="589" spans="24:24" ht="15.75" customHeight="1">
      <c r="X589" s="30"/>
    </row>
    <row r="590" spans="24:24" ht="15.75" customHeight="1">
      <c r="X590" s="30"/>
    </row>
    <row r="591" spans="24:24" ht="15.75" customHeight="1">
      <c r="X591" s="30"/>
    </row>
    <row r="592" spans="24:24" ht="15.75" customHeight="1">
      <c r="X592" s="30"/>
    </row>
    <row r="593" spans="24:24" ht="15.75" customHeight="1">
      <c r="X593" s="30"/>
    </row>
    <row r="594" spans="24:24" ht="15.75" customHeight="1">
      <c r="X594" s="30"/>
    </row>
    <row r="595" spans="24:24" ht="15.75" customHeight="1">
      <c r="X595" s="30"/>
    </row>
    <row r="596" spans="24:24" ht="15.75" customHeight="1">
      <c r="X596" s="30"/>
    </row>
    <row r="597" spans="24:24" ht="15.75" customHeight="1">
      <c r="X597" s="30"/>
    </row>
    <row r="598" spans="24:24" ht="15.75" customHeight="1">
      <c r="X598" s="30"/>
    </row>
    <row r="599" spans="24:24" ht="15.75" customHeight="1">
      <c r="X599" s="30"/>
    </row>
    <row r="600" spans="24:24" ht="15.75" customHeight="1">
      <c r="X600" s="30"/>
    </row>
    <row r="601" spans="24:24" ht="15.75" customHeight="1">
      <c r="X601" s="30"/>
    </row>
    <row r="602" spans="24:24" ht="15.75" customHeight="1">
      <c r="X602" s="30"/>
    </row>
    <row r="603" spans="24:24" ht="15.75" customHeight="1">
      <c r="X603" s="30"/>
    </row>
    <row r="604" spans="24:24" ht="15.75" customHeight="1">
      <c r="X604" s="30"/>
    </row>
    <row r="605" spans="24:24" ht="15.75" customHeight="1">
      <c r="X605" s="30"/>
    </row>
    <row r="606" spans="24:24" ht="15.75" customHeight="1">
      <c r="X606" s="30"/>
    </row>
    <row r="607" spans="24:24" ht="15.75" customHeight="1">
      <c r="X607" s="30"/>
    </row>
    <row r="608" spans="24:24" ht="15.75" customHeight="1">
      <c r="X608" s="30"/>
    </row>
    <row r="609" spans="24:24" ht="15.75" customHeight="1">
      <c r="X609" s="30"/>
    </row>
    <row r="610" spans="24:24" ht="15.75" customHeight="1">
      <c r="X610" s="30"/>
    </row>
    <row r="611" spans="24:24" ht="15.75" customHeight="1">
      <c r="X611" s="30"/>
    </row>
    <row r="612" spans="24:24" ht="15.75" customHeight="1">
      <c r="X612" s="30"/>
    </row>
    <row r="613" spans="24:24" ht="15.75" customHeight="1">
      <c r="X613" s="30"/>
    </row>
    <row r="614" spans="24:24" ht="15.75" customHeight="1">
      <c r="X614" s="30"/>
    </row>
    <row r="615" spans="24:24" ht="15.75" customHeight="1">
      <c r="X615" s="30"/>
    </row>
    <row r="616" spans="24:24" ht="15.75" customHeight="1">
      <c r="X616" s="30"/>
    </row>
    <row r="617" spans="24:24" ht="15.75" customHeight="1">
      <c r="X617" s="30"/>
    </row>
    <row r="618" spans="24:24" ht="15.75" customHeight="1">
      <c r="X618" s="30"/>
    </row>
    <row r="619" spans="24:24" ht="15.75" customHeight="1">
      <c r="X619" s="30"/>
    </row>
    <row r="620" spans="24:24" ht="15.75" customHeight="1">
      <c r="X620" s="30"/>
    </row>
    <row r="621" spans="24:24" ht="15.75" customHeight="1">
      <c r="X621" s="30"/>
    </row>
    <row r="622" spans="24:24" ht="15.75" customHeight="1">
      <c r="X622" s="30"/>
    </row>
    <row r="623" spans="24:24" ht="15.75" customHeight="1">
      <c r="X623" s="30"/>
    </row>
    <row r="624" spans="24:24" ht="15.75" customHeight="1">
      <c r="X624" s="30"/>
    </row>
    <row r="625" spans="24:24" ht="15.75" customHeight="1">
      <c r="X625" s="30"/>
    </row>
    <row r="626" spans="24:24" ht="15.75" customHeight="1">
      <c r="X626" s="30"/>
    </row>
    <row r="627" spans="24:24" ht="15.75" customHeight="1">
      <c r="X627" s="30"/>
    </row>
    <row r="628" spans="24:24" ht="15.75" customHeight="1">
      <c r="X628" s="30"/>
    </row>
    <row r="629" spans="24:24" ht="15.75" customHeight="1">
      <c r="X629" s="30"/>
    </row>
    <row r="630" spans="24:24" ht="15.75" customHeight="1">
      <c r="X630" s="30"/>
    </row>
    <row r="631" spans="24:24" ht="15.75" customHeight="1">
      <c r="X631" s="30"/>
    </row>
    <row r="632" spans="24:24" ht="15.75" customHeight="1">
      <c r="X632" s="30"/>
    </row>
    <row r="633" spans="24:24" ht="15.75" customHeight="1">
      <c r="X633" s="30"/>
    </row>
    <row r="634" spans="24:24" ht="15.75" customHeight="1">
      <c r="X634" s="30"/>
    </row>
    <row r="635" spans="24:24" ht="15.75" customHeight="1">
      <c r="X635" s="30"/>
    </row>
    <row r="636" spans="24:24" ht="15.75" customHeight="1">
      <c r="X636" s="30"/>
    </row>
    <row r="637" spans="24:24" ht="15.75" customHeight="1">
      <c r="X637" s="30"/>
    </row>
    <row r="638" spans="24:24" ht="15.75" customHeight="1">
      <c r="X638" s="30"/>
    </row>
    <row r="639" spans="24:24" ht="15.75" customHeight="1">
      <c r="X639" s="30"/>
    </row>
    <row r="640" spans="24:24" ht="15.75" customHeight="1">
      <c r="X640" s="30"/>
    </row>
    <row r="641" spans="24:24" ht="15.75" customHeight="1">
      <c r="X641" s="30"/>
    </row>
    <row r="642" spans="24:24" ht="15.75" customHeight="1">
      <c r="X642" s="30"/>
    </row>
    <row r="643" spans="24:24" ht="15.75" customHeight="1">
      <c r="X643" s="30"/>
    </row>
    <row r="644" spans="24:24" ht="15.75" customHeight="1">
      <c r="X644" s="30"/>
    </row>
    <row r="645" spans="24:24" ht="15.75" customHeight="1">
      <c r="X645" s="30"/>
    </row>
    <row r="646" spans="24:24" ht="15.75" customHeight="1">
      <c r="X646" s="30"/>
    </row>
    <row r="647" spans="24:24" ht="15.75" customHeight="1">
      <c r="X647" s="30"/>
    </row>
    <row r="648" spans="24:24" ht="15.75" customHeight="1">
      <c r="X648" s="30"/>
    </row>
    <row r="649" spans="24:24" ht="15.75" customHeight="1">
      <c r="X649" s="30"/>
    </row>
    <row r="650" spans="24:24" ht="15.75" customHeight="1">
      <c r="X650" s="30"/>
    </row>
    <row r="651" spans="24:24" ht="15.75" customHeight="1">
      <c r="X651" s="30"/>
    </row>
    <row r="652" spans="24:24" ht="15.75" customHeight="1">
      <c r="X652" s="30"/>
    </row>
    <row r="653" spans="24:24" ht="15.75" customHeight="1">
      <c r="X653" s="30"/>
    </row>
    <row r="654" spans="24:24" ht="15.75" customHeight="1">
      <c r="X654" s="30"/>
    </row>
    <row r="655" spans="24:24" ht="15.75" customHeight="1">
      <c r="X655" s="30"/>
    </row>
    <row r="656" spans="24:24" ht="15.75" customHeight="1">
      <c r="X656" s="30"/>
    </row>
    <row r="657" spans="24:24" ht="15.75" customHeight="1">
      <c r="X657" s="30"/>
    </row>
    <row r="658" spans="24:24" ht="15.75" customHeight="1">
      <c r="X658" s="30"/>
    </row>
    <row r="659" spans="24:24" ht="15.75" customHeight="1">
      <c r="X659" s="30"/>
    </row>
    <row r="660" spans="24:24" ht="15.75" customHeight="1">
      <c r="X660" s="30"/>
    </row>
    <row r="661" spans="24:24" ht="15.75" customHeight="1">
      <c r="X661" s="30"/>
    </row>
    <row r="662" spans="24:24" ht="15.75" customHeight="1">
      <c r="X662" s="30"/>
    </row>
    <row r="663" spans="24:24" ht="15.75" customHeight="1">
      <c r="X663" s="30"/>
    </row>
    <row r="664" spans="24:24" ht="15.75" customHeight="1">
      <c r="X664" s="30"/>
    </row>
    <row r="665" spans="24:24" ht="15.75" customHeight="1">
      <c r="X665" s="30"/>
    </row>
    <row r="666" spans="24:24" ht="15.75" customHeight="1">
      <c r="X666" s="30"/>
    </row>
    <row r="667" spans="24:24" ht="15.75" customHeight="1">
      <c r="X667" s="30"/>
    </row>
    <row r="668" spans="24:24" ht="15.75" customHeight="1">
      <c r="X668" s="30"/>
    </row>
    <row r="669" spans="24:24" ht="15.75" customHeight="1">
      <c r="X669" s="30"/>
    </row>
    <row r="670" spans="24:24" ht="15.75" customHeight="1">
      <c r="X670" s="30"/>
    </row>
    <row r="671" spans="24:24" ht="15.75" customHeight="1">
      <c r="X671" s="30"/>
    </row>
    <row r="672" spans="24:24" ht="15.75" customHeight="1">
      <c r="X672" s="30"/>
    </row>
    <row r="673" spans="24:24" ht="15.75" customHeight="1">
      <c r="X673" s="30"/>
    </row>
    <row r="674" spans="24:24" ht="15.75" customHeight="1">
      <c r="X674" s="30"/>
    </row>
    <row r="675" spans="24:24" ht="15.75" customHeight="1">
      <c r="X675" s="30"/>
    </row>
    <row r="676" spans="24:24" ht="15.75" customHeight="1">
      <c r="X676" s="30"/>
    </row>
    <row r="677" spans="24:24" ht="15.75" customHeight="1">
      <c r="X677" s="30"/>
    </row>
    <row r="678" spans="24:24" ht="15.75" customHeight="1">
      <c r="X678" s="30"/>
    </row>
    <row r="679" spans="24:24" ht="15.75" customHeight="1">
      <c r="X679" s="30"/>
    </row>
    <row r="680" spans="24:24" ht="15.75" customHeight="1">
      <c r="X680" s="30"/>
    </row>
    <row r="681" spans="24:24" ht="15.75" customHeight="1">
      <c r="X681" s="30"/>
    </row>
    <row r="682" spans="24:24" ht="15.75" customHeight="1">
      <c r="X682" s="30"/>
    </row>
    <row r="683" spans="24:24" ht="15.75" customHeight="1">
      <c r="X683" s="30"/>
    </row>
    <row r="684" spans="24:24" ht="15.75" customHeight="1">
      <c r="X684" s="30"/>
    </row>
    <row r="685" spans="24:24" ht="15.75" customHeight="1">
      <c r="X685" s="30"/>
    </row>
    <row r="686" spans="24:24" ht="15.75" customHeight="1">
      <c r="X686" s="30"/>
    </row>
    <row r="687" spans="24:24" ht="15.75" customHeight="1">
      <c r="X687" s="30"/>
    </row>
    <row r="688" spans="24:24" ht="15.75" customHeight="1">
      <c r="X688" s="30"/>
    </row>
    <row r="689" spans="24:24" ht="15.75" customHeight="1">
      <c r="X689" s="30"/>
    </row>
    <row r="690" spans="24:24" ht="15.75" customHeight="1">
      <c r="X690" s="30"/>
    </row>
    <row r="691" spans="24:24" ht="15.75" customHeight="1">
      <c r="X691" s="30"/>
    </row>
    <row r="692" spans="24:24" ht="15.75" customHeight="1">
      <c r="X692" s="30"/>
    </row>
    <row r="693" spans="24:24" ht="15.75" customHeight="1">
      <c r="X693" s="30"/>
    </row>
    <row r="694" spans="24:24" ht="15.75" customHeight="1">
      <c r="X694" s="30"/>
    </row>
    <row r="695" spans="24:24" ht="15.75" customHeight="1">
      <c r="X695" s="30"/>
    </row>
    <row r="696" spans="24:24" ht="15.75" customHeight="1">
      <c r="X696" s="30"/>
    </row>
    <row r="697" spans="24:24" ht="15.75" customHeight="1">
      <c r="X697" s="30"/>
    </row>
    <row r="698" spans="24:24" ht="15.75" customHeight="1">
      <c r="X698" s="30"/>
    </row>
    <row r="699" spans="24:24" ht="15.75" customHeight="1">
      <c r="X699" s="30"/>
    </row>
    <row r="700" spans="24:24" ht="15.75" customHeight="1">
      <c r="X700" s="30"/>
    </row>
    <row r="701" spans="24:24" ht="15.75" customHeight="1">
      <c r="X701" s="30"/>
    </row>
    <row r="702" spans="24:24" ht="15.75" customHeight="1">
      <c r="X702" s="30"/>
    </row>
    <row r="703" spans="24:24" ht="15.75" customHeight="1">
      <c r="X703" s="30"/>
    </row>
    <row r="704" spans="24:24" ht="15.75" customHeight="1">
      <c r="X704" s="30"/>
    </row>
    <row r="705" spans="24:24" ht="15.75" customHeight="1">
      <c r="X705" s="30"/>
    </row>
    <row r="706" spans="24:24" ht="15.75" customHeight="1">
      <c r="X706" s="30"/>
    </row>
    <row r="707" spans="24:24" ht="15.75" customHeight="1">
      <c r="X707" s="30"/>
    </row>
    <row r="708" spans="24:24" ht="15.75" customHeight="1">
      <c r="X708" s="30"/>
    </row>
    <row r="709" spans="24:24" ht="15.75" customHeight="1">
      <c r="X709" s="30"/>
    </row>
    <row r="710" spans="24:24" ht="15.75" customHeight="1">
      <c r="X710" s="30"/>
    </row>
    <row r="711" spans="24:24" ht="15.75" customHeight="1">
      <c r="X711" s="30"/>
    </row>
    <row r="712" spans="24:24" ht="15.75" customHeight="1">
      <c r="X712" s="30"/>
    </row>
    <row r="713" spans="24:24" ht="15.75" customHeight="1">
      <c r="X713" s="30"/>
    </row>
    <row r="714" spans="24:24" ht="15.75" customHeight="1">
      <c r="X714" s="30"/>
    </row>
    <row r="715" spans="24:24" ht="15.75" customHeight="1">
      <c r="X715" s="30"/>
    </row>
    <row r="716" spans="24:24" ht="15.75" customHeight="1">
      <c r="X716" s="30"/>
    </row>
    <row r="717" spans="24:24" ht="15.75" customHeight="1">
      <c r="X717" s="30"/>
    </row>
    <row r="718" spans="24:24" ht="15.75" customHeight="1">
      <c r="X718" s="30"/>
    </row>
    <row r="719" spans="24:24" ht="15.75" customHeight="1">
      <c r="X719" s="30"/>
    </row>
    <row r="720" spans="24:24" ht="15.75" customHeight="1">
      <c r="X720" s="30"/>
    </row>
    <row r="721" spans="24:24" ht="15.75" customHeight="1">
      <c r="X721" s="30"/>
    </row>
    <row r="722" spans="24:24" ht="15.75" customHeight="1">
      <c r="X722" s="30"/>
    </row>
    <row r="723" spans="24:24" ht="15.75" customHeight="1">
      <c r="X723" s="30"/>
    </row>
    <row r="724" spans="24:24" ht="15.75" customHeight="1">
      <c r="X724" s="30"/>
    </row>
    <row r="725" spans="24:24" ht="15.75" customHeight="1">
      <c r="X725" s="30"/>
    </row>
    <row r="726" spans="24:24" ht="15.75" customHeight="1">
      <c r="X726" s="30"/>
    </row>
    <row r="727" spans="24:24" ht="15.75" customHeight="1">
      <c r="X727" s="30"/>
    </row>
    <row r="728" spans="24:24" ht="15.75" customHeight="1">
      <c r="X728" s="30"/>
    </row>
    <row r="729" spans="24:24" ht="15.75" customHeight="1">
      <c r="X729" s="30"/>
    </row>
    <row r="730" spans="24:24" ht="15.75" customHeight="1">
      <c r="X730" s="30"/>
    </row>
    <row r="731" spans="24:24" ht="15.75" customHeight="1">
      <c r="X731" s="30"/>
    </row>
    <row r="732" spans="24:24" ht="15.75" customHeight="1">
      <c r="X732" s="30"/>
    </row>
    <row r="733" spans="24:24" ht="15.75" customHeight="1">
      <c r="X733" s="30"/>
    </row>
    <row r="734" spans="24:24" ht="15.75" customHeight="1">
      <c r="X734" s="30"/>
    </row>
    <row r="735" spans="24:24" ht="15.75" customHeight="1">
      <c r="X735" s="30"/>
    </row>
    <row r="736" spans="24:24" ht="15.75" customHeight="1">
      <c r="X736" s="30"/>
    </row>
    <row r="737" spans="24:24" ht="15.75" customHeight="1">
      <c r="X737" s="30"/>
    </row>
    <row r="738" spans="24:24" ht="15.75" customHeight="1">
      <c r="X738" s="30"/>
    </row>
    <row r="739" spans="24:24" ht="15.75" customHeight="1">
      <c r="X739" s="30"/>
    </row>
    <row r="740" spans="24:24" ht="15.75" customHeight="1">
      <c r="X740" s="30"/>
    </row>
    <row r="741" spans="24:24" ht="15.75" customHeight="1">
      <c r="X741" s="30"/>
    </row>
    <row r="742" spans="24:24" ht="15.75" customHeight="1">
      <c r="X742" s="30"/>
    </row>
    <row r="743" spans="24:24" ht="15.75" customHeight="1">
      <c r="X743" s="30"/>
    </row>
    <row r="744" spans="24:24" ht="15.75" customHeight="1">
      <c r="X744" s="30"/>
    </row>
    <row r="745" spans="24:24" ht="15.75" customHeight="1">
      <c r="X745" s="30"/>
    </row>
    <row r="746" spans="24:24" ht="15.75" customHeight="1">
      <c r="X746" s="30"/>
    </row>
    <row r="747" spans="24:24" ht="15.75" customHeight="1">
      <c r="X747" s="30"/>
    </row>
    <row r="748" spans="24:24" ht="15.75" customHeight="1">
      <c r="X748" s="30"/>
    </row>
    <row r="749" spans="24:24" ht="15.75" customHeight="1">
      <c r="X749" s="30"/>
    </row>
    <row r="750" spans="24:24" ht="15.75" customHeight="1">
      <c r="X750" s="30"/>
    </row>
    <row r="751" spans="24:24" ht="15.75" customHeight="1">
      <c r="X751" s="30"/>
    </row>
    <row r="752" spans="24:24" ht="15.75" customHeight="1">
      <c r="X752" s="30"/>
    </row>
    <row r="753" spans="24:24" ht="15.75" customHeight="1">
      <c r="X753" s="30"/>
    </row>
    <row r="754" spans="24:24" ht="15.75" customHeight="1">
      <c r="X754" s="30"/>
    </row>
    <row r="755" spans="24:24" ht="15.75" customHeight="1">
      <c r="X755" s="30"/>
    </row>
    <row r="756" spans="24:24" ht="15.75" customHeight="1">
      <c r="X756" s="30"/>
    </row>
    <row r="757" spans="24:24" ht="15.75" customHeight="1">
      <c r="X757" s="30"/>
    </row>
    <row r="758" spans="24:24" ht="15.75" customHeight="1">
      <c r="X758" s="30"/>
    </row>
    <row r="759" spans="24:24" ht="15.75" customHeight="1">
      <c r="X759" s="30"/>
    </row>
    <row r="760" spans="24:24" ht="15.75" customHeight="1">
      <c r="X760" s="30"/>
    </row>
    <row r="761" spans="24:24" ht="15.75" customHeight="1">
      <c r="X761" s="30"/>
    </row>
    <row r="762" spans="24:24" ht="15.75" customHeight="1">
      <c r="X762" s="30"/>
    </row>
    <row r="763" spans="24:24" ht="15.75" customHeight="1">
      <c r="X763" s="30"/>
    </row>
    <row r="764" spans="24:24" ht="15.75" customHeight="1">
      <c r="X764" s="30"/>
    </row>
    <row r="765" spans="24:24" ht="15.75" customHeight="1">
      <c r="X765" s="30"/>
    </row>
    <row r="766" spans="24:24" ht="15.75" customHeight="1">
      <c r="X766" s="30"/>
    </row>
    <row r="767" spans="24:24" ht="15.75" customHeight="1">
      <c r="X767" s="30"/>
    </row>
    <row r="768" spans="24:24" ht="15.75" customHeight="1">
      <c r="X768" s="30"/>
    </row>
    <row r="769" spans="24:24" ht="15.75" customHeight="1">
      <c r="X769" s="30"/>
    </row>
    <row r="770" spans="24:24" ht="15.75" customHeight="1">
      <c r="X770" s="30"/>
    </row>
    <row r="771" spans="24:24" ht="15.75" customHeight="1">
      <c r="X771" s="30"/>
    </row>
    <row r="772" spans="24:24" ht="15.75" customHeight="1">
      <c r="X772" s="30"/>
    </row>
    <row r="773" spans="24:24" ht="15.75" customHeight="1">
      <c r="X773" s="30"/>
    </row>
    <row r="774" spans="24:24" ht="15.75" customHeight="1">
      <c r="X774" s="30"/>
    </row>
    <row r="775" spans="24:24" ht="15.75" customHeight="1">
      <c r="X775" s="30"/>
    </row>
    <row r="776" spans="24:24" ht="15.75" customHeight="1">
      <c r="X776" s="30"/>
    </row>
    <row r="777" spans="24:24" ht="15.75" customHeight="1">
      <c r="X777" s="30"/>
    </row>
    <row r="778" spans="24:24" ht="15.75" customHeight="1">
      <c r="X778" s="30"/>
    </row>
    <row r="779" spans="24:24" ht="15.75" customHeight="1">
      <c r="X779" s="30"/>
    </row>
    <row r="780" spans="24:24" ht="15.75" customHeight="1">
      <c r="X780" s="30"/>
    </row>
    <row r="781" spans="24:24" ht="15.75" customHeight="1">
      <c r="X781" s="30"/>
    </row>
    <row r="782" spans="24:24" ht="15.75" customHeight="1">
      <c r="X782" s="30"/>
    </row>
    <row r="783" spans="24:24" ht="15.75" customHeight="1">
      <c r="X783" s="30"/>
    </row>
    <row r="784" spans="24:24" ht="15.75" customHeight="1">
      <c r="X784" s="30"/>
    </row>
    <row r="785" spans="24:24" ht="15.75" customHeight="1">
      <c r="X785" s="30"/>
    </row>
    <row r="786" spans="24:24" ht="15.75" customHeight="1">
      <c r="X786" s="30"/>
    </row>
    <row r="787" spans="24:24" ht="15.75" customHeight="1">
      <c r="X787" s="30"/>
    </row>
    <row r="788" spans="24:24" ht="15.75" customHeight="1">
      <c r="X788" s="30"/>
    </row>
    <row r="789" spans="24:24" ht="15.75" customHeight="1">
      <c r="X789" s="30"/>
    </row>
    <row r="790" spans="24:24" ht="15.75" customHeight="1">
      <c r="X790" s="30"/>
    </row>
    <row r="791" spans="24:24" ht="15.75" customHeight="1">
      <c r="X791" s="30"/>
    </row>
    <row r="792" spans="24:24" ht="15.75" customHeight="1">
      <c r="X792" s="30"/>
    </row>
    <row r="793" spans="24:24" ht="15.75" customHeight="1">
      <c r="X793" s="30"/>
    </row>
    <row r="794" spans="24:24" ht="15.75" customHeight="1">
      <c r="X794" s="30"/>
    </row>
    <row r="795" spans="24:24" ht="15.75" customHeight="1">
      <c r="X795" s="30"/>
    </row>
    <row r="796" spans="24:24" ht="15.75" customHeight="1">
      <c r="X796" s="30"/>
    </row>
    <row r="797" spans="24:24" ht="15.75" customHeight="1">
      <c r="X797" s="30"/>
    </row>
    <row r="798" spans="24:24" ht="15.75" customHeight="1">
      <c r="X798" s="30"/>
    </row>
    <row r="799" spans="24:24" ht="15.75" customHeight="1">
      <c r="X799" s="30"/>
    </row>
    <row r="800" spans="24:24" ht="15.75" customHeight="1">
      <c r="X800" s="30"/>
    </row>
    <row r="801" spans="24:24" ht="15.75" customHeight="1">
      <c r="X801" s="30"/>
    </row>
    <row r="802" spans="24:24" ht="15.75" customHeight="1">
      <c r="X802" s="30"/>
    </row>
    <row r="803" spans="24:24" ht="15.75" customHeight="1">
      <c r="X803" s="30"/>
    </row>
    <row r="804" spans="24:24" ht="15.75" customHeight="1">
      <c r="X804" s="30"/>
    </row>
    <row r="805" spans="24:24" ht="15.75" customHeight="1">
      <c r="X805" s="30"/>
    </row>
    <row r="806" spans="24:24" ht="15.75" customHeight="1">
      <c r="X806" s="30"/>
    </row>
    <row r="807" spans="24:24" ht="15.75" customHeight="1">
      <c r="X807" s="30"/>
    </row>
    <row r="808" spans="24:24" ht="15.75" customHeight="1">
      <c r="X808" s="30"/>
    </row>
    <row r="809" spans="24:24" ht="15.75" customHeight="1">
      <c r="X809" s="30"/>
    </row>
    <row r="810" spans="24:24" ht="15.75" customHeight="1">
      <c r="X810" s="30"/>
    </row>
    <row r="811" spans="24:24" ht="15.75" customHeight="1">
      <c r="X811" s="30"/>
    </row>
    <row r="812" spans="24:24" ht="15.75" customHeight="1">
      <c r="X812" s="30"/>
    </row>
    <row r="813" spans="24:24" ht="15.75" customHeight="1">
      <c r="X813" s="30"/>
    </row>
    <row r="814" spans="24:24" ht="15.75" customHeight="1">
      <c r="X814" s="30"/>
    </row>
    <row r="815" spans="24:24" ht="15.75" customHeight="1">
      <c r="X815" s="30"/>
    </row>
    <row r="816" spans="24:24" ht="15.75" customHeight="1">
      <c r="X816" s="30"/>
    </row>
    <row r="817" spans="24:24" ht="15.75" customHeight="1">
      <c r="X817" s="30"/>
    </row>
    <row r="818" spans="24:24" ht="15.75" customHeight="1">
      <c r="X818" s="30"/>
    </row>
    <row r="819" spans="24:24" ht="15.75" customHeight="1">
      <c r="X819" s="30"/>
    </row>
    <row r="820" spans="24:24" ht="15.75" customHeight="1">
      <c r="X820" s="30"/>
    </row>
    <row r="821" spans="24:24" ht="15.75" customHeight="1">
      <c r="X821" s="30"/>
    </row>
    <row r="822" spans="24:24" ht="15.75" customHeight="1">
      <c r="X822" s="30"/>
    </row>
    <row r="823" spans="24:24" ht="15.75" customHeight="1">
      <c r="X823" s="30"/>
    </row>
    <row r="824" spans="24:24" ht="15.75" customHeight="1">
      <c r="X824" s="30"/>
    </row>
    <row r="825" spans="24:24" ht="15.75" customHeight="1">
      <c r="X825" s="30"/>
    </row>
    <row r="826" spans="24:24" ht="15.75" customHeight="1">
      <c r="X826" s="30"/>
    </row>
    <row r="827" spans="24:24" ht="15.75" customHeight="1">
      <c r="X827" s="30"/>
    </row>
    <row r="828" spans="24:24" ht="15.75" customHeight="1">
      <c r="X828" s="30"/>
    </row>
    <row r="829" spans="24:24" ht="15.75" customHeight="1">
      <c r="X829" s="30"/>
    </row>
    <row r="830" spans="24:24" ht="15.75" customHeight="1">
      <c r="X830" s="30"/>
    </row>
    <row r="831" spans="24:24" ht="15.75" customHeight="1">
      <c r="X831" s="30"/>
    </row>
    <row r="832" spans="24:24" ht="15.75" customHeight="1">
      <c r="X832" s="30"/>
    </row>
    <row r="833" spans="24:24" ht="15.75" customHeight="1">
      <c r="X833" s="30"/>
    </row>
    <row r="834" spans="24:24" ht="15.75" customHeight="1">
      <c r="X834" s="30"/>
    </row>
    <row r="835" spans="24:24" ht="15.75" customHeight="1">
      <c r="X835" s="30"/>
    </row>
    <row r="836" spans="24:24" ht="15.75" customHeight="1">
      <c r="X836" s="30"/>
    </row>
    <row r="837" spans="24:24" ht="15.75" customHeight="1">
      <c r="X837" s="30"/>
    </row>
    <row r="838" spans="24:24" ht="15.75" customHeight="1">
      <c r="X838" s="30"/>
    </row>
    <row r="839" spans="24:24" ht="15.75" customHeight="1">
      <c r="X839" s="30"/>
    </row>
    <row r="840" spans="24:24" ht="15.75" customHeight="1">
      <c r="X840" s="30"/>
    </row>
    <row r="841" spans="24:24" ht="15.75" customHeight="1">
      <c r="X841" s="30"/>
    </row>
    <row r="842" spans="24:24" ht="15.75" customHeight="1">
      <c r="X842" s="30"/>
    </row>
    <row r="843" spans="24:24" ht="15.75" customHeight="1">
      <c r="X843" s="30"/>
    </row>
    <row r="844" spans="24:24" ht="15.75" customHeight="1">
      <c r="X844" s="30"/>
    </row>
    <row r="845" spans="24:24" ht="15.75" customHeight="1">
      <c r="X845" s="30"/>
    </row>
    <row r="846" spans="24:24" ht="15.75" customHeight="1">
      <c r="X846" s="30"/>
    </row>
    <row r="847" spans="24:24" ht="15.75" customHeight="1">
      <c r="X847" s="30"/>
    </row>
    <row r="848" spans="24:24" ht="15.75" customHeight="1">
      <c r="X848" s="30"/>
    </row>
    <row r="849" spans="24:24" ht="15.75" customHeight="1">
      <c r="X849" s="30"/>
    </row>
    <row r="850" spans="24:24" ht="15.75" customHeight="1">
      <c r="X850" s="30"/>
    </row>
    <row r="851" spans="24:24" ht="15.75" customHeight="1">
      <c r="X851" s="30"/>
    </row>
    <row r="852" spans="24:24" ht="15.75" customHeight="1">
      <c r="X852" s="30"/>
    </row>
    <row r="853" spans="24:24" ht="15.75" customHeight="1">
      <c r="X853" s="30"/>
    </row>
    <row r="854" spans="24:24" ht="15.75" customHeight="1">
      <c r="X854" s="30"/>
    </row>
    <row r="855" spans="24:24" ht="15.75" customHeight="1">
      <c r="X855" s="30"/>
    </row>
    <row r="856" spans="24:24" ht="15.75" customHeight="1">
      <c r="X856" s="30"/>
    </row>
    <row r="857" spans="24:24" ht="15.75" customHeight="1">
      <c r="X857" s="30"/>
    </row>
    <row r="858" spans="24:24" ht="15.75" customHeight="1">
      <c r="X858" s="30"/>
    </row>
    <row r="859" spans="24:24" ht="15.75" customHeight="1">
      <c r="X859" s="30"/>
    </row>
    <row r="860" spans="24:24" ht="15.75" customHeight="1">
      <c r="X860" s="30"/>
    </row>
    <row r="861" spans="24:24" ht="15.75" customHeight="1">
      <c r="X861" s="30"/>
    </row>
    <row r="862" spans="24:24" ht="15.75" customHeight="1">
      <c r="X862" s="30"/>
    </row>
    <row r="863" spans="24:24" ht="15.75" customHeight="1">
      <c r="X863" s="30"/>
    </row>
    <row r="864" spans="24:24" ht="15.75" customHeight="1">
      <c r="X864" s="30"/>
    </row>
    <row r="865" spans="24:24" ht="15.75" customHeight="1">
      <c r="X865" s="30"/>
    </row>
    <row r="866" spans="24:24" ht="15.75" customHeight="1">
      <c r="X866" s="30"/>
    </row>
    <row r="867" spans="24:24" ht="15.75" customHeight="1">
      <c r="X867" s="30"/>
    </row>
    <row r="868" spans="24:24" ht="15.75" customHeight="1">
      <c r="X868" s="30"/>
    </row>
    <row r="869" spans="24:24" ht="15.75" customHeight="1">
      <c r="X869" s="30"/>
    </row>
    <row r="870" spans="24:24" ht="15.75" customHeight="1">
      <c r="X870" s="30"/>
    </row>
    <row r="871" spans="24:24" ht="15.75" customHeight="1">
      <c r="X871" s="30"/>
    </row>
    <row r="872" spans="24:24" ht="15.75" customHeight="1">
      <c r="X872" s="30"/>
    </row>
    <row r="873" spans="24:24" ht="15.75" customHeight="1">
      <c r="X873" s="30"/>
    </row>
    <row r="874" spans="24:24" ht="15.75" customHeight="1">
      <c r="X874" s="30"/>
    </row>
    <row r="875" spans="24:24" ht="15.75" customHeight="1">
      <c r="X875" s="30"/>
    </row>
    <row r="876" spans="24:24" ht="15.75" customHeight="1">
      <c r="X876" s="30"/>
    </row>
    <row r="877" spans="24:24" ht="15.75" customHeight="1">
      <c r="X877" s="30"/>
    </row>
    <row r="878" spans="24:24" ht="15.75" customHeight="1">
      <c r="X878" s="30"/>
    </row>
    <row r="879" spans="24:24" ht="15.75" customHeight="1">
      <c r="X879" s="30"/>
    </row>
    <row r="880" spans="24:24" ht="15.75" customHeight="1">
      <c r="X880" s="30"/>
    </row>
    <row r="881" spans="24:24" ht="15.75" customHeight="1">
      <c r="X881" s="30"/>
    </row>
    <row r="882" spans="24:24" ht="15.75" customHeight="1">
      <c r="X882" s="30"/>
    </row>
    <row r="883" spans="24:24" ht="15.75" customHeight="1">
      <c r="X883" s="30"/>
    </row>
    <row r="884" spans="24:24" ht="15.75" customHeight="1">
      <c r="X884" s="30"/>
    </row>
    <row r="885" spans="24:24" ht="15.75" customHeight="1">
      <c r="X885" s="30"/>
    </row>
    <row r="886" spans="24:24" ht="15.75" customHeight="1">
      <c r="X886" s="30"/>
    </row>
    <row r="887" spans="24:24" ht="15.75" customHeight="1">
      <c r="X887" s="30"/>
    </row>
    <row r="888" spans="24:24" ht="15.75" customHeight="1">
      <c r="X888" s="30"/>
    </row>
    <row r="889" spans="24:24" ht="15.75" customHeight="1">
      <c r="X889" s="30"/>
    </row>
    <row r="890" spans="24:24" ht="15.75" customHeight="1">
      <c r="X890" s="30"/>
    </row>
    <row r="891" spans="24:24" ht="15.75" customHeight="1">
      <c r="X891" s="30"/>
    </row>
    <row r="892" spans="24:24" ht="15.75" customHeight="1">
      <c r="X892" s="30"/>
    </row>
    <row r="893" spans="24:24" ht="15.75" customHeight="1">
      <c r="X893" s="30"/>
    </row>
    <row r="894" spans="24:24" ht="15.75" customHeight="1">
      <c r="X894" s="30"/>
    </row>
    <row r="895" spans="24:24" ht="15.75" customHeight="1">
      <c r="X895" s="30"/>
    </row>
    <row r="896" spans="24:24" ht="15.75" customHeight="1">
      <c r="X896" s="30"/>
    </row>
    <row r="897" spans="24:24" ht="15.75" customHeight="1">
      <c r="X897" s="30"/>
    </row>
    <row r="898" spans="24:24" ht="15.75" customHeight="1">
      <c r="X898" s="30"/>
    </row>
    <row r="899" spans="24:24" ht="15.75" customHeight="1">
      <c r="X899" s="30"/>
    </row>
    <row r="900" spans="24:24" ht="15.75" customHeight="1">
      <c r="X900" s="30"/>
    </row>
    <row r="901" spans="24:24" ht="15.75" customHeight="1">
      <c r="X901" s="30"/>
    </row>
    <row r="902" spans="24:24" ht="15.75" customHeight="1">
      <c r="X902" s="30"/>
    </row>
    <row r="903" spans="24:24" ht="15.75" customHeight="1">
      <c r="X903" s="30"/>
    </row>
    <row r="904" spans="24:24" ht="15.75" customHeight="1">
      <c r="X904" s="30"/>
    </row>
    <row r="905" spans="24:24" ht="15.75" customHeight="1">
      <c r="X905" s="30"/>
    </row>
    <row r="906" spans="24:24" ht="15.75" customHeight="1">
      <c r="X906" s="30"/>
    </row>
    <row r="907" spans="24:24" ht="15.75" customHeight="1">
      <c r="X907" s="30"/>
    </row>
    <row r="908" spans="24:24" ht="15.75" customHeight="1">
      <c r="X908" s="30"/>
    </row>
    <row r="909" spans="24:24" ht="15.75" customHeight="1">
      <c r="X909" s="30"/>
    </row>
    <row r="910" spans="24:24" ht="15.75" customHeight="1">
      <c r="X910" s="30"/>
    </row>
    <row r="911" spans="24:24" ht="15.75" customHeight="1">
      <c r="X911" s="30"/>
    </row>
    <row r="912" spans="24:24" ht="15.75" customHeight="1">
      <c r="X912" s="30"/>
    </row>
    <row r="913" spans="24:24" ht="15.75" customHeight="1">
      <c r="X913" s="30"/>
    </row>
    <row r="914" spans="24:24" ht="15.75" customHeight="1">
      <c r="X914" s="30"/>
    </row>
    <row r="915" spans="24:24" ht="15.75" customHeight="1">
      <c r="X915" s="30"/>
    </row>
    <row r="916" spans="24:24" ht="15.75" customHeight="1">
      <c r="X916" s="30"/>
    </row>
    <row r="917" spans="24:24" ht="15.75" customHeight="1">
      <c r="X917" s="30"/>
    </row>
    <row r="918" spans="24:24" ht="15.75" customHeight="1">
      <c r="X918" s="30"/>
    </row>
    <row r="919" spans="24:24" ht="15.75" customHeight="1">
      <c r="X919" s="30"/>
    </row>
    <row r="920" spans="24:24" ht="15.75" customHeight="1">
      <c r="X920" s="30"/>
    </row>
    <row r="921" spans="24:24" ht="15.75" customHeight="1">
      <c r="X921" s="30"/>
    </row>
    <row r="922" spans="24:24" ht="15.75" customHeight="1">
      <c r="X922" s="30"/>
    </row>
    <row r="923" spans="24:24" ht="15.75" customHeight="1">
      <c r="X923" s="30"/>
    </row>
    <row r="924" spans="24:24" ht="15.75" customHeight="1">
      <c r="X924" s="30"/>
    </row>
    <row r="925" spans="24:24" ht="15.75" customHeight="1">
      <c r="X925" s="30"/>
    </row>
    <row r="926" spans="24:24" ht="15.75" customHeight="1">
      <c r="X926" s="30"/>
    </row>
    <row r="927" spans="24:24" ht="15.75" customHeight="1">
      <c r="X927" s="30"/>
    </row>
    <row r="928" spans="24:24" ht="15.75" customHeight="1">
      <c r="X928" s="30"/>
    </row>
    <row r="929" spans="24:24" ht="15.75" customHeight="1">
      <c r="X929" s="30"/>
    </row>
    <row r="930" spans="24:24" ht="15.75" customHeight="1">
      <c r="X930" s="30"/>
    </row>
    <row r="931" spans="24:24" ht="15.75" customHeight="1">
      <c r="X931" s="30"/>
    </row>
    <row r="932" spans="24:24" ht="15.75" customHeight="1">
      <c r="X932" s="30"/>
    </row>
    <row r="933" spans="24:24" ht="15.75" customHeight="1">
      <c r="X933" s="30"/>
    </row>
    <row r="934" spans="24:24" ht="15.75" customHeight="1">
      <c r="X934" s="30"/>
    </row>
    <row r="935" spans="24:24" ht="15.75" customHeight="1">
      <c r="X935" s="30"/>
    </row>
    <row r="936" spans="24:24" ht="15.75" customHeight="1">
      <c r="X936" s="30"/>
    </row>
    <row r="937" spans="24:24" ht="15.75" customHeight="1">
      <c r="X937" s="30"/>
    </row>
    <row r="938" spans="24:24" ht="15.75" customHeight="1">
      <c r="X938" s="30"/>
    </row>
    <row r="939" spans="24:24" ht="15.75" customHeight="1">
      <c r="X939" s="30"/>
    </row>
    <row r="940" spans="24:24" ht="15.75" customHeight="1">
      <c r="X940" s="30"/>
    </row>
    <row r="941" spans="24:24" ht="15.75" customHeight="1">
      <c r="X941" s="30"/>
    </row>
    <row r="942" spans="24:24" ht="15.75" customHeight="1">
      <c r="X942" s="30"/>
    </row>
    <row r="943" spans="24:24" ht="15.75" customHeight="1">
      <c r="X943" s="30"/>
    </row>
    <row r="944" spans="24:24" ht="15.75" customHeight="1">
      <c r="X944" s="30"/>
    </row>
    <row r="945" spans="24:24" ht="15.75" customHeight="1">
      <c r="X945" s="30"/>
    </row>
    <row r="946" spans="24:24" ht="15.75" customHeight="1">
      <c r="X946" s="30"/>
    </row>
    <row r="947" spans="24:24" ht="15.75" customHeight="1">
      <c r="X947" s="30"/>
    </row>
    <row r="948" spans="24:24" ht="15.75" customHeight="1">
      <c r="X948" s="30"/>
    </row>
    <row r="949" spans="24:24" ht="15.75" customHeight="1">
      <c r="X949" s="30"/>
    </row>
    <row r="950" spans="24:24" ht="15.75" customHeight="1">
      <c r="X950" s="30"/>
    </row>
    <row r="951" spans="24:24" ht="15.75" customHeight="1">
      <c r="X951" s="30"/>
    </row>
    <row r="952" spans="24:24" ht="15.75" customHeight="1">
      <c r="X952" s="30"/>
    </row>
    <row r="953" spans="24:24" ht="15.75" customHeight="1">
      <c r="X953" s="30"/>
    </row>
    <row r="954" spans="24:24" ht="15.75" customHeight="1">
      <c r="X954" s="30"/>
    </row>
    <row r="955" spans="24:24" ht="15.75" customHeight="1">
      <c r="X955" s="30"/>
    </row>
    <row r="956" spans="24:24" ht="15.75" customHeight="1">
      <c r="X956" s="30"/>
    </row>
    <row r="957" spans="24:24" ht="15.75" customHeight="1">
      <c r="X957" s="30"/>
    </row>
    <row r="958" spans="24:24" ht="15.75" customHeight="1">
      <c r="X958" s="30"/>
    </row>
    <row r="959" spans="24:24" ht="15.75" customHeight="1">
      <c r="X959" s="30"/>
    </row>
    <row r="960" spans="24:24" ht="15.75" customHeight="1">
      <c r="X960" s="30"/>
    </row>
    <row r="961" spans="24:24" ht="15.75" customHeight="1">
      <c r="X961" s="30"/>
    </row>
    <row r="962" spans="24:24" ht="15.75" customHeight="1">
      <c r="X962" s="30"/>
    </row>
    <row r="963" spans="24:24" ht="15.75" customHeight="1">
      <c r="X963" s="30"/>
    </row>
    <row r="964" spans="24:24" ht="15.75" customHeight="1">
      <c r="X964" s="30"/>
    </row>
    <row r="965" spans="24:24" ht="15.75" customHeight="1">
      <c r="X965" s="30"/>
    </row>
    <row r="966" spans="24:24" ht="15.75" customHeight="1">
      <c r="X966" s="30"/>
    </row>
    <row r="967" spans="24:24" ht="15.75" customHeight="1">
      <c r="X967" s="30"/>
    </row>
    <row r="968" spans="24:24" ht="15.75" customHeight="1">
      <c r="X968" s="30"/>
    </row>
    <row r="969" spans="24:24" ht="15.75" customHeight="1">
      <c r="X969" s="30"/>
    </row>
    <row r="970" spans="24:24" ht="15.75" customHeight="1">
      <c r="X970" s="30"/>
    </row>
    <row r="971" spans="24:24" ht="15.75" customHeight="1">
      <c r="X971" s="30"/>
    </row>
    <row r="972" spans="24:24" ht="15.75" customHeight="1">
      <c r="X972" s="30"/>
    </row>
    <row r="973" spans="24:24" ht="15.75" customHeight="1">
      <c r="X973" s="30"/>
    </row>
    <row r="974" spans="24:24" ht="15.75" customHeight="1">
      <c r="X974" s="30"/>
    </row>
    <row r="975" spans="24:24" ht="15.75" customHeight="1">
      <c r="X975" s="30"/>
    </row>
    <row r="976" spans="24:24" ht="15.75" customHeight="1">
      <c r="X976" s="30"/>
    </row>
    <row r="977" spans="24:24" ht="15.75" customHeight="1">
      <c r="X977" s="30"/>
    </row>
    <row r="978" spans="24:24" ht="15.75" customHeight="1">
      <c r="X978" s="30"/>
    </row>
    <row r="979" spans="24:24" ht="15.75" customHeight="1">
      <c r="X979" s="30"/>
    </row>
    <row r="980" spans="24:24" ht="15.75" customHeight="1">
      <c r="X980" s="30"/>
    </row>
    <row r="981" spans="24:24" ht="15.75" customHeight="1">
      <c r="X981" s="30"/>
    </row>
    <row r="982" spans="24:24" ht="15.75" customHeight="1">
      <c r="X982" s="30"/>
    </row>
    <row r="983" spans="24:24" ht="15.75" customHeight="1">
      <c r="X983" s="30"/>
    </row>
    <row r="984" spans="24:24" ht="15.75" customHeight="1">
      <c r="X984" s="30"/>
    </row>
    <row r="985" spans="24:24" ht="15.75" customHeight="1">
      <c r="X985" s="30"/>
    </row>
    <row r="986" spans="24:24" ht="15.75" customHeight="1">
      <c r="X986" s="30"/>
    </row>
    <row r="987" spans="24:24" ht="15.75" customHeight="1">
      <c r="X987" s="30"/>
    </row>
    <row r="988" spans="24:24" ht="15.75" customHeight="1">
      <c r="X988" s="30"/>
    </row>
    <row r="989" spans="24:24" ht="15.75" customHeight="1">
      <c r="X989" s="30"/>
    </row>
    <row r="990" spans="24:24" ht="15.75" customHeight="1">
      <c r="X990" s="30"/>
    </row>
    <row r="991" spans="24:24" ht="15.75" customHeight="1">
      <c r="X991" s="30"/>
    </row>
    <row r="992" spans="24:24" ht="15.75" customHeight="1">
      <c r="X992" s="30"/>
    </row>
    <row r="993" spans="24:24" ht="15.75" customHeight="1">
      <c r="X993" s="30"/>
    </row>
    <row r="994" spans="24:24" ht="15.75" customHeight="1">
      <c r="X994" s="30"/>
    </row>
    <row r="995" spans="24:24" ht="15.75" customHeight="1">
      <c r="X995" s="30"/>
    </row>
    <row r="996" spans="24:24" ht="15.75" customHeight="1">
      <c r="X996" s="30"/>
    </row>
    <row r="997" spans="24:24" ht="15.75" customHeight="1">
      <c r="X997" s="30"/>
    </row>
    <row r="998" spans="24:24" ht="15.75" customHeight="1">
      <c r="X998" s="30"/>
    </row>
    <row r="999" spans="24:24" ht="15.75" customHeight="1">
      <c r="X999" s="30"/>
    </row>
    <row r="1000" spans="24:24" ht="15.75" customHeight="1">
      <c r="X1000" s="30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62"/>
  <sheetViews>
    <sheetView tabSelected="1" topLeftCell="A46" zoomScale="70" zoomScaleNormal="70" workbookViewId="0">
      <selection activeCell="P54" sqref="P54"/>
    </sheetView>
  </sheetViews>
  <sheetFormatPr defaultColWidth="14.42578125" defaultRowHeight="15" customHeight="1"/>
  <cols>
    <col min="1" max="1" width="9" customWidth="1"/>
    <col min="2" max="2" width="8.7109375" customWidth="1"/>
    <col min="3" max="3" width="5" customWidth="1"/>
    <col min="4" max="5" width="8.7109375" customWidth="1"/>
    <col min="6" max="6" width="11.85546875" customWidth="1"/>
    <col min="7" max="7" width="11.28515625" customWidth="1"/>
    <col min="8" max="11" width="8.7109375" customWidth="1"/>
    <col min="12" max="12" width="14.140625" customWidth="1"/>
    <col min="14" max="18" width="8.7109375" customWidth="1"/>
    <col min="19" max="19" width="11.42578125" customWidth="1"/>
    <col min="20" max="24" width="8.7109375" customWidth="1"/>
  </cols>
  <sheetData>
    <row r="1" spans="1:24">
      <c r="A1" s="50" t="s">
        <v>207</v>
      </c>
      <c r="B1" s="51" t="s">
        <v>208</v>
      </c>
      <c r="C1" s="51" t="s">
        <v>209</v>
      </c>
      <c r="D1" s="51" t="s">
        <v>210</v>
      </c>
      <c r="E1" s="51" t="s">
        <v>211</v>
      </c>
      <c r="F1" s="51" t="s">
        <v>212</v>
      </c>
      <c r="G1" s="51" t="s">
        <v>213</v>
      </c>
      <c r="H1" s="51" t="s">
        <v>214</v>
      </c>
      <c r="I1" s="50" t="s">
        <v>215</v>
      </c>
      <c r="J1" s="50" t="s">
        <v>216</v>
      </c>
      <c r="K1" s="50" t="s">
        <v>217</v>
      </c>
      <c r="L1" s="50" t="s">
        <v>218</v>
      </c>
      <c r="M1" s="50" t="s">
        <v>219</v>
      </c>
      <c r="N1" s="51" t="s">
        <v>220</v>
      </c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1:24">
      <c r="A2" s="5" t="s">
        <v>221</v>
      </c>
      <c r="B2" s="5" t="s">
        <v>222</v>
      </c>
      <c r="C2" s="5">
        <v>3</v>
      </c>
      <c r="D2" s="5">
        <v>2.27</v>
      </c>
      <c r="E2" s="5">
        <v>0.14199999999999999</v>
      </c>
      <c r="F2" s="33">
        <v>0.26925962204520709</v>
      </c>
      <c r="G2" s="5">
        <v>7.5</v>
      </c>
      <c r="H2" s="5">
        <v>27.854157793999999</v>
      </c>
      <c r="I2" s="5">
        <v>4.5</v>
      </c>
      <c r="J2" s="5">
        <v>4.5</v>
      </c>
      <c r="K2" s="5">
        <v>7.12</v>
      </c>
      <c r="L2" s="33">
        <v>0</v>
      </c>
      <c r="M2" s="33">
        <v>0.5822222222222222</v>
      </c>
      <c r="N2" s="33">
        <f t="shared" ref="N2:N61" si="0">I2/H2</f>
        <v>0.16155577322712428</v>
      </c>
    </row>
    <row r="3" spans="1:24">
      <c r="A3" s="5" t="s">
        <v>221</v>
      </c>
      <c r="B3" s="5" t="s">
        <v>222</v>
      </c>
      <c r="C3" s="5">
        <v>22</v>
      </c>
      <c r="D3" s="5">
        <v>1.53</v>
      </c>
      <c r="E3" s="5">
        <v>0.11600000000000001</v>
      </c>
      <c r="F3" s="33">
        <v>0.25189407344695403</v>
      </c>
      <c r="G3" s="5">
        <v>7.3</v>
      </c>
      <c r="H3" s="5">
        <v>28.980435705000001</v>
      </c>
      <c r="I3" s="5">
        <v>4.2699999999999996</v>
      </c>
      <c r="J3" s="5">
        <v>4.2699999999999996</v>
      </c>
      <c r="K3" s="5">
        <v>6.92</v>
      </c>
      <c r="L3" s="33">
        <v>0</v>
      </c>
      <c r="M3" s="33">
        <v>0.62060889929742402</v>
      </c>
      <c r="N3" s="33">
        <f t="shared" si="0"/>
        <v>0.14734077994773886</v>
      </c>
    </row>
    <row r="4" spans="1:24">
      <c r="A4" s="5" t="s">
        <v>221</v>
      </c>
      <c r="B4" s="5" t="s">
        <v>222</v>
      </c>
      <c r="C4" s="5">
        <v>101</v>
      </c>
      <c r="D4" s="5">
        <v>2.86</v>
      </c>
      <c r="E4" s="5">
        <v>0.14399999999999999</v>
      </c>
      <c r="F4" s="33">
        <v>0.27504553837055679</v>
      </c>
      <c r="G4" s="5">
        <v>7.6</v>
      </c>
      <c r="H4" s="5">
        <v>27.631787976000009</v>
      </c>
      <c r="I4" s="5">
        <v>4.4000000000000004</v>
      </c>
      <c r="J4" s="5">
        <v>4.4000000000000004</v>
      </c>
      <c r="K4" s="5">
        <v>7.29</v>
      </c>
      <c r="L4" s="33">
        <v>0</v>
      </c>
      <c r="M4" s="33">
        <v>0.65681818181818175</v>
      </c>
      <c r="N4" s="33">
        <f t="shared" si="0"/>
        <v>0.15923689063558552</v>
      </c>
    </row>
    <row r="5" spans="1:24">
      <c r="A5" s="5" t="s">
        <v>221</v>
      </c>
      <c r="B5" s="5" t="s">
        <v>222</v>
      </c>
      <c r="C5" s="5">
        <v>111</v>
      </c>
      <c r="D5" s="5">
        <v>2.2000000000000002</v>
      </c>
      <c r="E5" s="5">
        <v>0.128</v>
      </c>
      <c r="F5" s="33">
        <v>0.26186890807832047</v>
      </c>
      <c r="G5" s="5">
        <v>7.5</v>
      </c>
      <c r="H5" s="5">
        <v>28.640284389000001</v>
      </c>
      <c r="I5" s="5">
        <v>4.3899999999999997</v>
      </c>
      <c r="J5" s="5">
        <v>4.3899999999999997</v>
      </c>
      <c r="K5" s="5">
        <v>7.18</v>
      </c>
      <c r="L5" s="33">
        <v>0</v>
      </c>
      <c r="M5" s="33">
        <v>0.63553530751708431</v>
      </c>
      <c r="N5" s="33">
        <f t="shared" si="0"/>
        <v>0.15328060086184361</v>
      </c>
    </row>
    <row r="6" spans="1:24">
      <c r="A6" s="5" t="s">
        <v>221</v>
      </c>
      <c r="B6" s="5" t="s">
        <v>222</v>
      </c>
      <c r="C6" s="5">
        <v>115</v>
      </c>
      <c r="D6" s="5">
        <v>1.8</v>
      </c>
      <c r="E6" s="5">
        <v>0.13800000000000001</v>
      </c>
      <c r="F6" s="33">
        <v>0.26802572577386352</v>
      </c>
      <c r="G6" s="5">
        <v>7.6</v>
      </c>
      <c r="H6" s="5">
        <v>28.355487064000009</v>
      </c>
      <c r="I6" s="5">
        <v>4.38</v>
      </c>
      <c r="J6" s="5">
        <v>4.38</v>
      </c>
      <c r="K6" s="5">
        <v>7.31</v>
      </c>
      <c r="L6" s="33">
        <v>0</v>
      </c>
      <c r="M6" s="33">
        <v>0.66894977168949765</v>
      </c>
      <c r="N6" s="33">
        <f t="shared" si="0"/>
        <v>0.15446745774862133</v>
      </c>
    </row>
    <row r="7" spans="1:24">
      <c r="A7" s="5" t="s">
        <v>221</v>
      </c>
      <c r="B7" s="5" t="s">
        <v>223</v>
      </c>
      <c r="C7" s="5">
        <v>33</v>
      </c>
      <c r="D7" s="5">
        <v>1.68</v>
      </c>
      <c r="E7" s="5">
        <v>0.10299999999999999</v>
      </c>
      <c r="F7" s="33">
        <v>0.2056864258795576</v>
      </c>
      <c r="G7" s="5">
        <v>6.2</v>
      </c>
      <c r="H7" s="5">
        <v>30.142971144000001</v>
      </c>
      <c r="I7" s="5">
        <v>3.25</v>
      </c>
      <c r="J7" s="5">
        <v>3.25</v>
      </c>
      <c r="K7" s="5">
        <v>5.99</v>
      </c>
      <c r="L7" s="33">
        <v>0</v>
      </c>
      <c r="M7" s="33">
        <v>0.84307692307692317</v>
      </c>
      <c r="N7" s="33">
        <f t="shared" si="0"/>
        <v>0.10781949743686488</v>
      </c>
    </row>
    <row r="8" spans="1:24">
      <c r="A8" s="5" t="s">
        <v>221</v>
      </c>
      <c r="B8" s="5" t="s">
        <v>223</v>
      </c>
      <c r="C8" s="5">
        <v>45</v>
      </c>
      <c r="D8" s="5">
        <v>1.39</v>
      </c>
      <c r="E8" s="5">
        <v>9.7000000000000003E-2</v>
      </c>
      <c r="F8" s="33">
        <v>0.21268652977724889</v>
      </c>
      <c r="G8" s="5">
        <v>6.1</v>
      </c>
      <c r="H8" s="5">
        <v>28.680706795999999</v>
      </c>
      <c r="I8" s="5">
        <v>3.32</v>
      </c>
      <c r="J8" s="5">
        <v>3.32</v>
      </c>
      <c r="K8" s="5">
        <v>5.93</v>
      </c>
      <c r="L8" s="33">
        <v>0</v>
      </c>
      <c r="M8" s="33">
        <v>0.78614457831325302</v>
      </c>
      <c r="N8" s="33">
        <f t="shared" si="0"/>
        <v>0.11575725882958467</v>
      </c>
    </row>
    <row r="9" spans="1:24">
      <c r="A9" s="5" t="s">
        <v>221</v>
      </c>
      <c r="B9" s="5" t="s">
        <v>223</v>
      </c>
      <c r="C9" s="5">
        <v>56</v>
      </c>
      <c r="D9" s="5">
        <v>1.55</v>
      </c>
      <c r="E9" s="5">
        <v>0.113</v>
      </c>
      <c r="F9" s="33">
        <v>0.2134861871661583</v>
      </c>
      <c r="G9" s="5">
        <v>6.3</v>
      </c>
      <c r="H9" s="5">
        <v>29.510105939999999</v>
      </c>
      <c r="I9" s="5">
        <v>3.56</v>
      </c>
      <c r="J9" s="5">
        <v>3.56</v>
      </c>
      <c r="K9" s="5">
        <v>6.09</v>
      </c>
      <c r="L9" s="33">
        <v>0</v>
      </c>
      <c r="M9" s="33">
        <v>0.71067415730337069</v>
      </c>
      <c r="N9" s="33">
        <f t="shared" si="0"/>
        <v>0.12063663909706723</v>
      </c>
    </row>
    <row r="10" spans="1:24">
      <c r="A10" s="5" t="s">
        <v>221</v>
      </c>
      <c r="B10" s="5" t="s">
        <v>223</v>
      </c>
      <c r="C10" s="5">
        <v>125</v>
      </c>
      <c r="D10" s="5">
        <v>1.45</v>
      </c>
      <c r="E10" s="5">
        <v>0.106</v>
      </c>
      <c r="F10" s="33">
        <v>0.21244319669527539</v>
      </c>
      <c r="G10" s="5">
        <v>6.3</v>
      </c>
      <c r="H10" s="5">
        <v>29.654985887999999</v>
      </c>
      <c r="I10" s="5">
        <v>3.34</v>
      </c>
      <c r="J10" s="5">
        <v>3.34</v>
      </c>
      <c r="K10" s="5">
        <v>6.17</v>
      </c>
      <c r="L10" s="33">
        <v>0</v>
      </c>
      <c r="M10" s="33">
        <v>0.84730538922155696</v>
      </c>
      <c r="N10" s="33">
        <f t="shared" si="0"/>
        <v>0.11262861539082854</v>
      </c>
    </row>
    <row r="11" spans="1:24">
      <c r="A11" s="5" t="s">
        <v>221</v>
      </c>
      <c r="B11" s="5" t="s">
        <v>223</v>
      </c>
      <c r="C11" s="5">
        <v>132</v>
      </c>
      <c r="D11" s="5">
        <v>2.04</v>
      </c>
      <c r="E11" s="5">
        <v>0.14199999999999999</v>
      </c>
      <c r="F11" s="33">
        <v>0.22281438687354219</v>
      </c>
      <c r="G11" s="5">
        <v>6.4</v>
      </c>
      <c r="H11" s="5">
        <v>28.723459422000001</v>
      </c>
      <c r="I11" s="5">
        <v>3.49</v>
      </c>
      <c r="J11" s="5">
        <v>3.49</v>
      </c>
      <c r="K11" s="5">
        <v>6.2</v>
      </c>
      <c r="L11" s="33">
        <v>0</v>
      </c>
      <c r="M11" s="33">
        <v>0.77650429799426923</v>
      </c>
      <c r="N11" s="33">
        <f t="shared" si="0"/>
        <v>0.1215034703419785</v>
      </c>
    </row>
    <row r="12" spans="1:24">
      <c r="A12" s="5" t="s">
        <v>221</v>
      </c>
      <c r="B12" s="5" t="s">
        <v>224</v>
      </c>
      <c r="C12" s="5">
        <v>65</v>
      </c>
      <c r="D12" s="5">
        <v>1.51</v>
      </c>
      <c r="E12" s="5">
        <v>9.98E-2</v>
      </c>
      <c r="F12" s="33">
        <v>0.25961780321483929</v>
      </c>
      <c r="G12" s="5">
        <v>7.5</v>
      </c>
      <c r="H12" s="5">
        <v>28.888619760000001</v>
      </c>
      <c r="I12" s="5">
        <v>4.45</v>
      </c>
      <c r="J12" s="5">
        <v>4.45</v>
      </c>
      <c r="K12" s="5">
        <v>7.23</v>
      </c>
      <c r="L12" s="33">
        <v>0</v>
      </c>
      <c r="M12" s="33">
        <v>0.62471910112359552</v>
      </c>
      <c r="N12" s="33">
        <f t="shared" si="0"/>
        <v>0.15403989657413802</v>
      </c>
    </row>
    <row r="13" spans="1:24">
      <c r="A13" s="5" t="s">
        <v>221</v>
      </c>
      <c r="B13" s="5" t="s">
        <v>224</v>
      </c>
      <c r="C13" s="5">
        <v>70</v>
      </c>
      <c r="D13" s="5">
        <v>1.37</v>
      </c>
      <c r="E13" s="5">
        <v>0.111</v>
      </c>
      <c r="F13" s="33">
        <v>0.24868641867687921</v>
      </c>
      <c r="G13" s="5">
        <v>7.4</v>
      </c>
      <c r="H13" s="5">
        <v>29.756349539999999</v>
      </c>
      <c r="I13" s="5">
        <v>4.46</v>
      </c>
      <c r="J13" s="5">
        <v>4.46</v>
      </c>
      <c r="K13" s="5">
        <v>7.13</v>
      </c>
      <c r="L13" s="33">
        <v>0</v>
      </c>
      <c r="M13" s="33">
        <v>0.59865470852017932</v>
      </c>
      <c r="N13" s="33">
        <f t="shared" si="0"/>
        <v>0.14988397666201095</v>
      </c>
    </row>
    <row r="14" spans="1:24">
      <c r="A14" s="5" t="s">
        <v>221</v>
      </c>
      <c r="B14" s="5" t="s">
        <v>224</v>
      </c>
      <c r="C14" s="5">
        <v>140</v>
      </c>
      <c r="D14" s="5">
        <v>0.997</v>
      </c>
      <c r="E14" s="5">
        <v>9.4600000000000004E-2</v>
      </c>
      <c r="F14" s="33">
        <v>0.25430744648719261</v>
      </c>
      <c r="G14" s="5">
        <v>7.8</v>
      </c>
      <c r="H14" s="5">
        <v>30.671536</v>
      </c>
      <c r="I14" s="5">
        <v>4.79</v>
      </c>
      <c r="J14" s="5">
        <v>4.79</v>
      </c>
      <c r="K14" s="5">
        <v>7.55</v>
      </c>
      <c r="L14" s="33">
        <v>0</v>
      </c>
      <c r="M14" s="33">
        <v>0.57620041753653439</v>
      </c>
      <c r="N14" s="33">
        <f t="shared" si="0"/>
        <v>0.15617085495816055</v>
      </c>
    </row>
    <row r="15" spans="1:24">
      <c r="A15" s="5" t="s">
        <v>221</v>
      </c>
      <c r="B15" s="5" t="s">
        <v>224</v>
      </c>
      <c r="C15" s="5">
        <v>146</v>
      </c>
      <c r="D15" s="5">
        <v>1.1000000000000001</v>
      </c>
      <c r="E15" s="5">
        <v>9.74E-2</v>
      </c>
      <c r="F15" s="33">
        <v>0.26967751950289798</v>
      </c>
      <c r="G15" s="5">
        <v>7.8</v>
      </c>
      <c r="H15" s="5">
        <v>28.923434234999998</v>
      </c>
      <c r="I15" s="5">
        <v>4.78</v>
      </c>
      <c r="J15" s="5">
        <v>4.78</v>
      </c>
      <c r="K15" s="5">
        <v>7.5</v>
      </c>
      <c r="L15" s="33">
        <v>0</v>
      </c>
      <c r="M15" s="33">
        <v>0.56903765690376562</v>
      </c>
      <c r="N15" s="33">
        <f t="shared" si="0"/>
        <v>0.16526391579792982</v>
      </c>
    </row>
    <row r="16" spans="1:24">
      <c r="A16" s="5" t="s">
        <v>221</v>
      </c>
      <c r="B16" s="5" t="s">
        <v>224</v>
      </c>
      <c r="C16" s="5">
        <v>151</v>
      </c>
      <c r="D16" s="5">
        <v>1.1200000000000001</v>
      </c>
      <c r="E16" s="5">
        <v>0.105</v>
      </c>
      <c r="F16" s="33">
        <v>0.26094493026366888</v>
      </c>
      <c r="G16" s="5">
        <v>7.9</v>
      </c>
      <c r="H16" s="5">
        <v>30.274587024999999</v>
      </c>
      <c r="I16" s="5">
        <v>4.68</v>
      </c>
      <c r="J16" s="5">
        <v>4.68</v>
      </c>
      <c r="K16" s="5">
        <v>7.6</v>
      </c>
      <c r="L16" s="33">
        <v>0</v>
      </c>
      <c r="M16" s="33">
        <v>0.62393162393162394</v>
      </c>
      <c r="N16" s="33">
        <f t="shared" si="0"/>
        <v>0.15458509792835068</v>
      </c>
    </row>
    <row r="17" spans="1:14">
      <c r="A17" s="5" t="s">
        <v>221</v>
      </c>
      <c r="B17" s="5" t="s">
        <v>225</v>
      </c>
      <c r="C17" s="5">
        <v>76</v>
      </c>
      <c r="D17" s="5">
        <v>2.02</v>
      </c>
      <c r="E17" s="5">
        <v>0.1</v>
      </c>
      <c r="F17" s="33">
        <v>0.26986869571677358</v>
      </c>
      <c r="G17" s="5">
        <v>7.9</v>
      </c>
      <c r="H17" s="5">
        <v>29.273495316000002</v>
      </c>
      <c r="I17" s="5">
        <v>4.88</v>
      </c>
      <c r="J17" s="5">
        <v>4.88</v>
      </c>
      <c r="K17" s="5">
        <v>7.61</v>
      </c>
      <c r="L17" s="33">
        <v>0</v>
      </c>
      <c r="M17" s="33">
        <v>0.55942622950819687</v>
      </c>
      <c r="N17" s="33">
        <f t="shared" si="0"/>
        <v>0.16670370064529808</v>
      </c>
    </row>
    <row r="18" spans="1:14">
      <c r="A18" s="5" t="s">
        <v>221</v>
      </c>
      <c r="B18" s="5" t="s">
        <v>225</v>
      </c>
      <c r="C18" s="5">
        <v>86</v>
      </c>
      <c r="D18" s="5">
        <v>1.53</v>
      </c>
      <c r="E18" s="5">
        <v>0.11</v>
      </c>
      <c r="F18" s="33">
        <v>0.27322315398629488</v>
      </c>
      <c r="G18" s="5">
        <v>8</v>
      </c>
      <c r="H18" s="5">
        <v>29.280095348</v>
      </c>
      <c r="I18" s="5">
        <v>4.82</v>
      </c>
      <c r="J18" s="5">
        <v>4.82</v>
      </c>
      <c r="K18" s="5">
        <v>7.74</v>
      </c>
      <c r="L18" s="33">
        <v>0</v>
      </c>
      <c r="M18" s="33">
        <v>0.60580912863070535</v>
      </c>
      <c r="N18" s="33">
        <f t="shared" si="0"/>
        <v>0.16461695027674267</v>
      </c>
    </row>
    <row r="19" spans="1:14">
      <c r="A19" s="5" t="s">
        <v>221</v>
      </c>
      <c r="B19" s="5" t="s">
        <v>225</v>
      </c>
      <c r="C19" s="5">
        <v>92</v>
      </c>
      <c r="D19" s="5">
        <v>1.48</v>
      </c>
      <c r="E19" s="5">
        <v>8.7999999999999995E-2</v>
      </c>
      <c r="F19" s="33">
        <v>0.25715080062109108</v>
      </c>
      <c r="G19" s="5">
        <v>8</v>
      </c>
      <c r="H19" s="5">
        <v>31.110150078</v>
      </c>
      <c r="I19" s="5">
        <v>4.6500000000000004</v>
      </c>
      <c r="J19" s="5">
        <v>4.6500000000000004</v>
      </c>
      <c r="K19" s="5">
        <v>7.73</v>
      </c>
      <c r="L19" s="33">
        <v>0</v>
      </c>
      <c r="M19" s="33">
        <v>0.66236559139784945</v>
      </c>
      <c r="N19" s="33">
        <f t="shared" si="0"/>
        <v>0.14946890286100922</v>
      </c>
    </row>
    <row r="20" spans="1:14">
      <c r="A20" s="5" t="s">
        <v>221</v>
      </c>
      <c r="B20" s="5" t="s">
        <v>225</v>
      </c>
      <c r="C20" s="5">
        <v>156</v>
      </c>
      <c r="D20" s="5">
        <v>2.13</v>
      </c>
      <c r="E20" s="5">
        <v>7.8299999999999995E-2</v>
      </c>
      <c r="F20" s="33">
        <v>0.25497817842508219</v>
      </c>
      <c r="G20" s="5">
        <v>7.7</v>
      </c>
      <c r="H20" s="5">
        <v>30.198662676000001</v>
      </c>
      <c r="I20" s="5">
        <v>4.42</v>
      </c>
      <c r="J20" s="5">
        <v>4.42</v>
      </c>
      <c r="K20" s="5">
        <v>7.45</v>
      </c>
      <c r="L20" s="33">
        <v>0</v>
      </c>
      <c r="M20" s="33">
        <v>0.68552036199095034</v>
      </c>
      <c r="N20" s="33">
        <f t="shared" si="0"/>
        <v>0.14636409722582644</v>
      </c>
    </row>
    <row r="21" spans="1:14" ht="15.75" customHeight="1">
      <c r="A21" s="5" t="s">
        <v>221</v>
      </c>
      <c r="B21" s="5" t="s">
        <v>225</v>
      </c>
      <c r="C21" s="5">
        <v>172</v>
      </c>
      <c r="D21" s="5">
        <v>1.41</v>
      </c>
      <c r="E21" s="5">
        <v>8.7800000000000003E-2</v>
      </c>
      <c r="F21" s="33">
        <v>0.26230664769708562</v>
      </c>
      <c r="G21" s="5">
        <v>7.9</v>
      </c>
      <c r="H21" s="5">
        <v>30.117421992000001</v>
      </c>
      <c r="I21" s="5">
        <v>4.6100000000000003</v>
      </c>
      <c r="J21" s="5">
        <v>4.6100000000000003</v>
      </c>
      <c r="K21" s="5">
        <v>7.73</v>
      </c>
      <c r="L21" s="33">
        <v>0</v>
      </c>
      <c r="M21" s="33">
        <v>0.67678958785249455</v>
      </c>
      <c r="N21" s="33">
        <f t="shared" si="0"/>
        <v>0.15306755011184359</v>
      </c>
    </row>
    <row r="22" spans="1:14" ht="15.75" customHeight="1">
      <c r="A22" s="5" t="s">
        <v>226</v>
      </c>
      <c r="B22" s="5" t="s">
        <v>222</v>
      </c>
      <c r="C22" s="5">
        <v>1</v>
      </c>
      <c r="D22" s="5">
        <v>2.38</v>
      </c>
      <c r="E22" s="5">
        <v>0.19900000000000001</v>
      </c>
      <c r="F22" s="33">
        <v>0.26346433177271028</v>
      </c>
      <c r="G22" s="5">
        <v>7.3</v>
      </c>
      <c r="H22" s="5">
        <v>27.70773543</v>
      </c>
      <c r="I22" s="5">
        <v>4.78</v>
      </c>
      <c r="J22" s="5">
        <v>5.0599999999999996</v>
      </c>
      <c r="K22" s="5">
        <v>6.97</v>
      </c>
      <c r="L22" s="33">
        <v>5.8577405857740447E-2</v>
      </c>
      <c r="M22" s="33">
        <v>0.37747035573122528</v>
      </c>
      <c r="N22" s="33">
        <f t="shared" si="0"/>
        <v>0.17251500080459661</v>
      </c>
    </row>
    <row r="23" spans="1:14" ht="15.75" customHeight="1">
      <c r="A23" s="5" t="s">
        <v>226</v>
      </c>
      <c r="B23" s="5" t="s">
        <v>222</v>
      </c>
      <c r="C23" s="5">
        <v>14</v>
      </c>
      <c r="D23" s="5">
        <v>2.2599999999999998</v>
      </c>
      <c r="F23" s="33">
        <v>0.26356280415560279</v>
      </c>
      <c r="G23" s="5">
        <v>7.6</v>
      </c>
      <c r="H23" s="5">
        <v>28.835631888000002</v>
      </c>
      <c r="I23" s="5">
        <v>4.6500000000000004</v>
      </c>
      <c r="J23" s="5">
        <v>4.93</v>
      </c>
      <c r="K23" s="5">
        <v>7.19</v>
      </c>
      <c r="L23" s="33">
        <v>6.0215053763440718E-2</v>
      </c>
      <c r="M23" s="33">
        <v>0.45841784989858031</v>
      </c>
      <c r="N23" s="33">
        <f t="shared" si="0"/>
        <v>0.16125882096362543</v>
      </c>
    </row>
    <row r="24" spans="1:14" ht="15.75" customHeight="1">
      <c r="A24" s="5" t="s">
        <v>226</v>
      </c>
      <c r="B24" s="5" t="s">
        <v>222</v>
      </c>
      <c r="C24" s="5">
        <v>19</v>
      </c>
      <c r="D24" s="5">
        <v>2.06</v>
      </c>
      <c r="E24" s="5">
        <v>0.182</v>
      </c>
      <c r="F24" s="33">
        <v>0.25932633205045069</v>
      </c>
      <c r="G24" s="5">
        <v>7.7</v>
      </c>
      <c r="H24" s="5">
        <v>29.692318320000009</v>
      </c>
      <c r="I24" s="5">
        <v>4.58</v>
      </c>
      <c r="J24" s="5">
        <v>4.82</v>
      </c>
      <c r="K24" s="5">
        <v>7.3</v>
      </c>
      <c r="L24" s="33">
        <v>5.2401746724890882E-2</v>
      </c>
      <c r="M24" s="33">
        <v>0.51452282157676332</v>
      </c>
      <c r="N24" s="33">
        <f t="shared" si="0"/>
        <v>0.1542486494533849</v>
      </c>
    </row>
    <row r="25" spans="1:14" ht="15.75" customHeight="1">
      <c r="A25" s="5" t="s">
        <v>226</v>
      </c>
      <c r="B25" s="5" t="s">
        <v>222</v>
      </c>
      <c r="C25" s="5">
        <v>100</v>
      </c>
      <c r="D25" s="5">
        <v>2.14</v>
      </c>
      <c r="E25" s="5">
        <v>0.151</v>
      </c>
      <c r="F25" s="33">
        <v>0.27792989065980178</v>
      </c>
      <c r="G25" s="5">
        <v>7.5</v>
      </c>
      <c r="H25" s="5">
        <v>26.985222719999999</v>
      </c>
      <c r="I25" s="5">
        <v>4.46</v>
      </c>
      <c r="J25" s="5">
        <v>4.96</v>
      </c>
      <c r="K25" s="5">
        <v>7.17</v>
      </c>
      <c r="L25" s="33">
        <v>0.1121076233183857</v>
      </c>
      <c r="M25" s="33">
        <v>0.44556451612903231</v>
      </c>
      <c r="N25" s="33">
        <f t="shared" si="0"/>
        <v>0.1652756416456955</v>
      </c>
    </row>
    <row r="26" spans="1:14" ht="15.75" customHeight="1">
      <c r="A26" s="5" t="s">
        <v>226</v>
      </c>
      <c r="B26" s="5" t="s">
        <v>222</v>
      </c>
      <c r="C26" s="5">
        <v>116</v>
      </c>
      <c r="D26" s="5">
        <v>2.06</v>
      </c>
      <c r="E26" s="5">
        <v>0.13900000000000001</v>
      </c>
      <c r="F26" s="33">
        <v>0.25034812156203012</v>
      </c>
      <c r="G26" s="5">
        <v>6.8</v>
      </c>
      <c r="H26" s="5">
        <v>27.162177042</v>
      </c>
      <c r="I26" s="5">
        <v>4.18</v>
      </c>
      <c r="J26" s="5">
        <v>4.3600000000000003</v>
      </c>
      <c r="K26" s="5">
        <v>6.55</v>
      </c>
      <c r="L26" s="33">
        <v>4.3062200956937947E-2</v>
      </c>
      <c r="M26" s="33">
        <v>0.5022935779816512</v>
      </c>
      <c r="N26" s="33">
        <f t="shared" si="0"/>
        <v>0.1538904629601891</v>
      </c>
    </row>
    <row r="27" spans="1:14" ht="15.75" customHeight="1">
      <c r="A27" s="5" t="s">
        <v>226</v>
      </c>
      <c r="B27" s="5" t="s">
        <v>223</v>
      </c>
      <c r="C27" s="5">
        <v>32</v>
      </c>
      <c r="D27" s="5">
        <v>1.57</v>
      </c>
      <c r="F27" s="33">
        <v>0.2217089275023352</v>
      </c>
      <c r="G27" s="5">
        <v>6.4</v>
      </c>
      <c r="H27" s="5">
        <v>28.866677008</v>
      </c>
      <c r="I27" s="5">
        <v>3.41</v>
      </c>
      <c r="J27" s="5">
        <v>3.69</v>
      </c>
      <c r="K27" s="5">
        <v>6.13</v>
      </c>
      <c r="L27" s="33">
        <v>8.2111436950146569E-2</v>
      </c>
      <c r="M27" s="33">
        <v>0.66124661246612471</v>
      </c>
      <c r="N27" s="33">
        <f t="shared" si="0"/>
        <v>0.11812928793483801</v>
      </c>
    </row>
    <row r="28" spans="1:14" ht="15.75" customHeight="1">
      <c r="A28" s="5" t="s">
        <v>226</v>
      </c>
      <c r="B28" s="5" t="s">
        <v>223</v>
      </c>
      <c r="C28" s="5">
        <v>44</v>
      </c>
      <c r="D28" s="5">
        <v>1.43</v>
      </c>
      <c r="E28" s="5">
        <v>0.107</v>
      </c>
      <c r="F28" s="33">
        <v>0.22343078770218611</v>
      </c>
      <c r="G28" s="5">
        <v>6.2</v>
      </c>
      <c r="H28" s="5">
        <v>27.749085359999999</v>
      </c>
      <c r="I28" s="5">
        <v>3.25</v>
      </c>
      <c r="J28" s="5">
        <v>3.55</v>
      </c>
      <c r="K28" s="5">
        <v>5.95</v>
      </c>
      <c r="L28" s="33">
        <v>9.2307692307692257E-2</v>
      </c>
      <c r="M28" s="33">
        <v>0.67605633802816911</v>
      </c>
      <c r="N28" s="33">
        <f t="shared" si="0"/>
        <v>0.11712097742453303</v>
      </c>
    </row>
    <row r="29" spans="1:14" ht="15.75" customHeight="1">
      <c r="A29" s="5" t="s">
        <v>226</v>
      </c>
      <c r="B29" s="5" t="s">
        <v>223</v>
      </c>
      <c r="C29" s="5">
        <v>120</v>
      </c>
      <c r="D29" s="5">
        <v>1.69</v>
      </c>
      <c r="E29" s="5">
        <v>0.127</v>
      </c>
      <c r="F29" s="33">
        <v>0.21626019484490749</v>
      </c>
      <c r="G29" s="5">
        <v>6.3</v>
      </c>
      <c r="H29" s="5">
        <v>29.131574604000001</v>
      </c>
      <c r="I29" s="5">
        <v>3.48</v>
      </c>
      <c r="J29" s="5">
        <v>3.72</v>
      </c>
      <c r="K29" s="5">
        <v>6.06</v>
      </c>
      <c r="L29" s="33">
        <v>6.8965517241379379E-2</v>
      </c>
      <c r="M29" s="33">
        <v>0.6290322580645159</v>
      </c>
      <c r="N29" s="33">
        <f t="shared" si="0"/>
        <v>0.11945801239052035</v>
      </c>
    </row>
    <row r="30" spans="1:14" ht="15.75" customHeight="1">
      <c r="A30" s="5" t="s">
        <v>226</v>
      </c>
      <c r="B30" s="5" t="s">
        <v>223</v>
      </c>
      <c r="C30" s="5">
        <v>126</v>
      </c>
      <c r="D30" s="5">
        <v>1.67</v>
      </c>
      <c r="E30" s="5">
        <v>0.114</v>
      </c>
      <c r="F30" s="33">
        <v>0.21146458081387581</v>
      </c>
      <c r="G30" s="5">
        <v>6.1</v>
      </c>
      <c r="H30" s="5">
        <v>28.846438379999999</v>
      </c>
      <c r="I30" s="5">
        <v>3.34</v>
      </c>
      <c r="J30" s="5">
        <v>3.55</v>
      </c>
      <c r="K30" s="5">
        <v>5.81</v>
      </c>
      <c r="L30" s="33">
        <v>6.2874251497005984E-2</v>
      </c>
      <c r="M30" s="33">
        <v>0.63661971830985908</v>
      </c>
      <c r="N30" s="33">
        <f t="shared" si="0"/>
        <v>0.11578552457677793</v>
      </c>
    </row>
    <row r="31" spans="1:14" ht="15.75" customHeight="1">
      <c r="A31" s="5" t="s">
        <v>226</v>
      </c>
      <c r="B31" s="5" t="s">
        <v>223</v>
      </c>
      <c r="C31" s="5">
        <v>135</v>
      </c>
      <c r="D31" s="5">
        <v>1.49</v>
      </c>
      <c r="E31" s="5">
        <v>0.12</v>
      </c>
      <c r="F31" s="33">
        <v>0.21898846446017409</v>
      </c>
      <c r="G31" s="5">
        <v>6.4</v>
      </c>
      <c r="H31" s="5">
        <v>29.225283696000002</v>
      </c>
      <c r="I31" s="5">
        <v>3.39</v>
      </c>
      <c r="J31" s="5">
        <v>3.59</v>
      </c>
      <c r="K31" s="5">
        <v>6.11</v>
      </c>
      <c r="L31" s="33">
        <v>5.8997050147492541E-2</v>
      </c>
      <c r="M31" s="33">
        <v>0.70194986072423415</v>
      </c>
      <c r="N31" s="33">
        <f t="shared" si="0"/>
        <v>0.11599545226874844</v>
      </c>
    </row>
    <row r="32" spans="1:14" ht="15.75" customHeight="1">
      <c r="A32" s="5" t="s">
        <v>226</v>
      </c>
      <c r="B32" s="5" t="s">
        <v>224</v>
      </c>
      <c r="C32" s="5">
        <v>64</v>
      </c>
      <c r="D32" s="5">
        <v>1.91</v>
      </c>
      <c r="F32" s="33">
        <v>0.25544716815197138</v>
      </c>
      <c r="G32" s="5">
        <v>7.5</v>
      </c>
      <c r="H32" s="5">
        <v>29.360278504</v>
      </c>
      <c r="I32" s="5">
        <v>4.51</v>
      </c>
      <c r="J32" s="5">
        <v>4.83</v>
      </c>
      <c r="K32" s="5">
        <v>7.15</v>
      </c>
      <c r="L32" s="33">
        <v>7.0953436807095413E-2</v>
      </c>
      <c r="M32" s="33">
        <v>0.48033126293995859</v>
      </c>
      <c r="N32" s="33">
        <f t="shared" si="0"/>
        <v>0.15360889711538547</v>
      </c>
    </row>
    <row r="33" spans="1:14" ht="15.75" customHeight="1">
      <c r="A33" s="5" t="s">
        <v>226</v>
      </c>
      <c r="B33" s="5" t="s">
        <v>224</v>
      </c>
      <c r="C33" s="5">
        <v>73</v>
      </c>
      <c r="D33" s="5">
        <v>2.37</v>
      </c>
      <c r="E33" s="5">
        <v>0.17</v>
      </c>
      <c r="F33" s="33">
        <v>0.26672251152154047</v>
      </c>
      <c r="G33" s="5">
        <v>7.8</v>
      </c>
      <c r="H33" s="5">
        <v>29.243875800000001</v>
      </c>
      <c r="I33" s="5">
        <v>4.76</v>
      </c>
      <c r="J33" s="5">
        <v>5.17</v>
      </c>
      <c r="K33" s="5">
        <v>7.42</v>
      </c>
      <c r="L33" s="33">
        <v>8.6134453781512632E-2</v>
      </c>
      <c r="M33" s="33">
        <v>0.43520309477756292</v>
      </c>
      <c r="N33" s="33">
        <f t="shared" si="0"/>
        <v>0.16276912241570932</v>
      </c>
    </row>
    <row r="34" spans="1:14" ht="15.75" customHeight="1">
      <c r="A34" s="5" t="s">
        <v>226</v>
      </c>
      <c r="B34" s="5" t="s">
        <v>224</v>
      </c>
      <c r="C34" s="5">
        <v>139</v>
      </c>
      <c r="D34" s="5">
        <v>1.75</v>
      </c>
      <c r="E34" s="5">
        <v>0.122</v>
      </c>
      <c r="F34" s="33">
        <v>0.26769579072884381</v>
      </c>
      <c r="G34" s="5">
        <v>7.6</v>
      </c>
      <c r="H34" s="5">
        <v>28.390435199999999</v>
      </c>
      <c r="I34" s="5">
        <v>4.6500000000000004</v>
      </c>
      <c r="J34" s="5">
        <v>4.82</v>
      </c>
      <c r="K34" s="5">
        <v>7.28</v>
      </c>
      <c r="L34" s="33">
        <v>3.6559139784946217E-2</v>
      </c>
      <c r="M34" s="33">
        <v>0.51037344398340245</v>
      </c>
      <c r="N34" s="33">
        <f t="shared" si="0"/>
        <v>0.16378755616962154</v>
      </c>
    </row>
    <row r="35" spans="1:14" ht="15.75" customHeight="1">
      <c r="A35" s="5" t="s">
        <v>226</v>
      </c>
      <c r="B35" s="5" t="s">
        <v>224</v>
      </c>
      <c r="C35" s="5">
        <v>148</v>
      </c>
      <c r="D35" s="5">
        <v>1.34</v>
      </c>
      <c r="E35" s="5">
        <v>0.128</v>
      </c>
      <c r="F35" s="33">
        <v>0.27924200337029059</v>
      </c>
      <c r="G35" s="5">
        <v>7.9</v>
      </c>
      <c r="H35" s="5">
        <v>28.290872808</v>
      </c>
      <c r="I35" s="5">
        <v>4.93</v>
      </c>
      <c r="J35" s="5">
        <v>5.0999999999999996</v>
      </c>
      <c r="K35" s="5">
        <v>7.55</v>
      </c>
      <c r="L35" s="33">
        <v>3.4482758620689641E-2</v>
      </c>
      <c r="M35" s="33">
        <v>0.48039215686274522</v>
      </c>
      <c r="N35" s="33">
        <f t="shared" si="0"/>
        <v>0.17426114893867503</v>
      </c>
    </row>
    <row r="36" spans="1:14" ht="15.75" customHeight="1">
      <c r="A36" s="5" t="s">
        <v>226</v>
      </c>
      <c r="B36" s="5" t="s">
        <v>224</v>
      </c>
      <c r="C36" s="5">
        <v>150</v>
      </c>
      <c r="D36" s="5">
        <v>1.28</v>
      </c>
      <c r="E36" s="5">
        <v>0.13</v>
      </c>
      <c r="F36" s="33">
        <v>0.26878457482500367</v>
      </c>
      <c r="G36" s="5">
        <v>7.9</v>
      </c>
      <c r="H36" s="5">
        <v>29.391567597000002</v>
      </c>
      <c r="I36" s="5">
        <v>4.8099999999999996</v>
      </c>
      <c r="J36" s="5">
        <v>5.13</v>
      </c>
      <c r="K36" s="5">
        <v>7.54</v>
      </c>
      <c r="L36" s="33">
        <v>6.6528066528066587E-2</v>
      </c>
      <c r="M36" s="33">
        <v>0.46978557504873297</v>
      </c>
      <c r="N36" s="33">
        <f t="shared" si="0"/>
        <v>0.16365238036813512</v>
      </c>
    </row>
    <row r="37" spans="1:14" ht="15.75" customHeight="1">
      <c r="A37" s="5" t="s">
        <v>226</v>
      </c>
      <c r="B37" s="5" t="s">
        <v>225</v>
      </c>
      <c r="C37" s="5">
        <v>74</v>
      </c>
      <c r="D37" s="5">
        <v>1.56</v>
      </c>
      <c r="E37" s="5">
        <v>0.10100000000000001</v>
      </c>
      <c r="F37" s="33">
        <v>0.28113959794772603</v>
      </c>
      <c r="G37" s="5">
        <v>8.1999999999999993</v>
      </c>
      <c r="H37" s="5">
        <v>29.16700479</v>
      </c>
      <c r="I37" s="5">
        <v>4.7699999999999996</v>
      </c>
      <c r="J37" s="5">
        <v>5.47</v>
      </c>
      <c r="K37" s="5">
        <v>7.85</v>
      </c>
      <c r="L37" s="33">
        <v>0.14675052410901471</v>
      </c>
      <c r="M37" s="33">
        <v>0.43510054844606949</v>
      </c>
      <c r="N37" s="33">
        <f t="shared" si="0"/>
        <v>0.16354096124520159</v>
      </c>
    </row>
    <row r="38" spans="1:14" ht="15.75" customHeight="1">
      <c r="A38" s="5" t="s">
        <v>226</v>
      </c>
      <c r="B38" s="5" t="s">
        <v>225</v>
      </c>
      <c r="C38" s="5">
        <v>87</v>
      </c>
      <c r="D38" s="5">
        <v>1.3</v>
      </c>
      <c r="E38" s="5">
        <v>0.113</v>
      </c>
      <c r="F38" s="33">
        <v>0.27811689724226152</v>
      </c>
      <c r="G38" s="5">
        <v>8.1999999999999993</v>
      </c>
      <c r="H38" s="5">
        <v>29.48400504</v>
      </c>
      <c r="I38" s="5">
        <v>4.93</v>
      </c>
      <c r="J38" s="5">
        <v>5.28</v>
      </c>
      <c r="K38" s="5">
        <v>7.89</v>
      </c>
      <c r="L38" s="33">
        <v>7.0993914807302341E-2</v>
      </c>
      <c r="M38" s="33">
        <v>0.49431818181818171</v>
      </c>
      <c r="N38" s="33">
        <f t="shared" si="0"/>
        <v>0.16720930529321332</v>
      </c>
    </row>
    <row r="39" spans="1:14" ht="15.75" customHeight="1">
      <c r="A39" s="5" t="s">
        <v>226</v>
      </c>
      <c r="B39" s="5" t="s">
        <v>225</v>
      </c>
      <c r="C39" s="5">
        <v>93</v>
      </c>
      <c r="D39" s="5">
        <v>1.27</v>
      </c>
      <c r="E39" s="5">
        <v>7.8600000000000003E-2</v>
      </c>
      <c r="F39" s="33">
        <v>0.27201140268844892</v>
      </c>
      <c r="G39" s="5">
        <v>8.1</v>
      </c>
      <c r="H39" s="5">
        <v>29.778163415000002</v>
      </c>
      <c r="I39" s="5">
        <v>4.5999999999999996</v>
      </c>
      <c r="J39" s="5">
        <v>5.07</v>
      </c>
      <c r="K39" s="5">
        <v>7.76</v>
      </c>
      <c r="L39" s="33">
        <v>0.10217391304347841</v>
      </c>
      <c r="M39" s="33">
        <v>0.53057199211045347</v>
      </c>
      <c r="N39" s="33">
        <f t="shared" si="0"/>
        <v>0.15447561140331662</v>
      </c>
    </row>
    <row r="40" spans="1:14" ht="15.75" customHeight="1">
      <c r="A40" s="5" t="s">
        <v>226</v>
      </c>
      <c r="B40" s="5" t="s">
        <v>225</v>
      </c>
      <c r="C40" s="5">
        <v>161</v>
      </c>
      <c r="D40" s="5">
        <v>1.1100000000000001</v>
      </c>
      <c r="E40" s="5">
        <v>7.5600000000000001E-2</v>
      </c>
      <c r="F40" s="33">
        <v>0.26053515142384509</v>
      </c>
      <c r="G40" s="5">
        <v>7.7</v>
      </c>
      <c r="H40" s="5">
        <v>29.554553225999999</v>
      </c>
      <c r="I40" s="5">
        <v>4.28</v>
      </c>
      <c r="J40" s="5">
        <v>4.59</v>
      </c>
      <c r="K40" s="5">
        <v>7.42</v>
      </c>
      <c r="L40" s="33">
        <v>7.2429906542055986E-2</v>
      </c>
      <c r="M40" s="33">
        <v>0.6165577342047931</v>
      </c>
      <c r="N40" s="33">
        <f t="shared" si="0"/>
        <v>0.14481694131091652</v>
      </c>
    </row>
    <row r="41" spans="1:14" ht="15.75" customHeight="1">
      <c r="A41" s="5" t="s">
        <v>226</v>
      </c>
      <c r="B41" s="5" t="s">
        <v>225</v>
      </c>
      <c r="C41" s="5">
        <v>167</v>
      </c>
      <c r="D41" s="5">
        <v>1.46</v>
      </c>
      <c r="E41" s="5">
        <v>7.4399999999999994E-2</v>
      </c>
      <c r="F41" s="33">
        <v>0.27758469623153459</v>
      </c>
      <c r="G41" s="5">
        <v>8.1</v>
      </c>
      <c r="H41" s="5">
        <v>29.180283027000002</v>
      </c>
      <c r="I41" s="5">
        <v>4.6500000000000004</v>
      </c>
      <c r="J41" s="5">
        <v>5.15</v>
      </c>
      <c r="K41" s="5">
        <v>7.74</v>
      </c>
      <c r="L41" s="33">
        <v>0.1075268817204301</v>
      </c>
      <c r="M41" s="33">
        <v>0.50291262135922321</v>
      </c>
      <c r="N41" s="33">
        <f t="shared" si="0"/>
        <v>0.15935417746625136</v>
      </c>
    </row>
    <row r="42" spans="1:14" ht="15.75" customHeight="1">
      <c r="A42" s="52" t="s">
        <v>221</v>
      </c>
      <c r="B42" s="52" t="s">
        <v>227</v>
      </c>
      <c r="C42" s="53">
        <v>101</v>
      </c>
      <c r="D42" s="52">
        <v>0.112</v>
      </c>
      <c r="E42" s="52">
        <v>1.0999999999999999E-2</v>
      </c>
      <c r="F42" s="76">
        <v>0.14462931433659662</v>
      </c>
      <c r="G42" s="54">
        <v>3.8</v>
      </c>
      <c r="H42" s="52">
        <v>26.274064960000004</v>
      </c>
      <c r="I42">
        <v>1.87</v>
      </c>
      <c r="J42">
        <v>1.87</v>
      </c>
      <c r="K42">
        <v>3.63</v>
      </c>
      <c r="L42" s="76">
        <v>0</v>
      </c>
      <c r="M42">
        <v>0.94</v>
      </c>
      <c r="N42" s="33">
        <f t="shared" si="0"/>
        <v>7.1172846791956776E-2</v>
      </c>
    </row>
    <row r="43" spans="1:14" ht="15.75" customHeight="1">
      <c r="A43" s="52" t="s">
        <v>221</v>
      </c>
      <c r="B43" s="52" t="s">
        <v>227</v>
      </c>
      <c r="C43" s="53">
        <v>102</v>
      </c>
      <c r="D43" s="52">
        <v>0.122</v>
      </c>
      <c r="E43" s="52">
        <v>1.18E-2</v>
      </c>
      <c r="F43" s="76">
        <v>0.1454285185092111</v>
      </c>
      <c r="G43" s="54">
        <v>3.9</v>
      </c>
      <c r="H43" s="52">
        <v>26.817298559999998</v>
      </c>
      <c r="I43">
        <v>1.98</v>
      </c>
      <c r="J43">
        <v>1.98</v>
      </c>
      <c r="K43">
        <v>3.76</v>
      </c>
      <c r="L43" s="76">
        <v>0</v>
      </c>
      <c r="M43">
        <v>0.9</v>
      </c>
      <c r="N43" s="33">
        <f t="shared" si="0"/>
        <v>7.3832940166214875E-2</v>
      </c>
    </row>
    <row r="44" spans="1:14" ht="15.75" customHeight="1">
      <c r="A44" s="52" t="s">
        <v>221</v>
      </c>
      <c r="B44" s="52" t="s">
        <v>227</v>
      </c>
      <c r="C44" s="53">
        <v>103</v>
      </c>
      <c r="D44" s="52">
        <v>0.13900000000000001</v>
      </c>
      <c r="E44" s="52">
        <v>1.32E-2</v>
      </c>
      <c r="F44" s="76">
        <v>0.15604609880875803</v>
      </c>
      <c r="G44" s="54">
        <v>4.0999999999999996</v>
      </c>
      <c r="H44" s="52">
        <v>26.274287093999998</v>
      </c>
      <c r="I44">
        <v>2</v>
      </c>
      <c r="J44">
        <v>2</v>
      </c>
      <c r="K44">
        <v>3.89</v>
      </c>
      <c r="L44" s="76">
        <v>0</v>
      </c>
      <c r="M44">
        <v>0.95</v>
      </c>
      <c r="N44" s="33">
        <f t="shared" si="0"/>
        <v>7.6120048199394164E-2</v>
      </c>
    </row>
    <row r="45" spans="1:14" ht="15.75" customHeight="1">
      <c r="A45" s="52" t="s">
        <v>221</v>
      </c>
      <c r="B45" s="52" t="s">
        <v>227</v>
      </c>
      <c r="C45" s="53">
        <v>104</v>
      </c>
      <c r="D45" s="52">
        <v>0.11799999999999999</v>
      </c>
      <c r="E45" s="52">
        <v>1.1599999999999999E-2</v>
      </c>
      <c r="F45" s="76">
        <v>0.14846746147258277</v>
      </c>
      <c r="G45" s="54">
        <v>4</v>
      </c>
      <c r="H45" s="52">
        <v>26.941930308</v>
      </c>
      <c r="I45">
        <v>1.99</v>
      </c>
      <c r="J45">
        <v>1.99</v>
      </c>
      <c r="K45">
        <v>3.76</v>
      </c>
      <c r="L45" s="76">
        <v>0</v>
      </c>
      <c r="M45">
        <v>0.89</v>
      </c>
      <c r="N45" s="33">
        <f t="shared" si="0"/>
        <v>7.3862562082609926E-2</v>
      </c>
    </row>
    <row r="46" spans="1:14" ht="15.75" customHeight="1">
      <c r="A46" s="52" t="s">
        <v>221</v>
      </c>
      <c r="B46" s="52" t="s">
        <v>227</v>
      </c>
      <c r="C46" s="53">
        <v>105</v>
      </c>
      <c r="D46" s="52">
        <v>0.13200000000000001</v>
      </c>
      <c r="E46" s="52">
        <v>1.26E-2</v>
      </c>
      <c r="F46" s="76">
        <v>0.15245711968691308</v>
      </c>
      <c r="G46" s="54">
        <v>4.2</v>
      </c>
      <c r="H46" s="52">
        <v>27.548729824000002</v>
      </c>
      <c r="I46">
        <v>2.08</v>
      </c>
      <c r="J46">
        <v>2.08</v>
      </c>
      <c r="K46">
        <v>4.0199999999999996</v>
      </c>
      <c r="L46" s="76">
        <v>0</v>
      </c>
      <c r="M46">
        <v>0.93</v>
      </c>
      <c r="N46" s="33">
        <f t="shared" si="0"/>
        <v>7.5502573559233149E-2</v>
      </c>
    </row>
    <row r="47" spans="1:14" ht="15.75" customHeight="1">
      <c r="A47" s="52" t="s">
        <v>221</v>
      </c>
      <c r="B47" s="52" t="s">
        <v>228</v>
      </c>
      <c r="C47" s="53">
        <v>201</v>
      </c>
      <c r="D47" s="52">
        <v>0.53900000000000003</v>
      </c>
      <c r="E47" s="52">
        <v>4.4900000000000002E-2</v>
      </c>
      <c r="F47" s="76">
        <v>0.17464978613609738</v>
      </c>
      <c r="G47" s="54">
        <v>5.2</v>
      </c>
      <c r="H47" s="52">
        <v>29.77386984</v>
      </c>
      <c r="I47">
        <v>2.73</v>
      </c>
      <c r="J47">
        <v>2.73</v>
      </c>
      <c r="K47">
        <v>4.96</v>
      </c>
      <c r="L47" s="76">
        <v>0</v>
      </c>
      <c r="M47">
        <v>0.82</v>
      </c>
      <c r="N47" s="33">
        <f t="shared" si="0"/>
        <v>9.1691137721451127E-2</v>
      </c>
    </row>
    <row r="48" spans="1:14" ht="15.75" customHeight="1">
      <c r="A48" s="52" t="s">
        <v>221</v>
      </c>
      <c r="B48" s="52" t="s">
        <v>228</v>
      </c>
      <c r="C48" s="53">
        <v>202</v>
      </c>
      <c r="D48" s="52">
        <v>0.40899999999999997</v>
      </c>
      <c r="E48" s="52">
        <v>4.48E-2</v>
      </c>
      <c r="F48" s="76">
        <v>0.16441622538463999</v>
      </c>
      <c r="G48" s="54">
        <v>5.0999999999999996</v>
      </c>
      <c r="H48" s="52">
        <v>31.01883642</v>
      </c>
      <c r="I48">
        <v>2.65</v>
      </c>
      <c r="J48">
        <v>2.65</v>
      </c>
      <c r="K48">
        <v>4.8899999999999997</v>
      </c>
      <c r="L48" s="76">
        <v>0</v>
      </c>
      <c r="M48">
        <v>0.85</v>
      </c>
      <c r="N48" s="33">
        <f t="shared" si="0"/>
        <v>8.5431960248881569E-2</v>
      </c>
    </row>
    <row r="49" spans="1:14" ht="15.75" customHeight="1">
      <c r="A49" s="52" t="s">
        <v>221</v>
      </c>
      <c r="B49" s="52" t="s">
        <v>228</v>
      </c>
      <c r="C49" s="53">
        <v>203</v>
      </c>
      <c r="D49" s="52">
        <v>0.39600000000000002</v>
      </c>
      <c r="E49" s="52">
        <v>4.4600000000000001E-2</v>
      </c>
      <c r="F49" s="76">
        <v>0.17544629858373589</v>
      </c>
      <c r="G49" s="54">
        <v>5.2</v>
      </c>
      <c r="H49" s="52">
        <v>29.638698804000001</v>
      </c>
      <c r="I49">
        <v>2.7</v>
      </c>
      <c r="J49">
        <v>2.7</v>
      </c>
      <c r="K49">
        <v>4.92</v>
      </c>
      <c r="L49" s="76">
        <v>0</v>
      </c>
      <c r="M49">
        <v>0.82</v>
      </c>
      <c r="N49" s="33">
        <f t="shared" si="0"/>
        <v>9.1097116572324416E-2</v>
      </c>
    </row>
    <row r="50" spans="1:14" ht="15.75" customHeight="1">
      <c r="A50" s="52" t="s">
        <v>221</v>
      </c>
      <c r="B50" s="52" t="s">
        <v>228</v>
      </c>
      <c r="C50" s="53">
        <v>204</v>
      </c>
      <c r="D50" s="52">
        <v>0.33100000000000002</v>
      </c>
      <c r="E50" s="52">
        <v>4.1500000000000002E-2</v>
      </c>
      <c r="F50" s="76">
        <v>0.16609990409133593</v>
      </c>
      <c r="G50" s="54">
        <v>5.0999999999999996</v>
      </c>
      <c r="H50" s="52">
        <v>30.704412672</v>
      </c>
      <c r="I50">
        <v>2.64</v>
      </c>
      <c r="J50">
        <v>2.64</v>
      </c>
      <c r="K50">
        <v>4.82</v>
      </c>
      <c r="L50" s="76">
        <v>0</v>
      </c>
      <c r="M50">
        <v>0.83</v>
      </c>
      <c r="N50" s="33">
        <f t="shared" si="0"/>
        <v>8.5981126823750378E-2</v>
      </c>
    </row>
    <row r="51" spans="1:14" ht="15.75" customHeight="1">
      <c r="A51" s="52" t="s">
        <v>221</v>
      </c>
      <c r="B51" s="52" t="s">
        <v>228</v>
      </c>
      <c r="C51" s="53">
        <v>205</v>
      </c>
      <c r="D51" s="52">
        <v>0.55600000000000005</v>
      </c>
      <c r="E51" s="52">
        <v>5.8299999999999998E-2</v>
      </c>
      <c r="F51" s="76">
        <v>0.16850690223683557</v>
      </c>
      <c r="G51" s="54">
        <v>5</v>
      </c>
      <c r="H51" s="52">
        <v>29.672375040000002</v>
      </c>
      <c r="I51">
        <v>2.59</v>
      </c>
      <c r="J51">
        <v>2.59</v>
      </c>
      <c r="K51">
        <v>4.8</v>
      </c>
      <c r="L51" s="76">
        <v>0</v>
      </c>
      <c r="M51">
        <v>0.85</v>
      </c>
      <c r="N51" s="33">
        <f t="shared" si="0"/>
        <v>8.7286575358680812E-2</v>
      </c>
    </row>
    <row r="52" spans="1:14" ht="15.75" customHeight="1">
      <c r="A52" s="52" t="s">
        <v>221</v>
      </c>
      <c r="B52" s="52" t="s">
        <v>229</v>
      </c>
      <c r="C52" s="53">
        <v>166</v>
      </c>
      <c r="D52" s="52">
        <v>0.52</v>
      </c>
      <c r="E52" s="52">
        <v>6.25E-2</v>
      </c>
      <c r="F52" s="76">
        <v>0.18765611732335516</v>
      </c>
      <c r="G52" s="54">
        <v>5.6</v>
      </c>
      <c r="H52" s="52">
        <v>29.841819600000001</v>
      </c>
      <c r="I52">
        <v>3.35</v>
      </c>
      <c r="J52">
        <v>3.35</v>
      </c>
      <c r="K52">
        <v>5.36</v>
      </c>
      <c r="L52" s="76">
        <v>0</v>
      </c>
      <c r="M52">
        <v>0.6</v>
      </c>
      <c r="N52" s="33">
        <f t="shared" si="0"/>
        <v>0.11225857018450712</v>
      </c>
    </row>
    <row r="53" spans="1:14" ht="15.75" customHeight="1">
      <c r="A53" s="52" t="s">
        <v>221</v>
      </c>
      <c r="B53" s="52" t="s">
        <v>229</v>
      </c>
      <c r="C53" s="53">
        <v>167</v>
      </c>
      <c r="D53" s="52">
        <v>0.39500000000000002</v>
      </c>
      <c r="E53" s="52">
        <v>5.6099999999999997E-2</v>
      </c>
      <c r="F53" s="76">
        <v>0.19150496040638906</v>
      </c>
      <c r="G53" s="54">
        <v>5.8</v>
      </c>
      <c r="H53" s="52">
        <v>30.28642176</v>
      </c>
      <c r="I53">
        <v>3.49</v>
      </c>
      <c r="J53">
        <v>3.49</v>
      </c>
      <c r="K53">
        <v>5.5</v>
      </c>
      <c r="L53" s="76">
        <v>0</v>
      </c>
      <c r="M53">
        <v>0.57999999999999996</v>
      </c>
      <c r="N53" s="33">
        <f t="shared" si="0"/>
        <v>0.11523315721005135</v>
      </c>
    </row>
    <row r="54" spans="1:14" ht="15.75" customHeight="1">
      <c r="A54" s="52" t="s">
        <v>221</v>
      </c>
      <c r="B54" s="52" t="s">
        <v>229</v>
      </c>
      <c r="C54" s="53">
        <v>168</v>
      </c>
      <c r="D54" s="52">
        <v>0.54600000000000004</v>
      </c>
      <c r="E54" s="52">
        <v>5.3699999999999998E-2</v>
      </c>
      <c r="F54" s="76">
        <v>0.19782933902639802</v>
      </c>
      <c r="G54" s="54">
        <v>5.7</v>
      </c>
      <c r="H54" s="52">
        <v>28.812713160000001</v>
      </c>
      <c r="I54">
        <v>3.39</v>
      </c>
      <c r="J54">
        <v>3.39</v>
      </c>
      <c r="K54">
        <v>5.4</v>
      </c>
      <c r="L54" s="76">
        <v>0</v>
      </c>
      <c r="M54">
        <v>0.59</v>
      </c>
      <c r="N54" s="33">
        <f t="shared" si="0"/>
        <v>0.11765639636833146</v>
      </c>
    </row>
    <row r="55" spans="1:14" ht="15.75" customHeight="1">
      <c r="A55" s="52" t="s">
        <v>221</v>
      </c>
      <c r="B55" s="52" t="s">
        <v>229</v>
      </c>
      <c r="C55" s="53">
        <v>169</v>
      </c>
      <c r="D55" s="52">
        <v>0.751</v>
      </c>
      <c r="E55" s="52">
        <v>5.7599999999999998E-2</v>
      </c>
      <c r="F55" s="76">
        <v>0.19604383693892324</v>
      </c>
      <c r="G55" s="54">
        <v>5.8</v>
      </c>
      <c r="H55" s="52">
        <v>29.585219767999998</v>
      </c>
      <c r="I55">
        <v>3.41</v>
      </c>
      <c r="J55">
        <v>3.41</v>
      </c>
      <c r="K55">
        <v>5.52</v>
      </c>
      <c r="L55" s="76">
        <v>0</v>
      </c>
      <c r="M55">
        <v>0.62</v>
      </c>
      <c r="N55" s="33">
        <f t="shared" si="0"/>
        <v>0.11526025585547039</v>
      </c>
    </row>
    <row r="56" spans="1:14" ht="15.75" customHeight="1">
      <c r="A56" s="52" t="s">
        <v>221</v>
      </c>
      <c r="B56" s="52" t="s">
        <v>229</v>
      </c>
      <c r="C56" s="53">
        <v>170</v>
      </c>
      <c r="D56" s="52">
        <v>0.55200000000000005</v>
      </c>
      <c r="E56" s="52">
        <v>5.3600000000000002E-2</v>
      </c>
      <c r="F56" s="76">
        <v>0.19035207519828676</v>
      </c>
      <c r="G56" s="54">
        <v>5.7</v>
      </c>
      <c r="H56" s="52">
        <v>29.944512</v>
      </c>
      <c r="I56">
        <v>3.37</v>
      </c>
      <c r="J56">
        <v>3.37</v>
      </c>
      <c r="K56">
        <v>5.41</v>
      </c>
      <c r="L56" s="76">
        <v>0</v>
      </c>
      <c r="M56">
        <v>0.61</v>
      </c>
      <c r="N56" s="33">
        <f t="shared" si="0"/>
        <v>0.11254149007337305</v>
      </c>
    </row>
    <row r="57" spans="1:14" ht="15.75" customHeight="1">
      <c r="A57" s="52" t="s">
        <v>221</v>
      </c>
      <c r="B57" s="52" t="s">
        <v>230</v>
      </c>
      <c r="C57" s="53">
        <v>186</v>
      </c>
      <c r="D57" s="52">
        <v>0.247</v>
      </c>
      <c r="E57" s="52">
        <v>2.1899999999999999E-2</v>
      </c>
      <c r="F57" s="76">
        <v>0.16026577641487758</v>
      </c>
      <c r="G57" s="54">
        <v>4.3</v>
      </c>
      <c r="H57" s="52">
        <v>26.830431900000004</v>
      </c>
      <c r="I57">
        <v>2.2200000000000002</v>
      </c>
      <c r="J57">
        <v>2.2200000000000002</v>
      </c>
      <c r="K57">
        <v>4.1100000000000003</v>
      </c>
      <c r="L57" s="76">
        <v>0</v>
      </c>
      <c r="M57">
        <v>0.85</v>
      </c>
      <c r="N57" s="33">
        <f t="shared" si="0"/>
        <v>8.2741865963029834E-2</v>
      </c>
    </row>
    <row r="58" spans="1:14" ht="15.75" customHeight="1">
      <c r="A58" s="52" t="s">
        <v>221</v>
      </c>
      <c r="B58" s="52" t="s">
        <v>230</v>
      </c>
      <c r="C58" s="53">
        <v>187</v>
      </c>
      <c r="D58" s="52">
        <v>0.13300000000000001</v>
      </c>
      <c r="E58" s="52">
        <v>1.3599999999999999E-2</v>
      </c>
      <c r="F58" s="76">
        <v>0.15333499102670167</v>
      </c>
      <c r="G58" s="54">
        <v>4.0999999999999996</v>
      </c>
      <c r="H58" s="52">
        <v>26.738841359999999</v>
      </c>
      <c r="I58">
        <v>2.16</v>
      </c>
      <c r="J58">
        <v>2.16</v>
      </c>
      <c r="K58">
        <v>3.9</v>
      </c>
      <c r="L58" s="76">
        <v>0</v>
      </c>
      <c r="M58">
        <v>0.81</v>
      </c>
      <c r="N58" s="33">
        <f t="shared" si="0"/>
        <v>8.0781361126262358E-2</v>
      </c>
    </row>
    <row r="59" spans="1:14" ht="15.75" customHeight="1">
      <c r="A59" s="52" t="s">
        <v>221</v>
      </c>
      <c r="B59" s="52" t="s">
        <v>230</v>
      </c>
      <c r="C59" s="53">
        <v>188</v>
      </c>
      <c r="D59" s="52">
        <v>0.128</v>
      </c>
      <c r="E59" s="52">
        <v>1.29E-2</v>
      </c>
      <c r="F59" s="76">
        <v>0.15308813731599313</v>
      </c>
      <c r="G59" s="54">
        <v>4</v>
      </c>
      <c r="H59" s="52">
        <v>26.128739105000005</v>
      </c>
      <c r="I59">
        <v>2.16</v>
      </c>
      <c r="J59">
        <v>2.16</v>
      </c>
      <c r="K59">
        <v>3.86</v>
      </c>
      <c r="L59" s="76">
        <v>0</v>
      </c>
      <c r="M59">
        <v>0.79</v>
      </c>
      <c r="N59" s="33">
        <f t="shared" si="0"/>
        <v>8.2667594150636292E-2</v>
      </c>
    </row>
    <row r="60" spans="1:14" ht="15.75" customHeight="1">
      <c r="A60" s="52" t="s">
        <v>221</v>
      </c>
      <c r="B60" s="52" t="s">
        <v>230</v>
      </c>
      <c r="C60" s="53">
        <v>189</v>
      </c>
      <c r="D60" s="52">
        <v>0.17100000000000001</v>
      </c>
      <c r="E60" s="52">
        <v>1.66E-2</v>
      </c>
      <c r="F60" s="76">
        <v>0.14685312549269225</v>
      </c>
      <c r="G60" s="54">
        <v>4.2</v>
      </c>
      <c r="H60" s="52">
        <v>28.600004160000001</v>
      </c>
      <c r="I60">
        <v>2.15</v>
      </c>
      <c r="J60">
        <v>2.15</v>
      </c>
      <c r="K60">
        <v>3.98</v>
      </c>
      <c r="L60" s="76">
        <v>0</v>
      </c>
      <c r="M60">
        <v>0.85</v>
      </c>
      <c r="N60" s="33">
        <f t="shared" si="0"/>
        <v>7.5174814240306739E-2</v>
      </c>
    </row>
    <row r="61" spans="1:14" ht="15.75" customHeight="1">
      <c r="A61" s="52" t="s">
        <v>221</v>
      </c>
      <c r="B61" s="52" t="s">
        <v>230</v>
      </c>
      <c r="C61" s="53">
        <v>190</v>
      </c>
      <c r="D61" s="52">
        <v>0.188</v>
      </c>
      <c r="E61" s="52">
        <v>1.7500000000000002E-2</v>
      </c>
      <c r="F61" s="76">
        <v>0.15436573828184891</v>
      </c>
      <c r="G61" s="54">
        <v>4</v>
      </c>
      <c r="H61" s="52">
        <v>25.912485791999998</v>
      </c>
      <c r="I61">
        <v>2.1</v>
      </c>
      <c r="J61">
        <v>2.1</v>
      </c>
      <c r="K61">
        <v>3.78</v>
      </c>
      <c r="L61" s="76">
        <v>0</v>
      </c>
      <c r="M61">
        <v>0.8</v>
      </c>
      <c r="N61" s="33">
        <f t="shared" si="0"/>
        <v>8.1042012597970683E-2</v>
      </c>
    </row>
    <row r="62" spans="1:14" ht="15.75" customHeight="1">
      <c r="A62" s="73" t="s">
        <v>226</v>
      </c>
      <c r="B62" t="s">
        <v>227</v>
      </c>
      <c r="C62">
        <v>107</v>
      </c>
      <c r="D62">
        <v>8.0699999999999994E-2</v>
      </c>
      <c r="E62">
        <v>8.5800000000000008E-3</v>
      </c>
      <c r="F62" s="74">
        <v>0.1595302035633544</v>
      </c>
      <c r="G62">
        <v>3.7</v>
      </c>
      <c r="H62">
        <v>23.193100223999998</v>
      </c>
      <c r="I62">
        <v>1.86</v>
      </c>
      <c r="J62">
        <v>1.85</v>
      </c>
      <c r="K62">
        <v>3.66</v>
      </c>
      <c r="L62" s="74">
        <v>-5.0000000000000001E-3</v>
      </c>
      <c r="M62" s="74">
        <v>0.97799999999999998</v>
      </c>
      <c r="N62" s="33">
        <f>I62/H62</f>
        <v>8.0196264494010586E-2</v>
      </c>
    </row>
    <row r="63" spans="1:14" ht="15.75" customHeight="1">
      <c r="A63" s="73" t="s">
        <v>226</v>
      </c>
      <c r="B63" t="s">
        <v>227</v>
      </c>
      <c r="C63">
        <v>306</v>
      </c>
      <c r="D63">
        <v>0.19400000000000001</v>
      </c>
      <c r="E63">
        <v>1.9199999999999998E-2</v>
      </c>
      <c r="F63" s="74">
        <v>0.17602163913036506</v>
      </c>
      <c r="G63">
        <v>5</v>
      </c>
      <c r="H63">
        <v>28.405598452</v>
      </c>
      <c r="I63">
        <v>2.23</v>
      </c>
      <c r="J63">
        <v>2.41</v>
      </c>
      <c r="K63">
        <v>5.0199999999999996</v>
      </c>
      <c r="L63" s="74">
        <v>8.1000000000000003E-2</v>
      </c>
      <c r="M63" s="74">
        <v>1.083</v>
      </c>
      <c r="N63" s="33">
        <f t="shared" ref="N63:N81" si="1">I63/H63</f>
        <v>7.8505651052142814E-2</v>
      </c>
    </row>
    <row r="64" spans="1:14" ht="15.75" customHeight="1">
      <c r="A64" s="73" t="s">
        <v>226</v>
      </c>
      <c r="B64" t="s">
        <v>227</v>
      </c>
      <c r="C64">
        <v>309</v>
      </c>
      <c r="D64">
        <v>0.14599999999999999</v>
      </c>
      <c r="E64">
        <v>1.49E-2</v>
      </c>
      <c r="F64" s="74">
        <v>0.16918341581796723</v>
      </c>
      <c r="G64">
        <v>4.5999999999999996</v>
      </c>
      <c r="H64">
        <v>27.189426207999997</v>
      </c>
      <c r="I64">
        <v>1.96</v>
      </c>
      <c r="J64">
        <v>2.09</v>
      </c>
      <c r="K64">
        <v>4.22</v>
      </c>
      <c r="L64" s="74">
        <v>6.6000000000000003E-2</v>
      </c>
      <c r="M64" s="74">
        <v>1.0189999999999999</v>
      </c>
      <c r="N64" s="33">
        <f t="shared" si="1"/>
        <v>7.2086846739829527E-2</v>
      </c>
    </row>
    <row r="65" spans="1:14" ht="15.75" customHeight="1">
      <c r="A65" s="73" t="s">
        <v>226</v>
      </c>
      <c r="B65" t="s">
        <v>227</v>
      </c>
      <c r="C65">
        <v>290</v>
      </c>
      <c r="D65">
        <v>0.151</v>
      </c>
      <c r="E65">
        <v>1.5299999999999999E-2</v>
      </c>
      <c r="F65" s="74">
        <v>0.16381181916767443</v>
      </c>
      <c r="G65">
        <v>4.0999999999999996</v>
      </c>
      <c r="H65">
        <v>25.028719056000003</v>
      </c>
      <c r="I65">
        <v>2.19</v>
      </c>
      <c r="J65">
        <v>2.2200000000000002</v>
      </c>
      <c r="K65">
        <v>4.16</v>
      </c>
      <c r="L65" s="74">
        <v>1.4E-2</v>
      </c>
      <c r="M65" s="74">
        <v>0.874</v>
      </c>
      <c r="N65" s="33">
        <f t="shared" si="1"/>
        <v>8.7499483896879768E-2</v>
      </c>
    </row>
    <row r="66" spans="1:14" ht="15.75" customHeight="1">
      <c r="A66" s="73" t="s">
        <v>226</v>
      </c>
      <c r="B66" t="s">
        <v>227</v>
      </c>
      <c r="C66">
        <v>327</v>
      </c>
      <c r="D66">
        <v>0.188</v>
      </c>
      <c r="E66">
        <v>1.8800000000000001E-2</v>
      </c>
      <c r="F66" s="74">
        <v>0.16817123028598632</v>
      </c>
      <c r="G66">
        <v>4.8</v>
      </c>
      <c r="H66">
        <v>28.542337424999996</v>
      </c>
      <c r="I66">
        <v>2.2999999999999998</v>
      </c>
      <c r="J66">
        <v>2.2200000000000002</v>
      </c>
      <c r="K66">
        <v>4.76</v>
      </c>
      <c r="L66" s="74">
        <v>-3.5000000000000003E-2</v>
      </c>
      <c r="M66" s="74">
        <v>1.1439999999999999</v>
      </c>
      <c r="N66" s="33">
        <f t="shared" si="1"/>
        <v>8.0582047845368432E-2</v>
      </c>
    </row>
    <row r="67" spans="1:14" ht="15.75" customHeight="1">
      <c r="A67" s="73" t="s">
        <v>226</v>
      </c>
      <c r="B67" t="s">
        <v>228</v>
      </c>
      <c r="C67">
        <v>208</v>
      </c>
      <c r="D67">
        <v>1.02</v>
      </c>
      <c r="E67">
        <v>8.1500000000000003E-2</v>
      </c>
      <c r="F67" s="74">
        <v>0.18302783992749816</v>
      </c>
      <c r="G67">
        <v>5.4</v>
      </c>
      <c r="H67">
        <v>29.503708300000007</v>
      </c>
      <c r="I67">
        <v>2.7</v>
      </c>
      <c r="J67">
        <v>2.9</v>
      </c>
      <c r="K67">
        <v>5.38</v>
      </c>
      <c r="L67" s="74">
        <v>7.3999999999999996E-2</v>
      </c>
      <c r="M67" s="74">
        <v>0.85499999999999998</v>
      </c>
      <c r="N67" s="33">
        <f t="shared" si="1"/>
        <v>9.151391996374908E-2</v>
      </c>
    </row>
    <row r="68" spans="1:14" ht="15.75" customHeight="1">
      <c r="A68" s="73" t="s">
        <v>226</v>
      </c>
      <c r="B68" t="s">
        <v>228</v>
      </c>
      <c r="C68">
        <v>311</v>
      </c>
      <c r="D68">
        <v>0.85899999999999999</v>
      </c>
      <c r="E68">
        <v>7.7299999999999994E-2</v>
      </c>
      <c r="F68" s="74">
        <v>0.1867556070905855</v>
      </c>
      <c r="G68">
        <v>5.4</v>
      </c>
      <c r="H68">
        <v>28.914794495999999</v>
      </c>
      <c r="I68">
        <v>2.73</v>
      </c>
      <c r="J68">
        <v>2.94</v>
      </c>
      <c r="K68">
        <v>5.36</v>
      </c>
      <c r="L68" s="74">
        <v>7.6999999999999999E-2</v>
      </c>
      <c r="M68" s="74">
        <v>0.82299999999999995</v>
      </c>
      <c r="N68" s="33">
        <f t="shared" si="1"/>
        <v>9.4415334695796008E-2</v>
      </c>
    </row>
    <row r="69" spans="1:14" ht="15.75" customHeight="1">
      <c r="A69" s="73" t="s">
        <v>226</v>
      </c>
      <c r="B69" t="s">
        <v>228</v>
      </c>
      <c r="C69">
        <v>277</v>
      </c>
      <c r="D69">
        <v>0.71</v>
      </c>
      <c r="E69">
        <v>7.22E-2</v>
      </c>
      <c r="F69" s="74">
        <v>0.1772458277600289</v>
      </c>
      <c r="G69">
        <v>5.3</v>
      </c>
      <c r="H69">
        <v>29.901973248000001</v>
      </c>
      <c r="I69">
        <v>2.78</v>
      </c>
      <c r="J69">
        <v>2.94</v>
      </c>
      <c r="K69">
        <v>5.24</v>
      </c>
      <c r="L69" s="74">
        <v>5.8000000000000003E-2</v>
      </c>
      <c r="M69" s="74">
        <v>0.78200000000000003</v>
      </c>
      <c r="N69" s="33">
        <f t="shared" si="1"/>
        <v>9.2970453051486851E-2</v>
      </c>
    </row>
    <row r="70" spans="1:14" ht="15.75" customHeight="1">
      <c r="A70" s="73" t="s">
        <v>226</v>
      </c>
      <c r="B70" t="s">
        <v>228</v>
      </c>
      <c r="C70">
        <v>279</v>
      </c>
      <c r="D70">
        <v>1.0900000000000001</v>
      </c>
      <c r="E70">
        <v>7.85E-2</v>
      </c>
      <c r="F70" s="74">
        <v>0.17599299958176773</v>
      </c>
      <c r="G70">
        <v>5.6</v>
      </c>
      <c r="H70">
        <v>31.819447439999998</v>
      </c>
      <c r="I70">
        <v>2.85</v>
      </c>
      <c r="J70">
        <v>3.04</v>
      </c>
      <c r="K70">
        <v>5.46</v>
      </c>
      <c r="L70" s="74">
        <v>6.7000000000000004E-2</v>
      </c>
      <c r="M70" s="74">
        <v>0.79600000000000004</v>
      </c>
      <c r="N70" s="33">
        <f t="shared" si="1"/>
        <v>8.9567865858578219E-2</v>
      </c>
    </row>
    <row r="71" spans="1:14" ht="15.75" customHeight="1">
      <c r="A71" s="73" t="s">
        <v>226</v>
      </c>
      <c r="B71" t="s">
        <v>228</v>
      </c>
      <c r="C71">
        <v>270</v>
      </c>
      <c r="D71">
        <v>1.49</v>
      </c>
      <c r="E71">
        <v>9.6199999999999994E-2</v>
      </c>
      <c r="F71" s="74">
        <v>0.18658293747818694</v>
      </c>
      <c r="G71">
        <v>5.3</v>
      </c>
      <c r="H71">
        <v>28.405598452</v>
      </c>
      <c r="I71">
        <v>2.69</v>
      </c>
      <c r="J71">
        <v>2.84</v>
      </c>
      <c r="K71">
        <v>5.15</v>
      </c>
      <c r="L71" s="74">
        <v>5.6000000000000001E-2</v>
      </c>
      <c r="M71" s="74">
        <v>0.81299999999999994</v>
      </c>
      <c r="N71" s="33">
        <f t="shared" si="1"/>
        <v>9.469964185213639E-2</v>
      </c>
    </row>
    <row r="72" spans="1:14" ht="15.75" customHeight="1">
      <c r="A72" s="73" t="s">
        <v>226</v>
      </c>
      <c r="B72" t="s">
        <v>229</v>
      </c>
      <c r="C72">
        <v>173</v>
      </c>
      <c r="D72">
        <v>1.04</v>
      </c>
      <c r="E72">
        <v>8.0500000000000002E-2</v>
      </c>
      <c r="F72" s="74">
        <v>0.21024476016729077</v>
      </c>
      <c r="G72">
        <v>6</v>
      </c>
      <c r="H72">
        <v>28.538166636000003</v>
      </c>
      <c r="I72">
        <v>3.46</v>
      </c>
      <c r="J72">
        <v>3.55</v>
      </c>
      <c r="K72">
        <v>5.86</v>
      </c>
      <c r="L72" s="74">
        <v>2.5999999999999999E-2</v>
      </c>
      <c r="M72" s="74">
        <v>0.65100000000000002</v>
      </c>
      <c r="N72" s="33">
        <f t="shared" si="1"/>
        <v>0.12124114502980435</v>
      </c>
    </row>
    <row r="73" spans="1:14" ht="15.75" customHeight="1">
      <c r="A73" s="73" t="s">
        <v>226</v>
      </c>
      <c r="B73" t="s">
        <v>229</v>
      </c>
      <c r="C73">
        <v>226</v>
      </c>
      <c r="D73">
        <v>1.0900000000000001</v>
      </c>
      <c r="E73">
        <v>9.5000000000000001E-2</v>
      </c>
      <c r="F73" s="74">
        <v>0.21603028469976726</v>
      </c>
      <c r="G73">
        <v>5.9</v>
      </c>
      <c r="H73">
        <v>27.310985624999997</v>
      </c>
      <c r="I73">
        <v>3.44</v>
      </c>
      <c r="J73">
        <v>3.47</v>
      </c>
      <c r="K73">
        <v>5.73</v>
      </c>
      <c r="L73" s="74">
        <v>8.9999999999999993E-3</v>
      </c>
      <c r="M73" s="74">
        <v>0.65100000000000002</v>
      </c>
      <c r="N73" s="33">
        <f t="shared" si="1"/>
        <v>0.12595664057071174</v>
      </c>
    </row>
    <row r="74" spans="1:14" ht="15.75" customHeight="1">
      <c r="A74" s="73" t="s">
        <v>226</v>
      </c>
      <c r="B74" t="s">
        <v>229</v>
      </c>
      <c r="C74">
        <v>230</v>
      </c>
      <c r="D74">
        <v>0.93799999999999994</v>
      </c>
      <c r="E74">
        <v>0.104</v>
      </c>
      <c r="F74" s="74">
        <v>0.20571229455547016</v>
      </c>
      <c r="G74">
        <v>5.8</v>
      </c>
      <c r="H74">
        <v>28.194717347999998</v>
      </c>
      <c r="I74">
        <v>3.53</v>
      </c>
      <c r="J74">
        <v>3.57</v>
      </c>
      <c r="K74">
        <v>5.65</v>
      </c>
      <c r="L74" s="74">
        <v>1.0999999999999999E-2</v>
      </c>
      <c r="M74" s="74">
        <v>0.58299999999999996</v>
      </c>
      <c r="N74" s="33">
        <f t="shared" si="1"/>
        <v>0.12520075858289823</v>
      </c>
    </row>
    <row r="75" spans="1:14" ht="15.75" customHeight="1">
      <c r="A75" s="73" t="s">
        <v>226</v>
      </c>
      <c r="B75" t="s">
        <v>229</v>
      </c>
      <c r="C75">
        <v>347</v>
      </c>
      <c r="D75">
        <v>0.76100000000000001</v>
      </c>
      <c r="E75">
        <v>9.0499999999999997E-2</v>
      </c>
      <c r="F75" s="74">
        <v>0.21369949477949582</v>
      </c>
      <c r="G75">
        <v>6.2</v>
      </c>
      <c r="H75">
        <v>29.012703125000002</v>
      </c>
      <c r="I75" s="75">
        <v>3.476</v>
      </c>
      <c r="J75">
        <v>3.45</v>
      </c>
      <c r="K75">
        <v>5.93</v>
      </c>
      <c r="L75" s="74">
        <v>-7.0000000000000001E-3</v>
      </c>
      <c r="M75" s="74">
        <v>0.71899999999999997</v>
      </c>
      <c r="N75" s="33">
        <f t="shared" si="1"/>
        <v>0.11980958771831088</v>
      </c>
    </row>
    <row r="76" spans="1:14" ht="15.75" customHeight="1">
      <c r="A76" s="73" t="s">
        <v>226</v>
      </c>
      <c r="B76" t="s">
        <v>229</v>
      </c>
      <c r="C76">
        <v>52</v>
      </c>
      <c r="D76">
        <v>0.90300000000000002</v>
      </c>
      <c r="E76">
        <v>6.0999999999999999E-2</v>
      </c>
      <c r="F76" s="74">
        <v>0.21231233687066517</v>
      </c>
      <c r="G76">
        <v>6.5</v>
      </c>
      <c r="H76">
        <v>30.615272272000006</v>
      </c>
      <c r="I76">
        <v>3.73</v>
      </c>
      <c r="J76">
        <v>3.79</v>
      </c>
      <c r="K76">
        <v>6.31</v>
      </c>
      <c r="L76" s="74">
        <v>1.6E-2</v>
      </c>
      <c r="M76" s="74">
        <v>0.66500000000000004</v>
      </c>
      <c r="N76" s="33">
        <f t="shared" si="1"/>
        <v>0.12183461792732017</v>
      </c>
    </row>
    <row r="77" spans="1:14" ht="15.75" customHeight="1">
      <c r="A77" s="73" t="s">
        <v>226</v>
      </c>
      <c r="B77" t="s">
        <v>230</v>
      </c>
      <c r="C77">
        <v>195</v>
      </c>
      <c r="D77">
        <v>0.27200000000000002</v>
      </c>
      <c r="F77" s="74">
        <v>0.18237025792618283</v>
      </c>
      <c r="G77">
        <v>4.5</v>
      </c>
      <c r="H77">
        <v>24.675076140000002</v>
      </c>
      <c r="I77">
        <v>2.11</v>
      </c>
      <c r="J77">
        <v>2.2000000000000002</v>
      </c>
      <c r="K77">
        <v>4.28</v>
      </c>
      <c r="L77" s="74">
        <v>4.2999999999999997E-2</v>
      </c>
      <c r="M77" s="74">
        <v>0.94499999999999995</v>
      </c>
      <c r="N77" s="33">
        <f t="shared" si="1"/>
        <v>8.5511387605387942E-2</v>
      </c>
    </row>
    <row r="78" spans="1:14" ht="15.75" customHeight="1">
      <c r="A78" s="73" t="s">
        <v>226</v>
      </c>
      <c r="B78" t="s">
        <v>230</v>
      </c>
      <c r="C78">
        <v>156</v>
      </c>
      <c r="D78">
        <v>0.32800000000000001</v>
      </c>
      <c r="E78">
        <v>3.0300000000000001E-2</v>
      </c>
      <c r="F78" s="74">
        <v>0.17333131307021382</v>
      </c>
      <c r="G78">
        <v>4.8</v>
      </c>
      <c r="H78">
        <v>27.692630460000004</v>
      </c>
      <c r="I78">
        <v>2.33</v>
      </c>
      <c r="J78">
        <v>2.46</v>
      </c>
      <c r="K78">
        <v>4.74</v>
      </c>
      <c r="L78" s="74">
        <v>5.6000000000000001E-2</v>
      </c>
      <c r="M78" s="74">
        <v>0.92700000000000005</v>
      </c>
      <c r="N78" s="33">
        <f t="shared" si="1"/>
        <v>8.4137908219499624E-2</v>
      </c>
    </row>
    <row r="79" spans="1:14" ht="15.75" customHeight="1">
      <c r="A79" s="73" t="s">
        <v>226</v>
      </c>
      <c r="B79" t="s">
        <v>230</v>
      </c>
      <c r="C79">
        <v>252</v>
      </c>
      <c r="D79">
        <v>0.376</v>
      </c>
      <c r="E79">
        <v>2.75E-2</v>
      </c>
      <c r="F79" s="74">
        <v>0.17539272321681043</v>
      </c>
      <c r="G79">
        <v>4.8</v>
      </c>
      <c r="H79">
        <v>27.367155899999997</v>
      </c>
      <c r="I79">
        <v>2.2200000000000002</v>
      </c>
      <c r="J79">
        <v>2.15</v>
      </c>
      <c r="K79">
        <v>4.71</v>
      </c>
      <c r="L79" s="74">
        <v>-3.2000000000000001E-2</v>
      </c>
      <c r="M79" s="74">
        <v>1.1910000000000001</v>
      </c>
      <c r="N79" s="33">
        <f t="shared" si="1"/>
        <v>8.111913448777483E-2</v>
      </c>
    </row>
    <row r="80" spans="1:14" ht="15.75" customHeight="1">
      <c r="A80" s="73" t="s">
        <v>226</v>
      </c>
      <c r="B80" t="s">
        <v>230</v>
      </c>
      <c r="C80">
        <v>217</v>
      </c>
      <c r="D80">
        <v>0.25700000000000001</v>
      </c>
      <c r="E80">
        <v>2.35E-2</v>
      </c>
      <c r="F80" s="74">
        <v>0.18053175601654917</v>
      </c>
      <c r="G80">
        <v>4.4000000000000004</v>
      </c>
      <c r="H80">
        <v>24.372443369999996</v>
      </c>
      <c r="I80">
        <v>2.16</v>
      </c>
      <c r="J80">
        <v>2.1800000000000002</v>
      </c>
      <c r="K80">
        <v>4.34</v>
      </c>
      <c r="L80" s="74">
        <v>8.9999999999999993E-3</v>
      </c>
      <c r="M80" s="74">
        <v>0.99099999999999999</v>
      </c>
      <c r="N80" s="33">
        <f t="shared" si="1"/>
        <v>8.8624680226305944E-2</v>
      </c>
    </row>
    <row r="81" spans="1:14" ht="15.75" customHeight="1">
      <c r="A81" s="73" t="s">
        <v>226</v>
      </c>
      <c r="B81" t="s">
        <v>230</v>
      </c>
      <c r="C81">
        <v>220</v>
      </c>
      <c r="D81">
        <v>0.16</v>
      </c>
      <c r="E81">
        <v>1.6E-2</v>
      </c>
      <c r="F81" s="74">
        <v>0.18281271724393192</v>
      </c>
      <c r="G81">
        <v>4.0999999999999996</v>
      </c>
      <c r="H81">
        <v>22.427323776000001</v>
      </c>
      <c r="I81">
        <v>1.92</v>
      </c>
      <c r="J81">
        <v>2.15</v>
      </c>
      <c r="K81">
        <v>4</v>
      </c>
      <c r="L81" s="74">
        <v>0.12</v>
      </c>
      <c r="M81" s="74">
        <v>0.86</v>
      </c>
      <c r="N81" s="33">
        <f t="shared" si="1"/>
        <v>8.5609857831304703E-2</v>
      </c>
    </row>
    <row r="82" spans="1:14" ht="15.75" customHeight="1"/>
    <row r="83" spans="1:14" ht="15.75" customHeight="1"/>
    <row r="84" spans="1:14" ht="15.75" customHeight="1"/>
    <row r="85" spans="1:14" ht="15.75" customHeight="1"/>
    <row r="86" spans="1:14" ht="15.75" customHeight="1"/>
    <row r="87" spans="1:14" ht="15.75" customHeight="1"/>
    <row r="88" spans="1:14" ht="15.75" customHeight="1"/>
    <row r="89" spans="1:14" ht="15.75" customHeight="1"/>
    <row r="90" spans="1:14" ht="15.75" customHeight="1"/>
    <row r="91" spans="1:14" ht="15.75" customHeight="1"/>
    <row r="92" spans="1:14" ht="15.75" customHeight="1"/>
    <row r="93" spans="1:14" ht="15.75" customHeight="1"/>
    <row r="94" spans="1:14" ht="15.75" customHeight="1"/>
    <row r="95" spans="1:14" ht="15.75" customHeight="1"/>
    <row r="96" spans="1:14" ht="15.75" customHeight="1"/>
    <row r="97" ht="15.75" customHeight="1"/>
    <row r="98" ht="15.75" customHeight="1"/>
    <row r="99" ht="15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</sheetData>
  <phoneticPr fontId="8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2" width="8.7109375" customWidth="1"/>
    <col min="3" max="3" width="5.85546875" customWidth="1"/>
    <col min="4" max="8" width="8.7109375" customWidth="1"/>
    <col min="9" max="9" width="11.7109375" customWidth="1"/>
    <col min="10" max="10" width="8.7109375" customWidth="1"/>
    <col min="11" max="11" width="10.28515625" customWidth="1"/>
    <col min="12" max="12" width="6.85546875" customWidth="1"/>
    <col min="13" max="20" width="8.7109375" customWidth="1"/>
    <col min="21" max="21" width="15.7109375" customWidth="1"/>
    <col min="22" max="26" width="8.7109375" customWidth="1"/>
  </cols>
  <sheetData>
    <row r="1" spans="1:26">
      <c r="A1" s="50" t="s">
        <v>207</v>
      </c>
      <c r="B1" s="51" t="s">
        <v>208</v>
      </c>
      <c r="C1" s="51" t="s">
        <v>209</v>
      </c>
      <c r="D1" s="51" t="s">
        <v>213</v>
      </c>
      <c r="E1" s="51" t="s">
        <v>214</v>
      </c>
      <c r="F1" s="51" t="s">
        <v>212</v>
      </c>
      <c r="G1" s="51" t="s">
        <v>210</v>
      </c>
      <c r="H1" s="51" t="s">
        <v>2</v>
      </c>
      <c r="I1" s="51" t="s">
        <v>231</v>
      </c>
      <c r="J1" s="51" t="s">
        <v>232</v>
      </c>
      <c r="K1" s="51" t="s">
        <v>233</v>
      </c>
      <c r="L1" s="51" t="s">
        <v>215</v>
      </c>
      <c r="M1" s="50" t="s">
        <v>216</v>
      </c>
      <c r="N1" s="50" t="s">
        <v>217</v>
      </c>
      <c r="O1" s="50" t="s">
        <v>218</v>
      </c>
      <c r="P1" s="50" t="s">
        <v>219</v>
      </c>
      <c r="Q1" s="51" t="s">
        <v>220</v>
      </c>
      <c r="R1" s="51"/>
      <c r="S1" s="51"/>
      <c r="T1" s="51"/>
      <c r="U1" s="51"/>
      <c r="V1" s="51"/>
      <c r="W1" s="51"/>
      <c r="X1" s="51"/>
      <c r="Y1" s="51"/>
      <c r="Z1" s="51"/>
    </row>
    <row r="2" spans="1:26">
      <c r="A2" s="5" t="s">
        <v>226</v>
      </c>
      <c r="B2" s="5" t="s">
        <v>222</v>
      </c>
      <c r="C2" s="5">
        <v>2</v>
      </c>
      <c r="D2" s="5">
        <v>40</v>
      </c>
      <c r="E2" s="5">
        <v>155.61790400000001</v>
      </c>
      <c r="F2" s="5">
        <v>0.25703983264033681</v>
      </c>
      <c r="G2" s="5">
        <v>7.92</v>
      </c>
      <c r="H2" s="5">
        <v>0.124</v>
      </c>
      <c r="I2" s="5">
        <v>3.4</v>
      </c>
      <c r="J2" s="5">
        <v>6.2E-2</v>
      </c>
      <c r="K2" s="5">
        <v>5.0999999999999996</v>
      </c>
      <c r="L2" s="5">
        <v>25.76</v>
      </c>
      <c r="M2" s="5">
        <v>26.32</v>
      </c>
      <c r="N2" s="5">
        <v>38.03</v>
      </c>
      <c r="O2" s="5">
        <v>2.173913043478256E-2</v>
      </c>
      <c r="P2" s="5">
        <v>0.44490881458966569</v>
      </c>
      <c r="Q2" s="5">
        <f t="shared" ref="Q2:Q72" si="0">L2/E2</f>
        <v>0.16553365222037691</v>
      </c>
    </row>
    <row r="3" spans="1:26">
      <c r="A3" s="5" t="s">
        <v>226</v>
      </c>
      <c r="B3" s="5" t="s">
        <v>222</v>
      </c>
      <c r="C3" s="5">
        <v>6</v>
      </c>
      <c r="D3" s="5">
        <v>41.3</v>
      </c>
      <c r="E3" s="5">
        <v>159.00917759999999</v>
      </c>
      <c r="F3" s="5">
        <v>0.25973343566302431</v>
      </c>
      <c r="G3" s="5">
        <v>13.4</v>
      </c>
      <c r="H3" s="5">
        <v>0.153</v>
      </c>
      <c r="I3" s="5">
        <v>3.8</v>
      </c>
      <c r="J3" s="5">
        <v>7.6499999999999999E-2</v>
      </c>
      <c r="K3" s="5">
        <v>7</v>
      </c>
      <c r="L3" s="5">
        <v>26.18</v>
      </c>
      <c r="M3" s="5">
        <v>26.66</v>
      </c>
      <c r="N3" s="5">
        <v>39.29</v>
      </c>
      <c r="O3" s="5">
        <v>1.8334606569900699E-2</v>
      </c>
      <c r="P3" s="5">
        <v>0.47374343585896472</v>
      </c>
      <c r="Q3" s="5">
        <f t="shared" si="0"/>
        <v>0.16464458464062895</v>
      </c>
    </row>
    <row r="4" spans="1:26">
      <c r="A4" s="5" t="s">
        <v>226</v>
      </c>
      <c r="B4" s="5" t="s">
        <v>225</v>
      </c>
      <c r="C4" s="5">
        <v>38</v>
      </c>
      <c r="D4" s="5">
        <v>46</v>
      </c>
      <c r="E4" s="5">
        <v>160.6626</v>
      </c>
      <c r="F4" s="5">
        <v>0.28631430090139209</v>
      </c>
      <c r="G4" s="5">
        <v>9.91</v>
      </c>
      <c r="H4" s="5">
        <v>6.8099999999999994E-2</v>
      </c>
      <c r="I4" s="5">
        <v>1.6</v>
      </c>
      <c r="J4" s="5">
        <v>3.4000000000000002E-2</v>
      </c>
      <c r="K4" s="5">
        <v>2.2000000000000002</v>
      </c>
      <c r="L4" s="5">
        <v>27.4</v>
      </c>
      <c r="M4" s="5">
        <v>28.7</v>
      </c>
      <c r="N4" s="5">
        <v>43.99</v>
      </c>
      <c r="O4" s="5">
        <v>4.744525547445258E-2</v>
      </c>
      <c r="P4" s="5">
        <v>0.53275261324041823</v>
      </c>
      <c r="Q4" s="5">
        <f t="shared" si="0"/>
        <v>0.17054373575430748</v>
      </c>
    </row>
    <row r="5" spans="1:26">
      <c r="A5" s="5" t="s">
        <v>226</v>
      </c>
      <c r="B5" s="5" t="s">
        <v>225</v>
      </c>
      <c r="C5" s="5">
        <v>45</v>
      </c>
      <c r="D5" s="5">
        <v>47.1</v>
      </c>
      <c r="E5" s="5">
        <v>168.34272000000001</v>
      </c>
      <c r="F5" s="5">
        <v>0.27978637864470762</v>
      </c>
      <c r="G5" s="5">
        <v>4.0199999999999996</v>
      </c>
      <c r="H5" s="5">
        <v>3.7199999999999997E-2</v>
      </c>
      <c r="I5" s="5">
        <v>2.2999999999999998</v>
      </c>
      <c r="J5" s="5">
        <v>1.8599999999999998E-2</v>
      </c>
      <c r="K5" s="5">
        <v>3.4</v>
      </c>
      <c r="L5" s="5">
        <v>27.52</v>
      </c>
      <c r="M5" s="5">
        <v>28.49</v>
      </c>
      <c r="N5" s="5">
        <v>45.09</v>
      </c>
      <c r="O5" s="5">
        <v>3.5247093023255772E-2</v>
      </c>
      <c r="P5" s="5">
        <v>0.58266058266058285</v>
      </c>
      <c r="Q5" s="5">
        <f t="shared" si="0"/>
        <v>0.16347603270281005</v>
      </c>
    </row>
    <row r="6" spans="1:26">
      <c r="A6" s="5" t="s">
        <v>226</v>
      </c>
      <c r="B6" s="5" t="s">
        <v>223</v>
      </c>
      <c r="C6" s="5">
        <v>68</v>
      </c>
      <c r="D6" s="5">
        <v>35.5</v>
      </c>
      <c r="E6" s="5">
        <v>162.31334799999999</v>
      </c>
      <c r="F6" s="5">
        <v>0.21871275799202911</v>
      </c>
      <c r="G6" s="5">
        <v>11</v>
      </c>
      <c r="H6" s="5">
        <v>0.21</v>
      </c>
      <c r="I6" s="5">
        <v>5.3</v>
      </c>
      <c r="J6" s="5">
        <v>0.105</v>
      </c>
      <c r="K6" s="5">
        <v>9.1999999999999993</v>
      </c>
      <c r="L6" s="5">
        <v>18.91</v>
      </c>
      <c r="M6" s="5">
        <v>19.61</v>
      </c>
      <c r="N6" s="5">
        <v>34.04</v>
      </c>
      <c r="O6" s="5">
        <v>3.7017451084082463E-2</v>
      </c>
      <c r="P6" s="5">
        <v>0.73584905660377364</v>
      </c>
      <c r="Q6" s="5">
        <f t="shared" si="0"/>
        <v>0.11650304939800762</v>
      </c>
    </row>
    <row r="7" spans="1:26">
      <c r="A7" s="5" t="s">
        <v>226</v>
      </c>
      <c r="B7" s="5" t="s">
        <v>223</v>
      </c>
      <c r="C7" s="5">
        <v>71</v>
      </c>
      <c r="D7" s="5">
        <v>36.1</v>
      </c>
      <c r="E7" s="5">
        <v>162.82458790000001</v>
      </c>
      <c r="F7" s="5">
        <v>0.22171098644002771</v>
      </c>
      <c r="G7" s="5">
        <v>7.14</v>
      </c>
      <c r="H7" s="5">
        <v>0.14499999999999999</v>
      </c>
      <c r="I7" s="5">
        <v>3.9</v>
      </c>
      <c r="J7" s="5">
        <v>7.2599999999999998E-2</v>
      </c>
      <c r="K7" s="5">
        <v>6.4</v>
      </c>
      <c r="L7" s="5">
        <v>18.82</v>
      </c>
      <c r="M7" s="5">
        <v>19.64</v>
      </c>
      <c r="N7" s="5">
        <v>34.67</v>
      </c>
      <c r="O7" s="5">
        <v>4.3570669500531373E-2</v>
      </c>
      <c r="P7" s="5">
        <v>0.76527494908350313</v>
      </c>
      <c r="Q7" s="5">
        <f t="shared" si="0"/>
        <v>0.1155845087202582</v>
      </c>
    </row>
    <row r="8" spans="1:26">
      <c r="A8" s="5" t="s">
        <v>226</v>
      </c>
      <c r="B8" s="5" t="s">
        <v>224</v>
      </c>
      <c r="C8" s="5">
        <v>82</v>
      </c>
      <c r="D8" s="5">
        <v>44.8</v>
      </c>
      <c r="E8" s="5">
        <v>158.59620000000001</v>
      </c>
      <c r="F8" s="5">
        <v>0.28247839481652148</v>
      </c>
      <c r="G8" s="5">
        <v>3.23</v>
      </c>
      <c r="H8" s="5">
        <v>0.14899999999999999</v>
      </c>
      <c r="I8" s="5">
        <v>4.9000000000000004</v>
      </c>
      <c r="J8" s="5">
        <v>7.4499999999999997E-2</v>
      </c>
      <c r="K8" s="5">
        <v>7.2</v>
      </c>
      <c r="L8" s="5">
        <v>27.86</v>
      </c>
      <c r="M8" s="5">
        <v>28.65</v>
      </c>
      <c r="N8" s="5">
        <v>42.79</v>
      </c>
      <c r="O8" s="5">
        <v>2.835606604450823E-2</v>
      </c>
      <c r="P8" s="5">
        <v>0.49354275741710302</v>
      </c>
      <c r="Q8" s="5">
        <f t="shared" si="0"/>
        <v>0.17566625177652426</v>
      </c>
    </row>
    <row r="9" spans="1:26">
      <c r="A9" s="5" t="s">
        <v>226</v>
      </c>
      <c r="B9" s="5" t="s">
        <v>224</v>
      </c>
      <c r="C9" s="5">
        <v>85</v>
      </c>
      <c r="D9" s="5">
        <v>45.6</v>
      </c>
      <c r="E9" s="5">
        <v>163.70860999999999</v>
      </c>
      <c r="F9" s="5">
        <v>0.27854368808091401</v>
      </c>
      <c r="G9" s="5">
        <v>3.78</v>
      </c>
      <c r="H9" s="5">
        <v>0.11</v>
      </c>
      <c r="I9" s="5">
        <v>5.2</v>
      </c>
      <c r="J9" s="5">
        <v>5.4899999999999997E-2</v>
      </c>
      <c r="K9" s="5">
        <v>7.3</v>
      </c>
      <c r="L9" s="5">
        <v>27.95</v>
      </c>
      <c r="M9" s="5">
        <v>28.22</v>
      </c>
      <c r="N9" s="5">
        <v>43.5</v>
      </c>
      <c r="O9" s="5">
        <v>9.6601073345259237E-3</v>
      </c>
      <c r="P9" s="5">
        <v>0.54145995747696674</v>
      </c>
      <c r="Q9" s="5">
        <f t="shared" si="0"/>
        <v>0.17073017723380585</v>
      </c>
    </row>
    <row r="10" spans="1:26">
      <c r="A10" s="5" t="s">
        <v>221</v>
      </c>
      <c r="B10" s="5" t="s">
        <v>222</v>
      </c>
      <c r="C10" s="5">
        <v>1</v>
      </c>
      <c r="D10" s="5">
        <v>41.1</v>
      </c>
      <c r="E10" s="5">
        <v>158.03519549999999</v>
      </c>
      <c r="F10" s="5">
        <v>0.26006865034061349</v>
      </c>
      <c r="G10" s="5">
        <v>5.0999999999999996</v>
      </c>
      <c r="H10" s="5">
        <v>0.13500000000000001</v>
      </c>
      <c r="I10" s="5">
        <v>5.0999999999999996</v>
      </c>
      <c r="J10" s="5">
        <v>6.7599999999999993E-2</v>
      </c>
      <c r="K10" s="5">
        <v>6.8</v>
      </c>
      <c r="L10" s="5">
        <v>25.63</v>
      </c>
      <c r="M10" s="5">
        <v>25.63</v>
      </c>
      <c r="N10" s="5">
        <v>39.28</v>
      </c>
      <c r="O10" s="5">
        <v>0</v>
      </c>
      <c r="P10" s="5">
        <v>0.5325790089738589</v>
      </c>
      <c r="Q10" s="5">
        <f t="shared" si="0"/>
        <v>0.16217906346058211</v>
      </c>
    </row>
    <row r="11" spans="1:26">
      <c r="A11" s="5" t="s">
        <v>221</v>
      </c>
      <c r="B11" s="5" t="s">
        <v>222</v>
      </c>
      <c r="C11" s="5">
        <v>8</v>
      </c>
      <c r="D11" s="5">
        <v>41.3</v>
      </c>
      <c r="E11" s="5">
        <v>163.25128900000001</v>
      </c>
      <c r="F11" s="5">
        <v>0.25298421992857889</v>
      </c>
      <c r="G11" s="5">
        <v>6.94</v>
      </c>
      <c r="H11" s="5">
        <v>0.13700000000000001</v>
      </c>
      <c r="I11" s="5">
        <v>5</v>
      </c>
      <c r="J11" s="5">
        <v>6.8599999999999994E-2</v>
      </c>
      <c r="K11" s="5">
        <v>6.9</v>
      </c>
      <c r="L11" s="5">
        <v>24.96</v>
      </c>
      <c r="M11" s="5">
        <v>24.96</v>
      </c>
      <c r="N11" s="5">
        <v>39.61</v>
      </c>
      <c r="O11" s="5">
        <v>0</v>
      </c>
      <c r="P11" s="5">
        <v>0.58693910256410253</v>
      </c>
      <c r="Q11" s="5">
        <f t="shared" si="0"/>
        <v>0.15289312662027432</v>
      </c>
    </row>
    <row r="12" spans="1:26">
      <c r="A12" s="5" t="s">
        <v>221</v>
      </c>
      <c r="B12" s="5" t="s">
        <v>222</v>
      </c>
      <c r="C12" s="5">
        <v>58</v>
      </c>
      <c r="D12" s="5">
        <v>39</v>
      </c>
      <c r="E12" s="5">
        <v>200.17586700000001</v>
      </c>
      <c r="F12" s="5">
        <v>0.1948286803223887</v>
      </c>
      <c r="G12" s="5">
        <v>9.16</v>
      </c>
      <c r="H12" s="5">
        <v>0.13700000000000001</v>
      </c>
      <c r="I12" s="5">
        <v>6.8</v>
      </c>
      <c r="J12" s="5">
        <v>6.8599999999999994E-2</v>
      </c>
      <c r="K12" s="5">
        <v>9.5</v>
      </c>
      <c r="L12" s="5">
        <v>25.06</v>
      </c>
      <c r="M12" s="5">
        <v>25.06</v>
      </c>
      <c r="N12" s="5">
        <v>37.299999999999997</v>
      </c>
      <c r="O12" s="5">
        <v>0</v>
      </c>
      <c r="P12" s="5">
        <v>0.48842777334397441</v>
      </c>
      <c r="Q12" s="5">
        <f t="shared" si="0"/>
        <v>0.12518991612510411</v>
      </c>
    </row>
    <row r="13" spans="1:26">
      <c r="A13" s="5" t="s">
        <v>221</v>
      </c>
      <c r="B13" s="5" t="s">
        <v>222</v>
      </c>
      <c r="C13" s="5">
        <v>63</v>
      </c>
      <c r="D13" s="5">
        <v>39.9</v>
      </c>
      <c r="E13" s="5">
        <v>163.89699999999999</v>
      </c>
      <c r="F13" s="5">
        <v>0.24344557862560021</v>
      </c>
      <c r="G13" s="5">
        <v>8.3699999999999992</v>
      </c>
      <c r="H13" s="5">
        <v>0.127</v>
      </c>
      <c r="I13" s="5">
        <v>5.3</v>
      </c>
      <c r="J13" s="5">
        <v>6.3500000000000001E-2</v>
      </c>
      <c r="K13" s="5">
        <v>8</v>
      </c>
      <c r="L13" s="5">
        <v>24.74</v>
      </c>
      <c r="M13" s="5">
        <v>24.74</v>
      </c>
      <c r="N13" s="5">
        <v>38.200000000000003</v>
      </c>
      <c r="O13" s="5">
        <v>0</v>
      </c>
      <c r="P13" s="5">
        <v>0.54405820533548932</v>
      </c>
      <c r="Q13" s="5">
        <f t="shared" si="0"/>
        <v>0.15094846153376815</v>
      </c>
    </row>
    <row r="14" spans="1:26">
      <c r="A14" s="5" t="s">
        <v>221</v>
      </c>
      <c r="B14" s="5" t="s">
        <v>222</v>
      </c>
      <c r="C14" s="5">
        <v>65</v>
      </c>
      <c r="D14" s="5">
        <v>40.5</v>
      </c>
      <c r="E14" s="5">
        <v>157.36162200000001</v>
      </c>
      <c r="F14" s="5">
        <v>0.25736897907674089</v>
      </c>
      <c r="G14" s="5">
        <v>9.25</v>
      </c>
      <c r="H14" s="5">
        <v>0.11</v>
      </c>
      <c r="I14" s="5">
        <v>4.7</v>
      </c>
      <c r="J14" s="5">
        <v>5.5E-2</v>
      </c>
      <c r="K14" s="5">
        <v>6.6</v>
      </c>
      <c r="L14" s="5">
        <v>24.22</v>
      </c>
      <c r="M14" s="5">
        <v>24.22</v>
      </c>
      <c r="N14" s="5">
        <v>38.85</v>
      </c>
      <c r="O14" s="5">
        <v>0</v>
      </c>
      <c r="P14" s="5">
        <v>0.60404624277456664</v>
      </c>
      <c r="Q14" s="5">
        <f t="shared" si="0"/>
        <v>0.15391300427749782</v>
      </c>
    </row>
    <row r="15" spans="1:26">
      <c r="A15" s="5" t="s">
        <v>221</v>
      </c>
      <c r="B15" s="5" t="s">
        <v>223</v>
      </c>
      <c r="C15" s="5">
        <v>11</v>
      </c>
      <c r="D15" s="5">
        <v>33.4</v>
      </c>
      <c r="E15" s="5">
        <v>156.93934200000001</v>
      </c>
      <c r="F15" s="5">
        <v>0.21282107835013089</v>
      </c>
      <c r="G15" s="5">
        <v>6.72</v>
      </c>
      <c r="H15" s="5">
        <v>0.2</v>
      </c>
      <c r="I15" s="5">
        <v>7.4</v>
      </c>
      <c r="J15" s="5">
        <v>0.1</v>
      </c>
      <c r="K15" s="5">
        <v>9.3000000000000007</v>
      </c>
      <c r="L15" s="5">
        <v>18.89</v>
      </c>
      <c r="M15" s="5">
        <v>18.89</v>
      </c>
      <c r="N15" s="5">
        <v>31.98</v>
      </c>
      <c r="O15" s="5">
        <v>0</v>
      </c>
      <c r="P15" s="5">
        <v>0.69295923769190049</v>
      </c>
      <c r="Q15" s="5">
        <f t="shared" si="0"/>
        <v>0.12036497515071778</v>
      </c>
    </row>
    <row r="16" spans="1:26">
      <c r="A16" s="5" t="s">
        <v>221</v>
      </c>
      <c r="B16" s="5" t="s">
        <v>223</v>
      </c>
      <c r="C16" s="5">
        <v>19</v>
      </c>
      <c r="D16" s="5">
        <v>34.6</v>
      </c>
      <c r="E16" s="5">
        <v>163.986953</v>
      </c>
      <c r="F16" s="5">
        <v>0.21099239523036931</v>
      </c>
      <c r="G16" s="5">
        <v>10.6</v>
      </c>
      <c r="H16" s="5">
        <v>0.16400000000000001</v>
      </c>
      <c r="I16" s="5">
        <v>4.9000000000000004</v>
      </c>
      <c r="J16" s="5">
        <v>8.1799999999999998E-2</v>
      </c>
      <c r="K16" s="5">
        <v>8.4</v>
      </c>
      <c r="L16" s="5">
        <v>19.510000000000002</v>
      </c>
      <c r="M16" s="5">
        <v>19.510000000000002</v>
      </c>
      <c r="N16" s="5">
        <v>33.24</v>
      </c>
      <c r="O16" s="5">
        <v>0</v>
      </c>
      <c r="P16" s="5">
        <v>0.70374167093798046</v>
      </c>
      <c r="Q16" s="5">
        <f t="shared" si="0"/>
        <v>0.11897287950706664</v>
      </c>
    </row>
    <row r="17" spans="1:17">
      <c r="A17" s="5" t="s">
        <v>221</v>
      </c>
      <c r="B17" s="5" t="s">
        <v>223</v>
      </c>
      <c r="C17" s="5">
        <v>69</v>
      </c>
      <c r="D17" s="5">
        <v>35</v>
      </c>
      <c r="E17" s="5">
        <v>164.0364362</v>
      </c>
      <c r="F17" s="5">
        <v>0.21336722993254109</v>
      </c>
      <c r="G17" s="5">
        <v>10.9</v>
      </c>
      <c r="H17" s="5">
        <v>0.192</v>
      </c>
      <c r="I17" s="5">
        <v>5.4</v>
      </c>
      <c r="J17" s="5">
        <v>9.5799999999999996E-2</v>
      </c>
      <c r="K17" s="5">
        <v>7.6</v>
      </c>
      <c r="L17" s="5">
        <v>19.260000000000002</v>
      </c>
      <c r="M17" s="5">
        <v>19.260000000000002</v>
      </c>
      <c r="N17" s="5">
        <v>33.64</v>
      </c>
      <c r="O17" s="5">
        <v>0</v>
      </c>
      <c r="P17" s="5">
        <v>0.74662512980269979</v>
      </c>
      <c r="Q17" s="5">
        <f t="shared" si="0"/>
        <v>0.11741293852859259</v>
      </c>
    </row>
    <row r="18" spans="1:17">
      <c r="A18" s="5" t="s">
        <v>221</v>
      </c>
      <c r="B18" s="5" t="s">
        <v>223</v>
      </c>
      <c r="C18" s="5">
        <v>73</v>
      </c>
      <c r="D18" s="5">
        <v>36</v>
      </c>
      <c r="E18" s="5">
        <v>165.98495550000001</v>
      </c>
      <c r="F18" s="5">
        <v>0.2168871262552467</v>
      </c>
      <c r="G18" s="5">
        <v>6.6</v>
      </c>
      <c r="H18" s="5">
        <v>0.16500000000000001</v>
      </c>
      <c r="I18" s="5">
        <v>6.3</v>
      </c>
      <c r="J18" s="5">
        <v>8.2699999999999996E-2</v>
      </c>
      <c r="K18" s="5">
        <v>10</v>
      </c>
      <c r="L18" s="5">
        <v>19.14</v>
      </c>
      <c r="M18" s="5">
        <v>19.14</v>
      </c>
      <c r="N18" s="5">
        <v>34.630000000000003</v>
      </c>
      <c r="O18" s="5">
        <v>0</v>
      </c>
      <c r="P18" s="5">
        <v>0.80929989550679216</v>
      </c>
      <c r="Q18" s="5">
        <f t="shared" si="0"/>
        <v>0.11531165545903947</v>
      </c>
    </row>
    <row r="19" spans="1:17">
      <c r="A19" s="5" t="s">
        <v>221</v>
      </c>
      <c r="B19" s="5" t="s">
        <v>223</v>
      </c>
      <c r="C19" s="5">
        <v>75</v>
      </c>
      <c r="D19" s="5">
        <v>36.1</v>
      </c>
      <c r="E19" s="5">
        <v>167.81616299999999</v>
      </c>
      <c r="F19" s="5">
        <v>0.21511634728533269</v>
      </c>
      <c r="G19" s="5">
        <v>6.73</v>
      </c>
      <c r="H19" s="5">
        <v>0.13600000000000001</v>
      </c>
      <c r="I19" s="5">
        <v>3.7</v>
      </c>
      <c r="J19" s="5">
        <v>6.7799999999999999E-2</v>
      </c>
      <c r="K19" s="5">
        <v>7.3</v>
      </c>
      <c r="L19" s="5">
        <v>19.13</v>
      </c>
      <c r="M19" s="5">
        <v>19.13</v>
      </c>
      <c r="N19" s="5">
        <v>34.74</v>
      </c>
      <c r="O19" s="5">
        <v>0</v>
      </c>
      <c r="P19" s="5">
        <v>0.8159958180867749</v>
      </c>
      <c r="Q19" s="5">
        <f t="shared" si="0"/>
        <v>0.11399378735646577</v>
      </c>
    </row>
    <row r="20" spans="1:17">
      <c r="A20" s="5" t="s">
        <v>221</v>
      </c>
      <c r="B20" s="5" t="s">
        <v>224</v>
      </c>
      <c r="C20" s="5">
        <v>32</v>
      </c>
      <c r="D20" s="5">
        <v>42.3</v>
      </c>
      <c r="E20" s="5">
        <v>165.22724400000001</v>
      </c>
      <c r="F20" s="5">
        <v>0.25601104863795948</v>
      </c>
      <c r="G20" s="5">
        <v>7</v>
      </c>
      <c r="H20" s="5">
        <v>0.189</v>
      </c>
      <c r="I20" s="5">
        <v>9.5</v>
      </c>
      <c r="J20" s="5">
        <v>9.4299999999999995E-2</v>
      </c>
      <c r="K20" s="5">
        <v>13.3</v>
      </c>
      <c r="L20" s="5">
        <v>26.1</v>
      </c>
      <c r="M20" s="5">
        <v>26.1</v>
      </c>
      <c r="N20" s="5">
        <v>40.549999999999997</v>
      </c>
      <c r="O20" s="5">
        <v>0</v>
      </c>
      <c r="P20" s="5">
        <v>0.55363984674329481</v>
      </c>
      <c r="Q20" s="5">
        <f t="shared" si="0"/>
        <v>0.15796426405320904</v>
      </c>
    </row>
    <row r="21" spans="1:17" ht="15.75" customHeight="1">
      <c r="A21" s="5" t="s">
        <v>221</v>
      </c>
      <c r="B21" s="5" t="s">
        <v>224</v>
      </c>
      <c r="C21" s="5">
        <v>34</v>
      </c>
      <c r="D21" s="5">
        <v>42.5</v>
      </c>
      <c r="E21" s="5">
        <v>169.13262599999999</v>
      </c>
      <c r="F21" s="5">
        <v>0.25128209148718589</v>
      </c>
      <c r="G21" s="5">
        <v>7.47</v>
      </c>
      <c r="H21" s="5">
        <v>0.17799999999999999</v>
      </c>
      <c r="I21" s="5">
        <v>7.8</v>
      </c>
      <c r="J21" s="5">
        <v>8.9099999999999999E-2</v>
      </c>
      <c r="K21" s="5">
        <v>11.9</v>
      </c>
      <c r="L21" s="5">
        <v>26.76</v>
      </c>
      <c r="M21" s="5">
        <v>26.76</v>
      </c>
      <c r="N21" s="5">
        <v>40.630000000000003</v>
      </c>
      <c r="O21" s="5">
        <v>0</v>
      </c>
      <c r="P21" s="5">
        <v>0.51831091180866962</v>
      </c>
      <c r="Q21" s="5">
        <f t="shared" si="0"/>
        <v>0.15821902983993166</v>
      </c>
    </row>
    <row r="22" spans="1:17" ht="15.75" customHeight="1">
      <c r="A22" s="5" t="s">
        <v>221</v>
      </c>
      <c r="B22" s="5" t="s">
        <v>224</v>
      </c>
      <c r="C22" s="5">
        <v>78</v>
      </c>
      <c r="D22" s="5">
        <v>44.5</v>
      </c>
      <c r="E22" s="5">
        <v>165.703824</v>
      </c>
      <c r="F22" s="5">
        <v>0.26855143668863068</v>
      </c>
      <c r="G22" s="5">
        <v>6.82</v>
      </c>
      <c r="H22" s="5">
        <v>0.22600000000000001</v>
      </c>
      <c r="I22" s="5">
        <v>10.6</v>
      </c>
      <c r="J22" s="5">
        <v>0.113</v>
      </c>
      <c r="K22" s="5">
        <v>13.5</v>
      </c>
      <c r="L22" s="5">
        <v>27.37</v>
      </c>
      <c r="M22" s="5">
        <v>27.37</v>
      </c>
      <c r="N22" s="5">
        <v>42.73</v>
      </c>
      <c r="O22" s="5">
        <v>0</v>
      </c>
      <c r="P22" s="5">
        <v>0.56119839240043823</v>
      </c>
      <c r="Q22" s="5">
        <f t="shared" si="0"/>
        <v>0.16517422072287241</v>
      </c>
    </row>
    <row r="23" spans="1:17" ht="15.75" customHeight="1">
      <c r="A23" s="5" t="s">
        <v>221</v>
      </c>
      <c r="B23" s="5" t="s">
        <v>224</v>
      </c>
      <c r="C23" s="5">
        <v>84</v>
      </c>
      <c r="D23" s="5">
        <v>45</v>
      </c>
      <c r="E23" s="5">
        <v>163.54631929999999</v>
      </c>
      <c r="F23" s="5">
        <v>0.2751514078250491</v>
      </c>
      <c r="G23" s="5">
        <v>7.19</v>
      </c>
      <c r="H23" s="5">
        <v>0.13</v>
      </c>
      <c r="I23" s="5">
        <v>5.0999999999999996</v>
      </c>
      <c r="J23" s="5">
        <v>6.5000000000000002E-2</v>
      </c>
      <c r="K23" s="5">
        <v>8.1999999999999993</v>
      </c>
      <c r="L23" s="5">
        <v>27.32</v>
      </c>
      <c r="M23" s="5">
        <v>27.32</v>
      </c>
      <c r="N23" s="5">
        <v>43.21</v>
      </c>
      <c r="O23" s="5">
        <v>0</v>
      </c>
      <c r="P23" s="5">
        <v>0.58162518301610544</v>
      </c>
      <c r="Q23" s="5">
        <f t="shared" si="0"/>
        <v>0.16704747692845204</v>
      </c>
    </row>
    <row r="24" spans="1:17" ht="15.75" customHeight="1">
      <c r="A24" s="5" t="s">
        <v>221</v>
      </c>
      <c r="B24" s="5" t="s">
        <v>224</v>
      </c>
      <c r="C24" s="5">
        <v>86</v>
      </c>
      <c r="D24" s="5">
        <v>45.7</v>
      </c>
      <c r="E24" s="5">
        <v>165.45285899999999</v>
      </c>
      <c r="F24" s="5">
        <v>0.27621160659423838</v>
      </c>
      <c r="G24" s="5">
        <v>4.9400000000000004</v>
      </c>
      <c r="H24" s="5">
        <v>0.109</v>
      </c>
      <c r="I24" s="5">
        <v>4.2</v>
      </c>
      <c r="J24" s="5">
        <v>5.4399999999999997E-2</v>
      </c>
      <c r="K24" s="5">
        <v>7.6</v>
      </c>
      <c r="L24" s="5">
        <v>28.07</v>
      </c>
      <c r="M24" s="5">
        <v>28.07</v>
      </c>
      <c r="N24" s="5">
        <v>43.88</v>
      </c>
      <c r="O24" s="5">
        <v>0</v>
      </c>
      <c r="P24" s="5">
        <v>0.56323477021731394</v>
      </c>
      <c r="Q24" s="5">
        <f t="shared" si="0"/>
        <v>0.16965557542889001</v>
      </c>
    </row>
    <row r="25" spans="1:17" ht="15.75" customHeight="1">
      <c r="A25" s="5" t="s">
        <v>221</v>
      </c>
      <c r="B25" s="5" t="s">
        <v>225</v>
      </c>
      <c r="C25" s="5">
        <v>37</v>
      </c>
      <c r="D25" s="5">
        <v>44.5</v>
      </c>
      <c r="E25" s="5">
        <v>164.738721</v>
      </c>
      <c r="F25" s="5">
        <v>0.27012471463827858</v>
      </c>
      <c r="G25" s="5">
        <v>6.09</v>
      </c>
      <c r="H25" s="5">
        <v>6.3600000000000004E-2</v>
      </c>
      <c r="I25" s="5">
        <v>1.8</v>
      </c>
      <c r="J25" s="5">
        <v>3.1800000000000002E-2</v>
      </c>
      <c r="K25" s="5">
        <v>2.6</v>
      </c>
      <c r="L25" s="5">
        <v>27.25</v>
      </c>
      <c r="M25" s="5">
        <v>27.25</v>
      </c>
      <c r="N25" s="5">
        <v>42.9</v>
      </c>
      <c r="O25" s="5">
        <v>0</v>
      </c>
      <c r="P25" s="5">
        <v>0.57431192660550456</v>
      </c>
      <c r="Q25" s="5">
        <f t="shared" si="0"/>
        <v>0.16541344885153017</v>
      </c>
    </row>
    <row r="26" spans="1:17" ht="15.75" customHeight="1">
      <c r="A26" s="5" t="s">
        <v>221</v>
      </c>
      <c r="B26" s="5" t="s">
        <v>225</v>
      </c>
      <c r="C26" s="5">
        <v>88</v>
      </c>
      <c r="D26" s="5">
        <v>46.2</v>
      </c>
      <c r="E26" s="5">
        <v>168.63896879999999</v>
      </c>
      <c r="F26" s="5">
        <v>0.27395803193502438</v>
      </c>
      <c r="G26" s="5">
        <v>5.73</v>
      </c>
      <c r="H26" s="5">
        <v>7.3099999999999998E-2</v>
      </c>
      <c r="I26" s="5">
        <v>1.8</v>
      </c>
      <c r="J26" s="5">
        <v>3.6600000000000001E-2</v>
      </c>
      <c r="K26" s="5">
        <v>2.7</v>
      </c>
      <c r="L26" s="5">
        <v>25.51</v>
      </c>
      <c r="M26" s="5">
        <v>25.51</v>
      </c>
      <c r="N26" s="5">
        <v>44.54</v>
      </c>
      <c r="O26" s="5">
        <v>0</v>
      </c>
      <c r="P26" s="5">
        <v>0.74598196785574267</v>
      </c>
      <c r="Q26" s="5">
        <f t="shared" si="0"/>
        <v>0.15126990031736962</v>
      </c>
    </row>
    <row r="27" spans="1:17" ht="15.75" customHeight="1">
      <c r="A27" s="5" t="s">
        <v>221</v>
      </c>
      <c r="B27" s="5" t="s">
        <v>225</v>
      </c>
      <c r="C27" s="5">
        <v>90</v>
      </c>
      <c r="D27" s="5">
        <v>44.7</v>
      </c>
      <c r="E27" s="5">
        <v>167.38545099999999</v>
      </c>
      <c r="F27" s="5">
        <v>0.26704829919776008</v>
      </c>
      <c r="G27" s="5">
        <v>3.88</v>
      </c>
      <c r="H27" s="5">
        <v>7.0800000000000002E-2</v>
      </c>
      <c r="I27" s="5">
        <v>3.4</v>
      </c>
      <c r="J27" s="5">
        <v>3.5400000000000001E-2</v>
      </c>
      <c r="K27" s="5">
        <v>4.5</v>
      </c>
      <c r="L27" s="5">
        <v>25.38</v>
      </c>
      <c r="M27" s="5">
        <v>25.38</v>
      </c>
      <c r="N27" s="5">
        <v>43.1</v>
      </c>
      <c r="O27" s="5">
        <v>0</v>
      </c>
      <c r="P27" s="5">
        <v>0.69818754925137916</v>
      </c>
      <c r="Q27" s="5">
        <f t="shared" si="0"/>
        <v>0.15162608128946645</v>
      </c>
    </row>
    <row r="28" spans="1:17" ht="15.75" customHeight="1">
      <c r="A28" s="5" t="s">
        <v>221</v>
      </c>
      <c r="B28" s="5" t="s">
        <v>225</v>
      </c>
      <c r="C28" s="5">
        <v>94</v>
      </c>
      <c r="D28" s="5">
        <v>44.6</v>
      </c>
      <c r="E28" s="5">
        <v>162.35397359999999</v>
      </c>
      <c r="F28" s="5">
        <v>0.27470839802100172</v>
      </c>
      <c r="G28" s="5">
        <v>6.19</v>
      </c>
      <c r="H28" s="5">
        <v>6.8900000000000003E-2</v>
      </c>
      <c r="I28" s="5">
        <v>1.9</v>
      </c>
      <c r="J28" s="5">
        <v>3.44E-2</v>
      </c>
      <c r="K28" s="5">
        <v>3.9</v>
      </c>
      <c r="L28" s="5">
        <v>26.71</v>
      </c>
      <c r="M28" s="5">
        <v>26.71</v>
      </c>
      <c r="N28" s="5">
        <v>43</v>
      </c>
      <c r="O28" s="5">
        <v>0</v>
      </c>
      <c r="P28" s="5">
        <v>0.6098839385997753</v>
      </c>
      <c r="Q28" s="5">
        <f t="shared" si="0"/>
        <v>0.16451706975652367</v>
      </c>
    </row>
    <row r="29" spans="1:17" ht="15.75" customHeight="1">
      <c r="A29" s="5" t="s">
        <v>234</v>
      </c>
      <c r="B29" s="5" t="s">
        <v>223</v>
      </c>
      <c r="C29" s="5">
        <v>13</v>
      </c>
      <c r="D29" s="5">
        <v>21.3</v>
      </c>
      <c r="E29" s="5">
        <v>155.66927999999999</v>
      </c>
      <c r="F29" s="5">
        <v>0.1368285380391045</v>
      </c>
      <c r="G29" s="5">
        <v>3.48</v>
      </c>
      <c r="H29" s="5">
        <v>7.6999999999999999E-2</v>
      </c>
      <c r="I29" s="5">
        <v>3.9</v>
      </c>
      <c r="J29" s="5">
        <v>3.85E-2</v>
      </c>
      <c r="K29" s="5">
        <v>7.8</v>
      </c>
      <c r="L29" s="5">
        <v>18.899999999999999</v>
      </c>
      <c r="M29" s="5">
        <v>19.649999999999999</v>
      </c>
      <c r="N29" s="5">
        <v>19.649999999999999</v>
      </c>
      <c r="O29" s="5">
        <v>3.9682539682539687E-2</v>
      </c>
      <c r="P29" s="5">
        <v>0</v>
      </c>
      <c r="Q29" s="5">
        <f t="shared" si="0"/>
        <v>0.12141123797836027</v>
      </c>
    </row>
    <row r="30" spans="1:17" ht="15.75" customHeight="1">
      <c r="A30" s="5" t="s">
        <v>234</v>
      </c>
      <c r="B30" s="5" t="s">
        <v>223</v>
      </c>
      <c r="C30" s="5">
        <v>17</v>
      </c>
      <c r="D30" s="5">
        <v>21.9</v>
      </c>
      <c r="E30" s="5">
        <v>165.08593920000001</v>
      </c>
      <c r="F30" s="5">
        <v>0.1326581785591586</v>
      </c>
      <c r="G30" s="5">
        <v>4.3600000000000003</v>
      </c>
      <c r="H30" s="5">
        <v>0.13800000000000001</v>
      </c>
      <c r="I30" s="5">
        <v>4.9000000000000004</v>
      </c>
      <c r="J30" s="5">
        <v>6.9000000000000006E-2</v>
      </c>
      <c r="K30" s="5">
        <v>8.6</v>
      </c>
      <c r="L30" s="5">
        <v>19.18</v>
      </c>
      <c r="M30" s="5">
        <v>20.13</v>
      </c>
      <c r="N30" s="5">
        <v>20.13</v>
      </c>
      <c r="O30" s="5">
        <v>4.9530761209593287E-2</v>
      </c>
      <c r="P30" s="5">
        <v>0</v>
      </c>
      <c r="Q30" s="5">
        <f t="shared" si="0"/>
        <v>0.11618191163308958</v>
      </c>
    </row>
    <row r="31" spans="1:17" ht="15.75" customHeight="1">
      <c r="A31" s="5" t="s">
        <v>234</v>
      </c>
      <c r="B31" s="5" t="s">
        <v>223</v>
      </c>
      <c r="C31" s="5">
        <v>74</v>
      </c>
      <c r="D31" s="5">
        <v>21.7</v>
      </c>
      <c r="E31" s="5">
        <v>159.48597599999999</v>
      </c>
      <c r="F31" s="5">
        <v>0.1360621199697207</v>
      </c>
      <c r="G31" s="5">
        <v>5</v>
      </c>
      <c r="H31" s="5">
        <v>0.12</v>
      </c>
      <c r="I31" s="5">
        <v>5.8</v>
      </c>
      <c r="J31" s="5">
        <v>6.0199999999999997E-2</v>
      </c>
      <c r="K31" s="5">
        <v>8.9</v>
      </c>
      <c r="L31" s="5">
        <v>19.45</v>
      </c>
      <c r="M31" s="5">
        <v>20.11</v>
      </c>
      <c r="N31" s="5">
        <v>20.11</v>
      </c>
      <c r="O31" s="5">
        <v>3.3933161953727517E-2</v>
      </c>
      <c r="P31" s="5">
        <v>0</v>
      </c>
      <c r="Q31" s="5">
        <f t="shared" si="0"/>
        <v>0.12195429647055614</v>
      </c>
    </row>
    <row r="32" spans="1:17" ht="15.75" customHeight="1">
      <c r="A32" s="5" t="s">
        <v>234</v>
      </c>
      <c r="B32" s="5" t="s">
        <v>222</v>
      </c>
      <c r="C32" s="5">
        <v>59</v>
      </c>
      <c r="D32" s="5">
        <v>29.1</v>
      </c>
      <c r="E32" s="5">
        <v>153.57664</v>
      </c>
      <c r="F32" s="5">
        <v>0.18948194204535271</v>
      </c>
      <c r="G32" s="5">
        <v>6.13</v>
      </c>
      <c r="H32" s="5">
        <v>8.5300000000000001E-2</v>
      </c>
      <c r="I32" s="5">
        <v>3.7</v>
      </c>
      <c r="J32" s="5">
        <v>4.2700000000000002E-2</v>
      </c>
      <c r="K32" s="5">
        <v>7.1</v>
      </c>
      <c r="L32" s="5">
        <v>26.13</v>
      </c>
      <c r="M32" s="5">
        <v>27.05</v>
      </c>
      <c r="N32" s="5">
        <v>27.05</v>
      </c>
      <c r="O32" s="5">
        <v>3.5208572522005432E-2</v>
      </c>
      <c r="P32" s="5">
        <v>0</v>
      </c>
      <c r="Q32" s="5">
        <f t="shared" si="0"/>
        <v>0.17014306342422911</v>
      </c>
    </row>
    <row r="33" spans="1:18" ht="15.75" customHeight="1">
      <c r="A33" s="5" t="s">
        <v>234</v>
      </c>
      <c r="B33" s="5" t="s">
        <v>222</v>
      </c>
      <c r="C33" s="5">
        <v>61</v>
      </c>
      <c r="D33" s="5">
        <v>28.5</v>
      </c>
      <c r="E33" s="5">
        <v>151.12588400000001</v>
      </c>
      <c r="F33" s="5">
        <v>0.1885845048224829</v>
      </c>
      <c r="G33" s="5">
        <v>6.1</v>
      </c>
      <c r="H33" s="5">
        <v>6.59E-2</v>
      </c>
      <c r="I33" s="5">
        <v>2.4</v>
      </c>
      <c r="J33" s="5">
        <v>3.2899999999999999E-2</v>
      </c>
      <c r="K33" s="5">
        <v>9.3000000000000007</v>
      </c>
      <c r="L33" s="5">
        <v>25.27</v>
      </c>
      <c r="M33" s="5">
        <v>26.41</v>
      </c>
      <c r="N33" s="5">
        <v>26.41</v>
      </c>
      <c r="O33" s="5">
        <v>4.5112781954887243E-2</v>
      </c>
      <c r="P33" s="5">
        <v>0</v>
      </c>
      <c r="Q33" s="5">
        <f t="shared" si="0"/>
        <v>0.16721159427593488</v>
      </c>
    </row>
    <row r="34" spans="1:18" ht="15.75" customHeight="1">
      <c r="A34" s="5" t="s">
        <v>234</v>
      </c>
      <c r="B34" s="5" t="s">
        <v>222</v>
      </c>
      <c r="C34" s="5">
        <v>67</v>
      </c>
      <c r="D34" s="5">
        <v>27.3</v>
      </c>
      <c r="E34" s="5">
        <v>156.42582390000001</v>
      </c>
      <c r="F34" s="5">
        <v>0.1745236132970753</v>
      </c>
      <c r="G34" s="5">
        <v>5</v>
      </c>
      <c r="H34" s="5">
        <v>6.9800000000000001E-2</v>
      </c>
      <c r="I34" s="5">
        <v>4</v>
      </c>
      <c r="J34" s="5">
        <v>3.49E-2</v>
      </c>
      <c r="K34" s="5">
        <v>7.7</v>
      </c>
      <c r="L34" s="5">
        <v>24.68</v>
      </c>
      <c r="M34" s="5">
        <v>25.27</v>
      </c>
      <c r="N34" s="5">
        <v>25.27</v>
      </c>
      <c r="O34" s="5">
        <v>2.3905996758508911E-2</v>
      </c>
      <c r="P34" s="5">
        <v>0</v>
      </c>
      <c r="Q34" s="5">
        <f t="shared" si="0"/>
        <v>0.15777446066563436</v>
      </c>
    </row>
    <row r="35" spans="1:18" ht="15.75" customHeight="1">
      <c r="A35" s="5" t="s">
        <v>234</v>
      </c>
      <c r="B35" s="5" t="s">
        <v>224</v>
      </c>
      <c r="C35" s="5">
        <v>33</v>
      </c>
      <c r="D35" s="5">
        <v>28.6</v>
      </c>
      <c r="E35" s="5">
        <v>159.01689959999999</v>
      </c>
      <c r="F35" s="5">
        <v>0.1798550976150462</v>
      </c>
      <c r="G35" s="5">
        <v>2.98</v>
      </c>
      <c r="H35" s="5">
        <v>0.10100000000000001</v>
      </c>
      <c r="I35" s="5">
        <v>7.4</v>
      </c>
      <c r="J35" s="5">
        <v>5.04E-2</v>
      </c>
      <c r="K35" s="5">
        <v>11.6</v>
      </c>
      <c r="L35" s="5">
        <v>25.93</v>
      </c>
      <c r="M35" s="5">
        <v>26.51</v>
      </c>
      <c r="N35" s="5">
        <v>26.51</v>
      </c>
      <c r="O35" s="5">
        <v>2.2367913613575079E-2</v>
      </c>
      <c r="P35" s="5">
        <v>0</v>
      </c>
      <c r="Q35" s="5">
        <f t="shared" si="0"/>
        <v>0.16306442941112406</v>
      </c>
    </row>
    <row r="36" spans="1:18" ht="15.75" customHeight="1">
      <c r="A36" s="5" t="s">
        <v>234</v>
      </c>
      <c r="B36" s="5" t="s">
        <v>224</v>
      </c>
      <c r="C36" s="5">
        <v>79</v>
      </c>
      <c r="D36" s="5">
        <v>30.4</v>
      </c>
      <c r="E36" s="5">
        <v>161.14731359999999</v>
      </c>
      <c r="F36" s="5">
        <v>0.18864726516917871</v>
      </c>
      <c r="G36" s="5">
        <v>4.0599999999999996</v>
      </c>
      <c r="H36" s="5">
        <v>0.14099999999999999</v>
      </c>
      <c r="I36" s="5">
        <v>7</v>
      </c>
      <c r="J36" s="5">
        <v>7.0400000000000004E-2</v>
      </c>
      <c r="K36" s="5">
        <v>8.6</v>
      </c>
      <c r="L36" s="5">
        <v>27.23</v>
      </c>
      <c r="M36" s="5">
        <v>28.25</v>
      </c>
      <c r="N36" s="5">
        <v>28.25</v>
      </c>
      <c r="O36" s="5">
        <v>3.7458685273595277E-2</v>
      </c>
      <c r="P36" s="5">
        <v>0</v>
      </c>
      <c r="Q36" s="5">
        <f t="shared" si="0"/>
        <v>0.16897582337357686</v>
      </c>
    </row>
    <row r="37" spans="1:18" ht="15.75" customHeight="1">
      <c r="A37" s="5" t="s">
        <v>234</v>
      </c>
      <c r="B37" s="5" t="s">
        <v>224</v>
      </c>
      <c r="C37" s="5">
        <v>87</v>
      </c>
      <c r="D37" s="5">
        <v>30.8</v>
      </c>
      <c r="E37" s="5">
        <v>158.89839839999999</v>
      </c>
      <c r="F37" s="5">
        <v>0.19383455283461179</v>
      </c>
      <c r="G37" s="5">
        <v>3.77</v>
      </c>
      <c r="H37" s="5">
        <v>0.14899999999999999</v>
      </c>
      <c r="I37" s="5">
        <v>7.2</v>
      </c>
      <c r="J37" s="5">
        <v>7.4499999999999997E-2</v>
      </c>
      <c r="K37" s="5">
        <v>8.1999999999999993</v>
      </c>
      <c r="L37" s="5">
        <v>28.05</v>
      </c>
      <c r="M37" s="5">
        <v>28.68</v>
      </c>
      <c r="N37" s="5">
        <v>28.68</v>
      </c>
      <c r="O37" s="5">
        <v>2.2459893048128309E-2</v>
      </c>
      <c r="P37" s="5">
        <v>0</v>
      </c>
      <c r="Q37" s="5">
        <f t="shared" si="0"/>
        <v>0.17652789633152149</v>
      </c>
    </row>
    <row r="38" spans="1:18" ht="15.75" customHeight="1">
      <c r="A38" s="5" t="s">
        <v>234</v>
      </c>
      <c r="B38" s="5" t="s">
        <v>225</v>
      </c>
      <c r="C38" s="5">
        <v>89</v>
      </c>
      <c r="D38" s="5">
        <v>27.6</v>
      </c>
      <c r="E38" s="5">
        <v>149.8468608</v>
      </c>
      <c r="F38" s="5">
        <v>0.18418804273008829</v>
      </c>
      <c r="G38" s="5">
        <v>1.24</v>
      </c>
      <c r="H38" s="5">
        <v>3.4700000000000002E-2</v>
      </c>
      <c r="I38" s="5">
        <v>2.9</v>
      </c>
      <c r="J38" s="5">
        <v>1.7299999999999999E-2</v>
      </c>
      <c r="K38" s="5">
        <v>4.0999999999999996</v>
      </c>
      <c r="L38" s="5">
        <v>25.06</v>
      </c>
      <c r="M38" s="5">
        <v>25.7</v>
      </c>
      <c r="N38" s="5">
        <v>25.7</v>
      </c>
      <c r="O38" s="5">
        <v>2.5538707102952939E-2</v>
      </c>
      <c r="P38" s="5">
        <v>0</v>
      </c>
      <c r="Q38" s="5">
        <f t="shared" si="0"/>
        <v>0.16723740401507295</v>
      </c>
    </row>
    <row r="39" spans="1:18" ht="15.75" customHeight="1">
      <c r="A39" s="5" t="s">
        <v>234</v>
      </c>
      <c r="B39" s="5" t="s">
        <v>225</v>
      </c>
      <c r="C39" s="5">
        <v>93</v>
      </c>
      <c r="D39" s="5">
        <v>28.6</v>
      </c>
      <c r="E39" s="5">
        <v>156.7477366</v>
      </c>
      <c r="F39" s="5">
        <v>0.18245877497410701</v>
      </c>
      <c r="G39" s="5">
        <v>2.25</v>
      </c>
      <c r="H39" s="5">
        <v>4.8399999999999999E-2</v>
      </c>
      <c r="I39" s="5">
        <v>3.9</v>
      </c>
      <c r="J39" s="5">
        <v>2.3599999999999999E-2</v>
      </c>
      <c r="K39" s="5">
        <v>4.9000000000000004</v>
      </c>
      <c r="L39" s="5">
        <v>25.94</v>
      </c>
      <c r="M39" s="5">
        <v>26.49</v>
      </c>
      <c r="N39" s="5">
        <v>26.49</v>
      </c>
      <c r="O39" s="5">
        <v>2.1202775636083158E-2</v>
      </c>
      <c r="P39" s="5">
        <v>0</v>
      </c>
      <c r="Q39" s="5">
        <f t="shared" si="0"/>
        <v>0.16548883296602576</v>
      </c>
    </row>
    <row r="40" spans="1:18" ht="15.75" customHeight="1">
      <c r="A40" s="5" t="s">
        <v>226</v>
      </c>
      <c r="B40" s="5" t="s">
        <v>230</v>
      </c>
      <c r="C40" s="5">
        <v>24</v>
      </c>
      <c r="D40" s="5">
        <v>28.7</v>
      </c>
      <c r="E40" s="5">
        <v>157.145016</v>
      </c>
      <c r="F40" s="5">
        <v>0.18263385457926326</v>
      </c>
      <c r="G40" s="5">
        <v>2.69</v>
      </c>
      <c r="H40" s="5">
        <v>4.8099999999999997E-2</v>
      </c>
      <c r="I40" s="5">
        <v>3.4</v>
      </c>
      <c r="J40" s="5">
        <v>2.41E-2</v>
      </c>
      <c r="K40" s="5">
        <v>4.8</v>
      </c>
      <c r="L40" s="55">
        <v>13.94</v>
      </c>
      <c r="M40" s="55">
        <v>14.29</v>
      </c>
      <c r="N40" s="55">
        <v>27.962</v>
      </c>
      <c r="O40" s="55">
        <v>2.5000000000000001E-2</v>
      </c>
      <c r="P40" s="55">
        <v>0.95699999999999996</v>
      </c>
      <c r="Q40" s="5">
        <f t="shared" si="0"/>
        <v>8.8707872224213585E-2</v>
      </c>
      <c r="R40" s="5"/>
    </row>
    <row r="41" spans="1:18" ht="15.75" customHeight="1">
      <c r="A41" s="5" t="s">
        <v>226</v>
      </c>
      <c r="B41" s="5" t="s">
        <v>230</v>
      </c>
      <c r="C41" s="5">
        <v>38</v>
      </c>
      <c r="D41" s="5">
        <v>25.2</v>
      </c>
      <c r="E41" s="5">
        <v>151.33497120000001</v>
      </c>
      <c r="F41" s="5">
        <v>0.16651802157940343</v>
      </c>
      <c r="G41" s="5">
        <v>1.81</v>
      </c>
      <c r="H41" s="5">
        <v>2.81E-2</v>
      </c>
      <c r="I41" s="5">
        <v>1.9</v>
      </c>
      <c r="J41" s="5">
        <v>1.4E-2</v>
      </c>
      <c r="K41" s="5">
        <v>5.7</v>
      </c>
      <c r="L41" s="55">
        <v>12.34</v>
      </c>
      <c r="M41" s="55">
        <v>12.32</v>
      </c>
      <c r="N41" s="55">
        <v>24.6</v>
      </c>
      <c r="O41" s="55">
        <v>-2E-3</v>
      </c>
      <c r="P41" s="55">
        <v>0.997</v>
      </c>
      <c r="Q41" s="5">
        <f t="shared" si="0"/>
        <v>8.1540967709914217E-2</v>
      </c>
      <c r="R41" s="5"/>
    </row>
    <row r="42" spans="1:18" ht="15.75" customHeight="1">
      <c r="A42" s="5" t="s">
        <v>226</v>
      </c>
      <c r="B42" s="5" t="s">
        <v>230</v>
      </c>
      <c r="C42" s="5">
        <v>42</v>
      </c>
      <c r="D42" s="5">
        <v>26.1</v>
      </c>
      <c r="E42" s="5">
        <v>157.76013119999999</v>
      </c>
      <c r="F42" s="5">
        <v>0.16544103888270603</v>
      </c>
      <c r="G42" s="5">
        <v>2.2200000000000002</v>
      </c>
      <c r="H42" s="5">
        <v>4.6100000000000002E-2</v>
      </c>
      <c r="I42" s="5">
        <v>2.5</v>
      </c>
      <c r="J42" s="5">
        <v>2.3099999999999999E-2</v>
      </c>
      <c r="K42" s="5">
        <v>6.1</v>
      </c>
      <c r="L42" s="55">
        <v>12.54</v>
      </c>
      <c r="M42" s="55">
        <v>12.52</v>
      </c>
      <c r="N42" s="55">
        <v>25.53</v>
      </c>
      <c r="O42" s="55">
        <v>-2E-3</v>
      </c>
      <c r="P42" s="55">
        <v>1.0389999999999999</v>
      </c>
      <c r="Q42" s="5">
        <f t="shared" si="0"/>
        <v>7.9487763509162188E-2</v>
      </c>
      <c r="R42" s="5"/>
    </row>
    <row r="43" spans="1:18" ht="15.75" customHeight="1">
      <c r="A43" s="5" t="s">
        <v>226</v>
      </c>
      <c r="B43" s="5" t="s">
        <v>230</v>
      </c>
      <c r="C43" s="5">
        <v>98</v>
      </c>
      <c r="D43" s="5">
        <v>28.3</v>
      </c>
      <c r="E43" s="5">
        <v>157.30910159999999</v>
      </c>
      <c r="F43" s="5">
        <v>0.17990058879085227</v>
      </c>
      <c r="G43" s="5">
        <v>2.82</v>
      </c>
      <c r="H43" s="5">
        <v>3.5499999999999997E-2</v>
      </c>
      <c r="I43" s="5">
        <v>1.7</v>
      </c>
      <c r="J43" s="5">
        <v>1.78E-2</v>
      </c>
      <c r="K43" s="5">
        <v>5.8</v>
      </c>
      <c r="L43" s="55">
        <v>13.56</v>
      </c>
      <c r="M43" s="55">
        <v>13.93</v>
      </c>
      <c r="N43" s="55">
        <v>27.45</v>
      </c>
      <c r="O43" s="55">
        <v>2.7E-2</v>
      </c>
      <c r="P43" s="55">
        <v>0.97099999999999997</v>
      </c>
      <c r="Q43" s="5">
        <f t="shared" si="0"/>
        <v>8.619971674925643E-2</v>
      </c>
      <c r="R43" s="5"/>
    </row>
    <row r="44" spans="1:18" ht="15.75" customHeight="1">
      <c r="A44" s="5" t="s">
        <v>226</v>
      </c>
      <c r="B44" s="5" t="s">
        <v>229</v>
      </c>
      <c r="C44" s="5">
        <v>18</v>
      </c>
      <c r="D44" s="5">
        <v>33.299999999999997</v>
      </c>
      <c r="E44" s="5">
        <v>159.58044480000004</v>
      </c>
      <c r="F44" s="5">
        <v>0.20867218437531257</v>
      </c>
      <c r="G44" s="5">
        <v>7.32</v>
      </c>
      <c r="H44" s="5">
        <v>0.14199999999999999</v>
      </c>
      <c r="I44" s="5">
        <v>4.0999999999999996</v>
      </c>
      <c r="J44" s="5">
        <v>7.0800000000000002E-2</v>
      </c>
      <c r="K44" s="5">
        <v>5.7</v>
      </c>
      <c r="L44" s="55">
        <v>19.29</v>
      </c>
      <c r="M44" s="55">
        <v>19.350000000000001</v>
      </c>
      <c r="N44" s="55">
        <v>32.57</v>
      </c>
      <c r="O44" s="55">
        <v>3.0000000000000001E-3</v>
      </c>
      <c r="P44" s="55">
        <v>0.68300000000000005</v>
      </c>
      <c r="Q44" s="5">
        <f t="shared" si="0"/>
        <v>0.12087947257056395</v>
      </c>
      <c r="R44" s="5"/>
    </row>
    <row r="45" spans="1:18" ht="15.75" customHeight="1">
      <c r="A45" s="5" t="s">
        <v>226</v>
      </c>
      <c r="B45" s="5" t="s">
        <v>229</v>
      </c>
      <c r="C45" s="5">
        <v>36</v>
      </c>
      <c r="D45" s="5">
        <v>33.9</v>
      </c>
      <c r="E45" s="5">
        <v>160.61577840000001</v>
      </c>
      <c r="F45" s="5">
        <v>0.21106270092328611</v>
      </c>
      <c r="G45" s="5">
        <v>6.38</v>
      </c>
      <c r="H45" s="5">
        <v>0.14000000000000001</v>
      </c>
      <c r="I45" s="5">
        <v>4</v>
      </c>
      <c r="J45" s="5">
        <v>6.9800000000000001E-2</v>
      </c>
      <c r="K45" s="5">
        <v>5.5</v>
      </c>
      <c r="L45" s="55">
        <v>20.47</v>
      </c>
      <c r="M45" s="55">
        <v>20.84</v>
      </c>
      <c r="N45" s="55">
        <v>32.89</v>
      </c>
      <c r="O45" s="55">
        <v>1.7999999999999999E-2</v>
      </c>
      <c r="P45" s="55">
        <v>0.57799999999999996</v>
      </c>
      <c r="Q45" s="5">
        <f t="shared" si="0"/>
        <v>0.12744700554276303</v>
      </c>
      <c r="R45" s="5"/>
    </row>
    <row r="46" spans="1:18" ht="15.75" customHeight="1">
      <c r="A46" s="5" t="s">
        <v>226</v>
      </c>
      <c r="B46" s="5" t="s">
        <v>229</v>
      </c>
      <c r="C46" s="5">
        <v>72</v>
      </c>
      <c r="D46" s="5">
        <v>34.6</v>
      </c>
      <c r="E46" s="5">
        <v>162.0029376</v>
      </c>
      <c r="F46" s="5">
        <v>0.21357637406199728</v>
      </c>
      <c r="G46" s="5">
        <v>2.4500000000000002</v>
      </c>
      <c r="H46" s="5">
        <v>0.16900000000000001</v>
      </c>
      <c r="I46" s="5">
        <v>5.7</v>
      </c>
      <c r="J46" s="5">
        <v>8.43E-2</v>
      </c>
      <c r="K46" s="5">
        <v>7.1</v>
      </c>
      <c r="L46" s="55">
        <v>21.34</v>
      </c>
      <c r="M46" s="55">
        <v>21.39</v>
      </c>
      <c r="N46" s="55">
        <v>33.81</v>
      </c>
      <c r="O46" s="55">
        <v>2E-3</v>
      </c>
      <c r="P46" s="55">
        <v>0.58099999999999996</v>
      </c>
      <c r="Q46" s="5">
        <f t="shared" si="0"/>
        <v>0.13172600643014512</v>
      </c>
      <c r="R46" s="5"/>
    </row>
    <row r="47" spans="1:18" ht="15.75" customHeight="1">
      <c r="A47" s="5" t="s">
        <v>226</v>
      </c>
      <c r="B47" s="5" t="s">
        <v>229</v>
      </c>
      <c r="C47" s="5">
        <v>123</v>
      </c>
      <c r="D47" s="5">
        <v>37.700000000000003</v>
      </c>
      <c r="E47" s="5">
        <v>170.72219449999997</v>
      </c>
      <c r="F47" s="5">
        <v>0.22082658971443814</v>
      </c>
      <c r="G47" s="5">
        <v>4.3499999999999996</v>
      </c>
      <c r="H47" s="5">
        <v>0.14199999999999999</v>
      </c>
      <c r="I47" s="5">
        <v>5.3</v>
      </c>
      <c r="J47" s="5">
        <v>7.0999999999999994E-2</v>
      </c>
      <c r="K47" s="5">
        <v>6.5</v>
      </c>
      <c r="L47" s="55">
        <v>22.18</v>
      </c>
      <c r="M47" s="55">
        <v>22.21</v>
      </c>
      <c r="N47" s="55">
        <v>36.46</v>
      </c>
      <c r="O47" s="55">
        <v>1E-3</v>
      </c>
      <c r="P47" s="55">
        <v>0.64200000000000002</v>
      </c>
      <c r="Q47" s="5">
        <f t="shared" si="0"/>
        <v>0.12991866737045724</v>
      </c>
      <c r="R47" s="5"/>
    </row>
    <row r="48" spans="1:18" ht="15.75" customHeight="1">
      <c r="A48" s="5" t="s">
        <v>226</v>
      </c>
      <c r="B48" s="5" t="s">
        <v>229</v>
      </c>
      <c r="C48" s="5">
        <v>124</v>
      </c>
      <c r="D48" s="5">
        <v>35.799999999999997</v>
      </c>
      <c r="E48" s="5">
        <v>163.89858240000001</v>
      </c>
      <c r="F48" s="5">
        <v>0.21842775865278011</v>
      </c>
      <c r="G48" s="5">
        <v>5.69</v>
      </c>
      <c r="H48" s="5">
        <v>0.13</v>
      </c>
      <c r="I48" s="5">
        <v>5.3</v>
      </c>
      <c r="J48" s="5">
        <v>6.4799999999999996E-2</v>
      </c>
      <c r="K48" s="5">
        <v>6.7</v>
      </c>
      <c r="L48" s="55">
        <v>20.77</v>
      </c>
      <c r="M48" s="55">
        <v>20.73</v>
      </c>
      <c r="N48" s="55">
        <v>34.729999999999997</v>
      </c>
      <c r="O48" s="55">
        <v>-2E-3</v>
      </c>
      <c r="P48" s="55">
        <v>0.67500000000000004</v>
      </c>
      <c r="Q48" s="5">
        <f t="shared" si="0"/>
        <v>0.12672470802285596</v>
      </c>
      <c r="R48" s="5"/>
    </row>
    <row r="49" spans="1:18" ht="15.75" customHeight="1">
      <c r="A49" s="5" t="s">
        <v>226</v>
      </c>
      <c r="B49" s="5" t="s">
        <v>228</v>
      </c>
      <c r="C49" s="5">
        <v>7</v>
      </c>
      <c r="D49" s="5">
        <v>30.3</v>
      </c>
      <c r="E49" s="5">
        <v>158.75118000000001</v>
      </c>
      <c r="F49" s="5">
        <v>0.19086472302127139</v>
      </c>
      <c r="G49" s="5">
        <v>6</v>
      </c>
      <c r="H49" s="5">
        <v>0.11</v>
      </c>
      <c r="I49" s="5">
        <v>3.1</v>
      </c>
      <c r="J49" s="5">
        <v>5.5100000000000003E-2</v>
      </c>
      <c r="K49" s="5">
        <v>5.6</v>
      </c>
      <c r="L49" s="55">
        <v>14.92</v>
      </c>
      <c r="M49" s="55">
        <v>15.6</v>
      </c>
      <c r="N49" s="55">
        <v>29.64</v>
      </c>
      <c r="O49" s="55">
        <v>4.5999999999999999E-2</v>
      </c>
      <c r="P49" s="55">
        <v>0.9</v>
      </c>
      <c r="Q49" s="5">
        <f t="shared" si="0"/>
        <v>9.3983553382091398E-2</v>
      </c>
      <c r="R49" s="5"/>
    </row>
    <row r="50" spans="1:18" ht="15.75" customHeight="1">
      <c r="A50" s="5" t="s">
        <v>226</v>
      </c>
      <c r="B50" s="5" t="s">
        <v>228</v>
      </c>
      <c r="C50" s="5">
        <v>40</v>
      </c>
      <c r="D50" s="5">
        <v>30.7</v>
      </c>
      <c r="E50" s="5">
        <v>162.377544</v>
      </c>
      <c r="F50" s="5">
        <v>0.18906555206919498</v>
      </c>
      <c r="G50" s="5">
        <v>5.29</v>
      </c>
      <c r="H50" s="5">
        <v>0.129</v>
      </c>
      <c r="I50" s="5">
        <v>4.0999999999999996</v>
      </c>
      <c r="J50" s="5">
        <v>6.4399999999999999E-2</v>
      </c>
      <c r="K50" s="5">
        <v>8.6999999999999993</v>
      </c>
      <c r="L50" s="55">
        <v>15.44</v>
      </c>
      <c r="M50" s="55">
        <v>16.25</v>
      </c>
      <c r="N50" s="55">
        <v>30.03</v>
      </c>
      <c r="O50" s="55">
        <v>5.1999999999999998E-2</v>
      </c>
      <c r="P50" s="55">
        <v>0.84799999999999998</v>
      </c>
      <c r="Q50" s="5">
        <f t="shared" si="0"/>
        <v>9.5087039868025094E-2</v>
      </c>
      <c r="R50" s="5"/>
    </row>
    <row r="51" spans="1:18" ht="15.75" customHeight="1">
      <c r="A51" s="5" t="s">
        <v>226</v>
      </c>
      <c r="B51" s="5" t="s">
        <v>228</v>
      </c>
      <c r="C51" s="5">
        <v>46</v>
      </c>
      <c r="D51" s="5">
        <v>31</v>
      </c>
      <c r="E51" s="5">
        <v>163.33501799999999</v>
      </c>
      <c r="F51" s="5">
        <v>0.18979396077820865</v>
      </c>
      <c r="G51" s="5">
        <v>6.39</v>
      </c>
      <c r="H51" s="5">
        <v>0.126</v>
      </c>
      <c r="I51" s="5">
        <v>3.9</v>
      </c>
      <c r="J51" s="5">
        <v>6.2799999999999995E-2</v>
      </c>
      <c r="K51" s="5">
        <v>5.6</v>
      </c>
      <c r="L51" s="55">
        <v>15.99</v>
      </c>
      <c r="M51" s="55">
        <v>16.989999999999998</v>
      </c>
      <c r="N51" s="55">
        <v>30.33</v>
      </c>
      <c r="O51" s="55">
        <v>6.3E-2</v>
      </c>
      <c r="P51" s="55">
        <v>0.78500000000000003</v>
      </c>
      <c r="Q51" s="5">
        <f t="shared" si="0"/>
        <v>9.7896949446566323E-2</v>
      </c>
      <c r="R51" s="5"/>
    </row>
    <row r="52" spans="1:18" ht="15.75" customHeight="1">
      <c r="A52" s="5" t="s">
        <v>226</v>
      </c>
      <c r="B52" s="5" t="s">
        <v>228</v>
      </c>
      <c r="C52" s="5">
        <v>49</v>
      </c>
      <c r="D52" s="5">
        <v>30</v>
      </c>
      <c r="E52" s="5">
        <v>162.61619399999998</v>
      </c>
      <c r="F52" s="5">
        <v>0.18448347155388475</v>
      </c>
      <c r="G52" s="5">
        <v>6.12</v>
      </c>
      <c r="H52" s="5">
        <v>0.13500000000000001</v>
      </c>
      <c r="I52" s="5">
        <v>2.7</v>
      </c>
      <c r="J52" s="5">
        <v>6.7299999999999999E-2</v>
      </c>
      <c r="K52" s="5">
        <v>4.5999999999999996</v>
      </c>
      <c r="L52" s="55">
        <v>15.96</v>
      </c>
      <c r="M52" s="55">
        <v>16.27</v>
      </c>
      <c r="N52" s="55">
        <v>29.35</v>
      </c>
      <c r="O52" s="55">
        <v>1.9E-2</v>
      </c>
      <c r="P52" s="55">
        <v>0.80400000000000005</v>
      </c>
      <c r="Q52" s="5">
        <f t="shared" si="0"/>
        <v>9.8145206866666695E-2</v>
      </c>
      <c r="R52" s="5"/>
    </row>
    <row r="53" spans="1:18" ht="15.75" customHeight="1">
      <c r="A53" s="5" t="s">
        <v>226</v>
      </c>
      <c r="B53" s="5" t="s">
        <v>228</v>
      </c>
      <c r="C53" s="5">
        <v>63</v>
      </c>
      <c r="D53" s="5">
        <v>30.1</v>
      </c>
      <c r="E53" s="5">
        <v>156.06484</v>
      </c>
      <c r="F53" s="5">
        <v>0.19286855386517554</v>
      </c>
      <c r="G53" s="5">
        <v>4.24</v>
      </c>
      <c r="H53" s="5">
        <v>0.11600000000000001</v>
      </c>
      <c r="I53" s="5">
        <v>4</v>
      </c>
      <c r="J53" s="5">
        <v>5.79E-2</v>
      </c>
      <c r="K53" s="5">
        <v>5.4</v>
      </c>
      <c r="L53" s="55">
        <v>15.72</v>
      </c>
      <c r="M53" s="55">
        <v>16.38</v>
      </c>
      <c r="N53" s="55">
        <v>29.43</v>
      </c>
      <c r="O53" s="55">
        <v>4.2000000000000003E-2</v>
      </c>
      <c r="P53" s="55">
        <v>0.79700000000000004</v>
      </c>
      <c r="Q53" s="5">
        <f t="shared" si="0"/>
        <v>0.10072736434420462</v>
      </c>
      <c r="R53" s="5"/>
    </row>
    <row r="54" spans="1:18" ht="15.75" customHeight="1">
      <c r="A54" s="5" t="s">
        <v>226</v>
      </c>
      <c r="B54" s="5" t="s">
        <v>227</v>
      </c>
      <c r="C54" s="5">
        <v>59</v>
      </c>
      <c r="D54" s="5">
        <v>28.2</v>
      </c>
      <c r="E54" s="5">
        <v>156.97194239999999</v>
      </c>
      <c r="F54" s="5">
        <v>0.17964993978439805</v>
      </c>
      <c r="G54" s="5">
        <v>2</v>
      </c>
      <c r="H54" s="5">
        <v>2.8500000000000001E-2</v>
      </c>
      <c r="I54" s="5">
        <v>1.5</v>
      </c>
      <c r="J54" s="5">
        <v>1.4200000000000001E-2</v>
      </c>
      <c r="K54" s="5">
        <v>3.5</v>
      </c>
      <c r="L54" s="55">
        <v>14.16</v>
      </c>
      <c r="M54" s="55">
        <v>14.82</v>
      </c>
      <c r="N54" s="55">
        <v>27.48</v>
      </c>
      <c r="O54" s="55">
        <v>4.7E-2</v>
      </c>
      <c r="P54" s="55">
        <v>0.85399999999999998</v>
      </c>
      <c r="Q54" s="5">
        <f t="shared" si="0"/>
        <v>9.0207203806633926E-2</v>
      </c>
      <c r="R54" s="5"/>
    </row>
    <row r="55" spans="1:18" ht="15.75" customHeight="1">
      <c r="A55" s="5" t="s">
        <v>226</v>
      </c>
      <c r="B55" s="5" t="s">
        <v>227</v>
      </c>
      <c r="C55" s="5">
        <v>69</v>
      </c>
      <c r="D55" s="5">
        <v>27.7</v>
      </c>
      <c r="E55" s="5">
        <v>152.60573249999999</v>
      </c>
      <c r="F55" s="5">
        <v>0.18151349589701685</v>
      </c>
      <c r="G55" s="5">
        <v>3.29</v>
      </c>
      <c r="H55" s="5">
        <v>4.1200000000000001E-2</v>
      </c>
      <c r="I55" s="5">
        <v>1.8</v>
      </c>
      <c r="J55" s="5">
        <v>2.06E-2</v>
      </c>
      <c r="K55" s="5">
        <v>3.2</v>
      </c>
      <c r="L55" s="55">
        <v>13.99</v>
      </c>
      <c r="M55" s="55">
        <v>14.22</v>
      </c>
      <c r="N55" s="55">
        <v>27.001000000000001</v>
      </c>
      <c r="O55" s="55">
        <v>1.6E-2</v>
      </c>
      <c r="P55" s="55">
        <v>0.89900000000000002</v>
      </c>
      <c r="Q55" s="5">
        <f t="shared" si="0"/>
        <v>9.1674144678673852E-2</v>
      </c>
      <c r="R55" s="5"/>
    </row>
    <row r="56" spans="1:18" ht="15.75" customHeight="1">
      <c r="A56" s="5" t="s">
        <v>221</v>
      </c>
      <c r="B56" s="5" t="s">
        <v>230</v>
      </c>
      <c r="C56" s="5">
        <v>15</v>
      </c>
      <c r="D56" s="5">
        <v>26.4</v>
      </c>
      <c r="E56" s="5">
        <v>139.57579439999998</v>
      </c>
      <c r="F56" s="5">
        <v>0.18914454410585108</v>
      </c>
      <c r="G56" s="5">
        <v>1.81</v>
      </c>
      <c r="H56" s="5">
        <v>2.6599999999999999E-2</v>
      </c>
      <c r="I56" s="5">
        <v>1.8</v>
      </c>
      <c r="J56" s="5">
        <v>1.3299999999999999E-2</v>
      </c>
      <c r="K56" s="5">
        <v>4.9000000000000004</v>
      </c>
      <c r="L56" s="55">
        <v>13.16</v>
      </c>
      <c r="M56" s="55">
        <v>13.16</v>
      </c>
      <c r="N56" s="55">
        <v>25.42</v>
      </c>
      <c r="O56" s="5">
        <v>0</v>
      </c>
      <c r="P56" s="55">
        <v>0.93161094219999996</v>
      </c>
      <c r="Q56" s="5">
        <f t="shared" si="0"/>
        <v>9.428568941034092E-2</v>
      </c>
    </row>
    <row r="57" spans="1:18" ht="15.75" customHeight="1">
      <c r="A57" s="5" t="s">
        <v>221</v>
      </c>
      <c r="B57" s="5" t="s">
        <v>230</v>
      </c>
      <c r="C57" s="5">
        <v>23</v>
      </c>
      <c r="D57" s="5">
        <v>28.8</v>
      </c>
      <c r="E57" s="5">
        <v>153.72328289999999</v>
      </c>
      <c r="F57" s="5">
        <v>0.18734962887004544</v>
      </c>
      <c r="G57" s="5">
        <v>2.56</v>
      </c>
      <c r="H57" s="5">
        <v>4.6199999999999998E-2</v>
      </c>
      <c r="I57" s="5">
        <v>2.7</v>
      </c>
      <c r="J57" s="5">
        <v>2.3099999999999999E-2</v>
      </c>
      <c r="K57" s="5">
        <v>5.0999999999999996</v>
      </c>
      <c r="L57" s="55">
        <v>13.87</v>
      </c>
      <c r="M57" s="55">
        <v>13.87</v>
      </c>
      <c r="N57" s="55">
        <v>27.88</v>
      </c>
      <c r="O57" s="5">
        <v>0</v>
      </c>
      <c r="P57" s="55">
        <v>1.0100937270000001</v>
      </c>
      <c r="Q57" s="5">
        <f t="shared" si="0"/>
        <v>9.0227060848178123E-2</v>
      </c>
    </row>
    <row r="58" spans="1:18" ht="15.75" customHeight="1">
      <c r="A58" s="5" t="s">
        <v>221</v>
      </c>
      <c r="B58" s="5" t="s">
        <v>230</v>
      </c>
      <c r="C58" s="5">
        <v>29</v>
      </c>
      <c r="D58" s="5">
        <v>26.8</v>
      </c>
      <c r="E58" s="5">
        <v>136.2848256</v>
      </c>
      <c r="F58" s="5">
        <v>0.19664698459283203</v>
      </c>
      <c r="G58" s="5">
        <v>3.45</v>
      </c>
      <c r="H58" s="5">
        <v>3.6400000000000002E-2</v>
      </c>
      <c r="I58" s="5">
        <v>1.6</v>
      </c>
      <c r="J58" s="5">
        <v>1.8200000000000001E-2</v>
      </c>
      <c r="K58" s="5">
        <v>3.8</v>
      </c>
      <c r="L58" s="55">
        <v>12.05</v>
      </c>
      <c r="M58" s="55">
        <v>12.05</v>
      </c>
      <c r="N58" s="55">
        <v>25.85</v>
      </c>
      <c r="O58" s="5">
        <v>0</v>
      </c>
      <c r="P58" s="55">
        <v>1.145228216</v>
      </c>
      <c r="Q58" s="5">
        <f t="shared" si="0"/>
        <v>8.8417767326254698E-2</v>
      </c>
    </row>
    <row r="59" spans="1:18" ht="15.75" customHeight="1">
      <c r="A59" s="5" t="s">
        <v>221</v>
      </c>
      <c r="B59" s="5" t="s">
        <v>230</v>
      </c>
      <c r="C59" s="5">
        <v>41</v>
      </c>
      <c r="D59" s="5">
        <v>26.6</v>
      </c>
      <c r="E59" s="5">
        <v>143.95686699999999</v>
      </c>
      <c r="F59" s="5">
        <v>0.18477756952018137</v>
      </c>
      <c r="G59" s="5">
        <v>2.2200000000000002</v>
      </c>
      <c r="H59" s="5">
        <v>4.4999999999999998E-2</v>
      </c>
      <c r="I59" s="5">
        <v>3.9</v>
      </c>
      <c r="J59" s="5">
        <v>2.2499999999999999E-2</v>
      </c>
      <c r="K59" s="5">
        <v>6.9</v>
      </c>
      <c r="L59" s="55">
        <v>12.43</v>
      </c>
      <c r="M59" s="55">
        <v>12.43</v>
      </c>
      <c r="N59" s="55">
        <v>25.79</v>
      </c>
      <c r="O59" s="5">
        <v>0</v>
      </c>
      <c r="P59" s="55">
        <v>1.0748189859999999</v>
      </c>
      <c r="Q59" s="5">
        <f t="shared" si="0"/>
        <v>8.6345307862250156E-2</v>
      </c>
    </row>
    <row r="60" spans="1:18" ht="15.75" customHeight="1">
      <c r="A60" s="5" t="s">
        <v>221</v>
      </c>
      <c r="B60" s="5" t="s">
        <v>230</v>
      </c>
      <c r="C60" s="5">
        <v>112</v>
      </c>
      <c r="D60" s="5">
        <v>24.8</v>
      </c>
      <c r="E60" s="5">
        <v>147.58105829999997</v>
      </c>
      <c r="F60" s="5">
        <v>0.16804324542508045</v>
      </c>
      <c r="G60" s="5">
        <v>3.47</v>
      </c>
      <c r="H60" s="5">
        <v>3.1600000000000003E-2</v>
      </c>
      <c r="I60" s="5">
        <v>1.1000000000000001</v>
      </c>
      <c r="J60" s="5">
        <v>1.5800000000000002E-2</v>
      </c>
      <c r="K60" s="5">
        <v>4</v>
      </c>
      <c r="L60" s="55">
        <v>13.08</v>
      </c>
      <c r="M60" s="55">
        <v>13.08</v>
      </c>
      <c r="N60" s="55">
        <v>23.97</v>
      </c>
      <c r="O60" s="5">
        <v>0</v>
      </c>
      <c r="P60" s="55">
        <v>0.83256880730000005</v>
      </c>
      <c r="Q60" s="5">
        <f t="shared" si="0"/>
        <v>8.8629260087098885E-2</v>
      </c>
    </row>
    <row r="61" spans="1:18" ht="15.75" customHeight="1">
      <c r="A61" s="5" t="s">
        <v>221</v>
      </c>
      <c r="B61" s="5" t="s">
        <v>229</v>
      </c>
      <c r="C61" s="5">
        <v>17</v>
      </c>
      <c r="D61" s="5">
        <v>32.5</v>
      </c>
      <c r="E61" s="5">
        <v>158.1277824</v>
      </c>
      <c r="F61" s="5">
        <v>0.20552998029016817</v>
      </c>
      <c r="G61" s="5">
        <v>7.69</v>
      </c>
      <c r="H61" s="5">
        <v>0.17599999999999999</v>
      </c>
      <c r="I61" s="5">
        <v>4.4000000000000004</v>
      </c>
      <c r="J61" s="5">
        <v>8.7999999999999995E-2</v>
      </c>
      <c r="K61" s="5">
        <v>7.1</v>
      </c>
      <c r="L61" s="55">
        <v>19.14</v>
      </c>
      <c r="M61" s="55">
        <v>19.14</v>
      </c>
      <c r="N61" s="55">
        <v>31.15</v>
      </c>
      <c r="O61" s="5">
        <v>0</v>
      </c>
      <c r="P61" s="55">
        <v>0.62748171370000005</v>
      </c>
      <c r="Q61" s="5">
        <f t="shared" si="0"/>
        <v>0.1210413483924252</v>
      </c>
    </row>
    <row r="62" spans="1:18" ht="15.75" customHeight="1">
      <c r="A62" s="5" t="s">
        <v>221</v>
      </c>
      <c r="B62" s="5" t="s">
        <v>229</v>
      </c>
      <c r="C62" s="5">
        <v>35</v>
      </c>
      <c r="D62" s="5">
        <v>32.6</v>
      </c>
      <c r="E62" s="5">
        <v>155.30991839999999</v>
      </c>
      <c r="F62" s="5">
        <v>0.20990288537811763</v>
      </c>
      <c r="G62" s="5">
        <v>7.54</v>
      </c>
      <c r="H62" s="5">
        <v>0.16800000000000001</v>
      </c>
      <c r="I62" s="5">
        <v>5.7</v>
      </c>
      <c r="J62" s="5">
        <v>8.4199999999999997E-2</v>
      </c>
      <c r="K62" s="5">
        <v>7.5</v>
      </c>
      <c r="L62" s="55">
        <v>19.12</v>
      </c>
      <c r="M62" s="55">
        <v>19.12</v>
      </c>
      <c r="N62" s="55">
        <v>31.3</v>
      </c>
      <c r="O62" s="5">
        <v>0</v>
      </c>
      <c r="P62" s="55">
        <v>0.63702928869999997</v>
      </c>
      <c r="Q62" s="5">
        <f t="shared" si="0"/>
        <v>0.12310868614814753</v>
      </c>
    </row>
    <row r="63" spans="1:18" ht="15.75" customHeight="1">
      <c r="A63" s="5" t="s">
        <v>221</v>
      </c>
      <c r="B63" s="5" t="s">
        <v>229</v>
      </c>
      <c r="C63" s="5">
        <v>71</v>
      </c>
      <c r="D63" s="5">
        <v>35.799999999999997</v>
      </c>
      <c r="E63" s="5">
        <v>165.89218800000003</v>
      </c>
      <c r="F63" s="5">
        <v>0.21580280802613797</v>
      </c>
      <c r="G63" s="5">
        <v>9.01</v>
      </c>
      <c r="H63" s="5">
        <v>0.17299999999999999</v>
      </c>
      <c r="I63" s="5">
        <v>4.9000000000000004</v>
      </c>
      <c r="J63" s="5">
        <v>8.6599999999999996E-2</v>
      </c>
      <c r="K63" s="5">
        <v>7</v>
      </c>
      <c r="L63" s="55">
        <v>21.44</v>
      </c>
      <c r="M63" s="55">
        <v>21.44</v>
      </c>
      <c r="N63" s="55">
        <v>33.31</v>
      </c>
      <c r="O63" s="5">
        <v>0</v>
      </c>
      <c r="P63" s="55">
        <v>0.55363805970000002</v>
      </c>
      <c r="Q63" s="5">
        <f t="shared" si="0"/>
        <v>0.12924056435978767</v>
      </c>
    </row>
    <row r="64" spans="1:18" ht="15.75" customHeight="1">
      <c r="A64" s="5" t="s">
        <v>221</v>
      </c>
      <c r="B64" s="5" t="s">
        <v>229</v>
      </c>
      <c r="C64" s="5">
        <v>121</v>
      </c>
      <c r="D64" s="5">
        <v>34.4</v>
      </c>
      <c r="E64" s="5">
        <v>163.09689760000001</v>
      </c>
      <c r="F64" s="5">
        <v>0.21091756192914854</v>
      </c>
      <c r="G64" s="5">
        <v>8.51</v>
      </c>
      <c r="H64" s="5">
        <v>0.128</v>
      </c>
      <c r="I64" s="5">
        <v>2.6</v>
      </c>
      <c r="J64" s="5">
        <v>6.3899999999999998E-2</v>
      </c>
      <c r="K64" s="5">
        <v>5.6</v>
      </c>
      <c r="L64" s="55">
        <v>20.81</v>
      </c>
      <c r="M64" s="55">
        <v>20.81</v>
      </c>
      <c r="N64" s="55">
        <v>32.86</v>
      </c>
      <c r="O64" s="5">
        <v>0</v>
      </c>
      <c r="P64" s="55">
        <v>0.57904853440000004</v>
      </c>
      <c r="Q64" s="5">
        <f t="shared" si="0"/>
        <v>0.12759286231818551</v>
      </c>
    </row>
    <row r="65" spans="1:21" ht="15.75" customHeight="1">
      <c r="A65" s="5" t="s">
        <v>221</v>
      </c>
      <c r="B65" s="5" t="s">
        <v>229</v>
      </c>
      <c r="C65" s="5">
        <v>128</v>
      </c>
      <c r="D65" s="5">
        <v>35.799999999999997</v>
      </c>
      <c r="E65" s="5">
        <v>165.40863359999997</v>
      </c>
      <c r="F65" s="5">
        <v>0.21643368439022037</v>
      </c>
      <c r="G65" s="5">
        <v>5.44</v>
      </c>
      <c r="H65" s="5">
        <v>0.13800000000000001</v>
      </c>
      <c r="I65" s="5">
        <v>4.7</v>
      </c>
      <c r="J65" s="5">
        <v>6.9000000000000006E-2</v>
      </c>
      <c r="K65" s="5">
        <v>6.8</v>
      </c>
      <c r="L65" s="55">
        <v>20.78</v>
      </c>
      <c r="M65" s="55">
        <v>20.78</v>
      </c>
      <c r="N65" s="55">
        <v>34.39</v>
      </c>
      <c r="O65" s="5">
        <v>0</v>
      </c>
      <c r="P65" s="55">
        <v>0.65495668910000004</v>
      </c>
      <c r="Q65" s="5">
        <f t="shared" si="0"/>
        <v>0.12562826708460278</v>
      </c>
    </row>
    <row r="66" spans="1:21" ht="15.75" customHeight="1">
      <c r="A66" s="5" t="s">
        <v>221</v>
      </c>
      <c r="B66" s="5" t="s">
        <v>228</v>
      </c>
      <c r="C66" s="5">
        <v>6</v>
      </c>
      <c r="D66" s="5">
        <v>28.8</v>
      </c>
      <c r="E66" s="5">
        <v>160.21592080000002</v>
      </c>
      <c r="F66" s="5">
        <v>0.17975741646768975</v>
      </c>
      <c r="G66" s="5">
        <v>4.25</v>
      </c>
      <c r="H66" s="5">
        <v>0.1</v>
      </c>
      <c r="I66" s="5">
        <v>3.4</v>
      </c>
      <c r="J66" s="5">
        <v>5.0200000000000002E-2</v>
      </c>
      <c r="K66" s="5">
        <v>6.4</v>
      </c>
      <c r="L66" s="55">
        <v>14.95</v>
      </c>
      <c r="M66" s="55">
        <v>14.95</v>
      </c>
      <c r="N66" s="55">
        <v>27.62</v>
      </c>
      <c r="O66" s="5">
        <v>0</v>
      </c>
      <c r="P66" s="55">
        <v>0.8474916388</v>
      </c>
      <c r="Q66" s="5">
        <f t="shared" si="0"/>
        <v>9.3311575562220889E-2</v>
      </c>
    </row>
    <row r="67" spans="1:21" ht="15.75" customHeight="1">
      <c r="A67" s="5" t="s">
        <v>221</v>
      </c>
      <c r="B67" s="5" t="s">
        <v>228</v>
      </c>
      <c r="C67" s="5">
        <v>9</v>
      </c>
      <c r="D67" s="5">
        <v>29.9</v>
      </c>
      <c r="E67" s="5">
        <v>165.7603584</v>
      </c>
      <c r="F67" s="5">
        <v>0.18038088411855172</v>
      </c>
      <c r="G67" s="5">
        <v>5.6</v>
      </c>
      <c r="H67" s="5">
        <v>9.9099999999999994E-2</v>
      </c>
      <c r="I67" s="5">
        <v>3.7</v>
      </c>
      <c r="J67" s="5">
        <v>4.9500000000000002E-2</v>
      </c>
      <c r="K67" s="5">
        <v>5.6</v>
      </c>
      <c r="L67" s="55">
        <v>15.35</v>
      </c>
      <c r="M67" s="55">
        <v>15.35</v>
      </c>
      <c r="N67" s="55">
        <v>28.75</v>
      </c>
      <c r="O67" s="5">
        <v>0</v>
      </c>
      <c r="P67" s="55">
        <v>0.87296416939999999</v>
      </c>
      <c r="Q67" s="5">
        <f t="shared" si="0"/>
        <v>9.2603564254841758E-2</v>
      </c>
    </row>
    <row r="68" spans="1:21" ht="15.75" customHeight="1">
      <c r="A68" s="5" t="s">
        <v>221</v>
      </c>
      <c r="B68" s="5" t="s">
        <v>228</v>
      </c>
      <c r="C68" s="5">
        <v>45</v>
      </c>
      <c r="D68" s="5">
        <v>30.6</v>
      </c>
      <c r="E68" s="5">
        <v>165.47754990000001</v>
      </c>
      <c r="F68" s="5">
        <v>0.18491934415569927</v>
      </c>
      <c r="G68" s="5">
        <v>5.35</v>
      </c>
      <c r="H68" s="5">
        <v>0.115</v>
      </c>
      <c r="I68" s="5">
        <v>3.7</v>
      </c>
      <c r="J68" s="5">
        <v>5.7500000000000002E-2</v>
      </c>
      <c r="K68" s="5">
        <v>5.8</v>
      </c>
      <c r="L68" s="55">
        <v>16.09</v>
      </c>
      <c r="M68" s="55">
        <v>16.09</v>
      </c>
      <c r="N68" s="55">
        <v>29.51</v>
      </c>
      <c r="O68" s="5">
        <v>0</v>
      </c>
      <c r="P68" s="55">
        <v>0.83405842139999997</v>
      </c>
      <c r="Q68" s="5">
        <f t="shared" si="0"/>
        <v>9.7233733577294146E-2</v>
      </c>
    </row>
    <row r="69" spans="1:21" ht="15.75" customHeight="1">
      <c r="A69" s="5" t="s">
        <v>221</v>
      </c>
      <c r="B69" s="5" t="s">
        <v>228</v>
      </c>
      <c r="C69" s="5">
        <v>48</v>
      </c>
      <c r="D69" s="5">
        <v>30.1</v>
      </c>
      <c r="E69" s="5">
        <v>162.20887200000001</v>
      </c>
      <c r="F69" s="5">
        <v>0.185563216295592</v>
      </c>
      <c r="G69" s="5">
        <v>6.23</v>
      </c>
      <c r="H69" s="5">
        <v>0.128</v>
      </c>
      <c r="I69" s="5">
        <v>4.8</v>
      </c>
      <c r="J69" s="5">
        <v>6.3899999999999998E-2</v>
      </c>
      <c r="K69" s="5">
        <v>6.5</v>
      </c>
      <c r="L69" s="55">
        <v>15.71</v>
      </c>
      <c r="M69" s="55">
        <v>15.71</v>
      </c>
      <c r="N69" s="55">
        <v>28.95</v>
      </c>
      <c r="O69" s="5">
        <v>0</v>
      </c>
      <c r="P69" s="55">
        <v>0.84277530239999998</v>
      </c>
      <c r="Q69" s="5">
        <f t="shared" si="0"/>
        <v>9.6850436146304009E-2</v>
      </c>
    </row>
    <row r="70" spans="1:21" ht="15.75" customHeight="1">
      <c r="A70" s="5" t="s">
        <v>221</v>
      </c>
      <c r="B70" s="5" t="s">
        <v>228</v>
      </c>
      <c r="C70" s="5">
        <v>62</v>
      </c>
      <c r="D70" s="5">
        <v>29.2</v>
      </c>
      <c r="E70" s="5">
        <v>160.0237296</v>
      </c>
      <c r="F70" s="5">
        <v>0.18247293743864848</v>
      </c>
      <c r="G70" s="5">
        <v>7.74</v>
      </c>
      <c r="H70" s="5">
        <v>0.127</v>
      </c>
      <c r="I70" s="5">
        <v>3.1</v>
      </c>
      <c r="J70" s="5">
        <v>6.3500000000000001E-2</v>
      </c>
      <c r="K70" s="5">
        <v>5.7</v>
      </c>
      <c r="L70" s="55">
        <v>15.76</v>
      </c>
      <c r="M70" s="55">
        <v>15.76</v>
      </c>
      <c r="N70" s="55">
        <v>28.09</v>
      </c>
      <c r="O70" s="5">
        <v>0</v>
      </c>
      <c r="P70" s="55">
        <v>0.78236040610000002</v>
      </c>
      <c r="Q70" s="5">
        <f t="shared" si="0"/>
        <v>9.8485393631270554E-2</v>
      </c>
    </row>
    <row r="71" spans="1:21" ht="15.75" customHeight="1">
      <c r="A71" s="5" t="s">
        <v>221</v>
      </c>
      <c r="B71" s="5" t="s">
        <v>227</v>
      </c>
      <c r="C71" s="5">
        <v>1</v>
      </c>
      <c r="D71" s="5">
        <v>25</v>
      </c>
      <c r="E71" s="5">
        <v>150.45152640000003</v>
      </c>
      <c r="F71" s="5">
        <v>0.16616647632762066</v>
      </c>
      <c r="G71" s="5">
        <v>3.69</v>
      </c>
      <c r="H71" s="5">
        <v>2.9600000000000001E-2</v>
      </c>
      <c r="I71" s="5">
        <v>1.2</v>
      </c>
      <c r="J71" s="5">
        <v>1.4800000000000001E-2</v>
      </c>
      <c r="K71" s="5">
        <v>3.4</v>
      </c>
      <c r="L71" s="55">
        <v>12.26</v>
      </c>
      <c r="M71" s="55">
        <v>12.26</v>
      </c>
      <c r="N71" s="55">
        <v>24.02</v>
      </c>
      <c r="O71" s="5">
        <v>0</v>
      </c>
      <c r="P71" s="55">
        <v>0.95921696570000003</v>
      </c>
      <c r="Q71" s="5">
        <f t="shared" si="0"/>
        <v>8.1488039991065173E-2</v>
      </c>
      <c r="R71" s="55"/>
      <c r="S71" s="55"/>
      <c r="T71" s="55"/>
      <c r="U71" s="55"/>
    </row>
    <row r="72" spans="1:21" ht="15.75" customHeight="1">
      <c r="A72" s="5" t="s">
        <v>221</v>
      </c>
      <c r="B72" s="5" t="s">
        <v>227</v>
      </c>
      <c r="C72" s="5">
        <v>57</v>
      </c>
      <c r="D72" s="5">
        <v>25.7</v>
      </c>
      <c r="E72" s="5">
        <v>155.25356399999998</v>
      </c>
      <c r="F72" s="5">
        <v>0.16553565237317194</v>
      </c>
      <c r="G72" s="5">
        <v>0.72799999999999998</v>
      </c>
      <c r="H72" s="5">
        <v>1.46E-2</v>
      </c>
      <c r="I72" s="5">
        <v>0.8</v>
      </c>
      <c r="J72" s="5">
        <v>4.1099999999999999E-3</v>
      </c>
      <c r="K72" s="5">
        <v>5.0999999999999996</v>
      </c>
      <c r="L72" s="55">
        <v>12.29</v>
      </c>
      <c r="M72" s="55">
        <v>12.29</v>
      </c>
      <c r="N72" s="55">
        <v>24.73</v>
      </c>
      <c r="O72" s="5">
        <v>0</v>
      </c>
      <c r="P72" s="55">
        <v>1.012205045</v>
      </c>
      <c r="Q72" s="5">
        <f t="shared" si="0"/>
        <v>7.916082364460246E-2</v>
      </c>
    </row>
    <row r="73" spans="1:21" ht="15.75" customHeight="1"/>
    <row r="74" spans="1:21" ht="15.75" customHeight="1">
      <c r="R74" s="55"/>
      <c r="S74" s="55"/>
      <c r="T74" s="55"/>
      <c r="U74" s="55"/>
    </row>
    <row r="75" spans="1:21" ht="15.75" customHeight="1"/>
    <row r="76" spans="1:21" ht="15.75" customHeight="1"/>
    <row r="77" spans="1:21" ht="15.75" customHeight="1"/>
    <row r="78" spans="1:21" ht="15.75" customHeight="1"/>
    <row r="79" spans="1:21" ht="15.75" customHeight="1"/>
    <row r="80" spans="1:2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0">
      <c r="A1" s="51" t="s">
        <v>208</v>
      </c>
      <c r="B1" s="51" t="s">
        <v>209</v>
      </c>
      <c r="C1" s="51" t="s">
        <v>213</v>
      </c>
      <c r="D1" s="51" t="s">
        <v>214</v>
      </c>
      <c r="E1" s="51" t="s">
        <v>212</v>
      </c>
      <c r="F1" s="51" t="s">
        <v>210</v>
      </c>
      <c r="G1" s="51" t="s">
        <v>2</v>
      </c>
      <c r="H1" s="51" t="s">
        <v>231</v>
      </c>
      <c r="I1" s="51" t="s">
        <v>232</v>
      </c>
      <c r="J1" s="51" t="s">
        <v>233</v>
      </c>
    </row>
    <row r="2" spans="1:10">
      <c r="A2" s="5" t="s">
        <v>222</v>
      </c>
      <c r="B2" s="56">
        <v>48</v>
      </c>
      <c r="C2" s="56">
        <v>30.1</v>
      </c>
      <c r="D2" s="33">
        <v>159.01412399999998</v>
      </c>
      <c r="E2" s="33">
        <v>0.18929136131328816</v>
      </c>
      <c r="F2" s="5">
        <v>2.15</v>
      </c>
      <c r="G2" s="5">
        <v>9.4700000000000006E-2</v>
      </c>
      <c r="H2" s="5">
        <v>7.3</v>
      </c>
      <c r="I2" s="5">
        <v>4.65E-2</v>
      </c>
      <c r="J2" s="5">
        <v>8</v>
      </c>
    </row>
    <row r="3" spans="1:10">
      <c r="A3" s="5" t="s">
        <v>222</v>
      </c>
      <c r="B3" s="56">
        <v>49</v>
      </c>
      <c r="C3" s="56">
        <v>28.8</v>
      </c>
      <c r="D3" s="33">
        <v>160.16270399999999</v>
      </c>
      <c r="E3" s="33">
        <v>0.17981714394632101</v>
      </c>
      <c r="F3" s="5">
        <v>2.14</v>
      </c>
      <c r="G3" s="5">
        <v>9.4700000000000006E-2</v>
      </c>
      <c r="H3" s="5">
        <v>7.6</v>
      </c>
      <c r="I3" s="5">
        <v>4.7300000000000002E-2</v>
      </c>
      <c r="J3" s="5">
        <v>8.6999999999999993</v>
      </c>
    </row>
    <row r="4" spans="1:10">
      <c r="A4" s="5" t="s">
        <v>222</v>
      </c>
      <c r="B4" s="30">
        <v>52</v>
      </c>
      <c r="C4" s="56">
        <v>29.1</v>
      </c>
      <c r="D4" s="33">
        <v>160.72632000000002</v>
      </c>
      <c r="E4" s="33">
        <v>0.18105310940983405</v>
      </c>
      <c r="F4" s="5">
        <v>1.4</v>
      </c>
      <c r="G4" s="5">
        <v>7.5200000000000003E-2</v>
      </c>
      <c r="H4" s="5">
        <v>6.4</v>
      </c>
      <c r="I4" s="5">
        <v>4.87E-2</v>
      </c>
      <c r="J4" s="5">
        <v>7.4</v>
      </c>
    </row>
    <row r="5" spans="1:10">
      <c r="A5" s="5" t="s">
        <v>223</v>
      </c>
      <c r="B5" s="56">
        <v>58</v>
      </c>
      <c r="C5" s="30">
        <v>22.1</v>
      </c>
      <c r="D5" s="33">
        <v>158.03424910000001</v>
      </c>
      <c r="E5" s="33">
        <v>0.13984310442741871</v>
      </c>
      <c r="F5" s="5">
        <v>2.5</v>
      </c>
      <c r="G5" s="5">
        <v>0.14099999999999999</v>
      </c>
      <c r="H5" s="5">
        <v>7.3</v>
      </c>
      <c r="I5" s="5">
        <v>7.0400000000000004E-2</v>
      </c>
      <c r="J5" s="5">
        <v>7.9</v>
      </c>
    </row>
    <row r="6" spans="1:10">
      <c r="A6" s="5" t="s">
        <v>223</v>
      </c>
      <c r="B6" s="56">
        <v>59</v>
      </c>
      <c r="C6" s="56">
        <v>21.6</v>
      </c>
      <c r="D6" s="33">
        <v>154.7901</v>
      </c>
      <c r="E6" s="33">
        <v>0.13954380803423477</v>
      </c>
      <c r="F6" s="5">
        <v>2.1</v>
      </c>
      <c r="G6" s="5">
        <v>8.3900000000000002E-2</v>
      </c>
      <c r="H6" s="5">
        <v>6.8</v>
      </c>
      <c r="I6" s="5">
        <v>4.19E-2</v>
      </c>
      <c r="J6" s="5">
        <v>8.1999999999999993</v>
      </c>
    </row>
    <row r="7" spans="1:10">
      <c r="A7" s="5" t="s">
        <v>223</v>
      </c>
      <c r="B7" s="56">
        <v>60</v>
      </c>
      <c r="C7" s="56">
        <v>21.1</v>
      </c>
      <c r="D7" s="33">
        <v>156.17628000000002</v>
      </c>
      <c r="E7" s="33">
        <v>0.13510374302678999</v>
      </c>
      <c r="F7" s="5">
        <v>1.57</v>
      </c>
      <c r="G7" s="5">
        <v>5.9700000000000003E-2</v>
      </c>
      <c r="H7" s="5">
        <v>4.9000000000000004</v>
      </c>
      <c r="I7" s="5">
        <v>2.98E-2</v>
      </c>
      <c r="J7" s="5">
        <v>7</v>
      </c>
    </row>
    <row r="8" spans="1:10">
      <c r="A8" s="5" t="s">
        <v>223</v>
      </c>
      <c r="B8" s="56">
        <v>61</v>
      </c>
      <c r="C8" s="56">
        <v>20.5</v>
      </c>
      <c r="D8" s="33">
        <v>156.07147499999996</v>
      </c>
      <c r="E8" s="33">
        <v>0.13135007534208287</v>
      </c>
      <c r="F8" s="5">
        <v>1.48</v>
      </c>
      <c r="G8" s="5">
        <v>5.1700000000000003E-2</v>
      </c>
      <c r="H8" s="5">
        <v>4.9000000000000004</v>
      </c>
      <c r="I8" s="5">
        <v>2.58E-2</v>
      </c>
      <c r="J8" s="5">
        <v>7.4</v>
      </c>
    </row>
    <row r="9" spans="1:10">
      <c r="A9" s="5" t="s">
        <v>223</v>
      </c>
      <c r="B9" s="56">
        <v>62</v>
      </c>
      <c r="C9" s="56">
        <v>21.2</v>
      </c>
      <c r="D9" s="33">
        <v>153.49301700000001</v>
      </c>
      <c r="E9" s="33">
        <v>0.13811703238590978</v>
      </c>
      <c r="F9" s="5">
        <v>2.1</v>
      </c>
      <c r="G9" s="5">
        <v>0.10100000000000001</v>
      </c>
      <c r="H9" s="5">
        <v>6.9</v>
      </c>
      <c r="I9" s="5">
        <v>5.0700000000000002E-2</v>
      </c>
      <c r="J9" s="5">
        <v>9.4</v>
      </c>
    </row>
    <row r="10" spans="1:10">
      <c r="A10" s="5" t="s">
        <v>223</v>
      </c>
      <c r="B10" s="56">
        <v>63</v>
      </c>
      <c r="C10" s="56">
        <v>21.4</v>
      </c>
      <c r="D10" s="33">
        <v>149.66639999999998</v>
      </c>
      <c r="E10" s="33">
        <v>0.14298466456064957</v>
      </c>
      <c r="F10" s="5">
        <v>1.79</v>
      </c>
      <c r="G10" s="5">
        <v>0.15</v>
      </c>
      <c r="H10" s="5">
        <v>6.6</v>
      </c>
      <c r="I10" s="5">
        <v>7.4800000000000005E-2</v>
      </c>
      <c r="J10" s="5">
        <v>7</v>
      </c>
    </row>
    <row r="11" spans="1:10">
      <c r="A11" s="5" t="s">
        <v>224</v>
      </c>
      <c r="B11" s="56">
        <v>56</v>
      </c>
      <c r="C11" s="56">
        <v>29.3</v>
      </c>
      <c r="D11" s="33">
        <v>157.896612</v>
      </c>
      <c r="E11" s="33">
        <v>0.18556446290310522</v>
      </c>
      <c r="F11" s="5">
        <v>0.96799999999999997</v>
      </c>
      <c r="G11" s="5">
        <v>2.1499999999999998E-2</v>
      </c>
      <c r="H11" s="5">
        <v>1.6</v>
      </c>
      <c r="I11" s="5">
        <v>1.0800000000000001E-2</v>
      </c>
      <c r="J11" s="5">
        <v>3.4</v>
      </c>
    </row>
    <row r="12" spans="1:10">
      <c r="A12" s="5" t="s">
        <v>224</v>
      </c>
      <c r="B12" s="56">
        <v>57</v>
      </c>
      <c r="C12" s="56">
        <v>29.7</v>
      </c>
      <c r="D12" s="33">
        <v>153.59092000000001</v>
      </c>
      <c r="E12" s="33">
        <v>0.19337080603462756</v>
      </c>
      <c r="F12" s="5">
        <v>1.7</v>
      </c>
      <c r="G12" s="5">
        <v>2.9100000000000001E-2</v>
      </c>
      <c r="H12" s="5">
        <v>1.5</v>
      </c>
      <c r="I12" s="5">
        <v>1.4500000000000001E-2</v>
      </c>
      <c r="J12" s="5">
        <v>2.4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defaultColWidth="14.42578125" defaultRowHeight="15" customHeight="1"/>
  <cols>
    <col min="1" max="4" width="8.7109375" customWidth="1"/>
    <col min="5" max="5" width="23.7109375" customWidth="1"/>
    <col min="6" max="6" width="19.140625" customWidth="1"/>
    <col min="7" max="7" width="12.140625" customWidth="1"/>
    <col min="8" max="26" width="8.7109375" customWidth="1"/>
  </cols>
  <sheetData>
    <row r="1" spans="1:14">
      <c r="A1" s="50" t="s">
        <v>207</v>
      </c>
      <c r="B1" s="50" t="s">
        <v>208</v>
      </c>
      <c r="C1" s="50" t="s">
        <v>235</v>
      </c>
      <c r="D1" s="50" t="s">
        <v>236</v>
      </c>
      <c r="E1" s="50" t="s">
        <v>237</v>
      </c>
      <c r="F1" s="50" t="s">
        <v>238</v>
      </c>
      <c r="G1" s="50" t="s">
        <v>239</v>
      </c>
      <c r="H1" s="50" t="s">
        <v>240</v>
      </c>
      <c r="I1" s="50" t="s">
        <v>241</v>
      </c>
      <c r="J1" s="50" t="s">
        <v>242</v>
      </c>
      <c r="K1" s="50" t="s">
        <v>243</v>
      </c>
      <c r="L1" s="50" t="s">
        <v>244</v>
      </c>
      <c r="M1" s="50" t="s">
        <v>245</v>
      </c>
      <c r="N1" s="50" t="s">
        <v>246</v>
      </c>
    </row>
    <row r="2" spans="1:14">
      <c r="A2" s="5" t="s">
        <v>247</v>
      </c>
      <c r="B2" s="5" t="s">
        <v>222</v>
      </c>
      <c r="C2" s="33">
        <v>4.1020000000000003</v>
      </c>
      <c r="D2" s="33">
        <v>0.1718138527593161</v>
      </c>
      <c r="E2" s="33">
        <v>9.5219999999999999E-2</v>
      </c>
      <c r="F2" s="33">
        <v>1.0979389782679179E-2</v>
      </c>
      <c r="G2" s="33">
        <v>3.12</v>
      </c>
      <c r="H2" s="33">
        <v>0.57183913821983179</v>
      </c>
      <c r="I2" s="33">
        <v>4.7460000000000002E-2</v>
      </c>
      <c r="J2" s="33">
        <v>5.4316664109645011E-3</v>
      </c>
      <c r="K2" s="33">
        <v>3.88</v>
      </c>
      <c r="L2" s="33">
        <v>0.82583291288250305</v>
      </c>
      <c r="M2" s="33">
        <v>0.19243832166852021</v>
      </c>
      <c r="N2" s="33">
        <v>1.738217608408633E-3</v>
      </c>
    </row>
    <row r="3" spans="1:14">
      <c r="A3" s="5" t="s">
        <v>247</v>
      </c>
      <c r="B3" s="5" t="s">
        <v>223</v>
      </c>
      <c r="C3" s="33">
        <v>4.2424999999999997</v>
      </c>
      <c r="D3" s="33">
        <v>0.88417098648017922</v>
      </c>
      <c r="E3" s="33">
        <v>9.8525000000000001E-2</v>
      </c>
      <c r="F3" s="33">
        <v>3.0060092592449981E-2</v>
      </c>
      <c r="G3" s="33">
        <v>3.4249999999999998</v>
      </c>
      <c r="H3" s="33">
        <v>0.69940450861190939</v>
      </c>
      <c r="I3" s="33">
        <v>4.9175000000000003E-2</v>
      </c>
      <c r="J3" s="33">
        <v>1.4887886574885861E-2</v>
      </c>
      <c r="K3" s="33">
        <v>6</v>
      </c>
      <c r="L3" s="33">
        <v>1.080123449734643</v>
      </c>
      <c r="M3" s="33">
        <v>0.14647902484668041</v>
      </c>
      <c r="N3" s="33">
        <v>8.4823152139631834E-4</v>
      </c>
    </row>
    <row r="4" spans="1:14">
      <c r="A4" s="5" t="s">
        <v>247</v>
      </c>
      <c r="B4" s="5" t="s">
        <v>224</v>
      </c>
      <c r="C4" s="33">
        <v>3.65</v>
      </c>
      <c r="D4" s="33">
        <v>0.33712015662075151</v>
      </c>
      <c r="E4" s="33">
        <v>8.1640000000000004E-2</v>
      </c>
      <c r="F4" s="33">
        <v>2.5653323371446438E-2</v>
      </c>
      <c r="G4" s="33">
        <v>2.96</v>
      </c>
      <c r="H4" s="33">
        <v>0.70922492905988554</v>
      </c>
      <c r="I4" s="33">
        <v>4.0800000000000003E-2</v>
      </c>
      <c r="J4" s="33">
        <v>1.2775562609920551E-2</v>
      </c>
      <c r="K4" s="33">
        <v>5.08</v>
      </c>
      <c r="L4" s="33">
        <v>0.44384682042344309</v>
      </c>
      <c r="M4" s="33">
        <v>0.21583852399261991</v>
      </c>
      <c r="N4" s="33">
        <v>4.6584103888987014E-3</v>
      </c>
    </row>
    <row r="5" spans="1:14">
      <c r="A5" s="5" t="s">
        <v>247</v>
      </c>
      <c r="B5" s="5" t="s">
        <v>225</v>
      </c>
      <c r="C5" s="33">
        <v>4.5175000000000001</v>
      </c>
      <c r="D5" s="33">
        <v>1.2770375875439219</v>
      </c>
      <c r="E5" s="33">
        <v>4.7E-2</v>
      </c>
      <c r="F5" s="33">
        <v>1.2582792482857961E-2</v>
      </c>
      <c r="G5" s="33">
        <v>1.65</v>
      </c>
      <c r="H5" s="33">
        <v>0.84261497731763579</v>
      </c>
      <c r="I5" s="33">
        <v>2.5499999999999998E-2</v>
      </c>
      <c r="J5" s="33">
        <v>5.5629728263462399E-3</v>
      </c>
      <c r="K5" s="33">
        <v>2.25</v>
      </c>
      <c r="L5" s="33">
        <v>0.86986589004665926</v>
      </c>
      <c r="M5" s="33">
        <v>0.22907170254828951</v>
      </c>
      <c r="N5" s="33">
        <v>5.5159263545680268E-4</v>
      </c>
    </row>
    <row r="6" spans="1:14">
      <c r="A6" s="5" t="s">
        <v>247</v>
      </c>
      <c r="B6" s="5" t="s">
        <v>227</v>
      </c>
      <c r="C6" s="33">
        <v>2.5049999999999999</v>
      </c>
      <c r="D6" s="33">
        <v>0.26032031550892593</v>
      </c>
      <c r="E6" s="33">
        <v>5.1624999999999997E-2</v>
      </c>
      <c r="F6" s="33">
        <v>7.2481606862247003E-3</v>
      </c>
      <c r="G6" s="33">
        <v>2.2749999999999999</v>
      </c>
      <c r="H6" s="33">
        <v>0.37749172176353751</v>
      </c>
      <c r="I6" s="33">
        <v>2.5575000000000001E-2</v>
      </c>
      <c r="J6" s="33">
        <v>3.5621856586464809E-3</v>
      </c>
      <c r="K6" s="33">
        <v>3.85</v>
      </c>
      <c r="L6" s="33">
        <v>0.83466560170326121</v>
      </c>
      <c r="M6" s="33">
        <v>0.13579195960050941</v>
      </c>
      <c r="N6" s="33">
        <v>4.0017533276013786E-3</v>
      </c>
    </row>
    <row r="7" spans="1:14">
      <c r="A7" s="5" t="s">
        <v>247</v>
      </c>
      <c r="B7" s="5" t="s">
        <v>228</v>
      </c>
      <c r="C7" s="33">
        <v>2.5499999999999998</v>
      </c>
      <c r="D7" s="33">
        <v>0.20928449536456351</v>
      </c>
      <c r="E7" s="33">
        <v>8.0339999999999995E-2</v>
      </c>
      <c r="F7" s="33">
        <v>9.9326733561514082E-3</v>
      </c>
      <c r="G7" s="33">
        <v>4.22</v>
      </c>
      <c r="H7" s="33">
        <v>0.2774887385102322</v>
      </c>
      <c r="I7" s="33">
        <v>4.0160000000000001E-2</v>
      </c>
      <c r="J7" s="33">
        <v>4.9611490604496069E-3</v>
      </c>
      <c r="K7" s="33">
        <v>6.54</v>
      </c>
      <c r="L7" s="33">
        <v>0.83246621553069633</v>
      </c>
      <c r="M7" s="33">
        <v>0.119685720110931</v>
      </c>
      <c r="N7" s="33">
        <v>1.1325279093891631E-3</v>
      </c>
    </row>
    <row r="8" spans="1:14">
      <c r="A8" s="5" t="s">
        <v>247</v>
      </c>
      <c r="B8" s="5" t="s">
        <v>229</v>
      </c>
      <c r="C8" s="33">
        <v>2.694</v>
      </c>
      <c r="D8" s="33">
        <v>0.69550700931047416</v>
      </c>
      <c r="E8" s="33">
        <v>8.7160000000000001E-2</v>
      </c>
      <c r="F8" s="33">
        <v>8.6080195167064985E-3</v>
      </c>
      <c r="G8" s="33">
        <v>3.56</v>
      </c>
      <c r="H8" s="33">
        <v>0.32863353450309962</v>
      </c>
      <c r="I8" s="33">
        <v>4.3540000000000002E-2</v>
      </c>
      <c r="J8" s="33">
        <v>4.297441099072795E-3</v>
      </c>
      <c r="K8" s="33">
        <v>5.24</v>
      </c>
      <c r="L8" s="33">
        <v>0.95551033484730008</v>
      </c>
      <c r="M8" s="33">
        <v>0.15624327372043029</v>
      </c>
      <c r="N8" s="33">
        <v>3.1869267365021619E-3</v>
      </c>
    </row>
    <row r="9" spans="1:14">
      <c r="A9" s="5" t="s">
        <v>247</v>
      </c>
      <c r="B9" s="5" t="s">
        <v>230</v>
      </c>
      <c r="C9" s="33">
        <v>1.0197499999999999</v>
      </c>
      <c r="D9" s="33">
        <v>0.38661123884336313</v>
      </c>
      <c r="E9" s="33">
        <v>2.7099999999999999E-2</v>
      </c>
      <c r="F9" s="33">
        <v>1.3987136947924691E-2</v>
      </c>
      <c r="G9" s="33">
        <v>2.5</v>
      </c>
      <c r="H9" s="33">
        <v>1.4071247279470289</v>
      </c>
      <c r="I9" s="33">
        <v>1.35275E-2</v>
      </c>
      <c r="J9" s="33">
        <v>6.9722563301511898E-3</v>
      </c>
      <c r="K9" s="33">
        <v>5.2</v>
      </c>
      <c r="L9" s="33">
        <v>2.0033305601755629</v>
      </c>
      <c r="M9" s="33">
        <v>0.1147617855998759</v>
      </c>
      <c r="N9" s="33">
        <v>3.0342362535298079E-3</v>
      </c>
    </row>
    <row r="10" spans="1:14">
      <c r="A10" s="5" t="s">
        <v>234</v>
      </c>
      <c r="B10" s="5" t="s">
        <v>222</v>
      </c>
      <c r="C10" s="33">
        <v>5.7433333333333332</v>
      </c>
      <c r="D10" s="33">
        <v>0.64392028492145914</v>
      </c>
      <c r="E10" s="33">
        <v>7.3666666666666672E-2</v>
      </c>
      <c r="F10" s="33">
        <v>1.026174124275863E-2</v>
      </c>
      <c r="G10" s="33">
        <v>3.3666666666666671</v>
      </c>
      <c r="H10" s="33">
        <v>0.85049005481153839</v>
      </c>
      <c r="I10" s="33">
        <v>3.6833333333333343E-2</v>
      </c>
      <c r="J10" s="33">
        <v>5.1781592611017044E-3</v>
      </c>
      <c r="K10" s="33">
        <v>8.0333333333333332</v>
      </c>
      <c r="L10" s="33">
        <v>1.137248140615466</v>
      </c>
      <c r="M10" s="33">
        <v>0.184196686721637</v>
      </c>
      <c r="N10" s="33">
        <v>8.3891364573458315E-3</v>
      </c>
    </row>
    <row r="11" spans="1:14">
      <c r="A11" s="5" t="s">
        <v>234</v>
      </c>
      <c r="B11" s="5" t="s">
        <v>223</v>
      </c>
      <c r="C11" s="33">
        <v>4.28</v>
      </c>
      <c r="D11" s="33">
        <v>0.76315136113355653</v>
      </c>
      <c r="E11" s="33">
        <v>0.11166666666666671</v>
      </c>
      <c r="F11" s="33">
        <v>3.1342197327777349E-2</v>
      </c>
      <c r="G11" s="33">
        <v>4.8666666666666671</v>
      </c>
      <c r="H11" s="33">
        <v>0.9504384952922168</v>
      </c>
      <c r="I11" s="33">
        <v>5.5899999999999998E-2</v>
      </c>
      <c r="J11" s="33">
        <v>1.5698089055678089E-2</v>
      </c>
      <c r="K11" s="33">
        <v>8.4333333333333336</v>
      </c>
      <c r="L11" s="33">
        <v>0.56862407030773288</v>
      </c>
      <c r="M11" s="33">
        <v>0.1351829455226613</v>
      </c>
      <c r="N11" s="33">
        <v>2.2198390322871069E-3</v>
      </c>
    </row>
    <row r="12" spans="1:14">
      <c r="A12" s="5" t="s">
        <v>234</v>
      </c>
      <c r="B12" s="5" t="s">
        <v>224</v>
      </c>
      <c r="C12" s="33">
        <v>3.6033333333333331</v>
      </c>
      <c r="D12" s="33">
        <v>0.5589573627150225</v>
      </c>
      <c r="E12" s="33">
        <v>0.1303333333333333</v>
      </c>
      <c r="F12" s="33">
        <v>2.571640202931454E-2</v>
      </c>
      <c r="G12" s="33">
        <v>7.2</v>
      </c>
      <c r="H12" s="33">
        <v>0.20000000000000021</v>
      </c>
      <c r="I12" s="33">
        <v>6.5100000000000005E-2</v>
      </c>
      <c r="J12" s="33">
        <v>1.289457250163804E-2</v>
      </c>
      <c r="K12" s="33">
        <v>9.4666666666666668</v>
      </c>
      <c r="L12" s="33">
        <v>1.858314648635514</v>
      </c>
      <c r="M12" s="33">
        <v>0.18744563853961221</v>
      </c>
      <c r="N12" s="33">
        <v>7.0667688498084026E-3</v>
      </c>
    </row>
    <row r="13" spans="1:14">
      <c r="A13" s="5" t="s">
        <v>234</v>
      </c>
      <c r="B13" s="5" t="s">
        <v>225</v>
      </c>
      <c r="C13" s="33">
        <v>1.7450000000000001</v>
      </c>
      <c r="D13" s="33">
        <v>0.71417784899841297</v>
      </c>
      <c r="E13" s="33">
        <v>4.1549999999999997E-2</v>
      </c>
      <c r="F13" s="33">
        <v>9.6873629022556987E-3</v>
      </c>
      <c r="G13" s="33">
        <v>3.4</v>
      </c>
      <c r="H13" s="33">
        <v>0.70710678118654757</v>
      </c>
      <c r="I13" s="33">
        <v>2.0449999999999999E-2</v>
      </c>
      <c r="J13" s="33">
        <v>4.4547727214752494E-3</v>
      </c>
      <c r="K13" s="33">
        <v>4.5</v>
      </c>
      <c r="L13" s="33">
        <v>0.56568542494923857</v>
      </c>
      <c r="M13" s="33">
        <v>0.18332340885209761</v>
      </c>
      <c r="N13" s="33">
        <v>1.2227769567416101E-3</v>
      </c>
    </row>
    <row r="14" spans="1:14">
      <c r="A14" s="5" t="s">
        <v>226</v>
      </c>
      <c r="B14" s="5" t="s">
        <v>222</v>
      </c>
      <c r="C14" s="33">
        <v>10.66</v>
      </c>
      <c r="D14" s="33">
        <v>3.8749451609022811</v>
      </c>
      <c r="E14" s="33">
        <v>0.13850000000000001</v>
      </c>
      <c r="F14" s="33">
        <v>2.0506096654409871E-2</v>
      </c>
      <c r="G14" s="33">
        <v>3.6</v>
      </c>
      <c r="H14" s="33">
        <v>0.28284271247461901</v>
      </c>
      <c r="I14" s="33">
        <v>6.9250000000000006E-2</v>
      </c>
      <c r="J14" s="33">
        <v>1.0253048327204939E-2</v>
      </c>
      <c r="K14" s="33">
        <v>6.05</v>
      </c>
      <c r="L14" s="33">
        <v>1.343502884254441</v>
      </c>
      <c r="M14" s="33">
        <v>0.25838663415168062</v>
      </c>
      <c r="N14" s="33">
        <v>1.9046649631669181E-3</v>
      </c>
    </row>
    <row r="15" spans="1:14">
      <c r="A15" s="5" t="s">
        <v>226</v>
      </c>
      <c r="B15" s="5" t="s">
        <v>223</v>
      </c>
      <c r="C15" s="33">
        <v>9.07</v>
      </c>
      <c r="D15" s="33">
        <v>2.7294321753800741</v>
      </c>
      <c r="E15" s="33">
        <v>0.17749999999999999</v>
      </c>
      <c r="F15" s="33">
        <v>4.5961940777125593E-2</v>
      </c>
      <c r="G15" s="33">
        <v>4.5999999999999996</v>
      </c>
      <c r="H15" s="33">
        <v>0.98994949366116647</v>
      </c>
      <c r="I15" s="33">
        <v>8.879999999999999E-2</v>
      </c>
      <c r="J15" s="33">
        <v>2.291025971044414E-2</v>
      </c>
      <c r="K15" s="33">
        <v>7.8</v>
      </c>
      <c r="L15" s="33">
        <v>1.979898987322332</v>
      </c>
      <c r="M15" s="33">
        <v>0.22021187221602839</v>
      </c>
      <c r="N15" s="33">
        <v>2.120067667126229E-3</v>
      </c>
    </row>
    <row r="16" spans="1:14">
      <c r="A16" s="5" t="s">
        <v>226</v>
      </c>
      <c r="B16" s="5" t="s">
        <v>224</v>
      </c>
      <c r="C16" s="33">
        <v>3.5049999999999999</v>
      </c>
      <c r="D16" s="33">
        <v>0.38890872965260098</v>
      </c>
      <c r="E16" s="33">
        <v>0.1295</v>
      </c>
      <c r="F16" s="33">
        <v>2.7577164466275349E-2</v>
      </c>
      <c r="G16" s="33">
        <v>5.0500000000000007</v>
      </c>
      <c r="H16" s="33">
        <v>0.21213203435596409</v>
      </c>
      <c r="I16" s="33">
        <v>6.4699999999999994E-2</v>
      </c>
      <c r="J16" s="33">
        <v>1.385929291125633E-2</v>
      </c>
      <c r="K16" s="33">
        <v>7.25</v>
      </c>
      <c r="L16" s="33">
        <v>7.0710678118654502E-2</v>
      </c>
      <c r="M16" s="33">
        <v>0.28051104144871769</v>
      </c>
      <c r="N16" s="33">
        <v>2.782257814728429E-3</v>
      </c>
    </row>
    <row r="17" spans="1:14">
      <c r="A17" s="5" t="s">
        <v>226</v>
      </c>
      <c r="B17" s="5" t="s">
        <v>225</v>
      </c>
      <c r="C17" s="33">
        <v>6.9649999999999999</v>
      </c>
      <c r="D17" s="33">
        <v>4.1648589411887649</v>
      </c>
      <c r="E17" s="33">
        <v>5.2650000000000002E-2</v>
      </c>
      <c r="F17" s="33">
        <v>2.1849599538664319E-2</v>
      </c>
      <c r="G17" s="33">
        <v>1.95</v>
      </c>
      <c r="H17" s="33">
        <v>0.49497474683058312</v>
      </c>
      <c r="I17" s="33">
        <v>2.63E-2</v>
      </c>
      <c r="J17" s="33">
        <v>1.0889444430272829E-2</v>
      </c>
      <c r="K17" s="33">
        <v>2.8</v>
      </c>
      <c r="L17" s="33">
        <v>0.8485281374238568</v>
      </c>
      <c r="M17" s="33">
        <v>0.28305033977304977</v>
      </c>
      <c r="N17" s="33">
        <v>4.6159380947601797E-3</v>
      </c>
    </row>
    <row r="18" spans="1:14">
      <c r="A18" s="5" t="s">
        <v>221</v>
      </c>
      <c r="B18" s="5" t="s">
        <v>222</v>
      </c>
      <c r="C18" s="33">
        <v>7.7640000000000002</v>
      </c>
      <c r="D18" s="33">
        <v>1.753576345643383</v>
      </c>
      <c r="E18" s="33">
        <v>0.12920000000000001</v>
      </c>
      <c r="F18" s="33">
        <v>1.149782588144385E-2</v>
      </c>
      <c r="G18" s="33">
        <v>5.38</v>
      </c>
      <c r="H18" s="33">
        <v>0.82280009722896841</v>
      </c>
      <c r="I18" s="33">
        <v>6.4659999999999995E-2</v>
      </c>
      <c r="J18" s="33">
        <v>5.7955155077007567E-3</v>
      </c>
      <c r="K18" s="33">
        <v>7.56</v>
      </c>
      <c r="L18" s="33">
        <v>1.2136721138759019</v>
      </c>
      <c r="M18" s="33">
        <v>0.24173922165878439</v>
      </c>
      <c r="N18" s="33">
        <v>2.6973217278469009E-2</v>
      </c>
    </row>
    <row r="19" spans="1:14">
      <c r="A19" s="5" t="s">
        <v>221</v>
      </c>
      <c r="B19" s="5" t="s">
        <v>223</v>
      </c>
      <c r="C19" s="33">
        <v>8.31</v>
      </c>
      <c r="D19" s="33">
        <v>2.230515635452933</v>
      </c>
      <c r="E19" s="33">
        <v>0.1714</v>
      </c>
      <c r="F19" s="33">
        <v>2.5451915448547292E-2</v>
      </c>
      <c r="G19" s="33">
        <v>5.54</v>
      </c>
      <c r="H19" s="33">
        <v>1.4010710188994699</v>
      </c>
      <c r="I19" s="33">
        <v>8.5620000000000002E-2</v>
      </c>
      <c r="J19" s="33">
        <v>1.275821304101793E-2</v>
      </c>
      <c r="K19" s="33">
        <v>8.52</v>
      </c>
      <c r="L19" s="33">
        <v>1.1344602240713419</v>
      </c>
      <c r="M19" s="33">
        <v>0.2138368354107241</v>
      </c>
      <c r="N19" s="33">
        <v>2.25191898857086E-3</v>
      </c>
    </row>
    <row r="20" spans="1:14">
      <c r="A20" s="5" t="s">
        <v>221</v>
      </c>
      <c r="B20" s="5" t="s">
        <v>224</v>
      </c>
      <c r="C20" s="33">
        <v>6.6840000000000002</v>
      </c>
      <c r="D20" s="33">
        <v>1.004206154133702</v>
      </c>
      <c r="E20" s="33">
        <v>0.16639999999999999</v>
      </c>
      <c r="F20" s="33">
        <v>4.6949973375924298E-2</v>
      </c>
      <c r="G20" s="33">
        <v>7.44</v>
      </c>
      <c r="H20" s="33">
        <v>2.7537247502246842</v>
      </c>
      <c r="I20" s="33">
        <v>8.3159999999999998E-2</v>
      </c>
      <c r="J20" s="33">
        <v>2.3487933072111729E-2</v>
      </c>
      <c r="K20" s="33">
        <v>10.9</v>
      </c>
      <c r="L20" s="33">
        <v>2.8151376520518498</v>
      </c>
      <c r="M20" s="33">
        <v>0.26544151824661272</v>
      </c>
      <c r="N20" s="33">
        <v>1.128462975192804E-2</v>
      </c>
    </row>
    <row r="21" spans="1:14" ht="15.75" customHeight="1">
      <c r="A21" s="5" t="s">
        <v>221</v>
      </c>
      <c r="B21" s="5" t="s">
        <v>225</v>
      </c>
      <c r="C21" s="33">
        <v>5.4725000000000001</v>
      </c>
      <c r="D21" s="33">
        <v>1.0798881114880989</v>
      </c>
      <c r="E21" s="33">
        <v>6.9099999999999995E-2</v>
      </c>
      <c r="F21" s="33">
        <v>4.0488681545999142E-3</v>
      </c>
      <c r="G21" s="33">
        <v>2.2250000000000001</v>
      </c>
      <c r="H21" s="33">
        <v>0.78475049113290352</v>
      </c>
      <c r="I21" s="33">
        <v>3.4549999999999997E-2</v>
      </c>
      <c r="J21" s="33">
        <v>2.042057785666213E-3</v>
      </c>
      <c r="K21" s="33">
        <v>3.4249999999999998</v>
      </c>
      <c r="L21" s="33">
        <v>0.92870878105033539</v>
      </c>
      <c r="M21" s="33">
        <v>0.27145986094801622</v>
      </c>
      <c r="N21" s="33">
        <v>3.560821260122428E-3</v>
      </c>
    </row>
    <row r="22" spans="1:14" ht="15.75" customHeight="1"/>
    <row r="23" spans="1:14" ht="15.75" customHeight="1"/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selection activeCell="G15" sqref="G15"/>
    </sheetView>
  </sheetViews>
  <sheetFormatPr defaultColWidth="14.42578125" defaultRowHeight="15" customHeight="1"/>
  <cols>
    <col min="1" max="26" width="8.7109375" customWidth="1"/>
  </cols>
  <sheetData>
    <row r="1" spans="1:8">
      <c r="A1" s="50" t="s">
        <v>207</v>
      </c>
      <c r="B1" s="50" t="s">
        <v>208</v>
      </c>
      <c r="C1" s="50" t="s">
        <v>235</v>
      </c>
      <c r="D1" s="50" t="s">
        <v>236</v>
      </c>
      <c r="E1" s="50" t="s">
        <v>248</v>
      </c>
      <c r="F1" s="50" t="s">
        <v>249</v>
      </c>
      <c r="G1" s="50" t="s">
        <v>245</v>
      </c>
      <c r="H1" s="50" t="s">
        <v>246</v>
      </c>
    </row>
    <row r="2" spans="1:8">
      <c r="A2" s="5" t="s">
        <v>247</v>
      </c>
      <c r="B2" s="5" t="s">
        <v>222</v>
      </c>
      <c r="C2" s="33">
        <v>2.4020000000000001</v>
      </c>
      <c r="D2" s="33">
        <v>0.34715990551905618</v>
      </c>
      <c r="E2" s="33">
        <v>0.24074999999999999</v>
      </c>
      <c r="F2" s="33">
        <v>3.2724863126782758E-2</v>
      </c>
      <c r="G2" s="33">
        <v>0.2499455726087679</v>
      </c>
      <c r="H2" s="33">
        <v>6.5004874970007037E-3</v>
      </c>
    </row>
    <row r="3" spans="1:8">
      <c r="A3" s="5" t="s">
        <v>247</v>
      </c>
      <c r="B3" s="5" t="s">
        <v>223</v>
      </c>
      <c r="C3" s="33">
        <v>1.1168333333333329</v>
      </c>
      <c r="D3" s="33">
        <v>0.2161873415967426</v>
      </c>
      <c r="E3" s="33">
        <v>0.10484</v>
      </c>
      <c r="F3" s="33">
        <v>2.0956335557534862E-2</v>
      </c>
      <c r="G3" s="33">
        <v>0.148190213476557</v>
      </c>
      <c r="H3" s="33">
        <v>3.1165999507403799E-3</v>
      </c>
    </row>
    <row r="4" spans="1:8">
      <c r="A4" s="5" t="s">
        <v>247</v>
      </c>
      <c r="B4" s="5" t="s">
        <v>224</v>
      </c>
      <c r="C4" s="33">
        <v>1.3220000000000001</v>
      </c>
      <c r="D4" s="33">
        <v>0.24671846303023209</v>
      </c>
      <c r="E4" s="33">
        <v>0.1232</v>
      </c>
      <c r="F4" s="33">
        <v>1.9967473550752481E-2</v>
      </c>
      <c r="G4" s="33">
        <v>0.2035266257972794</v>
      </c>
      <c r="H4" s="33">
        <v>4.6276097743457919E-3</v>
      </c>
    </row>
    <row r="5" spans="1:8">
      <c r="A5" s="5" t="s">
        <v>247</v>
      </c>
      <c r="B5" s="5" t="s">
        <v>225</v>
      </c>
      <c r="C5" s="33">
        <v>2.2200000000000002</v>
      </c>
      <c r="D5" s="33">
        <v>0.18055470085267791</v>
      </c>
      <c r="E5" s="33">
        <v>0.16300000000000001</v>
      </c>
      <c r="F5" s="33">
        <v>9.1651513899116775E-3</v>
      </c>
      <c r="G5" s="33">
        <v>0.22814110069879279</v>
      </c>
      <c r="H5" s="33">
        <v>3.416769294400275E-3</v>
      </c>
    </row>
    <row r="6" spans="1:8">
      <c r="A6" s="5" t="s">
        <v>247</v>
      </c>
      <c r="B6" s="5" t="s">
        <v>227</v>
      </c>
      <c r="C6" s="33">
        <v>0.39679999999999999</v>
      </c>
      <c r="D6" s="33">
        <v>8.7005746936624721E-3</v>
      </c>
      <c r="E6" s="33">
        <v>3.9579999999999997E-2</v>
      </c>
      <c r="F6" s="33">
        <v>8.8994381845147979E-4</v>
      </c>
      <c r="G6" s="33">
        <v>0.1265575035950029</v>
      </c>
      <c r="H6" s="33">
        <v>3.6188174430295769E-3</v>
      </c>
    </row>
    <row r="7" spans="1:8">
      <c r="A7" s="5" t="s">
        <v>247</v>
      </c>
      <c r="B7" s="5" t="s">
        <v>228</v>
      </c>
      <c r="C7" s="33">
        <v>0.42680000000000001</v>
      </c>
      <c r="D7" s="33">
        <v>0.14716215546124631</v>
      </c>
      <c r="E7" s="33">
        <v>3.5860000000000003E-2</v>
      </c>
      <c r="F7" s="33">
        <v>2.6819768828235621E-3</v>
      </c>
      <c r="G7" s="33">
        <v>0.1094034391890219</v>
      </c>
      <c r="H7" s="33">
        <v>1.2624406187186029E-3</v>
      </c>
    </row>
    <row r="8" spans="1:8">
      <c r="A8" s="5" t="s">
        <v>247</v>
      </c>
      <c r="B8" s="5" t="s">
        <v>229</v>
      </c>
      <c r="C8" s="33">
        <v>0.82799999999999996</v>
      </c>
      <c r="D8" s="33">
        <v>0.1365430335095863</v>
      </c>
      <c r="E8" s="33">
        <v>7.903333333333333E-2</v>
      </c>
      <c r="F8" s="33">
        <v>1.1327782954606191E-2</v>
      </c>
      <c r="G8" s="33">
        <v>0.15115735229925989</v>
      </c>
      <c r="H8" s="33">
        <v>5.0264089395050376E-3</v>
      </c>
    </row>
    <row r="9" spans="1:8">
      <c r="A9" s="5" t="s">
        <v>247</v>
      </c>
      <c r="B9" s="5" t="s">
        <v>230</v>
      </c>
      <c r="C9" s="33">
        <v>0.25819999999999999</v>
      </c>
      <c r="D9" s="33">
        <v>1.7640861656959959E-2</v>
      </c>
      <c r="E9" s="33">
        <v>2.491666666666667E-2</v>
      </c>
      <c r="F9" s="33">
        <v>2.4111546335037629E-3</v>
      </c>
      <c r="G9" s="33">
        <v>0.1042155226540608</v>
      </c>
      <c r="H9" s="33">
        <v>4.7613439150240014E-3</v>
      </c>
    </row>
    <row r="10" spans="1:8">
      <c r="A10" s="5" t="s">
        <v>226</v>
      </c>
      <c r="B10" s="5" t="s">
        <v>222</v>
      </c>
      <c r="C10" s="33">
        <v>2.1800000000000002</v>
      </c>
      <c r="D10" s="33">
        <v>0.1385640646055101</v>
      </c>
      <c r="E10" s="33">
        <v>0.16775000000000001</v>
      </c>
      <c r="F10" s="33">
        <v>2.7608875384557051E-2</v>
      </c>
      <c r="G10" s="33">
        <v>0.26292629604011908</v>
      </c>
      <c r="H10" s="33">
        <v>9.9620867601942567E-3</v>
      </c>
    </row>
    <row r="11" spans="1:8">
      <c r="A11" s="5" t="s">
        <v>226</v>
      </c>
      <c r="B11" s="5" t="s">
        <v>223</v>
      </c>
      <c r="C11" s="33">
        <v>1.57</v>
      </c>
      <c r="D11" s="33">
        <v>0.11224972160321819</v>
      </c>
      <c r="E11" s="33">
        <v>0.11700000000000001</v>
      </c>
      <c r="F11" s="33">
        <v>8.5244745683629494E-3</v>
      </c>
      <c r="G11" s="33">
        <v>0.21837059106469581</v>
      </c>
      <c r="H11" s="33">
        <v>4.7243676164833558E-3</v>
      </c>
    </row>
    <row r="12" spans="1:8">
      <c r="A12" s="5" t="s">
        <v>226</v>
      </c>
      <c r="B12" s="5" t="s">
        <v>224</v>
      </c>
      <c r="C12" s="33">
        <v>1.73</v>
      </c>
      <c r="D12" s="33">
        <v>0.4463742824133129</v>
      </c>
      <c r="E12" s="33">
        <v>0.13750000000000001</v>
      </c>
      <c r="F12" s="33">
        <v>2.1931712199461311E-2</v>
      </c>
      <c r="G12" s="33">
        <v>0.26757840971953001</v>
      </c>
      <c r="H12" s="33">
        <v>8.4470055805127842E-3</v>
      </c>
    </row>
    <row r="13" spans="1:8">
      <c r="A13" s="5" t="s">
        <v>226</v>
      </c>
      <c r="B13" s="5" t="s">
        <v>225</v>
      </c>
      <c r="C13" s="33">
        <v>1.34</v>
      </c>
      <c r="D13" s="33">
        <v>0.17478558292948529</v>
      </c>
      <c r="E13" s="33">
        <v>8.8520000000000001E-2</v>
      </c>
      <c r="F13" s="33">
        <v>1.7462302253712141E-2</v>
      </c>
      <c r="G13" s="33">
        <v>0.27387754910676321</v>
      </c>
      <c r="H13" s="33">
        <v>8.1540548834752938E-3</v>
      </c>
    </row>
    <row r="14" spans="1:8">
      <c r="A14" s="5" t="s">
        <v>221</v>
      </c>
      <c r="B14" s="5" t="s">
        <v>222</v>
      </c>
      <c r="C14" s="33">
        <v>2.1320000000000001</v>
      </c>
      <c r="D14" s="33">
        <v>0.50652739313881134</v>
      </c>
      <c r="E14" s="33">
        <v>0.1336</v>
      </c>
      <c r="F14" s="33">
        <v>1.1610340218959989E-2</v>
      </c>
      <c r="G14" s="33">
        <v>0.2652187735429804</v>
      </c>
      <c r="H14" s="33">
        <v>8.7969025188026594E-3</v>
      </c>
    </row>
    <row r="15" spans="1:8">
      <c r="A15" s="5" t="s">
        <v>221</v>
      </c>
      <c r="B15" s="5" t="s">
        <v>223</v>
      </c>
      <c r="C15" s="33">
        <v>1.6220000000000001</v>
      </c>
      <c r="D15" s="33">
        <v>0.25820534463871969</v>
      </c>
      <c r="E15" s="33">
        <v>0.11219999999999999</v>
      </c>
      <c r="F15" s="33">
        <v>1.7626684316683041E-2</v>
      </c>
      <c r="G15" s="33">
        <v>0.21342334527835649</v>
      </c>
      <c r="H15" s="33">
        <v>6.1147183389030548E-3</v>
      </c>
    </row>
    <row r="16" spans="1:8">
      <c r="A16" s="5" t="s">
        <v>221</v>
      </c>
      <c r="B16" s="5" t="s">
        <v>224</v>
      </c>
      <c r="C16" s="33">
        <v>1.2194</v>
      </c>
      <c r="D16" s="33">
        <v>0.21256010914562501</v>
      </c>
      <c r="E16" s="33">
        <v>0.10156</v>
      </c>
      <c r="F16" s="33">
        <v>6.5152129665882741E-3</v>
      </c>
      <c r="G16" s="33">
        <v>0.25864682362909558</v>
      </c>
      <c r="H16" s="33">
        <v>7.8412404584977564E-3</v>
      </c>
    </row>
    <row r="17" spans="1:8">
      <c r="A17" s="5" t="s">
        <v>221</v>
      </c>
      <c r="B17" s="5" t="s">
        <v>225</v>
      </c>
      <c r="C17" s="33">
        <v>1.714</v>
      </c>
      <c r="D17" s="33">
        <v>0.33455941176418869</v>
      </c>
      <c r="E17" s="33">
        <v>9.282E-2</v>
      </c>
      <c r="F17" s="33">
        <v>1.2308208643015441E-2</v>
      </c>
      <c r="G17" s="33">
        <v>0.26350549528926548</v>
      </c>
      <c r="H17" s="33">
        <v>7.8971153437469594E-3</v>
      </c>
    </row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4">
      <c r="A1" s="50" t="s">
        <v>207</v>
      </c>
      <c r="B1" s="50" t="s">
        <v>208</v>
      </c>
      <c r="C1" s="50" t="s">
        <v>235</v>
      </c>
      <c r="D1" s="50" t="s">
        <v>236</v>
      </c>
      <c r="E1" s="50" t="s">
        <v>237</v>
      </c>
      <c r="F1" s="50" t="s">
        <v>238</v>
      </c>
      <c r="G1" s="50" t="s">
        <v>239</v>
      </c>
      <c r="H1" s="50" t="s">
        <v>240</v>
      </c>
      <c r="I1" s="50" t="s">
        <v>241</v>
      </c>
      <c r="J1" s="50" t="s">
        <v>242</v>
      </c>
      <c r="K1" s="50" t="s">
        <v>243</v>
      </c>
      <c r="L1" s="50" t="s">
        <v>244</v>
      </c>
      <c r="M1" s="50" t="s">
        <v>245</v>
      </c>
      <c r="N1" s="50" t="s">
        <v>246</v>
      </c>
    </row>
    <row r="2" spans="1:14">
      <c r="A2" s="5" t="s">
        <v>250</v>
      </c>
      <c r="B2" s="5" t="s">
        <v>222</v>
      </c>
      <c r="C2" s="33">
        <v>4.1020000000000003</v>
      </c>
      <c r="D2" s="33">
        <v>0.1718138527593161</v>
      </c>
      <c r="E2" s="33">
        <v>9.5219999999999999E-2</v>
      </c>
      <c r="F2" s="33">
        <v>1.0979389782679179E-2</v>
      </c>
      <c r="G2" s="33">
        <v>3.12</v>
      </c>
      <c r="H2" s="33">
        <v>0.57183913821983179</v>
      </c>
      <c r="I2" s="33">
        <v>4.7460000000000002E-2</v>
      </c>
      <c r="J2" s="33">
        <v>5.4316664109645011E-3</v>
      </c>
      <c r="K2" s="33">
        <v>3.88</v>
      </c>
      <c r="L2" s="33">
        <v>0.82583291288250305</v>
      </c>
      <c r="M2" s="33">
        <v>0.19243832166852021</v>
      </c>
      <c r="N2" s="33">
        <v>1.738217608408633E-3</v>
      </c>
    </row>
    <row r="3" spans="1:14">
      <c r="A3" s="5" t="s">
        <v>250</v>
      </c>
      <c r="B3" s="5" t="s">
        <v>223</v>
      </c>
      <c r="C3" s="33">
        <v>4.2424999999999997</v>
      </c>
      <c r="D3" s="33">
        <v>0.88417098648017922</v>
      </c>
      <c r="E3" s="33">
        <v>9.8525000000000001E-2</v>
      </c>
      <c r="F3" s="33">
        <v>3.0060092592449981E-2</v>
      </c>
      <c r="G3" s="33">
        <v>3.4249999999999998</v>
      </c>
      <c r="H3" s="33">
        <v>0.69940450861190939</v>
      </c>
      <c r="I3" s="33">
        <v>4.9175000000000003E-2</v>
      </c>
      <c r="J3" s="33">
        <v>1.4887886574885861E-2</v>
      </c>
      <c r="K3" s="33">
        <v>6</v>
      </c>
      <c r="L3" s="33">
        <v>1.080123449734643</v>
      </c>
      <c r="M3" s="33">
        <v>0.14647902484668041</v>
      </c>
      <c r="N3" s="33">
        <v>8.4823152139631834E-4</v>
      </c>
    </row>
    <row r="4" spans="1:14">
      <c r="A4" s="5" t="s">
        <v>250</v>
      </c>
      <c r="B4" s="5" t="s">
        <v>224</v>
      </c>
      <c r="C4" s="33">
        <v>3.65</v>
      </c>
      <c r="D4" s="33">
        <v>0.33712015662075151</v>
      </c>
      <c r="E4" s="33">
        <v>8.1640000000000004E-2</v>
      </c>
      <c r="F4" s="33">
        <v>2.5653323371446438E-2</v>
      </c>
      <c r="G4" s="33">
        <v>2.96</v>
      </c>
      <c r="H4" s="33">
        <v>0.70922492905988554</v>
      </c>
      <c r="I4" s="33">
        <v>4.0800000000000003E-2</v>
      </c>
      <c r="J4" s="33">
        <v>1.2775562609920551E-2</v>
      </c>
      <c r="K4" s="33">
        <v>5.08</v>
      </c>
      <c r="L4" s="33">
        <v>0.44384682042344309</v>
      </c>
      <c r="M4" s="33">
        <v>0.21583852399261991</v>
      </c>
      <c r="N4" s="33">
        <v>4.6584103888987014E-3</v>
      </c>
    </row>
    <row r="5" spans="1:14">
      <c r="A5" s="5" t="s">
        <v>251</v>
      </c>
      <c r="B5" s="5" t="s">
        <v>222</v>
      </c>
      <c r="C5" s="33">
        <v>1.8966666666666669</v>
      </c>
      <c r="D5" s="33">
        <v>0.43015501081974322</v>
      </c>
      <c r="E5" s="33">
        <v>8.8200000000000001E-2</v>
      </c>
      <c r="F5" s="33">
        <v>1.1258330249197699E-2</v>
      </c>
      <c r="G5" s="33">
        <v>7.1</v>
      </c>
      <c r="H5" s="33">
        <v>0.62449979983983939</v>
      </c>
      <c r="I5" s="33">
        <v>4.7500000000000001E-2</v>
      </c>
      <c r="J5" s="33">
        <v>1.113552872566005E-3</v>
      </c>
      <c r="K5" s="33">
        <v>8.0333333333333332</v>
      </c>
      <c r="L5" s="33">
        <v>0.65064070986477063</v>
      </c>
      <c r="M5" s="33">
        <v>0.18338720488981439</v>
      </c>
      <c r="N5" s="33">
        <v>5.1503592070246988E-3</v>
      </c>
    </row>
    <row r="6" spans="1:14">
      <c r="A6" s="5" t="s">
        <v>251</v>
      </c>
      <c r="B6" s="5" t="s">
        <v>223</v>
      </c>
      <c r="C6" s="33">
        <v>1.9233333333333329</v>
      </c>
      <c r="D6" s="33">
        <v>0.38317967934986669</v>
      </c>
      <c r="E6" s="33">
        <v>9.7883333333333336E-2</v>
      </c>
      <c r="F6" s="33">
        <v>4.0917742687820231E-2</v>
      </c>
      <c r="G6" s="33">
        <v>6.2333333333333334</v>
      </c>
      <c r="H6" s="33">
        <v>1.0576703960434299</v>
      </c>
      <c r="I6" s="33">
        <v>4.8899999999999999E-2</v>
      </c>
      <c r="J6" s="33">
        <v>2.0414308707374838E-2</v>
      </c>
      <c r="K6" s="33">
        <v>7.8166666666666664</v>
      </c>
      <c r="L6" s="33">
        <v>0.91305348510734397</v>
      </c>
      <c r="M6" s="33">
        <v>0.13782373796284761</v>
      </c>
      <c r="N6" s="33">
        <v>4.0758887893288E-3</v>
      </c>
    </row>
    <row r="7" spans="1:14">
      <c r="A7" s="5" t="s">
        <v>251</v>
      </c>
      <c r="B7" s="5" t="s">
        <v>224</v>
      </c>
      <c r="C7" s="33">
        <v>1.3340000000000001</v>
      </c>
      <c r="D7" s="33">
        <v>0.51760216382855273</v>
      </c>
      <c r="E7" s="33">
        <v>2.53E-2</v>
      </c>
      <c r="F7" s="33">
        <v>5.3740115370177633E-3</v>
      </c>
      <c r="G7" s="33">
        <v>1.55</v>
      </c>
      <c r="H7" s="33">
        <v>7.0710678118654821E-2</v>
      </c>
      <c r="I7" s="33">
        <v>1.265E-2</v>
      </c>
      <c r="J7" s="33">
        <v>2.6162950903902259E-3</v>
      </c>
      <c r="K7" s="33">
        <v>2.9</v>
      </c>
      <c r="L7" s="33">
        <v>0.70710678118654757</v>
      </c>
      <c r="M7" s="33">
        <v>0.18946763446886641</v>
      </c>
      <c r="N7" s="33">
        <v>5.5199181645684764E-3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spiede</vt:lpstr>
      <vt:lpstr>liece</vt:lpstr>
      <vt:lpstr>spiede_statistikai</vt:lpstr>
      <vt:lpstr>liece_statistikai</vt:lpstr>
      <vt:lpstr>liece_org</vt:lpstr>
      <vt:lpstr>liece_mean_sd</vt:lpstr>
      <vt:lpstr>spiede_mean_sd</vt:lpstr>
      <vt:lpstr>Org_mean_sd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Mikus Kampuss</cp:lastModifiedBy>
  <dcterms:created xsi:type="dcterms:W3CDTF">2015-06-05T18:17:20Z</dcterms:created>
  <dcterms:modified xsi:type="dcterms:W3CDTF">2025-12-09T13:41:05Z</dcterms:modified>
</cp:coreProperties>
</file>