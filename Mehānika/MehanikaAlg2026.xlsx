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etotajs\Documents\Mikus\4SemDarbini\MD\"/>
    </mc:Choice>
  </mc:AlternateContent>
  <xr:revisionPtr revIDLastSave="0" documentId="13_ncr:1_{97C7BBB1-0CEF-40C0-8E38-1D99B4CD3E6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iece" sheetId="1" r:id="rId1"/>
    <sheet name="spiede" sheetId="2" r:id="rId2"/>
    <sheet name="Lap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1" i="1"/>
  <c r="E41" i="1" s="1"/>
  <c r="D2" i="1"/>
  <c r="E2" i="1" s="1"/>
  <c r="H3" i="2"/>
  <c r="F3" i="2" s="1"/>
  <c r="H4" i="2"/>
  <c r="F4" i="2" s="1"/>
  <c r="H5" i="2"/>
  <c r="F5" i="2" s="1"/>
  <c r="H6" i="2"/>
  <c r="F6" i="2" s="1"/>
  <c r="H7" i="2"/>
  <c r="F7" i="2" s="1"/>
  <c r="H8" i="2"/>
  <c r="F8" i="2" s="1"/>
  <c r="H9" i="2"/>
  <c r="F9" i="2" s="1"/>
  <c r="H10" i="2"/>
  <c r="F10" i="2" s="1"/>
  <c r="H11" i="2"/>
  <c r="F11" i="2" s="1"/>
  <c r="H12" i="2"/>
  <c r="F12" i="2" s="1"/>
  <c r="H13" i="2"/>
  <c r="F13" i="2" s="1"/>
  <c r="H14" i="2"/>
  <c r="F14" i="2" s="1"/>
  <c r="H15" i="2"/>
  <c r="F15" i="2" s="1"/>
  <c r="H16" i="2"/>
  <c r="F16" i="2" s="1"/>
  <c r="H17" i="2"/>
  <c r="F17" i="2" s="1"/>
  <c r="H18" i="2"/>
  <c r="F18" i="2" s="1"/>
  <c r="H19" i="2"/>
  <c r="F19" i="2" s="1"/>
  <c r="H20" i="2"/>
  <c r="F20" i="2" s="1"/>
  <c r="H21" i="2"/>
  <c r="F21" i="2" s="1"/>
  <c r="H22" i="2"/>
  <c r="F22" i="2" s="1"/>
  <c r="H23" i="2"/>
  <c r="F23" i="2" s="1"/>
  <c r="H24" i="2"/>
  <c r="F24" i="2" s="1"/>
  <c r="H25" i="2"/>
  <c r="F25" i="2" s="1"/>
  <c r="H26" i="2"/>
  <c r="F26" i="2" s="1"/>
  <c r="H27" i="2"/>
  <c r="F27" i="2" s="1"/>
  <c r="H28" i="2"/>
  <c r="F28" i="2" s="1"/>
  <c r="H29" i="2"/>
  <c r="F29" i="2" s="1"/>
  <c r="H30" i="2"/>
  <c r="F30" i="2" s="1"/>
  <c r="H31" i="2"/>
  <c r="F31" i="2" s="1"/>
  <c r="H32" i="2"/>
  <c r="F32" i="2" s="1"/>
  <c r="H33" i="2"/>
  <c r="F33" i="2" s="1"/>
  <c r="H34" i="2"/>
  <c r="F34" i="2" s="1"/>
  <c r="H35" i="2"/>
  <c r="F35" i="2" s="1"/>
  <c r="H36" i="2"/>
  <c r="F36" i="2" s="1"/>
  <c r="H37" i="2"/>
  <c r="F37" i="2" s="1"/>
  <c r="H38" i="2"/>
  <c r="F38" i="2" s="1"/>
  <c r="H39" i="2"/>
  <c r="F39" i="2" s="1"/>
  <c r="H40" i="2"/>
  <c r="F40" i="2" s="1"/>
  <c r="H41" i="2"/>
  <c r="F41" i="2" s="1"/>
  <c r="H42" i="2"/>
  <c r="F42" i="2" s="1"/>
  <c r="H43" i="2"/>
  <c r="F43" i="2" s="1"/>
  <c r="H44" i="2"/>
  <c r="F44" i="2" s="1"/>
  <c r="H45" i="2"/>
  <c r="F45" i="2" s="1"/>
  <c r="H46" i="2"/>
  <c r="F46" i="2" s="1"/>
  <c r="H47" i="2"/>
  <c r="F47" i="2" s="1"/>
  <c r="H48" i="2"/>
  <c r="F48" i="2" s="1"/>
  <c r="H49" i="2"/>
  <c r="F49" i="2" s="1"/>
  <c r="H50" i="2"/>
  <c r="F50" i="2" s="1"/>
  <c r="H51" i="2"/>
  <c r="F51" i="2" s="1"/>
  <c r="H52" i="2"/>
  <c r="F52" i="2" s="1"/>
  <c r="H53" i="2"/>
  <c r="F53" i="2" s="1"/>
  <c r="H54" i="2"/>
  <c r="F54" i="2" s="1"/>
  <c r="H55" i="2"/>
  <c r="F55" i="2" s="1"/>
  <c r="H56" i="2"/>
  <c r="F56" i="2" s="1"/>
  <c r="H57" i="2"/>
  <c r="F57" i="2" s="1"/>
  <c r="H58" i="2"/>
  <c r="F58" i="2" s="1"/>
  <c r="H59" i="2"/>
  <c r="F59" i="2" s="1"/>
  <c r="H60" i="2"/>
  <c r="F60" i="2" s="1"/>
  <c r="H61" i="2"/>
  <c r="F61" i="2" s="1"/>
  <c r="H62" i="2"/>
  <c r="F62" i="2" s="1"/>
  <c r="H63" i="2"/>
  <c r="F63" i="2" s="1"/>
  <c r="H64" i="2"/>
  <c r="F64" i="2" s="1"/>
  <c r="H65" i="2"/>
  <c r="F65" i="2" s="1"/>
  <c r="H66" i="2"/>
  <c r="F66" i="2" s="1"/>
  <c r="H67" i="2"/>
  <c r="F67" i="2" s="1"/>
  <c r="H68" i="2"/>
  <c r="F68" i="2" s="1"/>
  <c r="H69" i="2"/>
  <c r="F69" i="2" s="1"/>
  <c r="H70" i="2"/>
  <c r="F70" i="2" s="1"/>
  <c r="H71" i="2"/>
  <c r="F71" i="2" s="1"/>
  <c r="H72" i="2"/>
  <c r="F72" i="2" s="1"/>
  <c r="H73" i="2"/>
  <c r="F73" i="2" s="1"/>
  <c r="H74" i="2"/>
  <c r="F74" i="2" s="1"/>
  <c r="H2" i="2"/>
  <c r="F2" i="2" s="1"/>
</calcChain>
</file>

<file path=xl/sharedStrings.xml><?xml version="1.0" encoding="utf-8"?>
<sst xmlns="http://schemas.openxmlformats.org/spreadsheetml/2006/main" count="336" uniqueCount="79">
  <si>
    <t>control</t>
  </si>
  <si>
    <t>alg</t>
  </si>
  <si>
    <t>apstrade</t>
  </si>
  <si>
    <t>substrate</t>
  </si>
  <si>
    <t>BSD1</t>
  </si>
  <si>
    <t>BSD2</t>
  </si>
  <si>
    <t>BSD3</t>
  </si>
  <si>
    <t>BSD4</t>
  </si>
  <si>
    <t>WS1</t>
  </si>
  <si>
    <t>x3</t>
  </si>
  <si>
    <t>x8</t>
  </si>
  <si>
    <t>x13</t>
  </si>
  <si>
    <t>WS2</t>
  </si>
  <si>
    <t>WS3</t>
  </si>
  <si>
    <t>WS4</t>
  </si>
  <si>
    <t>110c</t>
  </si>
  <si>
    <t>112c</t>
  </si>
  <si>
    <t>108c</t>
  </si>
  <si>
    <t>36c</t>
  </si>
  <si>
    <t>43c</t>
  </si>
  <si>
    <t>58c</t>
  </si>
  <si>
    <t>138c</t>
  </si>
  <si>
    <t>179c</t>
  </si>
  <si>
    <t>164c</t>
  </si>
  <si>
    <t>25c</t>
  </si>
  <si>
    <t>173c</t>
  </si>
  <si>
    <t>177c</t>
  </si>
  <si>
    <t>176c</t>
  </si>
  <si>
    <t>258c</t>
  </si>
  <si>
    <t>250c</t>
  </si>
  <si>
    <t>x1</t>
  </si>
  <si>
    <t>x2</t>
  </si>
  <si>
    <t>207c</t>
  </si>
  <si>
    <t>210c</t>
  </si>
  <si>
    <t>213c</t>
  </si>
  <si>
    <t>221c</t>
  </si>
  <si>
    <t>249c</t>
  </si>
  <si>
    <t>238c</t>
  </si>
  <si>
    <t>105c</t>
  </si>
  <si>
    <t>312c</t>
  </si>
  <si>
    <t>149c</t>
  </si>
  <si>
    <t>181c</t>
  </si>
  <si>
    <t>x4</t>
  </si>
  <si>
    <t>370c</t>
  </si>
  <si>
    <t>123c</t>
  </si>
  <si>
    <t>48c</t>
  </si>
  <si>
    <t>nr</t>
  </si>
  <si>
    <t>Ef</t>
  </si>
  <si>
    <t>Stiprība 𝜎10</t>
  </si>
  <si>
    <t>density</t>
  </si>
  <si>
    <t>mass</t>
  </si>
  <si>
    <t>volume</t>
  </si>
  <si>
    <t>m1</t>
  </si>
  <si>
    <t>Max stipr. 𝜎fM</t>
  </si>
  <si>
    <t>Def. pie max stipr. 𝜀fM</t>
  </si>
  <si>
    <t>Stipr. pie salūšanas 𝜎fB</t>
  </si>
  <si>
    <t>Def. pie salūšanas 𝜀fM</t>
  </si>
  <si>
    <t>width</t>
  </si>
  <si>
    <t>height</t>
  </si>
  <si>
    <t>length</t>
  </si>
  <si>
    <t>1x</t>
  </si>
  <si>
    <t>2x</t>
  </si>
  <si>
    <t>3x</t>
  </si>
  <si>
    <t>66/60</t>
  </si>
  <si>
    <t>78/79</t>
  </si>
  <si>
    <t>m_sāk</t>
  </si>
  <si>
    <t>m_kond</t>
  </si>
  <si>
    <t>m_alg</t>
  </si>
  <si>
    <t xml:space="preserve">             </t>
  </si>
  <si>
    <t>mean_ef</t>
  </si>
  <si>
    <t>sd_ef</t>
  </si>
  <si>
    <t>mean_stipriba_σ10</t>
  </si>
  <si>
    <t>sd_stipriba_σ10</t>
  </si>
  <si>
    <t>mean_density</t>
  </si>
  <si>
    <t>sd_density</t>
  </si>
  <si>
    <t>mean_stipr_spec</t>
  </si>
  <si>
    <t>sd_stipr_spec</t>
  </si>
  <si>
    <t>mean_ef_spec</t>
  </si>
  <si>
    <t>sd_ef_spec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</si>
</sst>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topLeftCell="A22" zoomScale="85" zoomScaleNormal="85" workbookViewId="0">
      <selection activeCell="V36" sqref="V36"/>
    </sheetView>
  </sheetViews>
  <sheetFormatPr defaultRowHeight="14.5" x14ac:dyDescent="0.35"/>
  <sheetData>
    <row r="1" spans="1:23" ht="16.5" customHeight="1" thickBot="1" x14ac:dyDescent="0.4">
      <c r="A1" s="2" t="s">
        <v>2</v>
      </c>
      <c r="B1" s="3" t="s">
        <v>3</v>
      </c>
      <c r="C1" s="3" t="s">
        <v>46</v>
      </c>
      <c r="D1" s="3" t="s">
        <v>51</v>
      </c>
      <c r="E1" s="3" t="s">
        <v>49</v>
      </c>
      <c r="F1" s="3" t="s">
        <v>47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65</v>
      </c>
      <c r="L1" s="2" t="s">
        <v>52</v>
      </c>
      <c r="M1" s="2" t="s">
        <v>66</v>
      </c>
      <c r="N1" s="2" t="s">
        <v>67</v>
      </c>
      <c r="O1" s="1" t="s">
        <v>57</v>
      </c>
      <c r="P1" s="1" t="s">
        <v>58</v>
      </c>
      <c r="Q1" s="1" t="s">
        <v>59</v>
      </c>
      <c r="R1" s="1"/>
      <c r="S1" s="1"/>
      <c r="T1" s="1"/>
      <c r="U1" s="1"/>
      <c r="V1" s="1"/>
      <c r="W1" s="1"/>
    </row>
    <row r="2" spans="1:23" x14ac:dyDescent="0.35">
      <c r="A2" t="s">
        <v>1</v>
      </c>
      <c r="B2" t="s">
        <v>4</v>
      </c>
      <c r="C2">
        <v>1</v>
      </c>
      <c r="D2">
        <f>O2*P2*Q2/1000</f>
        <v>145.38502439999999</v>
      </c>
      <c r="E2">
        <f>D2/M2</f>
        <v>4.9789391917808219</v>
      </c>
      <c r="F2">
        <v>13.8</v>
      </c>
      <c r="G2">
        <v>0.152</v>
      </c>
      <c r="H2">
        <v>1.7</v>
      </c>
      <c r="I2">
        <v>7.5899999999999995E-2</v>
      </c>
      <c r="J2">
        <v>2.5</v>
      </c>
      <c r="K2">
        <v>28.42</v>
      </c>
      <c r="L2">
        <v>27.57</v>
      </c>
      <c r="M2">
        <v>29.2</v>
      </c>
      <c r="N2">
        <v>0.78</v>
      </c>
      <c r="O2">
        <v>29.82</v>
      </c>
      <c r="P2">
        <v>29.37</v>
      </c>
      <c r="Q2">
        <v>166</v>
      </c>
    </row>
    <row r="3" spans="1:23" x14ac:dyDescent="0.35">
      <c r="A3" t="s">
        <v>1</v>
      </c>
      <c r="B3" t="s">
        <v>4</v>
      </c>
      <c r="C3">
        <v>3</v>
      </c>
      <c r="D3">
        <f t="shared" ref="D3:D41" si="0">O3*P3*Q3/1000</f>
        <v>146.860615</v>
      </c>
      <c r="E3">
        <f t="shared" ref="E3:E41" si="1">D3/M3</f>
        <v>4.9783259322033899</v>
      </c>
      <c r="F3">
        <v>14.7</v>
      </c>
      <c r="G3">
        <v>0.14199999999999999</v>
      </c>
      <c r="H3">
        <v>2</v>
      </c>
      <c r="I3">
        <v>7.1099999999999997E-2</v>
      </c>
      <c r="J3">
        <v>2.2999999999999998</v>
      </c>
      <c r="K3">
        <v>28.79</v>
      </c>
      <c r="L3">
        <v>27.84</v>
      </c>
      <c r="M3">
        <v>29.5</v>
      </c>
      <c r="N3">
        <v>0.71</v>
      </c>
      <c r="O3">
        <v>29.15</v>
      </c>
      <c r="P3">
        <v>30.35</v>
      </c>
      <c r="Q3">
        <v>166</v>
      </c>
    </row>
    <row r="4" spans="1:23" x14ac:dyDescent="0.35">
      <c r="A4" t="s">
        <v>1</v>
      </c>
      <c r="B4" t="s">
        <v>4</v>
      </c>
      <c r="C4">
        <v>5</v>
      </c>
      <c r="D4">
        <f t="shared" si="0"/>
        <v>152.89838080000001</v>
      </c>
      <c r="E4">
        <f t="shared" si="1"/>
        <v>5.2906014117647064</v>
      </c>
      <c r="F4">
        <v>10.7</v>
      </c>
      <c r="G4">
        <v>0.13200000000000001</v>
      </c>
      <c r="H4">
        <v>2.4</v>
      </c>
      <c r="I4">
        <v>6.6100000000000006E-2</v>
      </c>
      <c r="J4">
        <v>3.4</v>
      </c>
      <c r="K4">
        <v>28.16</v>
      </c>
      <c r="L4">
        <v>27.27</v>
      </c>
      <c r="M4">
        <v>28.9</v>
      </c>
      <c r="N4">
        <v>0.74</v>
      </c>
      <c r="O4">
        <v>29.92</v>
      </c>
      <c r="P4">
        <v>31.16</v>
      </c>
      <c r="Q4">
        <v>164</v>
      </c>
    </row>
    <row r="5" spans="1:23" x14ac:dyDescent="0.35">
      <c r="A5" t="s">
        <v>1</v>
      </c>
      <c r="B5" t="s">
        <v>4</v>
      </c>
      <c r="C5">
        <v>7</v>
      </c>
      <c r="D5">
        <f t="shared" si="0"/>
        <v>146.57394959999999</v>
      </c>
      <c r="E5">
        <f t="shared" si="1"/>
        <v>4.9351498181818183</v>
      </c>
      <c r="F5">
        <v>14.2</v>
      </c>
      <c r="G5">
        <v>0.125</v>
      </c>
      <c r="H5">
        <v>1.7</v>
      </c>
      <c r="I5">
        <v>6.2600000000000003E-2</v>
      </c>
      <c r="J5">
        <v>2.6</v>
      </c>
      <c r="K5">
        <v>28.96</v>
      </c>
      <c r="L5">
        <v>27.98</v>
      </c>
      <c r="M5">
        <v>29.7</v>
      </c>
      <c r="N5">
        <v>0.74</v>
      </c>
      <c r="O5">
        <v>29.79</v>
      </c>
      <c r="P5">
        <v>29.64</v>
      </c>
      <c r="Q5">
        <v>166</v>
      </c>
    </row>
    <row r="6" spans="1:23" x14ac:dyDescent="0.35">
      <c r="A6" t="s">
        <v>1</v>
      </c>
      <c r="B6" t="s">
        <v>4</v>
      </c>
      <c r="C6">
        <v>9</v>
      </c>
      <c r="D6">
        <f t="shared" si="0"/>
        <v>146.41992160000004</v>
      </c>
      <c r="E6">
        <f t="shared" si="1"/>
        <v>4.7538935584415594</v>
      </c>
      <c r="F6">
        <v>8.5500000000000007</v>
      </c>
      <c r="G6">
        <v>0.13200000000000001</v>
      </c>
      <c r="H6">
        <v>1.9</v>
      </c>
      <c r="I6">
        <v>6.6100000000000006E-2</v>
      </c>
      <c r="J6">
        <v>3.3</v>
      </c>
      <c r="K6">
        <v>30.09</v>
      </c>
      <c r="L6">
        <v>29.1</v>
      </c>
      <c r="M6">
        <v>30.8</v>
      </c>
      <c r="N6">
        <v>0.71</v>
      </c>
      <c r="O6">
        <v>29.98</v>
      </c>
      <c r="P6">
        <v>29.78</v>
      </c>
      <c r="Q6">
        <v>164</v>
      </c>
    </row>
    <row r="7" spans="1:23" x14ac:dyDescent="0.35">
      <c r="A7" t="s">
        <v>1</v>
      </c>
      <c r="B7" t="s">
        <v>5</v>
      </c>
      <c r="C7">
        <v>11</v>
      </c>
      <c r="D7">
        <f t="shared" si="0"/>
        <v>147.5135262</v>
      </c>
      <c r="E7">
        <f t="shared" si="1"/>
        <v>7.1262573043478268</v>
      </c>
      <c r="F7">
        <v>11.6</v>
      </c>
      <c r="G7">
        <v>0.14099999999999999</v>
      </c>
      <c r="H7">
        <v>2.1</v>
      </c>
      <c r="I7">
        <v>7.0300000000000001E-2</v>
      </c>
      <c r="J7">
        <v>7</v>
      </c>
      <c r="K7">
        <v>19.88</v>
      </c>
      <c r="L7">
        <v>19.510000000000002</v>
      </c>
      <c r="M7">
        <v>20.7</v>
      </c>
      <c r="N7">
        <v>0.82</v>
      </c>
      <c r="O7">
        <v>29.83</v>
      </c>
      <c r="P7">
        <v>29.79</v>
      </c>
      <c r="Q7">
        <v>166</v>
      </c>
    </row>
    <row r="8" spans="1:23" x14ac:dyDescent="0.35">
      <c r="A8" t="s">
        <v>1</v>
      </c>
      <c r="B8" t="s">
        <v>5</v>
      </c>
      <c r="C8">
        <v>13</v>
      </c>
      <c r="D8">
        <f t="shared" si="0"/>
        <v>148.00363309999997</v>
      </c>
      <c r="E8">
        <f t="shared" si="1"/>
        <v>7.0477920523809514</v>
      </c>
      <c r="F8">
        <v>3.96</v>
      </c>
      <c r="G8">
        <v>0.16200000000000001</v>
      </c>
      <c r="H8">
        <v>2.1</v>
      </c>
      <c r="I8">
        <v>8.09E-2</v>
      </c>
      <c r="J8">
        <v>3.4</v>
      </c>
      <c r="K8">
        <v>20.09</v>
      </c>
      <c r="L8">
        <v>19.77</v>
      </c>
      <c r="M8">
        <v>21</v>
      </c>
      <c r="N8">
        <v>0.91</v>
      </c>
      <c r="O8">
        <v>29.71</v>
      </c>
      <c r="P8">
        <v>29.83</v>
      </c>
      <c r="Q8">
        <v>167</v>
      </c>
    </row>
    <row r="9" spans="1:23" x14ac:dyDescent="0.35">
      <c r="A9" t="s">
        <v>1</v>
      </c>
      <c r="B9" t="s">
        <v>5</v>
      </c>
      <c r="C9">
        <v>15</v>
      </c>
      <c r="D9">
        <f t="shared" si="0"/>
        <v>148.44690119999999</v>
      </c>
      <c r="E9">
        <f t="shared" si="1"/>
        <v>7.2061602524271828</v>
      </c>
      <c r="F9">
        <v>13.1</v>
      </c>
      <c r="G9">
        <v>0.17399999999999999</v>
      </c>
      <c r="H9">
        <v>2.4</v>
      </c>
      <c r="I9">
        <v>8.7099999999999997E-2</v>
      </c>
      <c r="J9">
        <v>5.8</v>
      </c>
      <c r="K9">
        <v>19.84</v>
      </c>
      <c r="L9">
        <v>19.45</v>
      </c>
      <c r="M9">
        <v>20.6</v>
      </c>
      <c r="N9">
        <v>0.76</v>
      </c>
      <c r="O9">
        <v>29.64</v>
      </c>
      <c r="P9">
        <v>29.99</v>
      </c>
      <c r="Q9">
        <v>167</v>
      </c>
    </row>
    <row r="10" spans="1:23" x14ac:dyDescent="0.35">
      <c r="A10" t="s">
        <v>1</v>
      </c>
      <c r="B10" t="s">
        <v>5</v>
      </c>
      <c r="C10">
        <v>17</v>
      </c>
      <c r="D10">
        <f t="shared" si="0"/>
        <v>146.54373580000001</v>
      </c>
      <c r="E10">
        <f t="shared" si="1"/>
        <v>7.0116620000000012</v>
      </c>
      <c r="F10">
        <v>8.0500000000000007</v>
      </c>
      <c r="G10">
        <v>0.191</v>
      </c>
      <c r="H10">
        <v>3.3</v>
      </c>
      <c r="I10">
        <v>9.5699999999999993E-2</v>
      </c>
      <c r="J10">
        <v>4.8</v>
      </c>
      <c r="K10">
        <v>20.03</v>
      </c>
      <c r="L10">
        <v>19.66</v>
      </c>
      <c r="M10">
        <v>20.9</v>
      </c>
      <c r="N10">
        <v>0.87</v>
      </c>
      <c r="O10">
        <v>29.26</v>
      </c>
      <c r="P10">
        <v>29.99</v>
      </c>
      <c r="Q10">
        <v>167</v>
      </c>
    </row>
    <row r="11" spans="1:23" x14ac:dyDescent="0.35">
      <c r="A11" t="s">
        <v>1</v>
      </c>
      <c r="B11" t="s">
        <v>5</v>
      </c>
      <c r="C11">
        <v>19</v>
      </c>
      <c r="D11">
        <f t="shared" si="0"/>
        <v>146.53450559999999</v>
      </c>
      <c r="E11">
        <f t="shared" si="1"/>
        <v>6.9447632985781977</v>
      </c>
      <c r="F11">
        <v>6.42</v>
      </c>
      <c r="G11">
        <v>0.121</v>
      </c>
      <c r="H11">
        <v>2.8</v>
      </c>
      <c r="I11">
        <v>6.0299999999999999E-2</v>
      </c>
      <c r="J11">
        <v>13.8</v>
      </c>
      <c r="K11">
        <v>20.260000000000002</v>
      </c>
      <c r="L11">
        <v>19.829999999999998</v>
      </c>
      <c r="M11">
        <v>21.1</v>
      </c>
      <c r="N11">
        <v>0.84</v>
      </c>
      <c r="O11">
        <v>29.24</v>
      </c>
      <c r="P11">
        <v>29.83</v>
      </c>
      <c r="Q11">
        <v>168</v>
      </c>
    </row>
    <row r="12" spans="1:23" x14ac:dyDescent="0.35">
      <c r="A12" t="s">
        <v>1</v>
      </c>
      <c r="B12" t="s">
        <v>6</v>
      </c>
      <c r="C12">
        <v>21</v>
      </c>
      <c r="D12">
        <f t="shared" si="0"/>
        <v>152.56876799999998</v>
      </c>
      <c r="E12">
        <f t="shared" si="1"/>
        <v>5.2791961245674734</v>
      </c>
      <c r="F12">
        <v>6.37</v>
      </c>
      <c r="G12">
        <v>0.16500000000000001</v>
      </c>
      <c r="H12">
        <v>3.1</v>
      </c>
      <c r="I12">
        <v>8.2500000000000004E-2</v>
      </c>
      <c r="J12">
        <v>4.4000000000000004</v>
      </c>
      <c r="K12">
        <v>28.08</v>
      </c>
      <c r="L12">
        <v>27.28</v>
      </c>
      <c r="M12">
        <v>28.9</v>
      </c>
      <c r="N12">
        <v>0.82</v>
      </c>
      <c r="O12">
        <v>30.74</v>
      </c>
      <c r="P12">
        <v>30.08</v>
      </c>
      <c r="Q12">
        <v>165</v>
      </c>
    </row>
    <row r="13" spans="1:23" x14ac:dyDescent="0.35">
      <c r="A13" t="s">
        <v>1</v>
      </c>
      <c r="B13" t="s">
        <v>6</v>
      </c>
      <c r="C13">
        <v>23</v>
      </c>
      <c r="D13">
        <f t="shared" si="0"/>
        <v>150.4399568</v>
      </c>
      <c r="E13">
        <f t="shared" si="1"/>
        <v>5.4705438836363642</v>
      </c>
      <c r="F13">
        <v>6.97</v>
      </c>
      <c r="G13">
        <v>8.8599999999999998E-2</v>
      </c>
      <c r="H13">
        <v>2.5</v>
      </c>
      <c r="I13">
        <v>4.4299999999999999E-2</v>
      </c>
      <c r="J13">
        <v>2.6</v>
      </c>
      <c r="K13">
        <v>26.67</v>
      </c>
      <c r="L13">
        <v>26.01</v>
      </c>
      <c r="M13">
        <v>27.5</v>
      </c>
      <c r="N13">
        <v>0.83</v>
      </c>
      <c r="O13">
        <v>30.32</v>
      </c>
      <c r="P13">
        <v>29.89</v>
      </c>
      <c r="Q13">
        <v>166</v>
      </c>
    </row>
    <row r="14" spans="1:23" x14ac:dyDescent="0.35">
      <c r="A14" t="s">
        <v>1</v>
      </c>
      <c r="B14" t="s">
        <v>6</v>
      </c>
      <c r="C14">
        <v>25</v>
      </c>
      <c r="D14">
        <f t="shared" si="0"/>
        <v>145.9433052</v>
      </c>
      <c r="E14">
        <f t="shared" si="1"/>
        <v>5.3070292800000001</v>
      </c>
      <c r="F14">
        <v>3.42</v>
      </c>
      <c r="G14">
        <v>9.1800000000000007E-2</v>
      </c>
      <c r="H14">
        <v>2</v>
      </c>
      <c r="I14">
        <v>4.5900000000000003E-2</v>
      </c>
      <c r="J14">
        <v>4</v>
      </c>
      <c r="K14">
        <v>26.7</v>
      </c>
      <c r="L14">
        <v>26.01</v>
      </c>
      <c r="M14">
        <v>27.5</v>
      </c>
      <c r="N14">
        <v>0.8</v>
      </c>
      <c r="O14">
        <v>30.14</v>
      </c>
      <c r="P14">
        <v>29.89</v>
      </c>
      <c r="Q14">
        <v>162</v>
      </c>
    </row>
    <row r="15" spans="1:23" x14ac:dyDescent="0.35">
      <c r="A15" t="s">
        <v>1</v>
      </c>
      <c r="B15" t="s">
        <v>6</v>
      </c>
      <c r="C15">
        <v>27</v>
      </c>
      <c r="D15">
        <f t="shared" si="0"/>
        <v>146.99097599999999</v>
      </c>
      <c r="E15">
        <f t="shared" si="1"/>
        <v>5.1575781052631573</v>
      </c>
      <c r="F15">
        <v>9.1999999999999993</v>
      </c>
      <c r="G15">
        <v>7.8399999999999997E-2</v>
      </c>
      <c r="H15">
        <v>2</v>
      </c>
      <c r="I15">
        <v>3.9199999999999999E-2</v>
      </c>
      <c r="J15">
        <v>17.2</v>
      </c>
      <c r="K15">
        <v>27.63</v>
      </c>
      <c r="L15">
        <v>26.89</v>
      </c>
      <c r="M15">
        <v>28.5</v>
      </c>
      <c r="N15">
        <v>0.87</v>
      </c>
      <c r="O15">
        <v>30.26</v>
      </c>
      <c r="P15">
        <v>29.44</v>
      </c>
      <c r="Q15">
        <v>165</v>
      </c>
    </row>
    <row r="16" spans="1:23" x14ac:dyDescent="0.35">
      <c r="A16" t="s">
        <v>1</v>
      </c>
      <c r="B16" t="s">
        <v>6</v>
      </c>
      <c r="C16">
        <v>29</v>
      </c>
      <c r="D16">
        <f t="shared" si="0"/>
        <v>141.32452079999999</v>
      </c>
      <c r="E16">
        <f t="shared" si="1"/>
        <v>5.0293423772241983</v>
      </c>
      <c r="F16">
        <v>4.5999999999999996</v>
      </c>
      <c r="G16">
        <v>9.0700000000000003E-2</v>
      </c>
      <c r="H16">
        <v>2.2000000000000002</v>
      </c>
      <c r="I16">
        <v>4.5400000000000003E-2</v>
      </c>
      <c r="J16">
        <v>4.4000000000000004</v>
      </c>
      <c r="K16">
        <v>27.24</v>
      </c>
      <c r="L16">
        <v>26.54</v>
      </c>
      <c r="M16">
        <v>28.1</v>
      </c>
      <c r="N16">
        <v>0.86</v>
      </c>
      <c r="O16">
        <v>29.98</v>
      </c>
      <c r="P16">
        <v>28.92</v>
      </c>
      <c r="Q16">
        <v>163</v>
      </c>
    </row>
    <row r="17" spans="1:17" x14ac:dyDescent="0.35">
      <c r="A17" t="s">
        <v>1</v>
      </c>
      <c r="B17" t="s">
        <v>7</v>
      </c>
      <c r="C17">
        <v>31</v>
      </c>
      <c r="D17">
        <f t="shared" si="0"/>
        <v>148.77994720000004</v>
      </c>
      <c r="E17">
        <f t="shared" si="1"/>
        <v>5.1127129621993141</v>
      </c>
      <c r="F17">
        <v>8.35</v>
      </c>
      <c r="G17">
        <v>0.106</v>
      </c>
      <c r="H17">
        <v>1.8</v>
      </c>
      <c r="I17">
        <v>5.2900000000000003E-2</v>
      </c>
      <c r="J17">
        <v>2.4</v>
      </c>
      <c r="K17">
        <v>28.04</v>
      </c>
      <c r="L17">
        <v>27.04</v>
      </c>
      <c r="M17">
        <v>29.1</v>
      </c>
      <c r="N17">
        <v>1.06</v>
      </c>
      <c r="O17">
        <v>30.26</v>
      </c>
      <c r="P17">
        <v>29.98</v>
      </c>
      <c r="Q17">
        <v>164</v>
      </c>
    </row>
    <row r="18" spans="1:17" x14ac:dyDescent="0.35">
      <c r="A18" t="s">
        <v>1</v>
      </c>
      <c r="B18" t="s">
        <v>7</v>
      </c>
      <c r="C18">
        <v>33</v>
      </c>
      <c r="D18">
        <f t="shared" si="0"/>
        <v>147.90421799999999</v>
      </c>
      <c r="E18">
        <f t="shared" si="1"/>
        <v>5.0137023050847453</v>
      </c>
      <c r="F18">
        <v>11</v>
      </c>
      <c r="G18">
        <v>0.127</v>
      </c>
      <c r="H18">
        <v>2.1</v>
      </c>
      <c r="I18">
        <v>0.127</v>
      </c>
      <c r="J18">
        <v>2.1</v>
      </c>
      <c r="K18">
        <v>28.55</v>
      </c>
      <c r="L18">
        <v>27.89</v>
      </c>
      <c r="M18">
        <v>29.5</v>
      </c>
      <c r="N18">
        <v>0.95</v>
      </c>
      <c r="O18">
        <v>30.06</v>
      </c>
      <c r="P18">
        <v>29.82</v>
      </c>
      <c r="Q18">
        <v>165</v>
      </c>
    </row>
    <row r="19" spans="1:17" x14ac:dyDescent="0.35">
      <c r="A19" t="s">
        <v>1</v>
      </c>
      <c r="B19" t="s">
        <v>7</v>
      </c>
      <c r="C19">
        <v>35</v>
      </c>
      <c r="D19">
        <f t="shared" si="0"/>
        <v>146.37892499999998</v>
      </c>
      <c r="E19">
        <f t="shared" si="1"/>
        <v>4.9120444630872475</v>
      </c>
      <c r="F19">
        <v>6.21</v>
      </c>
      <c r="G19">
        <v>0.10299999999999999</v>
      </c>
      <c r="H19">
        <v>2</v>
      </c>
      <c r="I19">
        <v>8.6999999999999994E-2</v>
      </c>
      <c r="J19">
        <v>3</v>
      </c>
      <c r="K19">
        <v>28.92</v>
      </c>
      <c r="L19">
        <v>28.16</v>
      </c>
      <c r="M19">
        <v>29.8</v>
      </c>
      <c r="N19">
        <v>0.88</v>
      </c>
      <c r="O19">
        <v>29.75</v>
      </c>
      <c r="P19">
        <v>29.82</v>
      </c>
      <c r="Q19">
        <v>165</v>
      </c>
    </row>
    <row r="20" spans="1:17" x14ac:dyDescent="0.35">
      <c r="A20" t="s">
        <v>1</v>
      </c>
      <c r="B20" t="s">
        <v>7</v>
      </c>
      <c r="C20">
        <v>37</v>
      </c>
      <c r="D20">
        <f t="shared" si="0"/>
        <v>146.833764</v>
      </c>
      <c r="E20">
        <f t="shared" si="1"/>
        <v>4.6466381012658227</v>
      </c>
      <c r="F20">
        <v>5.61</v>
      </c>
      <c r="G20">
        <v>8.7499999999999994E-2</v>
      </c>
      <c r="H20">
        <v>2.1</v>
      </c>
      <c r="I20">
        <v>6.4399999999999999E-2</v>
      </c>
      <c r="J20">
        <v>2.2999999999999998</v>
      </c>
      <c r="K20">
        <v>30.69</v>
      </c>
      <c r="L20">
        <v>29.82</v>
      </c>
      <c r="M20">
        <v>31.6</v>
      </c>
      <c r="N20">
        <v>0.91</v>
      </c>
      <c r="O20">
        <v>30.31</v>
      </c>
      <c r="P20">
        <v>29.36</v>
      </c>
      <c r="Q20">
        <v>165</v>
      </c>
    </row>
    <row r="21" spans="1:17" x14ac:dyDescent="0.35">
      <c r="A21" t="s">
        <v>1</v>
      </c>
      <c r="B21" t="s">
        <v>7</v>
      </c>
      <c r="C21">
        <v>39</v>
      </c>
      <c r="D21">
        <f t="shared" si="0"/>
        <v>145.2092672</v>
      </c>
      <c r="E21">
        <f t="shared" si="1"/>
        <v>4.669108270096463</v>
      </c>
      <c r="F21">
        <v>7.69</v>
      </c>
      <c r="G21">
        <v>9.6199999999999994E-2</v>
      </c>
      <c r="H21">
        <v>1.9</v>
      </c>
      <c r="I21">
        <v>8.8900000000000007E-2</v>
      </c>
      <c r="J21">
        <v>1.9</v>
      </c>
      <c r="K21">
        <v>30.2</v>
      </c>
      <c r="L21">
        <v>29.31</v>
      </c>
      <c r="M21">
        <v>31.1</v>
      </c>
      <c r="N21">
        <v>0.9</v>
      </c>
      <c r="O21">
        <v>30.26</v>
      </c>
      <c r="P21">
        <v>29.44</v>
      </c>
      <c r="Q21">
        <v>163</v>
      </c>
    </row>
    <row r="22" spans="1:17" x14ac:dyDescent="0.35">
      <c r="A22" t="s">
        <v>1</v>
      </c>
      <c r="B22" t="s">
        <v>8</v>
      </c>
      <c r="C22">
        <v>86</v>
      </c>
      <c r="D22">
        <f t="shared" si="0"/>
        <v>158.05347599999999</v>
      </c>
      <c r="E22">
        <f t="shared" si="1"/>
        <v>9.8169860869565202</v>
      </c>
      <c r="F22">
        <v>1.71</v>
      </c>
      <c r="G22">
        <v>3.1899999999999998E-2</v>
      </c>
      <c r="H22">
        <v>1.9</v>
      </c>
      <c r="I22">
        <v>1.5900000000000001E-2</v>
      </c>
      <c r="J22">
        <v>3.1</v>
      </c>
      <c r="K22">
        <v>15.14</v>
      </c>
      <c r="L22">
        <v>15.23</v>
      </c>
      <c r="M22">
        <v>16.100000000000001</v>
      </c>
      <c r="N22">
        <v>0.96</v>
      </c>
      <c r="O22">
        <v>31.92</v>
      </c>
      <c r="P22">
        <v>29.65</v>
      </c>
      <c r="Q22">
        <v>167</v>
      </c>
    </row>
    <row r="23" spans="1:17" x14ac:dyDescent="0.35">
      <c r="A23" t="s">
        <v>1</v>
      </c>
      <c r="B23" t="s">
        <v>8</v>
      </c>
      <c r="C23">
        <v>90</v>
      </c>
      <c r="D23">
        <f t="shared" si="0"/>
        <v>158.30784320000001</v>
      </c>
      <c r="E23">
        <f t="shared" si="1"/>
        <v>9.7121376196319016</v>
      </c>
      <c r="F23">
        <v>2.48</v>
      </c>
      <c r="G23">
        <v>4.4400000000000002E-2</v>
      </c>
      <c r="H23">
        <v>2.8</v>
      </c>
      <c r="I23">
        <v>4.4400000000000002E-2</v>
      </c>
      <c r="J23">
        <v>2.8</v>
      </c>
      <c r="K23">
        <v>15.4</v>
      </c>
      <c r="L23">
        <v>15.36</v>
      </c>
      <c r="M23">
        <v>16.3</v>
      </c>
      <c r="N23">
        <v>0.9</v>
      </c>
      <c r="O23">
        <v>31.84</v>
      </c>
      <c r="P23">
        <v>29.42</v>
      </c>
      <c r="Q23">
        <v>169</v>
      </c>
    </row>
    <row r="24" spans="1:17" x14ac:dyDescent="0.35">
      <c r="A24" t="s">
        <v>1</v>
      </c>
      <c r="B24" t="s">
        <v>8</v>
      </c>
      <c r="C24" t="s">
        <v>60</v>
      </c>
      <c r="D24">
        <f t="shared" si="0"/>
        <v>133.40453280000003</v>
      </c>
      <c r="E24">
        <f t="shared" si="1"/>
        <v>9.9555621492537334</v>
      </c>
      <c r="F24">
        <v>1.67</v>
      </c>
      <c r="G24">
        <v>2.3800000000000002E-2</v>
      </c>
      <c r="H24">
        <v>1</v>
      </c>
      <c r="I24">
        <v>1.9900000000000001E-2</v>
      </c>
      <c r="J24">
        <v>2</v>
      </c>
      <c r="K24">
        <v>12.62</v>
      </c>
      <c r="L24">
        <v>12.58</v>
      </c>
      <c r="M24">
        <v>13.4</v>
      </c>
      <c r="N24">
        <v>0.78</v>
      </c>
      <c r="O24">
        <v>29.04</v>
      </c>
      <c r="P24">
        <v>29.26</v>
      </c>
      <c r="Q24">
        <v>157</v>
      </c>
    </row>
    <row r="25" spans="1:17" x14ac:dyDescent="0.35">
      <c r="A25" t="s">
        <v>1</v>
      </c>
      <c r="B25" t="s">
        <v>8</v>
      </c>
      <c r="C25" t="s">
        <v>61</v>
      </c>
      <c r="D25">
        <f t="shared" si="0"/>
        <v>126.056832</v>
      </c>
      <c r="E25">
        <f t="shared" si="1"/>
        <v>9.4779572932330822</v>
      </c>
      <c r="F25">
        <v>1.76</v>
      </c>
      <c r="G25">
        <v>4.0300000000000002E-2</v>
      </c>
      <c r="H25">
        <v>1.9</v>
      </c>
      <c r="I25">
        <v>4.0300000000000002E-2</v>
      </c>
      <c r="J25">
        <v>1.9</v>
      </c>
      <c r="K25">
        <v>12.86</v>
      </c>
      <c r="L25">
        <v>12.67</v>
      </c>
      <c r="M25">
        <v>13.3</v>
      </c>
      <c r="N25">
        <v>0.44</v>
      </c>
      <c r="O25">
        <v>27.13</v>
      </c>
      <c r="P25">
        <v>29.04</v>
      </c>
      <c r="Q25">
        <v>160</v>
      </c>
    </row>
    <row r="26" spans="1:17" x14ac:dyDescent="0.35">
      <c r="A26" t="s">
        <v>1</v>
      </c>
      <c r="B26" t="s">
        <v>8</v>
      </c>
      <c r="C26" t="s">
        <v>62</v>
      </c>
      <c r="K26">
        <v>14.21</v>
      </c>
    </row>
    <row r="27" spans="1:17" x14ac:dyDescent="0.35">
      <c r="A27" t="s">
        <v>1</v>
      </c>
      <c r="B27" t="s">
        <v>12</v>
      </c>
      <c r="C27">
        <v>42</v>
      </c>
      <c r="D27">
        <f t="shared" si="0"/>
        <v>158.88089419999997</v>
      </c>
      <c r="E27">
        <f t="shared" si="1"/>
        <v>9.1838667167630046</v>
      </c>
      <c r="F27">
        <v>5.1100000000000003</v>
      </c>
      <c r="G27">
        <v>0.1</v>
      </c>
      <c r="H27">
        <v>3.2</v>
      </c>
      <c r="I27">
        <v>0.05</v>
      </c>
      <c r="J27">
        <v>7.5</v>
      </c>
      <c r="K27">
        <v>16.510000000000002</v>
      </c>
      <c r="L27">
        <v>16.29</v>
      </c>
      <c r="M27">
        <v>17.3</v>
      </c>
      <c r="N27">
        <v>0.79</v>
      </c>
      <c r="O27">
        <v>31.99</v>
      </c>
      <c r="P27">
        <v>29.74</v>
      </c>
      <c r="Q27">
        <v>167</v>
      </c>
    </row>
    <row r="28" spans="1:17" x14ac:dyDescent="0.35">
      <c r="A28" t="s">
        <v>1</v>
      </c>
      <c r="B28" t="s">
        <v>12</v>
      </c>
      <c r="C28">
        <v>45</v>
      </c>
      <c r="D28">
        <f t="shared" si="0"/>
        <v>152.41057599999996</v>
      </c>
      <c r="E28">
        <f t="shared" si="1"/>
        <v>9.0720580952380931</v>
      </c>
      <c r="F28">
        <v>5.83</v>
      </c>
      <c r="G28">
        <v>9.8400000000000001E-2</v>
      </c>
      <c r="H28">
        <v>2.5</v>
      </c>
      <c r="I28">
        <v>4.9200000000000001E-2</v>
      </c>
      <c r="J28">
        <v>7.4</v>
      </c>
      <c r="K28">
        <v>16.079999999999998</v>
      </c>
      <c r="L28">
        <v>15.86</v>
      </c>
      <c r="M28">
        <v>16.8</v>
      </c>
      <c r="N28">
        <v>0.72</v>
      </c>
      <c r="O28">
        <v>31.4</v>
      </c>
      <c r="P28">
        <v>29.24</v>
      </c>
      <c r="Q28">
        <v>166</v>
      </c>
    </row>
    <row r="29" spans="1:17" x14ac:dyDescent="0.35">
      <c r="A29" t="s">
        <v>1</v>
      </c>
      <c r="B29" t="s">
        <v>12</v>
      </c>
      <c r="C29">
        <v>50</v>
      </c>
      <c r="D29">
        <f t="shared" si="0"/>
        <v>154.35344000000001</v>
      </c>
      <c r="E29">
        <f t="shared" si="1"/>
        <v>9.5871701863354026</v>
      </c>
      <c r="F29">
        <v>5.08</v>
      </c>
      <c r="G29">
        <v>9.11E-2</v>
      </c>
      <c r="H29">
        <v>3.1</v>
      </c>
      <c r="I29">
        <v>4.5600000000000002E-2</v>
      </c>
      <c r="J29">
        <v>12.8</v>
      </c>
      <c r="K29">
        <v>15.35</v>
      </c>
      <c r="L29">
        <v>15.2</v>
      </c>
      <c r="M29">
        <v>16.100000000000001</v>
      </c>
      <c r="N29">
        <v>0.75</v>
      </c>
      <c r="O29">
        <v>31.52</v>
      </c>
      <c r="P29">
        <v>29.5</v>
      </c>
      <c r="Q29">
        <v>166</v>
      </c>
    </row>
    <row r="30" spans="1:17" x14ac:dyDescent="0.35">
      <c r="A30" t="s">
        <v>1</v>
      </c>
      <c r="B30" t="s">
        <v>12</v>
      </c>
      <c r="C30">
        <v>51</v>
      </c>
      <c r="D30">
        <f t="shared" si="0"/>
        <v>154.61505600000001</v>
      </c>
      <c r="E30">
        <f t="shared" si="1"/>
        <v>9.4855862576687127</v>
      </c>
      <c r="F30">
        <v>3.3</v>
      </c>
      <c r="G30">
        <v>8.5699999999999998E-2</v>
      </c>
      <c r="H30">
        <v>2.5</v>
      </c>
      <c r="I30">
        <v>4.2799999999999998E-2</v>
      </c>
      <c r="J30">
        <v>19.8</v>
      </c>
      <c r="K30">
        <v>15.61</v>
      </c>
      <c r="L30">
        <v>15.38</v>
      </c>
      <c r="M30">
        <v>16.3</v>
      </c>
      <c r="N30">
        <v>0.69</v>
      </c>
      <c r="O30">
        <v>31.52</v>
      </c>
      <c r="P30">
        <v>29.55</v>
      </c>
      <c r="Q30">
        <v>166</v>
      </c>
    </row>
    <row r="31" spans="1:17" x14ac:dyDescent="0.35">
      <c r="A31" t="s">
        <v>1</v>
      </c>
      <c r="B31" t="s">
        <v>12</v>
      </c>
      <c r="C31">
        <v>55</v>
      </c>
      <c r="D31">
        <f t="shared" si="0"/>
        <v>158.5356864</v>
      </c>
      <c r="E31">
        <f t="shared" si="1"/>
        <v>9.7861534814814828</v>
      </c>
      <c r="F31">
        <v>6.02</v>
      </c>
      <c r="G31">
        <v>0.108</v>
      </c>
      <c r="H31">
        <v>2.8</v>
      </c>
      <c r="I31">
        <v>5.4100000000000002E-2</v>
      </c>
      <c r="J31">
        <v>3.9</v>
      </c>
      <c r="K31">
        <v>15.51</v>
      </c>
      <c r="L31">
        <v>15.33</v>
      </c>
      <c r="M31">
        <v>16.2</v>
      </c>
      <c r="N31">
        <v>0.69</v>
      </c>
      <c r="O31">
        <v>32.24</v>
      </c>
      <c r="P31">
        <v>29.27</v>
      </c>
      <c r="Q31">
        <v>168</v>
      </c>
    </row>
    <row r="32" spans="1:17" x14ac:dyDescent="0.35">
      <c r="A32" t="s">
        <v>1</v>
      </c>
      <c r="B32" t="s">
        <v>13</v>
      </c>
      <c r="C32">
        <v>62</v>
      </c>
      <c r="D32">
        <f t="shared" si="0"/>
        <v>152.719908</v>
      </c>
      <c r="E32">
        <f t="shared" si="1"/>
        <v>6.8178530357142861</v>
      </c>
      <c r="F32">
        <v>4.7699999999999996</v>
      </c>
      <c r="G32">
        <v>7.7200000000000005E-2</v>
      </c>
      <c r="H32">
        <v>3.8</v>
      </c>
      <c r="I32">
        <v>3.8600000000000002E-2</v>
      </c>
      <c r="J32">
        <v>17.5</v>
      </c>
      <c r="K32">
        <v>21.59</v>
      </c>
      <c r="L32">
        <v>21.08</v>
      </c>
      <c r="M32">
        <v>22.4</v>
      </c>
      <c r="N32">
        <v>0.81</v>
      </c>
      <c r="O32">
        <v>31.28</v>
      </c>
      <c r="P32">
        <v>29.59</v>
      </c>
      <c r="Q32">
        <v>165</v>
      </c>
    </row>
    <row r="33" spans="1:17" x14ac:dyDescent="0.35">
      <c r="A33" t="s">
        <v>1</v>
      </c>
      <c r="B33" t="s">
        <v>13</v>
      </c>
      <c r="C33">
        <v>64</v>
      </c>
      <c r="D33">
        <f t="shared" si="0"/>
        <v>154.35977700000001</v>
      </c>
      <c r="E33">
        <f t="shared" si="1"/>
        <v>7.0163535000000001</v>
      </c>
      <c r="F33">
        <v>4.96</v>
      </c>
      <c r="G33">
        <v>7.4099999999999999E-2</v>
      </c>
      <c r="H33">
        <v>2.2999999999999998</v>
      </c>
      <c r="I33">
        <v>3.6999999999999998E-2</v>
      </c>
      <c r="J33">
        <v>17.5</v>
      </c>
      <c r="K33">
        <v>21.37</v>
      </c>
      <c r="L33">
        <v>20.82</v>
      </c>
      <c r="M33">
        <v>22</v>
      </c>
      <c r="N33">
        <v>0.63</v>
      </c>
      <c r="O33">
        <v>31.33</v>
      </c>
      <c r="P33">
        <v>29.86</v>
      </c>
      <c r="Q33">
        <v>165</v>
      </c>
    </row>
    <row r="34" spans="1:17" x14ac:dyDescent="0.35">
      <c r="A34" t="s">
        <v>1</v>
      </c>
      <c r="B34" t="s">
        <v>13</v>
      </c>
      <c r="C34" t="s">
        <v>63</v>
      </c>
      <c r="D34">
        <f t="shared" si="0"/>
        <v>153.66336000000001</v>
      </c>
      <c r="E34">
        <f t="shared" si="1"/>
        <v>7.248271698113208</v>
      </c>
      <c r="F34">
        <v>4.3899999999999997</v>
      </c>
      <c r="G34">
        <v>6.9400000000000003E-2</v>
      </c>
      <c r="H34">
        <v>2.4</v>
      </c>
      <c r="I34">
        <v>3.4700000000000002E-2</v>
      </c>
      <c r="J34">
        <v>18.600000000000001</v>
      </c>
      <c r="K34">
        <v>20.38</v>
      </c>
      <c r="L34">
        <v>19.97</v>
      </c>
      <c r="M34">
        <v>21.2</v>
      </c>
      <c r="N34">
        <v>0.82</v>
      </c>
      <c r="O34">
        <v>32</v>
      </c>
      <c r="P34">
        <v>29.46</v>
      </c>
      <c r="Q34">
        <v>163</v>
      </c>
    </row>
    <row r="35" spans="1:17" x14ac:dyDescent="0.35">
      <c r="A35" t="s">
        <v>1</v>
      </c>
      <c r="B35" t="s">
        <v>13</v>
      </c>
      <c r="C35">
        <v>67</v>
      </c>
      <c r="D35">
        <f t="shared" si="0"/>
        <v>152.29199700000001</v>
      </c>
      <c r="E35">
        <f t="shared" si="1"/>
        <v>6.8292375336322868</v>
      </c>
      <c r="F35">
        <v>5.25</v>
      </c>
      <c r="G35">
        <v>8.4000000000000005E-2</v>
      </c>
      <c r="H35">
        <v>4.5999999999999996</v>
      </c>
      <c r="I35">
        <v>4.5100000000000001E-2</v>
      </c>
      <c r="J35">
        <v>16.5</v>
      </c>
      <c r="K35">
        <v>19.420000000000002</v>
      </c>
      <c r="L35">
        <v>19.079999999999998</v>
      </c>
      <c r="M35">
        <v>22.3</v>
      </c>
      <c r="N35">
        <v>2.88</v>
      </c>
      <c r="O35">
        <v>31.33</v>
      </c>
      <c r="P35">
        <v>29.46</v>
      </c>
      <c r="Q35">
        <v>165</v>
      </c>
    </row>
    <row r="36" spans="1:17" x14ac:dyDescent="0.35">
      <c r="A36" t="s">
        <v>1</v>
      </c>
      <c r="B36" t="s">
        <v>13</v>
      </c>
      <c r="C36">
        <v>70</v>
      </c>
      <c r="D36">
        <f t="shared" si="0"/>
        <v>148.181805</v>
      </c>
      <c r="E36">
        <f t="shared" si="1"/>
        <v>7.5219190355329948</v>
      </c>
      <c r="F36">
        <v>3.37</v>
      </c>
      <c r="G36">
        <v>8.43E-2</v>
      </c>
      <c r="H36">
        <v>5</v>
      </c>
      <c r="I36">
        <v>4.2200000000000001E-2</v>
      </c>
      <c r="J36">
        <v>11.9</v>
      </c>
      <c r="K36">
        <v>19.12</v>
      </c>
      <c r="L36">
        <v>18.63</v>
      </c>
      <c r="M36">
        <v>19.7</v>
      </c>
      <c r="N36">
        <v>0.57999999999999996</v>
      </c>
      <c r="O36">
        <v>30.85</v>
      </c>
      <c r="P36">
        <v>29.65</v>
      </c>
      <c r="Q36">
        <v>162</v>
      </c>
    </row>
    <row r="37" spans="1:17" x14ac:dyDescent="0.35">
      <c r="A37" t="s">
        <v>1</v>
      </c>
      <c r="B37" t="s">
        <v>14</v>
      </c>
      <c r="C37">
        <v>72</v>
      </c>
      <c r="D37">
        <f t="shared" si="0"/>
        <v>154.10271360000002</v>
      </c>
      <c r="E37">
        <f t="shared" si="1"/>
        <v>9.3395584000000014</v>
      </c>
      <c r="F37">
        <v>2.4500000000000002</v>
      </c>
      <c r="G37">
        <v>4.2599999999999999E-2</v>
      </c>
      <c r="H37">
        <v>2.5</v>
      </c>
      <c r="I37">
        <v>2.1299999999999999E-2</v>
      </c>
      <c r="J37">
        <v>5.7</v>
      </c>
      <c r="K37">
        <v>15.73</v>
      </c>
      <c r="L37">
        <v>15.62</v>
      </c>
      <c r="M37">
        <v>16.5</v>
      </c>
      <c r="N37">
        <v>0.77</v>
      </c>
      <c r="O37">
        <v>32.78</v>
      </c>
      <c r="P37">
        <v>28.32</v>
      </c>
      <c r="Q37">
        <v>166</v>
      </c>
    </row>
    <row r="38" spans="1:17" x14ac:dyDescent="0.35">
      <c r="A38" t="s">
        <v>1</v>
      </c>
      <c r="B38" t="s">
        <v>14</v>
      </c>
      <c r="C38">
        <v>75</v>
      </c>
      <c r="D38">
        <f t="shared" si="0"/>
        <v>153.77080319999999</v>
      </c>
      <c r="E38">
        <f t="shared" si="1"/>
        <v>9.6106751999999993</v>
      </c>
      <c r="F38">
        <v>1.93</v>
      </c>
      <c r="G38">
        <v>3.9E-2</v>
      </c>
      <c r="H38">
        <v>2.6</v>
      </c>
      <c r="I38">
        <v>3.9E-2</v>
      </c>
      <c r="J38">
        <v>2.6</v>
      </c>
      <c r="K38">
        <v>15.19</v>
      </c>
      <c r="L38">
        <v>15.11</v>
      </c>
      <c r="M38">
        <v>16</v>
      </c>
      <c r="N38">
        <v>0.81</v>
      </c>
      <c r="O38">
        <v>32.32</v>
      </c>
      <c r="P38">
        <v>28.32</v>
      </c>
      <c r="Q38">
        <v>168</v>
      </c>
    </row>
    <row r="39" spans="1:17" x14ac:dyDescent="0.35">
      <c r="A39" t="s">
        <v>1</v>
      </c>
      <c r="B39" t="s">
        <v>14</v>
      </c>
      <c r="C39" t="s">
        <v>64</v>
      </c>
      <c r="D39">
        <f t="shared" si="0"/>
        <v>160.81228799999997</v>
      </c>
      <c r="E39">
        <f t="shared" si="1"/>
        <v>9.4042273684210507</v>
      </c>
      <c r="F39">
        <v>1.45</v>
      </c>
      <c r="G39">
        <v>3.2399999999999998E-2</v>
      </c>
      <c r="H39">
        <v>1.9</v>
      </c>
      <c r="I39">
        <v>1.6199999999999999E-2</v>
      </c>
      <c r="J39">
        <v>19.3</v>
      </c>
      <c r="K39">
        <v>16.260000000000002</v>
      </c>
      <c r="L39">
        <v>16.22</v>
      </c>
      <c r="M39">
        <v>17.100000000000001</v>
      </c>
      <c r="N39">
        <v>0.84</v>
      </c>
      <c r="O39">
        <v>33.799999999999997</v>
      </c>
      <c r="P39">
        <v>28.32</v>
      </c>
      <c r="Q39">
        <v>168</v>
      </c>
    </row>
    <row r="40" spans="1:17" x14ac:dyDescent="0.35">
      <c r="A40" t="s">
        <v>1</v>
      </c>
      <c r="B40" t="s">
        <v>14</v>
      </c>
      <c r="C40">
        <v>81</v>
      </c>
      <c r="K40">
        <v>15.35</v>
      </c>
    </row>
    <row r="41" spans="1:17" x14ac:dyDescent="0.35">
      <c r="A41" t="s">
        <v>1</v>
      </c>
      <c r="B41" t="s">
        <v>14</v>
      </c>
      <c r="C41">
        <v>85</v>
      </c>
      <c r="D41">
        <f t="shared" si="0"/>
        <v>158.53325359999999</v>
      </c>
      <c r="E41">
        <f t="shared" si="1"/>
        <v>9.9083283499999997</v>
      </c>
      <c r="F41">
        <v>1.71</v>
      </c>
      <c r="G41">
        <v>3.5700000000000003E-2</v>
      </c>
      <c r="H41">
        <v>2.1</v>
      </c>
      <c r="I41">
        <v>3.2300000000000002E-2</v>
      </c>
      <c r="J41">
        <v>2.7</v>
      </c>
      <c r="K41">
        <v>15.02</v>
      </c>
      <c r="L41">
        <v>15.05</v>
      </c>
      <c r="M41">
        <v>16</v>
      </c>
      <c r="N41">
        <v>0.98</v>
      </c>
      <c r="O41">
        <v>33.08</v>
      </c>
      <c r="P41">
        <v>28.87</v>
      </c>
      <c r="Q41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6CE6-3A5A-456D-818A-29D0D5D091E0}">
  <dimension ref="A1:K74"/>
  <sheetViews>
    <sheetView topLeftCell="A31" zoomScale="85" zoomScaleNormal="85" workbookViewId="0">
      <selection activeCell="P7" sqref="P7"/>
    </sheetView>
  </sheetViews>
  <sheetFormatPr defaultRowHeight="14.5" x14ac:dyDescent="0.35"/>
  <cols>
    <col min="1" max="1" width="10.7265625" customWidth="1"/>
    <col min="2" max="2" width="10.26953125" customWidth="1"/>
    <col min="3" max="3" width="10.81640625" customWidth="1"/>
    <col min="5" max="5" width="10" customWidth="1"/>
  </cols>
  <sheetData>
    <row r="1" spans="1:11" x14ac:dyDescent="0.35">
      <c r="A1" t="s">
        <v>2</v>
      </c>
      <c r="B1" t="s">
        <v>3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59</v>
      </c>
      <c r="J1" t="s">
        <v>57</v>
      </c>
      <c r="K1" t="s">
        <v>58</v>
      </c>
    </row>
    <row r="2" spans="1:11" x14ac:dyDescent="0.35">
      <c r="A2" t="s">
        <v>1</v>
      </c>
      <c r="B2" t="s">
        <v>4</v>
      </c>
      <c r="C2">
        <v>21</v>
      </c>
      <c r="D2">
        <v>1.68</v>
      </c>
      <c r="E2">
        <v>0.19900000000000001</v>
      </c>
      <c r="F2">
        <f>G2/H2</f>
        <v>0.20551536500696618</v>
      </c>
      <c r="G2">
        <v>5.3</v>
      </c>
      <c r="H2">
        <f>(I2*J2*K2)/1000</f>
        <v>25.788826055999998</v>
      </c>
      <c r="I2">
        <v>29.58</v>
      </c>
      <c r="J2">
        <v>28.84</v>
      </c>
      <c r="K2">
        <v>30.23</v>
      </c>
    </row>
    <row r="3" spans="1:11" x14ac:dyDescent="0.35">
      <c r="A3" t="s">
        <v>1</v>
      </c>
      <c r="B3" t="s">
        <v>4</v>
      </c>
      <c r="C3">
        <v>27</v>
      </c>
      <c r="D3">
        <v>1.96</v>
      </c>
      <c r="E3">
        <v>0.17100000000000001</v>
      </c>
      <c r="F3">
        <f t="shared" ref="F3:F66" si="0">G3/H3</f>
        <v>0.20292959908903715</v>
      </c>
      <c r="G3">
        <v>5.2</v>
      </c>
      <c r="H3">
        <f t="shared" ref="H3:H66" si="1">(I3*J3*K3)/1000</f>
        <v>25.624650240000001</v>
      </c>
      <c r="I3">
        <v>29.54</v>
      </c>
      <c r="J3">
        <v>30.12</v>
      </c>
      <c r="K3">
        <v>28.8</v>
      </c>
    </row>
    <row r="4" spans="1:11" x14ac:dyDescent="0.35">
      <c r="A4" t="s">
        <v>1</v>
      </c>
      <c r="B4" t="s">
        <v>4</v>
      </c>
      <c r="C4">
        <v>193</v>
      </c>
      <c r="D4">
        <v>2.3199999999999998</v>
      </c>
      <c r="E4">
        <v>0.2</v>
      </c>
      <c r="F4">
        <f t="shared" si="0"/>
        <v>0.20884064438577205</v>
      </c>
      <c r="G4">
        <v>5.4</v>
      </c>
      <c r="H4">
        <f t="shared" si="1"/>
        <v>25.857035712000002</v>
      </c>
      <c r="I4">
        <v>30.08</v>
      </c>
      <c r="J4">
        <v>30.13</v>
      </c>
      <c r="K4">
        <v>28.53</v>
      </c>
    </row>
    <row r="5" spans="1:11" x14ac:dyDescent="0.35">
      <c r="A5" t="s">
        <v>1</v>
      </c>
      <c r="B5" t="s">
        <v>4</v>
      </c>
      <c r="C5">
        <v>74</v>
      </c>
      <c r="D5">
        <v>2.02</v>
      </c>
      <c r="E5">
        <v>0.17599999999999999</v>
      </c>
      <c r="F5">
        <f t="shared" si="0"/>
        <v>0.20437140876495519</v>
      </c>
      <c r="G5">
        <v>5.4</v>
      </c>
      <c r="H5">
        <f t="shared" si="1"/>
        <v>26.422482638999998</v>
      </c>
      <c r="I5">
        <v>29.49</v>
      </c>
      <c r="J5">
        <v>30.59</v>
      </c>
      <c r="K5">
        <v>29.29</v>
      </c>
    </row>
    <row r="6" spans="1:11" x14ac:dyDescent="0.35">
      <c r="A6" t="s">
        <v>1</v>
      </c>
      <c r="B6" t="s">
        <v>4</v>
      </c>
      <c r="C6">
        <v>80</v>
      </c>
      <c r="D6">
        <v>2.7</v>
      </c>
      <c r="E6">
        <v>0.22900000000000001</v>
      </c>
      <c r="F6">
        <f t="shared" si="0"/>
        <v>0.21181853103990597</v>
      </c>
      <c r="G6">
        <v>5.3</v>
      </c>
      <c r="H6">
        <f t="shared" si="1"/>
        <v>25.021417975000006</v>
      </c>
      <c r="I6">
        <v>29.35</v>
      </c>
      <c r="J6">
        <v>30.05</v>
      </c>
      <c r="K6">
        <v>28.37</v>
      </c>
    </row>
    <row r="7" spans="1:11" x14ac:dyDescent="0.35">
      <c r="A7" t="s">
        <v>1</v>
      </c>
      <c r="B7" t="s">
        <v>5</v>
      </c>
      <c r="C7">
        <v>61</v>
      </c>
      <c r="D7">
        <v>1.74</v>
      </c>
      <c r="E7">
        <v>0.184</v>
      </c>
      <c r="F7">
        <f t="shared" si="0"/>
        <v>0.14836989945719423</v>
      </c>
      <c r="G7">
        <v>3.8</v>
      </c>
      <c r="H7">
        <f t="shared" si="1"/>
        <v>25.611663915000001</v>
      </c>
      <c r="I7">
        <v>28.89</v>
      </c>
      <c r="J7">
        <v>30.35</v>
      </c>
      <c r="K7">
        <v>29.21</v>
      </c>
    </row>
    <row r="8" spans="1:11" x14ac:dyDescent="0.35">
      <c r="A8" t="s">
        <v>1</v>
      </c>
      <c r="B8" t="s">
        <v>5</v>
      </c>
      <c r="C8">
        <v>37</v>
      </c>
      <c r="D8">
        <v>1.34</v>
      </c>
      <c r="E8" t="s">
        <v>68</v>
      </c>
      <c r="F8">
        <f t="shared" si="0"/>
        <v>0.14086650034194201</v>
      </c>
      <c r="G8">
        <v>3.8</v>
      </c>
      <c r="H8">
        <f t="shared" si="1"/>
        <v>26.975895552000001</v>
      </c>
      <c r="I8">
        <v>29.52</v>
      </c>
      <c r="J8">
        <v>31.04</v>
      </c>
      <c r="K8">
        <v>29.44</v>
      </c>
    </row>
    <row r="9" spans="1:11" x14ac:dyDescent="0.35">
      <c r="A9" t="s">
        <v>1</v>
      </c>
      <c r="B9" t="s">
        <v>5</v>
      </c>
      <c r="C9">
        <v>43</v>
      </c>
      <c r="D9">
        <v>0.78600000000000003</v>
      </c>
      <c r="E9" t="s">
        <v>68</v>
      </c>
      <c r="F9">
        <f t="shared" si="0"/>
        <v>0.14845567506875759</v>
      </c>
      <c r="G9">
        <v>4</v>
      </c>
      <c r="H9">
        <f t="shared" si="1"/>
        <v>26.944069319999997</v>
      </c>
      <c r="I9">
        <v>29.8</v>
      </c>
      <c r="J9">
        <v>30.66</v>
      </c>
      <c r="K9">
        <v>29.49</v>
      </c>
    </row>
    <row r="10" spans="1:11" x14ac:dyDescent="0.35">
      <c r="A10" t="s">
        <v>1</v>
      </c>
      <c r="B10" t="s">
        <v>5</v>
      </c>
      <c r="C10">
        <v>49</v>
      </c>
      <c r="D10">
        <v>1.76</v>
      </c>
      <c r="E10">
        <v>0.13800000000000001</v>
      </c>
      <c r="F10">
        <f t="shared" si="0"/>
        <v>0.14018119641713855</v>
      </c>
      <c r="G10">
        <v>3.7</v>
      </c>
      <c r="H10">
        <f t="shared" si="1"/>
        <v>26.394410195999999</v>
      </c>
      <c r="I10">
        <v>28.98</v>
      </c>
      <c r="J10">
        <v>30.78</v>
      </c>
      <c r="K10">
        <v>29.59</v>
      </c>
    </row>
    <row r="11" spans="1:11" x14ac:dyDescent="0.35">
      <c r="A11" t="s">
        <v>1</v>
      </c>
      <c r="B11" t="s">
        <v>5</v>
      </c>
      <c r="C11">
        <v>55</v>
      </c>
      <c r="D11">
        <v>1.5</v>
      </c>
      <c r="E11" t="s">
        <v>68</v>
      </c>
      <c r="F11">
        <f t="shared" si="0"/>
        <v>0.14546184987728389</v>
      </c>
      <c r="G11">
        <v>3.9</v>
      </c>
      <c r="H11">
        <f t="shared" si="1"/>
        <v>26.811153600000004</v>
      </c>
      <c r="I11">
        <v>28.92</v>
      </c>
      <c r="J11">
        <v>30.8</v>
      </c>
      <c r="K11">
        <v>30.1</v>
      </c>
    </row>
    <row r="12" spans="1:11" x14ac:dyDescent="0.35">
      <c r="A12" t="s">
        <v>1</v>
      </c>
      <c r="B12" t="s">
        <v>6</v>
      </c>
      <c r="C12">
        <v>56</v>
      </c>
      <c r="D12">
        <v>0.85799999999999998</v>
      </c>
      <c r="E12">
        <v>7.8299999999999995E-2</v>
      </c>
      <c r="F12">
        <f t="shared" si="0"/>
        <v>0.17995377887189676</v>
      </c>
      <c r="G12">
        <v>4.8</v>
      </c>
      <c r="H12">
        <f t="shared" si="1"/>
        <v>26.673515999999999</v>
      </c>
      <c r="I12">
        <v>30.84</v>
      </c>
      <c r="J12">
        <v>30</v>
      </c>
      <c r="K12">
        <v>28.83</v>
      </c>
    </row>
    <row r="13" spans="1:11" x14ac:dyDescent="0.35">
      <c r="A13" t="s">
        <v>1</v>
      </c>
      <c r="B13" t="s">
        <v>6</v>
      </c>
      <c r="C13">
        <v>67</v>
      </c>
      <c r="D13">
        <v>0.79900000000000004</v>
      </c>
      <c r="E13">
        <v>7.4200000000000002E-2</v>
      </c>
      <c r="F13">
        <f t="shared" si="0"/>
        <v>0.17126959659124108</v>
      </c>
      <c r="G13">
        <v>4.8</v>
      </c>
      <c r="H13">
        <f t="shared" si="1"/>
        <v>28.025989992</v>
      </c>
      <c r="I13">
        <v>30.74</v>
      </c>
      <c r="J13">
        <v>30.36</v>
      </c>
      <c r="K13">
        <v>30.03</v>
      </c>
    </row>
    <row r="14" spans="1:11" x14ac:dyDescent="0.35">
      <c r="A14" t="s">
        <v>1</v>
      </c>
      <c r="B14" t="s">
        <v>6</v>
      </c>
      <c r="C14">
        <v>198</v>
      </c>
      <c r="D14">
        <v>1.77</v>
      </c>
      <c r="E14">
        <v>0.124</v>
      </c>
      <c r="F14">
        <f t="shared" si="0"/>
        <v>0.1782042210348124</v>
      </c>
      <c r="G14">
        <v>4.7</v>
      </c>
      <c r="H14">
        <f t="shared" si="1"/>
        <v>26.374234979999997</v>
      </c>
      <c r="I14">
        <v>29.22</v>
      </c>
      <c r="J14">
        <v>30.35</v>
      </c>
      <c r="K14">
        <v>29.74</v>
      </c>
    </row>
    <row r="15" spans="1:11" x14ac:dyDescent="0.35">
      <c r="A15" t="s">
        <v>1</v>
      </c>
      <c r="B15" t="s">
        <v>6</v>
      </c>
      <c r="C15">
        <v>84</v>
      </c>
      <c r="D15">
        <v>0.94699999999999995</v>
      </c>
      <c r="E15">
        <v>9.1300000000000006E-2</v>
      </c>
      <c r="F15">
        <f t="shared" si="0"/>
        <v>0.19637663946023345</v>
      </c>
      <c r="G15">
        <v>4.9000000000000004</v>
      </c>
      <c r="H15">
        <f t="shared" si="1"/>
        <v>24.952051392000001</v>
      </c>
      <c r="I15">
        <v>28.48</v>
      </c>
      <c r="J15">
        <v>30.18</v>
      </c>
      <c r="K15">
        <v>29.03</v>
      </c>
    </row>
    <row r="16" spans="1:11" x14ac:dyDescent="0.35">
      <c r="A16" t="s">
        <v>1</v>
      </c>
      <c r="B16" t="s">
        <v>6</v>
      </c>
      <c r="C16">
        <v>90</v>
      </c>
      <c r="D16">
        <v>1.1000000000000001</v>
      </c>
      <c r="E16">
        <v>9.7900000000000001E-2</v>
      </c>
      <c r="F16">
        <f t="shared" si="0"/>
        <v>0.1824253843217577</v>
      </c>
      <c r="G16">
        <v>4.7</v>
      </c>
      <c r="H16">
        <f t="shared" si="1"/>
        <v>25.763958329999998</v>
      </c>
      <c r="I16">
        <v>29.65</v>
      </c>
      <c r="J16">
        <v>30.14</v>
      </c>
      <c r="K16">
        <v>28.83</v>
      </c>
    </row>
    <row r="17" spans="1:11" x14ac:dyDescent="0.35">
      <c r="A17" t="s">
        <v>1</v>
      </c>
      <c r="B17" t="s">
        <v>7</v>
      </c>
      <c r="C17">
        <v>31</v>
      </c>
      <c r="D17">
        <v>1.19</v>
      </c>
      <c r="E17">
        <v>0.14299999999999999</v>
      </c>
      <c r="F17">
        <f t="shared" si="0"/>
        <v>0.20632659800916248</v>
      </c>
      <c r="G17">
        <v>5.0999999999999996</v>
      </c>
      <c r="H17">
        <f t="shared" si="1"/>
        <v>24.718092816000002</v>
      </c>
      <c r="I17">
        <v>28.64</v>
      </c>
      <c r="J17">
        <v>29.73</v>
      </c>
      <c r="K17">
        <v>29.03</v>
      </c>
    </row>
    <row r="18" spans="1:11" x14ac:dyDescent="0.35">
      <c r="A18" t="s">
        <v>1</v>
      </c>
      <c r="B18" t="s">
        <v>7</v>
      </c>
      <c r="C18">
        <v>2</v>
      </c>
      <c r="D18">
        <v>1.89</v>
      </c>
      <c r="E18">
        <v>0.14799999999999999</v>
      </c>
      <c r="F18">
        <f t="shared" si="0"/>
        <v>0.20678674378855727</v>
      </c>
      <c r="G18">
        <v>5.5</v>
      </c>
      <c r="H18">
        <f t="shared" si="1"/>
        <v>26.597449619999999</v>
      </c>
      <c r="I18">
        <v>30.15</v>
      </c>
      <c r="J18">
        <v>30.17</v>
      </c>
      <c r="K18">
        <v>29.24</v>
      </c>
    </row>
    <row r="19" spans="1:11" x14ac:dyDescent="0.35">
      <c r="A19" t="s">
        <v>1</v>
      </c>
      <c r="B19" t="s">
        <v>7</v>
      </c>
      <c r="C19">
        <v>8</v>
      </c>
      <c r="D19">
        <v>2.09</v>
      </c>
      <c r="E19">
        <v>0.20399999999999999</v>
      </c>
      <c r="F19">
        <f t="shared" si="0"/>
        <v>0.22591027237539918</v>
      </c>
      <c r="G19">
        <v>5.9</v>
      </c>
      <c r="H19">
        <f t="shared" si="1"/>
        <v>26.116563616000001</v>
      </c>
      <c r="I19">
        <v>29.71</v>
      </c>
      <c r="J19">
        <v>29.92</v>
      </c>
      <c r="K19">
        <v>29.38</v>
      </c>
    </row>
    <row r="20" spans="1:11" x14ac:dyDescent="0.35">
      <c r="A20" t="s">
        <v>1</v>
      </c>
      <c r="B20" t="s">
        <v>7</v>
      </c>
      <c r="C20">
        <v>14</v>
      </c>
      <c r="D20">
        <v>1.77</v>
      </c>
      <c r="E20">
        <v>0.156</v>
      </c>
      <c r="F20">
        <f t="shared" si="0"/>
        <v>0.21695219765349469</v>
      </c>
      <c r="G20">
        <v>5.8</v>
      </c>
      <c r="H20">
        <f t="shared" si="1"/>
        <v>26.73399976</v>
      </c>
      <c r="I20">
        <v>30.68</v>
      </c>
      <c r="J20">
        <v>29.74</v>
      </c>
      <c r="K20">
        <v>29.3</v>
      </c>
    </row>
    <row r="21" spans="1:11" x14ac:dyDescent="0.35">
      <c r="A21" t="s">
        <v>1</v>
      </c>
      <c r="B21" t="s">
        <v>7</v>
      </c>
      <c r="C21">
        <v>20</v>
      </c>
      <c r="D21">
        <v>1.9</v>
      </c>
      <c r="E21">
        <v>0.15</v>
      </c>
      <c r="F21">
        <f t="shared" si="0"/>
        <v>0.21229454595101013</v>
      </c>
      <c r="G21">
        <v>5.5</v>
      </c>
      <c r="H21">
        <f t="shared" si="1"/>
        <v>25.907401319999998</v>
      </c>
      <c r="I21">
        <v>29.99</v>
      </c>
      <c r="J21">
        <v>29.84</v>
      </c>
      <c r="K21">
        <v>28.95</v>
      </c>
    </row>
    <row r="22" spans="1:11" x14ac:dyDescent="0.35">
      <c r="A22" t="s">
        <v>1</v>
      </c>
      <c r="B22" t="s">
        <v>8</v>
      </c>
      <c r="C22">
        <v>251</v>
      </c>
      <c r="D22">
        <v>0.249</v>
      </c>
      <c r="E22">
        <v>2.46E-2</v>
      </c>
      <c r="F22">
        <f t="shared" si="0"/>
        <v>0.1009270334739595</v>
      </c>
      <c r="G22">
        <v>2.5</v>
      </c>
      <c r="H22">
        <f t="shared" si="1"/>
        <v>24.770370375000002</v>
      </c>
      <c r="I22">
        <v>30.75</v>
      </c>
      <c r="J22">
        <v>29.67</v>
      </c>
      <c r="K22">
        <v>27.15</v>
      </c>
    </row>
    <row r="23" spans="1:11" x14ac:dyDescent="0.35">
      <c r="A23" t="s">
        <v>1</v>
      </c>
      <c r="B23" t="s">
        <v>8</v>
      </c>
      <c r="C23">
        <v>257</v>
      </c>
      <c r="D23">
        <v>0.19800000000000001</v>
      </c>
      <c r="E23" t="s">
        <v>68</v>
      </c>
      <c r="F23">
        <f t="shared" si="0"/>
        <v>0.10098637211591389</v>
      </c>
      <c r="G23">
        <v>2.6</v>
      </c>
      <c r="H23">
        <f t="shared" si="1"/>
        <v>25.746048159999997</v>
      </c>
      <c r="I23">
        <v>31.15</v>
      </c>
      <c r="J23">
        <v>28.54</v>
      </c>
      <c r="K23">
        <v>28.96</v>
      </c>
    </row>
    <row r="24" spans="1:11" x14ac:dyDescent="0.35">
      <c r="A24" t="s">
        <v>1</v>
      </c>
      <c r="B24" t="s">
        <v>8</v>
      </c>
      <c r="C24" t="s">
        <v>9</v>
      </c>
      <c r="D24">
        <v>0.182</v>
      </c>
      <c r="E24">
        <v>1.9E-2</v>
      </c>
      <c r="F24">
        <f t="shared" si="0"/>
        <v>0.10402898080958987</v>
      </c>
      <c r="G24">
        <v>2.6</v>
      </c>
      <c r="H24">
        <f t="shared" si="1"/>
        <v>24.993035399999997</v>
      </c>
      <c r="I24">
        <v>28.24</v>
      </c>
      <c r="J24">
        <v>29.95</v>
      </c>
      <c r="K24">
        <v>29.55</v>
      </c>
    </row>
    <row r="25" spans="1:11" x14ac:dyDescent="0.35">
      <c r="A25" t="s">
        <v>1</v>
      </c>
      <c r="B25" t="s">
        <v>8</v>
      </c>
      <c r="C25" t="s">
        <v>10</v>
      </c>
      <c r="D25">
        <v>0.35199999999999998</v>
      </c>
      <c r="E25" t="s">
        <v>68</v>
      </c>
      <c r="F25">
        <f t="shared" si="0"/>
        <v>0.1045962363693041</v>
      </c>
      <c r="G25">
        <v>2.6</v>
      </c>
      <c r="H25">
        <f t="shared" si="1"/>
        <v>24.857490960000003</v>
      </c>
      <c r="I25">
        <v>29.79</v>
      </c>
      <c r="J25">
        <v>28.19</v>
      </c>
      <c r="K25">
        <v>29.6</v>
      </c>
    </row>
    <row r="26" spans="1:11" x14ac:dyDescent="0.35">
      <c r="A26" t="s">
        <v>1</v>
      </c>
      <c r="B26" t="s">
        <v>8</v>
      </c>
      <c r="C26" t="s">
        <v>11</v>
      </c>
      <c r="D26">
        <v>0.13400000000000001</v>
      </c>
      <c r="E26">
        <v>1.3299999999999999E-2</v>
      </c>
      <c r="F26">
        <f t="shared" si="0"/>
        <v>9.3426978749341777E-2</v>
      </c>
      <c r="G26">
        <v>2</v>
      </c>
      <c r="H26">
        <f t="shared" si="1"/>
        <v>21.407092755999997</v>
      </c>
      <c r="I26">
        <v>26.71</v>
      </c>
      <c r="J26">
        <v>27.79</v>
      </c>
      <c r="K26">
        <v>28.84</v>
      </c>
    </row>
    <row r="27" spans="1:11" x14ac:dyDescent="0.35">
      <c r="A27" t="s">
        <v>1</v>
      </c>
      <c r="B27" t="s">
        <v>12</v>
      </c>
      <c r="C27">
        <v>201</v>
      </c>
      <c r="D27">
        <v>0.58699999999999997</v>
      </c>
      <c r="E27">
        <v>5.62E-2</v>
      </c>
      <c r="F27">
        <f t="shared" si="0"/>
        <v>0.10792566601190216</v>
      </c>
      <c r="G27">
        <v>3</v>
      </c>
      <c r="H27">
        <f t="shared" si="1"/>
        <v>27.796909769999999</v>
      </c>
      <c r="I27">
        <v>30.49</v>
      </c>
      <c r="J27">
        <v>30.45</v>
      </c>
      <c r="K27">
        <v>29.94</v>
      </c>
    </row>
    <row r="28" spans="1:11" x14ac:dyDescent="0.35">
      <c r="A28" t="s">
        <v>1</v>
      </c>
      <c r="B28" t="s">
        <v>12</v>
      </c>
      <c r="C28">
        <v>208</v>
      </c>
      <c r="D28">
        <v>0.54700000000000004</v>
      </c>
      <c r="E28">
        <v>6.9699999999999998E-2</v>
      </c>
      <c r="F28">
        <f t="shared" si="0"/>
        <v>0.12921089589959031</v>
      </c>
      <c r="G28">
        <v>3.3</v>
      </c>
      <c r="H28">
        <f t="shared" si="1"/>
        <v>25.539641816</v>
      </c>
      <c r="I28">
        <v>29.17</v>
      </c>
      <c r="J28">
        <v>30.16</v>
      </c>
      <c r="K28">
        <v>29.03</v>
      </c>
    </row>
    <row r="29" spans="1:11" x14ac:dyDescent="0.35">
      <c r="A29" t="s">
        <v>1</v>
      </c>
      <c r="B29" t="s">
        <v>12</v>
      </c>
      <c r="C29">
        <v>212</v>
      </c>
      <c r="D29">
        <v>0.63700000000000001</v>
      </c>
      <c r="E29" t="s">
        <v>68</v>
      </c>
      <c r="F29">
        <f t="shared" si="0"/>
        <v>9.904410334878018E-2</v>
      </c>
      <c r="G29">
        <v>2.7</v>
      </c>
      <c r="H29">
        <f t="shared" si="1"/>
        <v>27.260583</v>
      </c>
      <c r="I29">
        <v>30.73</v>
      </c>
      <c r="J29">
        <v>30</v>
      </c>
      <c r="K29">
        <v>29.57</v>
      </c>
    </row>
    <row r="30" spans="1:11" x14ac:dyDescent="0.35">
      <c r="A30" t="s">
        <v>1</v>
      </c>
      <c r="B30" t="s">
        <v>12</v>
      </c>
      <c r="C30">
        <v>231</v>
      </c>
      <c r="D30">
        <v>0.82199999999999995</v>
      </c>
      <c r="E30" t="s">
        <v>68</v>
      </c>
      <c r="F30">
        <f t="shared" si="0"/>
        <v>0.10710032563749053</v>
      </c>
      <c r="G30">
        <v>3</v>
      </c>
      <c r="H30">
        <f t="shared" si="1"/>
        <v>28.011119313999998</v>
      </c>
      <c r="I30">
        <v>31.61</v>
      </c>
      <c r="J30">
        <v>30.41</v>
      </c>
      <c r="K30">
        <v>29.14</v>
      </c>
    </row>
    <row r="31" spans="1:11" x14ac:dyDescent="0.35">
      <c r="A31" t="s">
        <v>1</v>
      </c>
      <c r="B31" t="s">
        <v>12</v>
      </c>
      <c r="C31">
        <v>242</v>
      </c>
      <c r="D31">
        <v>0.71499999999999997</v>
      </c>
      <c r="E31" t="s">
        <v>68</v>
      </c>
      <c r="F31">
        <f t="shared" si="0"/>
        <v>0.11446243763900305</v>
      </c>
      <c r="G31">
        <v>3.1</v>
      </c>
      <c r="H31">
        <f t="shared" si="1"/>
        <v>27.083120575999999</v>
      </c>
      <c r="I31">
        <v>30.49</v>
      </c>
      <c r="J31">
        <v>30.08</v>
      </c>
      <c r="K31">
        <v>29.53</v>
      </c>
    </row>
    <row r="32" spans="1:11" x14ac:dyDescent="0.35">
      <c r="A32" t="s">
        <v>1</v>
      </c>
      <c r="B32" t="s">
        <v>13</v>
      </c>
      <c r="C32">
        <v>101</v>
      </c>
      <c r="D32">
        <v>0.46899999999999997</v>
      </c>
      <c r="E32">
        <v>6.1899999999999997E-2</v>
      </c>
      <c r="F32">
        <f t="shared" si="0"/>
        <v>0.13438017188384282</v>
      </c>
      <c r="G32">
        <v>3.6</v>
      </c>
      <c r="H32">
        <f t="shared" si="1"/>
        <v>26.789666582000002</v>
      </c>
      <c r="I32">
        <v>31.22</v>
      </c>
      <c r="J32">
        <v>29.93</v>
      </c>
      <c r="K32">
        <v>28.67</v>
      </c>
    </row>
    <row r="33" spans="1:11" x14ac:dyDescent="0.35">
      <c r="A33" t="s">
        <v>1</v>
      </c>
      <c r="B33" t="s">
        <v>13</v>
      </c>
      <c r="C33">
        <v>152</v>
      </c>
      <c r="D33">
        <v>0.68600000000000005</v>
      </c>
      <c r="E33" t="s">
        <v>68</v>
      </c>
      <c r="F33">
        <f t="shared" si="0"/>
        <v>0.1247241722703025</v>
      </c>
      <c r="G33">
        <v>3.5</v>
      </c>
      <c r="H33">
        <f t="shared" si="1"/>
        <v>28.06192205</v>
      </c>
      <c r="I33">
        <v>31.18</v>
      </c>
      <c r="J33">
        <v>30.05</v>
      </c>
      <c r="K33">
        <v>29.95</v>
      </c>
    </row>
    <row r="34" spans="1:11" x14ac:dyDescent="0.35">
      <c r="A34" t="s">
        <v>1</v>
      </c>
      <c r="B34" t="s">
        <v>13</v>
      </c>
      <c r="C34">
        <v>172</v>
      </c>
      <c r="D34">
        <v>0.68300000000000005</v>
      </c>
      <c r="E34">
        <v>5.4899999999999997E-2</v>
      </c>
      <c r="F34">
        <f t="shared" si="0"/>
        <v>0.13697171467842004</v>
      </c>
      <c r="G34">
        <v>3.7</v>
      </c>
      <c r="H34">
        <f t="shared" si="1"/>
        <v>27.012876408</v>
      </c>
      <c r="I34">
        <v>31.41</v>
      </c>
      <c r="J34">
        <v>29.82</v>
      </c>
      <c r="K34">
        <v>28.84</v>
      </c>
    </row>
    <row r="35" spans="1:11" x14ac:dyDescent="0.35">
      <c r="A35" t="s">
        <v>1</v>
      </c>
      <c r="B35" t="s">
        <v>13</v>
      </c>
      <c r="C35">
        <v>164</v>
      </c>
      <c r="D35">
        <v>0.497</v>
      </c>
      <c r="E35">
        <v>5.5100000000000003E-2</v>
      </c>
      <c r="F35">
        <f t="shared" si="0"/>
        <v>0.13595104417391679</v>
      </c>
      <c r="G35">
        <v>4</v>
      </c>
      <c r="H35">
        <f t="shared" si="1"/>
        <v>29.422355850999999</v>
      </c>
      <c r="I35">
        <v>33.07</v>
      </c>
      <c r="J35">
        <v>30.19</v>
      </c>
      <c r="K35">
        <v>29.47</v>
      </c>
    </row>
    <row r="36" spans="1:11" x14ac:dyDescent="0.35">
      <c r="A36" t="s">
        <v>1</v>
      </c>
      <c r="B36" t="s">
        <v>13</v>
      </c>
      <c r="C36">
        <v>187</v>
      </c>
      <c r="D36">
        <v>0.53200000000000003</v>
      </c>
      <c r="E36">
        <v>5.91E-2</v>
      </c>
      <c r="F36">
        <f t="shared" si="0"/>
        <v>0.13194726182061581</v>
      </c>
      <c r="G36">
        <v>3.7</v>
      </c>
      <c r="H36">
        <f t="shared" si="1"/>
        <v>28.041506500000001</v>
      </c>
      <c r="I36">
        <v>32.049999999999997</v>
      </c>
      <c r="J36">
        <v>30.17</v>
      </c>
      <c r="K36">
        <v>29</v>
      </c>
    </row>
    <row r="37" spans="1:11" x14ac:dyDescent="0.35">
      <c r="A37" t="s">
        <v>1</v>
      </c>
      <c r="B37" t="s">
        <v>14</v>
      </c>
      <c r="C37">
        <v>92</v>
      </c>
      <c r="D37">
        <v>0.47299999999999998</v>
      </c>
      <c r="E37">
        <v>4.4600000000000001E-2</v>
      </c>
      <c r="F37">
        <f t="shared" si="0"/>
        <v>0.10404380772474632</v>
      </c>
      <c r="G37">
        <v>2.9</v>
      </c>
      <c r="H37">
        <f t="shared" si="1"/>
        <v>27.872874545999998</v>
      </c>
      <c r="I37">
        <v>32.729999999999997</v>
      </c>
      <c r="J37">
        <v>29.59</v>
      </c>
      <c r="K37">
        <v>28.78</v>
      </c>
    </row>
    <row r="38" spans="1:11" x14ac:dyDescent="0.35">
      <c r="A38" t="s">
        <v>1</v>
      </c>
      <c r="B38" t="s">
        <v>14</v>
      </c>
      <c r="C38">
        <v>134</v>
      </c>
      <c r="D38">
        <v>0.24</v>
      </c>
      <c r="E38">
        <v>2.2800000000000001E-2</v>
      </c>
      <c r="F38">
        <f t="shared" si="0"/>
        <v>9.973204669655221E-2</v>
      </c>
      <c r="G38">
        <v>2.7</v>
      </c>
      <c r="H38">
        <f t="shared" si="1"/>
        <v>27.072541770000001</v>
      </c>
      <c r="I38">
        <v>32.020000000000003</v>
      </c>
      <c r="J38">
        <v>29.95</v>
      </c>
      <c r="K38">
        <v>28.23</v>
      </c>
    </row>
    <row r="39" spans="1:11" x14ac:dyDescent="0.35">
      <c r="A39" t="s">
        <v>1</v>
      </c>
      <c r="B39" t="s">
        <v>14</v>
      </c>
      <c r="C39">
        <v>99</v>
      </c>
      <c r="D39">
        <v>0.35699999999999998</v>
      </c>
      <c r="E39" t="s">
        <v>68</v>
      </c>
      <c r="F39">
        <f t="shared" si="0"/>
        <v>9.6196235110228748E-2</v>
      </c>
      <c r="G39">
        <v>2.6</v>
      </c>
      <c r="H39">
        <f t="shared" si="1"/>
        <v>27.028084800000002</v>
      </c>
      <c r="I39">
        <v>32.32</v>
      </c>
      <c r="J39">
        <v>29.55</v>
      </c>
      <c r="K39">
        <v>28.3</v>
      </c>
    </row>
    <row r="40" spans="1:11" x14ac:dyDescent="0.35">
      <c r="A40" t="s">
        <v>1</v>
      </c>
      <c r="B40" t="s">
        <v>14</v>
      </c>
      <c r="C40">
        <v>139</v>
      </c>
      <c r="D40">
        <v>0.318</v>
      </c>
      <c r="E40">
        <v>2.9899999999999999E-2</v>
      </c>
      <c r="F40">
        <f t="shared" si="0"/>
        <v>0.10026089313110441</v>
      </c>
      <c r="G40">
        <v>2.8</v>
      </c>
      <c r="H40">
        <f t="shared" si="1"/>
        <v>27.927140009999999</v>
      </c>
      <c r="I40">
        <v>32.619999999999997</v>
      </c>
      <c r="J40">
        <v>29.37</v>
      </c>
      <c r="K40">
        <v>29.15</v>
      </c>
    </row>
    <row r="41" spans="1:11" x14ac:dyDescent="0.35">
      <c r="A41" t="s">
        <v>1</v>
      </c>
      <c r="B41" t="s">
        <v>14</v>
      </c>
      <c r="C41">
        <v>130</v>
      </c>
      <c r="D41">
        <v>0.32200000000000001</v>
      </c>
      <c r="E41" t="s">
        <v>68</v>
      </c>
      <c r="F41">
        <f t="shared" si="0"/>
        <v>9.1206721238857008E-2</v>
      </c>
      <c r="G41">
        <v>2.5</v>
      </c>
      <c r="H41">
        <f t="shared" si="1"/>
        <v>27.410260625999999</v>
      </c>
      <c r="I41">
        <v>32.270000000000003</v>
      </c>
      <c r="J41">
        <v>29.31</v>
      </c>
      <c r="K41">
        <v>28.98</v>
      </c>
    </row>
    <row r="42" spans="1:11" x14ac:dyDescent="0.35">
      <c r="A42" t="s">
        <v>0</v>
      </c>
      <c r="B42" t="s">
        <v>4</v>
      </c>
      <c r="C42" t="s">
        <v>15</v>
      </c>
      <c r="D42">
        <v>0.85799999999999998</v>
      </c>
      <c r="E42">
        <v>8.2000000000000003E-2</v>
      </c>
      <c r="F42">
        <f t="shared" si="0"/>
        <v>0.16647006229234709</v>
      </c>
      <c r="G42">
        <v>4.5</v>
      </c>
      <c r="H42">
        <f t="shared" si="1"/>
        <v>27.031887523999998</v>
      </c>
      <c r="I42">
        <v>30.04</v>
      </c>
      <c r="J42">
        <v>30.37</v>
      </c>
      <c r="K42">
        <v>29.63</v>
      </c>
    </row>
    <row r="43" spans="1:11" x14ac:dyDescent="0.35">
      <c r="A43" t="s">
        <v>0</v>
      </c>
      <c r="B43" t="s">
        <v>4</v>
      </c>
      <c r="C43" t="s">
        <v>16</v>
      </c>
      <c r="D43">
        <v>0.84099999999999997</v>
      </c>
      <c r="E43">
        <v>9.7500000000000003E-2</v>
      </c>
      <c r="F43">
        <f t="shared" si="0"/>
        <v>0.1708815050191699</v>
      </c>
      <c r="G43">
        <v>4.8</v>
      </c>
      <c r="H43">
        <f t="shared" si="1"/>
        <v>28.089640241999998</v>
      </c>
      <c r="I43">
        <v>29.83</v>
      </c>
      <c r="J43">
        <v>31.42</v>
      </c>
      <c r="K43">
        <v>29.97</v>
      </c>
    </row>
    <row r="44" spans="1:11" x14ac:dyDescent="0.35">
      <c r="A44" t="s">
        <v>0</v>
      </c>
      <c r="B44" t="s">
        <v>4</v>
      </c>
      <c r="C44" t="s">
        <v>17</v>
      </c>
      <c r="D44">
        <v>1.1200000000000001</v>
      </c>
      <c r="E44">
        <v>8.6300000000000002E-2</v>
      </c>
      <c r="F44">
        <f t="shared" si="0"/>
        <v>0.17008207416790272</v>
      </c>
      <c r="G44">
        <v>4.4000000000000004</v>
      </c>
      <c r="H44">
        <f t="shared" si="1"/>
        <v>25.869863249999998</v>
      </c>
      <c r="I44">
        <v>28.5</v>
      </c>
      <c r="J44">
        <v>30.45</v>
      </c>
      <c r="K44">
        <v>29.81</v>
      </c>
    </row>
    <row r="45" spans="1:11" x14ac:dyDescent="0.35">
      <c r="A45" t="s">
        <v>0</v>
      </c>
      <c r="B45" t="s">
        <v>5</v>
      </c>
      <c r="C45" t="s">
        <v>18</v>
      </c>
      <c r="D45">
        <v>0.93500000000000005</v>
      </c>
      <c r="E45" t="s">
        <v>68</v>
      </c>
      <c r="F45">
        <f t="shared" si="0"/>
        <v>0.13269432334642017</v>
      </c>
      <c r="G45">
        <v>3.5</v>
      </c>
      <c r="H45">
        <f t="shared" si="1"/>
        <v>26.376410925000002</v>
      </c>
      <c r="I45">
        <v>29.21</v>
      </c>
      <c r="J45">
        <v>30.15</v>
      </c>
      <c r="K45">
        <v>29.95</v>
      </c>
    </row>
    <row r="46" spans="1:11" x14ac:dyDescent="0.35">
      <c r="A46" t="s">
        <v>0</v>
      </c>
      <c r="B46" t="s">
        <v>5</v>
      </c>
      <c r="C46" t="s">
        <v>19</v>
      </c>
      <c r="D46">
        <v>0.94</v>
      </c>
      <c r="E46">
        <v>8.2199999999999995E-2</v>
      </c>
      <c r="F46">
        <f t="shared" si="0"/>
        <v>0.1230349232887273</v>
      </c>
      <c r="G46">
        <v>3.2</v>
      </c>
      <c r="H46">
        <f t="shared" si="1"/>
        <v>26.008875484000001</v>
      </c>
      <c r="I46">
        <v>28.66</v>
      </c>
      <c r="J46">
        <v>29.99</v>
      </c>
      <c r="K46">
        <v>30.26</v>
      </c>
    </row>
    <row r="47" spans="1:11" x14ac:dyDescent="0.35">
      <c r="A47" t="s">
        <v>0</v>
      </c>
      <c r="B47" t="s">
        <v>5</v>
      </c>
      <c r="C47" t="s">
        <v>20</v>
      </c>
      <c r="D47">
        <v>0.83</v>
      </c>
      <c r="E47">
        <v>7.2900000000000006E-2</v>
      </c>
      <c r="F47">
        <f t="shared" si="0"/>
        <v>0.12589700626450245</v>
      </c>
      <c r="G47">
        <v>3.4</v>
      </c>
      <c r="H47">
        <f t="shared" si="1"/>
        <v>27.006202140000003</v>
      </c>
      <c r="I47">
        <v>30.02</v>
      </c>
      <c r="J47">
        <v>30.3</v>
      </c>
      <c r="K47">
        <v>29.69</v>
      </c>
    </row>
    <row r="48" spans="1:11" x14ac:dyDescent="0.35">
      <c r="A48" t="s">
        <v>0</v>
      </c>
      <c r="B48" t="s">
        <v>5</v>
      </c>
      <c r="C48" t="s">
        <v>21</v>
      </c>
      <c r="D48">
        <v>0.622</v>
      </c>
      <c r="E48">
        <v>7.3700000000000002E-2</v>
      </c>
      <c r="F48">
        <f t="shared" si="0"/>
        <v>0.12363141788332437</v>
      </c>
      <c r="G48">
        <v>3.5</v>
      </c>
      <c r="H48">
        <f t="shared" si="1"/>
        <v>28.309955995999999</v>
      </c>
      <c r="I48">
        <v>30.59</v>
      </c>
      <c r="J48">
        <v>30.89</v>
      </c>
      <c r="K48">
        <v>29.96</v>
      </c>
    </row>
    <row r="49" spans="1:11" x14ac:dyDescent="0.35">
      <c r="A49" t="s">
        <v>0</v>
      </c>
      <c r="B49" t="s">
        <v>5</v>
      </c>
      <c r="C49" t="s">
        <v>22</v>
      </c>
      <c r="D49">
        <v>1.04</v>
      </c>
      <c r="E49">
        <v>0.108</v>
      </c>
      <c r="F49">
        <f t="shared" si="0"/>
        <v>0.12142174891974125</v>
      </c>
      <c r="G49">
        <v>3.3</v>
      </c>
      <c r="H49">
        <f t="shared" si="1"/>
        <v>27.177997594000001</v>
      </c>
      <c r="I49">
        <v>30.02</v>
      </c>
      <c r="J49">
        <v>30.37</v>
      </c>
      <c r="K49">
        <v>29.81</v>
      </c>
    </row>
    <row r="50" spans="1:11" x14ac:dyDescent="0.35">
      <c r="A50" t="s">
        <v>0</v>
      </c>
      <c r="B50" t="s">
        <v>7</v>
      </c>
      <c r="C50" t="s">
        <v>23</v>
      </c>
      <c r="D50">
        <v>0.73299999999999998</v>
      </c>
      <c r="E50">
        <v>5.3100000000000001E-2</v>
      </c>
      <c r="F50">
        <f t="shared" si="0"/>
        <v>0.1817169770257861</v>
      </c>
      <c r="G50">
        <v>4.9000000000000004</v>
      </c>
      <c r="H50">
        <f t="shared" si="1"/>
        <v>26.965009434999999</v>
      </c>
      <c r="I50">
        <v>29.53</v>
      </c>
      <c r="J50">
        <v>29.89</v>
      </c>
      <c r="K50">
        <v>30.55</v>
      </c>
    </row>
    <row r="51" spans="1:11" x14ac:dyDescent="0.35">
      <c r="A51" t="s">
        <v>0</v>
      </c>
      <c r="B51" t="s">
        <v>7</v>
      </c>
      <c r="C51" t="s">
        <v>24</v>
      </c>
      <c r="D51">
        <v>1.07</v>
      </c>
      <c r="E51">
        <v>0.106</v>
      </c>
      <c r="F51">
        <f t="shared" si="0"/>
        <v>0.17064698835424261</v>
      </c>
      <c r="G51">
        <v>4.7</v>
      </c>
      <c r="H51">
        <f t="shared" si="1"/>
        <v>27.542238191999999</v>
      </c>
      <c r="I51">
        <v>30.39</v>
      </c>
      <c r="J51">
        <v>30.24</v>
      </c>
      <c r="K51">
        <v>29.97</v>
      </c>
    </row>
    <row r="52" spans="1:11" x14ac:dyDescent="0.35">
      <c r="A52" t="s">
        <v>0</v>
      </c>
      <c r="B52" t="s">
        <v>7</v>
      </c>
      <c r="C52" t="s">
        <v>25</v>
      </c>
      <c r="D52">
        <v>0.69199999999999995</v>
      </c>
      <c r="E52">
        <v>4.99E-2</v>
      </c>
      <c r="F52">
        <f t="shared" si="0"/>
        <v>0.19278118156529361</v>
      </c>
      <c r="G52">
        <v>4.8</v>
      </c>
      <c r="H52">
        <f t="shared" si="1"/>
        <v>24.898695822000001</v>
      </c>
      <c r="I52">
        <v>28.03</v>
      </c>
      <c r="J52">
        <v>29.58</v>
      </c>
      <c r="K52">
        <v>30.03</v>
      </c>
    </row>
    <row r="53" spans="1:11" x14ac:dyDescent="0.35">
      <c r="A53" t="s">
        <v>0</v>
      </c>
      <c r="B53" t="s">
        <v>7</v>
      </c>
      <c r="C53" t="s">
        <v>26</v>
      </c>
      <c r="D53">
        <v>1.04</v>
      </c>
      <c r="E53">
        <v>6.7799999999999999E-2</v>
      </c>
      <c r="F53">
        <f t="shared" si="0"/>
        <v>0.17713803615708021</v>
      </c>
      <c r="G53">
        <v>4.7</v>
      </c>
      <c r="H53">
        <f t="shared" si="1"/>
        <v>26.532980166000002</v>
      </c>
      <c r="I53">
        <v>29.82</v>
      </c>
      <c r="J53">
        <v>30.07</v>
      </c>
      <c r="K53">
        <v>29.59</v>
      </c>
    </row>
    <row r="54" spans="1:11" x14ac:dyDescent="0.35">
      <c r="A54" t="s">
        <v>0</v>
      </c>
      <c r="B54" t="s">
        <v>7</v>
      </c>
      <c r="C54" t="s">
        <v>27</v>
      </c>
      <c r="D54">
        <v>0.85499999999999998</v>
      </c>
      <c r="E54">
        <v>6.3700000000000007E-2</v>
      </c>
      <c r="F54">
        <f t="shared" si="0"/>
        <v>0.18436561515643174</v>
      </c>
      <c r="G54">
        <v>4.8</v>
      </c>
      <c r="H54">
        <f t="shared" si="1"/>
        <v>26.035223519999999</v>
      </c>
      <c r="I54">
        <v>29.21</v>
      </c>
      <c r="J54">
        <v>29.76</v>
      </c>
      <c r="K54">
        <v>29.95</v>
      </c>
    </row>
    <row r="55" spans="1:11" x14ac:dyDescent="0.35">
      <c r="A55" t="s">
        <v>0</v>
      </c>
      <c r="B55" t="s">
        <v>8</v>
      </c>
      <c r="C55" t="s">
        <v>28</v>
      </c>
      <c r="D55">
        <v>0.13300000000000001</v>
      </c>
      <c r="E55">
        <v>1.34E-2</v>
      </c>
      <c r="F55">
        <f t="shared" si="0"/>
        <v>9.3922953483462593E-2</v>
      </c>
      <c r="G55">
        <v>2.6</v>
      </c>
      <c r="H55">
        <f t="shared" si="1"/>
        <v>27.682264063999998</v>
      </c>
      <c r="I55">
        <v>33.28</v>
      </c>
      <c r="J55">
        <v>28.36</v>
      </c>
      <c r="K55">
        <v>29.33</v>
      </c>
    </row>
    <row r="56" spans="1:11" x14ac:dyDescent="0.35">
      <c r="A56" t="s">
        <v>0</v>
      </c>
      <c r="B56" t="s">
        <v>8</v>
      </c>
      <c r="C56" t="s">
        <v>29</v>
      </c>
      <c r="D56">
        <v>0.10199999999999999</v>
      </c>
      <c r="E56">
        <v>1.0200000000000001E-2</v>
      </c>
      <c r="F56">
        <f t="shared" si="0"/>
        <v>8.8367087310724041E-2</v>
      </c>
      <c r="G56">
        <v>2.6</v>
      </c>
      <c r="H56">
        <f t="shared" si="1"/>
        <v>29.422719239999999</v>
      </c>
      <c r="I56">
        <v>32.6</v>
      </c>
      <c r="J56">
        <v>30.93</v>
      </c>
      <c r="K56">
        <v>29.18</v>
      </c>
    </row>
    <row r="57" spans="1:11" x14ac:dyDescent="0.35">
      <c r="A57" t="s">
        <v>0</v>
      </c>
      <c r="B57" t="s">
        <v>8</v>
      </c>
      <c r="C57" t="s">
        <v>30</v>
      </c>
      <c r="D57">
        <v>0.32700000000000001</v>
      </c>
      <c r="E57" t="s">
        <v>68</v>
      </c>
      <c r="F57">
        <f t="shared" si="0"/>
        <v>8.598149631694485E-2</v>
      </c>
      <c r="G57">
        <v>2.2999999999999998</v>
      </c>
      <c r="H57">
        <f t="shared" si="1"/>
        <v>26.749941539999998</v>
      </c>
      <c r="I57">
        <v>30.46</v>
      </c>
      <c r="J57">
        <v>29.82</v>
      </c>
      <c r="K57">
        <v>29.45</v>
      </c>
    </row>
    <row r="58" spans="1:11" x14ac:dyDescent="0.35">
      <c r="A58" t="s">
        <v>0</v>
      </c>
      <c r="B58" t="s">
        <v>8</v>
      </c>
      <c r="C58" t="s">
        <v>31</v>
      </c>
      <c r="D58">
        <v>8.5699999999999998E-2</v>
      </c>
      <c r="E58">
        <v>8.6300000000000005E-3</v>
      </c>
      <c r="F58">
        <f t="shared" si="0"/>
        <v>8.962559701418979E-2</v>
      </c>
      <c r="G58">
        <v>2.2000000000000002</v>
      </c>
      <c r="H58">
        <f t="shared" si="1"/>
        <v>24.546558944000001</v>
      </c>
      <c r="I58">
        <v>29.24</v>
      </c>
      <c r="J58">
        <v>29.23</v>
      </c>
      <c r="K58">
        <v>28.72</v>
      </c>
    </row>
    <row r="59" spans="1:11" x14ac:dyDescent="0.35">
      <c r="A59" t="s">
        <v>0</v>
      </c>
      <c r="B59" t="s">
        <v>8</v>
      </c>
      <c r="C59" t="s">
        <v>9</v>
      </c>
      <c r="D59">
        <v>8.7800000000000003E-2</v>
      </c>
      <c r="E59">
        <v>8.7899999999999992E-3</v>
      </c>
      <c r="F59">
        <f t="shared" si="0"/>
        <v>8.2830008395331403E-2</v>
      </c>
      <c r="G59">
        <v>1.9</v>
      </c>
      <c r="H59">
        <f t="shared" si="1"/>
        <v>22.938546510000002</v>
      </c>
      <c r="I59">
        <v>28.45</v>
      </c>
      <c r="J59">
        <v>28.41</v>
      </c>
      <c r="K59">
        <v>28.38</v>
      </c>
    </row>
    <row r="60" spans="1:11" x14ac:dyDescent="0.35">
      <c r="A60" t="s">
        <v>0</v>
      </c>
      <c r="B60" t="s">
        <v>12</v>
      </c>
      <c r="C60" t="s">
        <v>32</v>
      </c>
      <c r="D60">
        <v>0.60199999999999998</v>
      </c>
      <c r="E60">
        <v>4.8099999999999997E-2</v>
      </c>
      <c r="F60">
        <f t="shared" si="0"/>
        <v>0.10181124848959595</v>
      </c>
      <c r="G60">
        <v>3.1</v>
      </c>
      <c r="H60">
        <f t="shared" si="1"/>
        <v>30.448501968000006</v>
      </c>
      <c r="I60">
        <v>33.590000000000003</v>
      </c>
      <c r="J60">
        <v>30.48</v>
      </c>
      <c r="K60">
        <v>29.74</v>
      </c>
    </row>
    <row r="61" spans="1:11" x14ac:dyDescent="0.35">
      <c r="A61" t="s">
        <v>0</v>
      </c>
      <c r="B61" t="s">
        <v>12</v>
      </c>
      <c r="C61" t="s">
        <v>33</v>
      </c>
      <c r="D61">
        <v>0.44</v>
      </c>
      <c r="E61">
        <v>3.7199999999999997E-2</v>
      </c>
      <c r="F61">
        <f t="shared" si="0"/>
        <v>9.5680413625203395E-2</v>
      </c>
      <c r="G61">
        <v>2.8</v>
      </c>
      <c r="H61">
        <f t="shared" si="1"/>
        <v>29.264087537999998</v>
      </c>
      <c r="I61">
        <v>32.47</v>
      </c>
      <c r="J61">
        <v>30.51</v>
      </c>
      <c r="K61">
        <v>29.54</v>
      </c>
    </row>
    <row r="62" spans="1:11" x14ac:dyDescent="0.35">
      <c r="A62" t="s">
        <v>0</v>
      </c>
      <c r="B62" t="s">
        <v>12</v>
      </c>
      <c r="C62" t="s">
        <v>34</v>
      </c>
      <c r="D62">
        <v>0.39</v>
      </c>
      <c r="E62">
        <v>3.1399999999999997E-2</v>
      </c>
      <c r="F62">
        <f t="shared" si="0"/>
        <v>9.0699569099698188E-2</v>
      </c>
      <c r="G62">
        <v>2.5</v>
      </c>
      <c r="H62">
        <f t="shared" si="1"/>
        <v>27.563526759999998</v>
      </c>
      <c r="I62">
        <v>31.9</v>
      </c>
      <c r="J62">
        <v>29.32</v>
      </c>
      <c r="K62">
        <v>29.47</v>
      </c>
    </row>
    <row r="63" spans="1:11" x14ac:dyDescent="0.35">
      <c r="A63" t="s">
        <v>0</v>
      </c>
      <c r="B63" t="s">
        <v>12</v>
      </c>
      <c r="C63" t="s">
        <v>35</v>
      </c>
      <c r="D63">
        <v>0.35099999999999998</v>
      </c>
      <c r="E63">
        <v>3.4099999999999998E-2</v>
      </c>
      <c r="F63">
        <f t="shared" si="0"/>
        <v>9.7195752072846503E-2</v>
      </c>
      <c r="G63">
        <v>2.8</v>
      </c>
      <c r="H63">
        <f t="shared" si="1"/>
        <v>28.807843349999999</v>
      </c>
      <c r="I63">
        <v>32.369999999999997</v>
      </c>
      <c r="J63">
        <v>30.25</v>
      </c>
      <c r="K63">
        <v>29.42</v>
      </c>
    </row>
    <row r="64" spans="1:11" x14ac:dyDescent="0.35">
      <c r="A64" t="s">
        <v>0</v>
      </c>
      <c r="B64" t="s">
        <v>12</v>
      </c>
      <c r="C64" t="s">
        <v>36</v>
      </c>
      <c r="D64">
        <v>0.39500000000000002</v>
      </c>
      <c r="E64">
        <v>3.3599999999999998E-2</v>
      </c>
      <c r="F64">
        <f t="shared" si="0"/>
        <v>9.7474154403046187E-2</v>
      </c>
      <c r="G64">
        <v>2.7</v>
      </c>
      <c r="H64">
        <f t="shared" si="1"/>
        <v>27.699650400000003</v>
      </c>
      <c r="I64">
        <v>30.09</v>
      </c>
      <c r="J64">
        <v>31.1</v>
      </c>
      <c r="K64">
        <v>29.6</v>
      </c>
    </row>
    <row r="65" spans="1:11" x14ac:dyDescent="0.35">
      <c r="A65" t="s">
        <v>0</v>
      </c>
      <c r="B65" t="s">
        <v>13</v>
      </c>
      <c r="C65" t="s">
        <v>37</v>
      </c>
      <c r="D65">
        <v>0.68600000000000005</v>
      </c>
      <c r="E65">
        <v>6.5500000000000003E-2</v>
      </c>
      <c r="F65">
        <f t="shared" si="0"/>
        <v>0.1275778304001618</v>
      </c>
      <c r="G65">
        <v>3.7</v>
      </c>
      <c r="H65">
        <f t="shared" si="1"/>
        <v>29.001904079999999</v>
      </c>
      <c r="I65">
        <v>32.159999999999997</v>
      </c>
      <c r="J65">
        <v>30.01</v>
      </c>
      <c r="K65">
        <v>30.05</v>
      </c>
    </row>
    <row r="66" spans="1:11" x14ac:dyDescent="0.35">
      <c r="A66" t="s">
        <v>0</v>
      </c>
      <c r="B66" t="s">
        <v>13</v>
      </c>
      <c r="C66" t="s">
        <v>38</v>
      </c>
      <c r="D66">
        <v>0.40699999999999997</v>
      </c>
      <c r="E66">
        <v>3.6200000000000003E-2</v>
      </c>
      <c r="F66">
        <f t="shared" si="0"/>
        <v>0.11992702213813933</v>
      </c>
      <c r="G66">
        <v>3.7</v>
      </c>
      <c r="H66">
        <f t="shared" si="1"/>
        <v>30.852096000000003</v>
      </c>
      <c r="I66">
        <v>33.200000000000003</v>
      </c>
      <c r="J66">
        <v>30.25</v>
      </c>
      <c r="K66">
        <v>30.72</v>
      </c>
    </row>
    <row r="67" spans="1:11" x14ac:dyDescent="0.35">
      <c r="A67" t="s">
        <v>0</v>
      </c>
      <c r="B67" t="s">
        <v>13</v>
      </c>
      <c r="C67" t="s">
        <v>39</v>
      </c>
      <c r="D67">
        <v>0.78400000000000003</v>
      </c>
      <c r="E67">
        <v>7.5399999999999995E-2</v>
      </c>
      <c r="F67">
        <f t="shared" ref="F67:F74" si="2">G67/H67</f>
        <v>0.12987766266803472</v>
      </c>
      <c r="G67">
        <v>3.8</v>
      </c>
      <c r="H67">
        <f t="shared" ref="H67:H74" si="3">(I67*J67*K67)/1000</f>
        <v>29.258302944000004</v>
      </c>
      <c r="I67">
        <v>32.630000000000003</v>
      </c>
      <c r="J67">
        <v>30.13</v>
      </c>
      <c r="K67">
        <v>29.76</v>
      </c>
    </row>
    <row r="68" spans="1:11" x14ac:dyDescent="0.35">
      <c r="A68" t="s">
        <v>0</v>
      </c>
      <c r="B68" t="s">
        <v>13</v>
      </c>
      <c r="C68" t="s">
        <v>40</v>
      </c>
      <c r="D68">
        <v>0.437</v>
      </c>
      <c r="E68">
        <v>3.7699999999999997E-2</v>
      </c>
      <c r="F68">
        <f t="shared" si="2"/>
        <v>0.12242314686757536</v>
      </c>
      <c r="G68">
        <v>3.4</v>
      </c>
      <c r="H68">
        <f t="shared" si="3"/>
        <v>27.772525760000001</v>
      </c>
      <c r="I68">
        <v>32.200000000000003</v>
      </c>
      <c r="J68">
        <v>29.68</v>
      </c>
      <c r="K68">
        <v>29.06</v>
      </c>
    </row>
    <row r="69" spans="1:11" x14ac:dyDescent="0.35">
      <c r="A69" t="s">
        <v>0</v>
      </c>
      <c r="B69" t="s">
        <v>13</v>
      </c>
      <c r="C69" t="s">
        <v>41</v>
      </c>
      <c r="D69">
        <v>0.499</v>
      </c>
      <c r="E69">
        <v>4.2999999999999997E-2</v>
      </c>
      <c r="F69">
        <f t="shared" si="2"/>
        <v>0.11981899146255656</v>
      </c>
      <c r="G69">
        <v>3.6</v>
      </c>
      <c r="H69">
        <f t="shared" si="3"/>
        <v>30.045320496000002</v>
      </c>
      <c r="I69">
        <v>32.14</v>
      </c>
      <c r="J69">
        <v>30.64</v>
      </c>
      <c r="K69">
        <v>30.51</v>
      </c>
    </row>
    <row r="70" spans="1:11" x14ac:dyDescent="0.35">
      <c r="A70" t="s">
        <v>0</v>
      </c>
      <c r="B70" t="s">
        <v>14</v>
      </c>
      <c r="C70" t="s">
        <v>42</v>
      </c>
      <c r="D70">
        <v>0.13300000000000001</v>
      </c>
      <c r="E70">
        <v>1.2999999999999999E-2</v>
      </c>
      <c r="F70">
        <f t="shared" si="2"/>
        <v>8.9438513764671573E-2</v>
      </c>
      <c r="G70">
        <v>2.2999999999999998</v>
      </c>
      <c r="H70">
        <f t="shared" si="3"/>
        <v>25.715990831999999</v>
      </c>
      <c r="I70">
        <v>28.68</v>
      </c>
      <c r="J70">
        <v>29.72</v>
      </c>
      <c r="K70">
        <v>30.17</v>
      </c>
    </row>
    <row r="71" spans="1:11" x14ac:dyDescent="0.35">
      <c r="A71" t="s">
        <v>0</v>
      </c>
      <c r="B71" t="s">
        <v>14</v>
      </c>
      <c r="C71" t="s">
        <v>43</v>
      </c>
      <c r="D71">
        <v>0.28899999999999998</v>
      </c>
      <c r="E71">
        <v>2.35E-2</v>
      </c>
      <c r="F71">
        <f t="shared" si="2"/>
        <v>9.1798678837315614E-2</v>
      </c>
      <c r="G71">
        <v>2.4</v>
      </c>
      <c r="H71">
        <f t="shared" si="3"/>
        <v>26.144167110000001</v>
      </c>
      <c r="I71">
        <v>30.57</v>
      </c>
      <c r="J71">
        <v>30.05</v>
      </c>
      <c r="K71">
        <v>28.46</v>
      </c>
    </row>
    <row r="72" spans="1:11" x14ac:dyDescent="0.35">
      <c r="A72" t="s">
        <v>0</v>
      </c>
      <c r="B72" t="s">
        <v>14</v>
      </c>
      <c r="C72" t="s">
        <v>21</v>
      </c>
      <c r="D72">
        <v>0.16400000000000001</v>
      </c>
      <c r="E72">
        <v>1.6E-2</v>
      </c>
      <c r="F72">
        <f t="shared" si="2"/>
        <v>9.2167107030692613E-2</v>
      </c>
      <c r="G72">
        <v>2.7</v>
      </c>
      <c r="H72">
        <f t="shared" si="3"/>
        <v>29.294615909999994</v>
      </c>
      <c r="I72">
        <v>34.229999999999997</v>
      </c>
      <c r="J72">
        <v>29.45</v>
      </c>
      <c r="K72">
        <v>29.06</v>
      </c>
    </row>
    <row r="73" spans="1:11" x14ac:dyDescent="0.35">
      <c r="A73" t="s">
        <v>0</v>
      </c>
      <c r="B73" t="s">
        <v>14</v>
      </c>
      <c r="C73" t="s">
        <v>44</v>
      </c>
      <c r="D73">
        <v>0.16600000000000001</v>
      </c>
      <c r="E73">
        <v>1.6299999999999999E-2</v>
      </c>
      <c r="F73">
        <f t="shared" si="2"/>
        <v>8.9069894367687433E-2</v>
      </c>
      <c r="G73">
        <v>2.7</v>
      </c>
      <c r="H73">
        <f t="shared" si="3"/>
        <v>30.313272730000001</v>
      </c>
      <c r="I73">
        <v>33.65</v>
      </c>
      <c r="J73">
        <v>30.26</v>
      </c>
      <c r="K73">
        <v>29.77</v>
      </c>
    </row>
    <row r="74" spans="1:11" x14ac:dyDescent="0.35">
      <c r="A74" t="s">
        <v>0</v>
      </c>
      <c r="B74" t="s">
        <v>14</v>
      </c>
      <c r="C74" t="s">
        <v>45</v>
      </c>
      <c r="D74">
        <v>0.184</v>
      </c>
      <c r="E74">
        <v>1.8700000000000001E-2</v>
      </c>
      <c r="F74">
        <f t="shared" si="2"/>
        <v>9.9539516570491079E-2</v>
      </c>
      <c r="G74">
        <v>2.7</v>
      </c>
      <c r="H74">
        <f t="shared" si="3"/>
        <v>27.124905696000003</v>
      </c>
      <c r="I74">
        <v>31.48</v>
      </c>
      <c r="J74">
        <v>30.17</v>
      </c>
      <c r="K74">
        <v>28.56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C56C-7F38-4436-9B8A-F0DD22FE6129}">
  <dimension ref="A1:L9"/>
  <sheetViews>
    <sheetView tabSelected="1" workbookViewId="0">
      <selection sqref="A1:L9"/>
    </sheetView>
  </sheetViews>
  <sheetFormatPr defaultRowHeight="14.5" x14ac:dyDescent="0.35"/>
  <sheetData>
    <row r="1" spans="1:12" x14ac:dyDescent="0.35">
      <c r="A1" s="4" t="s">
        <v>2</v>
      </c>
      <c r="B1" s="4" t="s">
        <v>3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  <c r="L1" s="4" t="s">
        <v>78</v>
      </c>
    </row>
    <row r="2" spans="1:12" x14ac:dyDescent="0.35">
      <c r="A2" t="s">
        <v>0</v>
      </c>
      <c r="B2" t="s">
        <v>4</v>
      </c>
      <c r="C2">
        <v>0.93966666666666665</v>
      </c>
      <c r="D2">
        <v>0.15640439039021051</v>
      </c>
      <c r="E2">
        <v>8.8599999999999998E-2</v>
      </c>
      <c r="F2">
        <v>8.0018747803249218E-3</v>
      </c>
      <c r="G2">
        <v>0.16914454715980659</v>
      </c>
      <c r="H2">
        <v>2.350409411398737E-3</v>
      </c>
      <c r="I2">
        <v>0.52351798984218978</v>
      </c>
      <c r="J2">
        <v>4.1417293033833548E-2</v>
      </c>
      <c r="K2">
        <v>5.553558346214361</v>
      </c>
      <c r="L2">
        <v>0.90083823314022016</v>
      </c>
    </row>
    <row r="3" spans="1:12" x14ac:dyDescent="0.35">
      <c r="A3" t="s">
        <v>0</v>
      </c>
      <c r="B3" t="s">
        <v>5</v>
      </c>
      <c r="C3">
        <v>0.87339999999999995</v>
      </c>
      <c r="D3">
        <v>0.15895848514627961</v>
      </c>
      <c r="E3">
        <v>8.4199999999999997E-2</v>
      </c>
      <c r="F3">
        <v>1.641523682436534E-2</v>
      </c>
      <c r="G3">
        <v>0.1253358839405431</v>
      </c>
      <c r="H3">
        <v>4.4153585974100948E-3</v>
      </c>
      <c r="I3">
        <v>0.6831840655016419</v>
      </c>
      <c r="J3">
        <v>0.14283076832960159</v>
      </c>
      <c r="K3">
        <v>6.9750676400961336</v>
      </c>
      <c r="L3">
        <v>1.313498521369685</v>
      </c>
    </row>
    <row r="4" spans="1:12" x14ac:dyDescent="0.35">
      <c r="A4" t="s">
        <v>0</v>
      </c>
      <c r="B4" t="s">
        <v>6</v>
      </c>
      <c r="C4">
        <v>1.3220000000000001</v>
      </c>
      <c r="D4">
        <v>0.24671846303023209</v>
      </c>
      <c r="E4">
        <v>0.1232</v>
      </c>
      <c r="F4">
        <v>1.9967473550752481E-2</v>
      </c>
      <c r="G4">
        <v>0.2035266257972794</v>
      </c>
      <c r="H4">
        <v>4.6276097743457919E-3</v>
      </c>
      <c r="I4">
        <v>0.6040757296349325</v>
      </c>
      <c r="J4">
        <v>8.6680013728910016E-2</v>
      </c>
      <c r="K4">
        <v>6.4786792666817252</v>
      </c>
      <c r="L4">
        <v>1.0776277398845879</v>
      </c>
    </row>
    <row r="5" spans="1:12" x14ac:dyDescent="0.35">
      <c r="A5" t="s">
        <v>0</v>
      </c>
      <c r="B5" t="s">
        <v>7</v>
      </c>
      <c r="C5">
        <v>0.878</v>
      </c>
      <c r="D5">
        <v>0.17266875803109261</v>
      </c>
      <c r="E5">
        <v>6.8099999999999994E-2</v>
      </c>
      <c r="F5">
        <v>2.2428218832533271E-2</v>
      </c>
      <c r="G5">
        <v>0.18132975965176679</v>
      </c>
      <c r="H5">
        <v>8.2491449289102577E-3</v>
      </c>
      <c r="I5">
        <v>0.38009643630990692</v>
      </c>
      <c r="J5">
        <v>0.14295418712692951</v>
      </c>
      <c r="K5">
        <v>4.880442642447596</v>
      </c>
      <c r="L5">
        <v>1.157077292542086</v>
      </c>
    </row>
    <row r="6" spans="1:12" x14ac:dyDescent="0.35">
      <c r="A6" t="s">
        <v>0</v>
      </c>
      <c r="B6" t="s">
        <v>8</v>
      </c>
      <c r="C6">
        <v>0.14710000000000001</v>
      </c>
      <c r="D6">
        <v>0.1023270247784035</v>
      </c>
      <c r="E6">
        <v>1.0255E-2</v>
      </c>
      <c r="F6">
        <v>2.2121558112694808E-3</v>
      </c>
      <c r="G6">
        <v>8.8145428504130541E-2</v>
      </c>
      <c r="H6">
        <v>4.1399311520628514E-3</v>
      </c>
      <c r="I6">
        <v>0.1151270342921603</v>
      </c>
      <c r="J6">
        <v>1.9955585588439639E-2</v>
      </c>
      <c r="K6">
        <v>1.6779352802950569</v>
      </c>
      <c r="L6">
        <v>1.200214066576573</v>
      </c>
    </row>
    <row r="7" spans="1:12" x14ac:dyDescent="0.35">
      <c r="A7" t="s">
        <v>0</v>
      </c>
      <c r="B7" t="s">
        <v>12</v>
      </c>
      <c r="C7">
        <v>0.43559999999999999</v>
      </c>
      <c r="D7">
        <v>9.822576036865277E-2</v>
      </c>
      <c r="E7">
        <v>3.6880000000000003E-2</v>
      </c>
      <c r="F7">
        <v>6.6050738073090446E-3</v>
      </c>
      <c r="G7">
        <v>9.6572227538078051E-2</v>
      </c>
      <c r="H7">
        <v>3.9979070973049143E-3</v>
      </c>
      <c r="I7">
        <v>0.38059604516329132</v>
      </c>
      <c r="J7">
        <v>5.4451459355126762E-2</v>
      </c>
      <c r="K7">
        <v>4.495016067730357</v>
      </c>
      <c r="L7">
        <v>0.87122955400938407</v>
      </c>
    </row>
    <row r="8" spans="1:12" x14ac:dyDescent="0.35">
      <c r="A8" t="s">
        <v>0</v>
      </c>
      <c r="B8" t="s">
        <v>13</v>
      </c>
      <c r="C8">
        <v>0.56259999999999999</v>
      </c>
      <c r="D8">
        <v>0.16452750529926599</v>
      </c>
      <c r="E8">
        <v>5.1560000000000002E-2</v>
      </c>
      <c r="F8">
        <v>1.7776191943158132E-2</v>
      </c>
      <c r="G8">
        <v>0.1239249307072935</v>
      </c>
      <c r="H8">
        <v>4.5791936700857374E-3</v>
      </c>
      <c r="I8">
        <v>0.41252632218722313</v>
      </c>
      <c r="J8">
        <v>0.1269575899015305</v>
      </c>
      <c r="K8">
        <v>4.5082983741651201</v>
      </c>
      <c r="L8">
        <v>1.1545172075216401</v>
      </c>
    </row>
    <row r="9" spans="1:12" x14ac:dyDescent="0.35">
      <c r="A9" t="s">
        <v>0</v>
      </c>
      <c r="B9" t="s">
        <v>14</v>
      </c>
      <c r="C9">
        <v>0.18720000000000001</v>
      </c>
      <c r="D9">
        <v>5.9788794936844129E-2</v>
      </c>
      <c r="E9">
        <v>1.7500000000000002E-2</v>
      </c>
      <c r="F9">
        <v>3.9172694571601788E-3</v>
      </c>
      <c r="G9">
        <v>9.2402742114171668E-2</v>
      </c>
      <c r="H9">
        <v>4.220441025076958E-3</v>
      </c>
      <c r="I9">
        <v>0.18916227676831879</v>
      </c>
      <c r="J9">
        <v>4.0828597145465689E-2</v>
      </c>
      <c r="K9">
        <v>2.0253684512287768</v>
      </c>
      <c r="L9">
        <v>0.6458410135166166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3</vt:i4>
      </vt:variant>
    </vt:vector>
  </HeadingPairs>
  <TitlesOfParts>
    <vt:vector size="3" baseType="lpstr">
      <vt:lpstr>liece</vt:lpstr>
      <vt:lpstr>spiede</vt:lpstr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Mikus Kampuss</cp:lastModifiedBy>
  <dcterms:created xsi:type="dcterms:W3CDTF">2015-06-05T18:17:20Z</dcterms:created>
  <dcterms:modified xsi:type="dcterms:W3CDTF">2026-04-15T20:23:40Z</dcterms:modified>
</cp:coreProperties>
</file>